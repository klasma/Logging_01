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45661</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45661</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45661</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45661</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45661</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45661</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45661</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45661</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45661</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45661</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45661</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45661</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45661</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45661</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45661</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45661</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45661</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45661</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45661</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45661</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45661</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45661</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45661</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45661</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45661</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45661</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45661</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45661</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45661</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45661</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45661</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45661</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45661</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45661</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45661</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45661</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45661</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45661</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45661</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45661</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45661</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45661</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45661</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45661</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45661</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45661</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45661</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45661</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45661</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45661</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45661</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45661</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45661</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45661</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45661</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45661</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45661</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45661</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45661</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45661</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45661</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45661</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45661</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45661</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45661</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45661</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45661</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45661</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45661</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45661</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45661</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45661</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45661</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45661</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45661</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45661</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45661</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45661</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45661</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45661</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45661</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45661</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45661</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45661</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45661</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45661</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45661</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45661</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45661</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45661</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45661</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45661</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45661</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45661</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45661</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45661</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45661</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45661</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45661</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45661</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45661</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45661</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45661</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45661</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45661</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45661</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45661</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45661</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45661</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45661</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45661</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45661</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45661</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45661</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45661</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45661</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45661</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45661</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45661</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45661</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45661</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45661</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45661</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45661</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45661</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45661</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45661</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45661</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45661</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45661</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45661</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45661</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45661</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45661</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45661</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45661</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45661</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45661</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45661</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45661</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45661</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45661</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45661</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45661</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45661</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45661</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45661</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45661</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45661</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45661</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45661</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45661</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45661</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45661</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45661</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45661</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45661</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45661</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45661</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45661</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45661</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45661</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45661</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45661</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45661</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45661</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45661</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45661</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45661</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45661</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45661</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45661</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45661</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45661</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45661</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45661</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45661</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45661</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11764-2022</t>
        </is>
      </c>
      <c r="B201" s="1" t="n">
        <v>44634</v>
      </c>
      <c r="C201" s="1" t="n">
        <v>45661</v>
      </c>
      <c r="D201" t="inlineStr">
        <is>
          <t>STOCKHOLMS LÄN</t>
        </is>
      </c>
      <c r="E201" t="inlineStr">
        <is>
          <t>BOTKYRKA</t>
        </is>
      </c>
      <c r="G201" t="n">
        <v>3.7</v>
      </c>
      <c r="H201" t="n">
        <v>1</v>
      </c>
      <c r="I201" t="n">
        <v>0</v>
      </c>
      <c r="J201" t="n">
        <v>2</v>
      </c>
      <c r="K201" t="n">
        <v>0</v>
      </c>
      <c r="L201" t="n">
        <v>0</v>
      </c>
      <c r="M201" t="n">
        <v>0</v>
      </c>
      <c r="N201" t="n">
        <v>0</v>
      </c>
      <c r="O201" t="n">
        <v>2</v>
      </c>
      <c r="P201" t="n">
        <v>0</v>
      </c>
      <c r="Q201" t="n">
        <v>3</v>
      </c>
      <c r="R201" s="2" t="inlineStr">
        <is>
          <t>Dvärgbägarlav
Tallticka
Blåsippa</t>
        </is>
      </c>
      <c r="S201">
        <f>HYPERLINK("https://klasma.github.io/Logging_0127/artfynd/A 11764-2022 artfynd.xlsx", "A 11764-2022")</f>
        <v/>
      </c>
      <c r="T201">
        <f>HYPERLINK("https://klasma.github.io/Logging_0127/kartor/A 11764-2022 karta.png", "A 11764-2022")</f>
        <v/>
      </c>
      <c r="V201">
        <f>HYPERLINK("https://klasma.github.io/Logging_0127/klagomål/A 11764-2022 FSC-klagomål.docx", "A 11764-2022")</f>
        <v/>
      </c>
      <c r="W201">
        <f>HYPERLINK("https://klasma.github.io/Logging_0127/klagomålsmail/A 11764-2022 FSC-klagomål mail.docx", "A 11764-2022")</f>
        <v/>
      </c>
      <c r="X201">
        <f>HYPERLINK("https://klasma.github.io/Logging_0127/tillsyn/A 11764-2022 tillsynsbegäran.docx", "A 11764-2022")</f>
        <v/>
      </c>
      <c r="Y201">
        <f>HYPERLINK("https://klasma.github.io/Logging_0127/tillsynsmail/A 11764-2022 tillsynsbegäran mail.docx", "A 11764-2022")</f>
        <v/>
      </c>
    </row>
    <row r="202" ht="15" customHeight="1">
      <c r="A202" t="inlineStr">
        <is>
          <t>A 11803-2022</t>
        </is>
      </c>
      <c r="B202" s="1" t="n">
        <v>44634</v>
      </c>
      <c r="C202" s="1" t="n">
        <v>45661</v>
      </c>
      <c r="D202" t="inlineStr">
        <is>
          <t>STOCKHOLMS LÄN</t>
        </is>
      </c>
      <c r="E202" t="inlineStr">
        <is>
          <t>EKERÖ</t>
        </is>
      </c>
      <c r="G202" t="n">
        <v>2.7</v>
      </c>
      <c r="H202" t="n">
        <v>1</v>
      </c>
      <c r="I202" t="n">
        <v>0</v>
      </c>
      <c r="J202" t="n">
        <v>2</v>
      </c>
      <c r="K202" t="n">
        <v>0</v>
      </c>
      <c r="L202" t="n">
        <v>0</v>
      </c>
      <c r="M202" t="n">
        <v>0</v>
      </c>
      <c r="N202" t="n">
        <v>0</v>
      </c>
      <c r="O202" t="n">
        <v>2</v>
      </c>
      <c r="P202" t="n">
        <v>0</v>
      </c>
      <c r="Q202" t="n">
        <v>3</v>
      </c>
      <c r="R202" s="2" t="inlineStr">
        <is>
          <t>Backklöver
Solvända
Gullviva</t>
        </is>
      </c>
      <c r="S202">
        <f>HYPERLINK("https://klasma.github.io/Logging_0125/artfynd/A 11803-2022 artfynd.xlsx", "A 11803-2022")</f>
        <v/>
      </c>
      <c r="T202">
        <f>HYPERLINK("https://klasma.github.io/Logging_0125/kartor/A 11803-2022 karta.png", "A 11803-2022")</f>
        <v/>
      </c>
      <c r="V202">
        <f>HYPERLINK("https://klasma.github.io/Logging_0125/klagomål/A 11803-2022 FSC-klagomål.docx", "A 11803-2022")</f>
        <v/>
      </c>
      <c r="W202">
        <f>HYPERLINK("https://klasma.github.io/Logging_0125/klagomålsmail/A 11803-2022 FSC-klagomål mail.docx", "A 11803-2022")</f>
        <v/>
      </c>
      <c r="X202">
        <f>HYPERLINK("https://klasma.github.io/Logging_0125/tillsyn/A 11803-2022 tillsynsbegäran.docx", "A 11803-2022")</f>
        <v/>
      </c>
      <c r="Y202">
        <f>HYPERLINK("https://klasma.github.io/Logging_0125/tillsynsmail/A 11803-2022 tillsynsbegäran mail.docx", "A 11803-2022")</f>
        <v/>
      </c>
    </row>
    <row r="203" ht="15" customHeight="1">
      <c r="A203" t="inlineStr">
        <is>
          <t>A 12215-2022</t>
        </is>
      </c>
      <c r="B203" s="1" t="n">
        <v>44637</v>
      </c>
      <c r="C203" s="1" t="n">
        <v>45661</v>
      </c>
      <c r="D203" t="inlineStr">
        <is>
          <t>STOCKHOLMS LÄN</t>
        </is>
      </c>
      <c r="E203" t="inlineStr">
        <is>
          <t>NORRTÄLJE</t>
        </is>
      </c>
      <c r="G203" t="n">
        <v>3.1</v>
      </c>
      <c r="H203" t="n">
        <v>3</v>
      </c>
      <c r="I203" t="n">
        <v>3</v>
      </c>
      <c r="J203" t="n">
        <v>0</v>
      </c>
      <c r="K203" t="n">
        <v>0</v>
      </c>
      <c r="L203" t="n">
        <v>0</v>
      </c>
      <c r="M203" t="n">
        <v>0</v>
      </c>
      <c r="N203" t="n">
        <v>0</v>
      </c>
      <c r="O203" t="n">
        <v>0</v>
      </c>
      <c r="P203" t="n">
        <v>0</v>
      </c>
      <c r="Q203" t="n">
        <v>3</v>
      </c>
      <c r="R203" s="2" t="inlineStr">
        <is>
          <t>Guckusko
Skogsknipprot
Tvåblad</t>
        </is>
      </c>
      <c r="S203">
        <f>HYPERLINK("https://klasma.github.io/Logging_0188/artfynd/A 12215-2022 artfynd.xlsx", "A 12215-2022")</f>
        <v/>
      </c>
      <c r="T203">
        <f>HYPERLINK("https://klasma.github.io/Logging_0188/kartor/A 12215-2022 karta.png", "A 12215-2022")</f>
        <v/>
      </c>
      <c r="V203">
        <f>HYPERLINK("https://klasma.github.io/Logging_0188/klagomål/A 12215-2022 FSC-klagomål.docx", "A 12215-2022")</f>
        <v/>
      </c>
      <c r="W203">
        <f>HYPERLINK("https://klasma.github.io/Logging_0188/klagomålsmail/A 12215-2022 FSC-klagomål mail.docx", "A 12215-2022")</f>
        <v/>
      </c>
      <c r="X203">
        <f>HYPERLINK("https://klasma.github.io/Logging_0188/tillsyn/A 12215-2022 tillsynsbegäran.docx", "A 12215-2022")</f>
        <v/>
      </c>
      <c r="Y203">
        <f>HYPERLINK("https://klasma.github.io/Logging_0188/tillsynsmail/A 12215-2022 tillsynsbegäran mail.docx", "A 12215-2022")</f>
        <v/>
      </c>
    </row>
    <row r="204" ht="15" customHeight="1">
      <c r="A204" t="inlineStr">
        <is>
          <t>A 12620-2022</t>
        </is>
      </c>
      <c r="B204" s="1" t="n">
        <v>44638</v>
      </c>
      <c r="C204" s="1" t="n">
        <v>45661</v>
      </c>
      <c r="D204" t="inlineStr">
        <is>
          <t>STOCKHOLMS LÄN</t>
        </is>
      </c>
      <c r="E204" t="inlineStr">
        <is>
          <t>ÖSTERÅKER</t>
        </is>
      </c>
      <c r="G204" t="n">
        <v>9.4</v>
      </c>
      <c r="H204" t="n">
        <v>1</v>
      </c>
      <c r="I204" t="n">
        <v>1</v>
      </c>
      <c r="J204" t="n">
        <v>0</v>
      </c>
      <c r="K204" t="n">
        <v>1</v>
      </c>
      <c r="L204" t="n">
        <v>0</v>
      </c>
      <c r="M204" t="n">
        <v>0</v>
      </c>
      <c r="N204" t="n">
        <v>0</v>
      </c>
      <c r="O204" t="n">
        <v>1</v>
      </c>
      <c r="P204" t="n">
        <v>1</v>
      </c>
      <c r="Q204" t="n">
        <v>3</v>
      </c>
      <c r="R204" s="2" t="inlineStr">
        <is>
          <t>Taggfingersvamp
Fällmossa
Blåsippa</t>
        </is>
      </c>
      <c r="S204">
        <f>HYPERLINK("https://klasma.github.io/Logging_0117/artfynd/A 12620-2022 artfynd.xlsx", "A 12620-2022")</f>
        <v/>
      </c>
      <c r="T204">
        <f>HYPERLINK("https://klasma.github.io/Logging_0117/kartor/A 12620-2022 karta.png", "A 12620-2022")</f>
        <v/>
      </c>
      <c r="V204">
        <f>HYPERLINK("https://klasma.github.io/Logging_0117/klagomål/A 12620-2022 FSC-klagomål.docx", "A 12620-2022")</f>
        <v/>
      </c>
      <c r="W204">
        <f>HYPERLINK("https://klasma.github.io/Logging_0117/klagomålsmail/A 12620-2022 FSC-klagomål mail.docx", "A 12620-2022")</f>
        <v/>
      </c>
      <c r="X204">
        <f>HYPERLINK("https://klasma.github.io/Logging_0117/tillsyn/A 12620-2022 tillsynsbegäran.docx", "A 12620-2022")</f>
        <v/>
      </c>
      <c r="Y204">
        <f>HYPERLINK("https://klasma.github.io/Logging_0117/tillsynsmail/A 12620-2022 tillsynsbegäran mail.docx", "A 12620-2022")</f>
        <v/>
      </c>
    </row>
    <row r="205" ht="15" customHeight="1">
      <c r="A205" t="inlineStr">
        <is>
          <t>A 17244-2022</t>
        </is>
      </c>
      <c r="B205" s="1" t="n">
        <v>44678</v>
      </c>
      <c r="C205" s="1" t="n">
        <v>45661</v>
      </c>
      <c r="D205" t="inlineStr">
        <is>
          <t>STOCKHOLMS LÄN</t>
        </is>
      </c>
      <c r="E205" t="inlineStr">
        <is>
          <t>ÖSTERÅKER</t>
        </is>
      </c>
      <c r="G205" t="n">
        <v>1.4</v>
      </c>
      <c r="H205" t="n">
        <v>2</v>
      </c>
      <c r="I205" t="n">
        <v>2</v>
      </c>
      <c r="J205" t="n">
        <v>0</v>
      </c>
      <c r="K205" t="n">
        <v>0</v>
      </c>
      <c r="L205" t="n">
        <v>0</v>
      </c>
      <c r="M205" t="n">
        <v>0</v>
      </c>
      <c r="N205" t="n">
        <v>0</v>
      </c>
      <c r="O205" t="n">
        <v>0</v>
      </c>
      <c r="P205" t="n">
        <v>0</v>
      </c>
      <c r="Q205" t="n">
        <v>3</v>
      </c>
      <c r="R205" s="2" t="inlineStr">
        <is>
          <t>Bronshjon
Grön sköldmossa
Lopplummer</t>
        </is>
      </c>
      <c r="S205">
        <f>HYPERLINK("https://klasma.github.io/Logging_0117/artfynd/A 17244-2022 artfynd.xlsx", "A 17244-2022")</f>
        <v/>
      </c>
      <c r="T205">
        <f>HYPERLINK("https://klasma.github.io/Logging_0117/kartor/A 17244-2022 karta.png", "A 17244-2022")</f>
        <v/>
      </c>
      <c r="V205">
        <f>HYPERLINK("https://klasma.github.io/Logging_0117/klagomål/A 17244-2022 FSC-klagomål.docx", "A 17244-2022")</f>
        <v/>
      </c>
      <c r="W205">
        <f>HYPERLINK("https://klasma.github.io/Logging_0117/klagomålsmail/A 17244-2022 FSC-klagomål mail.docx", "A 17244-2022")</f>
        <v/>
      </c>
      <c r="X205">
        <f>HYPERLINK("https://klasma.github.io/Logging_0117/tillsyn/A 17244-2022 tillsynsbegäran.docx", "A 17244-2022")</f>
        <v/>
      </c>
      <c r="Y205">
        <f>HYPERLINK("https://klasma.github.io/Logging_0117/tillsynsmail/A 17244-2022 tillsynsbegäran mail.docx", "A 17244-2022")</f>
        <v/>
      </c>
    </row>
    <row r="206" ht="15" customHeight="1">
      <c r="A206" t="inlineStr">
        <is>
          <t>A 20185-2022</t>
        </is>
      </c>
      <c r="B206" s="1" t="n">
        <v>44698</v>
      </c>
      <c r="C206" s="1" t="n">
        <v>45661</v>
      </c>
      <c r="D206" t="inlineStr">
        <is>
          <t>STOCKHOLMS LÄN</t>
        </is>
      </c>
      <c r="E206" t="inlineStr">
        <is>
          <t>NORRTÄLJE</t>
        </is>
      </c>
      <c r="G206" t="n">
        <v>8.4</v>
      </c>
      <c r="H206" t="n">
        <v>1</v>
      </c>
      <c r="I206" t="n">
        <v>2</v>
      </c>
      <c r="J206" t="n">
        <v>0</v>
      </c>
      <c r="K206" t="n">
        <v>1</v>
      </c>
      <c r="L206" t="n">
        <v>0</v>
      </c>
      <c r="M206" t="n">
        <v>0</v>
      </c>
      <c r="N206" t="n">
        <v>0</v>
      </c>
      <c r="O206" t="n">
        <v>1</v>
      </c>
      <c r="P206" t="n">
        <v>1</v>
      </c>
      <c r="Q206" t="n">
        <v>3</v>
      </c>
      <c r="R206" s="2" t="inlineStr">
        <is>
          <t>Tallbit
Gullgröppa
Vedticka</t>
        </is>
      </c>
      <c r="S206">
        <f>HYPERLINK("https://klasma.github.io/Logging_0188/artfynd/A 20185-2022 artfynd.xlsx", "A 20185-2022")</f>
        <v/>
      </c>
      <c r="T206">
        <f>HYPERLINK("https://klasma.github.io/Logging_0188/kartor/A 20185-2022 karta.png", "A 20185-2022")</f>
        <v/>
      </c>
      <c r="V206">
        <f>HYPERLINK("https://klasma.github.io/Logging_0188/klagomål/A 20185-2022 FSC-klagomål.docx", "A 20185-2022")</f>
        <v/>
      </c>
      <c r="W206">
        <f>HYPERLINK("https://klasma.github.io/Logging_0188/klagomålsmail/A 20185-2022 FSC-klagomål mail.docx", "A 20185-2022")</f>
        <v/>
      </c>
      <c r="X206">
        <f>HYPERLINK("https://klasma.github.io/Logging_0188/tillsyn/A 20185-2022 tillsynsbegäran.docx", "A 20185-2022")</f>
        <v/>
      </c>
      <c r="Y206">
        <f>HYPERLINK("https://klasma.github.io/Logging_0188/tillsynsmail/A 20185-2022 tillsynsbegäran mail.docx", "A 20185-2022")</f>
        <v/>
      </c>
      <c r="Z206">
        <f>HYPERLINK("https://klasma.github.io/Logging_0188/fåglar/A 20185-2022 prioriterade fågelarter.docx", "A 20185-2022")</f>
        <v/>
      </c>
    </row>
    <row r="207" ht="15" customHeight="1">
      <c r="A207" t="inlineStr">
        <is>
          <t>A 28836-2022</t>
        </is>
      </c>
      <c r="B207" s="1" t="n">
        <v>44749</v>
      </c>
      <c r="C207" s="1" t="n">
        <v>45661</v>
      </c>
      <c r="D207" t="inlineStr">
        <is>
          <t>STOCKHOLMS LÄN</t>
        </is>
      </c>
      <c r="E207" t="inlineStr">
        <is>
          <t>NORRTÄLJE</t>
        </is>
      </c>
      <c r="G207" t="n">
        <v>25</v>
      </c>
      <c r="H207" t="n">
        <v>2</v>
      </c>
      <c r="I207" t="n">
        <v>0</v>
      </c>
      <c r="J207" t="n">
        <v>2</v>
      </c>
      <c r="K207" t="n">
        <v>0</v>
      </c>
      <c r="L207" t="n">
        <v>0</v>
      </c>
      <c r="M207" t="n">
        <v>0</v>
      </c>
      <c r="N207" t="n">
        <v>0</v>
      </c>
      <c r="O207" t="n">
        <v>2</v>
      </c>
      <c r="P207" t="n">
        <v>0</v>
      </c>
      <c r="Q207" t="n">
        <v>3</v>
      </c>
      <c r="R207" s="2" t="inlineStr">
        <is>
          <t>Backklöver
Svartvit flugsnappare
Skogsödla</t>
        </is>
      </c>
      <c r="S207">
        <f>HYPERLINK("https://klasma.github.io/Logging_0188/artfynd/A 28836-2022 artfynd.xlsx", "A 28836-2022")</f>
        <v/>
      </c>
      <c r="T207">
        <f>HYPERLINK("https://klasma.github.io/Logging_0188/kartor/A 28836-2022 karta.png", "A 28836-2022")</f>
        <v/>
      </c>
      <c r="V207">
        <f>HYPERLINK("https://klasma.github.io/Logging_0188/klagomål/A 28836-2022 FSC-klagomål.docx", "A 28836-2022")</f>
        <v/>
      </c>
      <c r="W207">
        <f>HYPERLINK("https://klasma.github.io/Logging_0188/klagomålsmail/A 28836-2022 FSC-klagomål mail.docx", "A 28836-2022")</f>
        <v/>
      </c>
      <c r="X207">
        <f>HYPERLINK("https://klasma.github.io/Logging_0188/tillsyn/A 28836-2022 tillsynsbegäran.docx", "A 28836-2022")</f>
        <v/>
      </c>
      <c r="Y207">
        <f>HYPERLINK("https://klasma.github.io/Logging_0188/tillsynsmail/A 28836-2022 tillsynsbegäran mail.docx", "A 28836-2022")</f>
        <v/>
      </c>
      <c r="Z207">
        <f>HYPERLINK("https://klasma.github.io/Logging_0188/fåglar/A 28836-2022 prioriterade fågelarter.docx", "A 28836-2022")</f>
        <v/>
      </c>
    </row>
    <row r="208" ht="15" customHeight="1">
      <c r="A208" t="inlineStr">
        <is>
          <t>A 45113-2022</t>
        </is>
      </c>
      <c r="B208" s="1" t="n">
        <v>44843</v>
      </c>
      <c r="C208" s="1" t="n">
        <v>45661</v>
      </c>
      <c r="D208" t="inlineStr">
        <is>
          <t>STOCKHOLMS LÄN</t>
        </is>
      </c>
      <c r="E208" t="inlineStr">
        <is>
          <t>NORRTÄLJE</t>
        </is>
      </c>
      <c r="G208" t="n">
        <v>1.7</v>
      </c>
      <c r="H208" t="n">
        <v>0</v>
      </c>
      <c r="I208" t="n">
        <v>1</v>
      </c>
      <c r="J208" t="n">
        <v>1</v>
      </c>
      <c r="K208" t="n">
        <v>1</v>
      </c>
      <c r="L208" t="n">
        <v>0</v>
      </c>
      <c r="M208" t="n">
        <v>0</v>
      </c>
      <c r="N208" t="n">
        <v>0</v>
      </c>
      <c r="O208" t="n">
        <v>2</v>
      </c>
      <c r="P208" t="n">
        <v>1</v>
      </c>
      <c r="Q208" t="n">
        <v>3</v>
      </c>
      <c r="R208" s="2" t="inlineStr">
        <is>
          <t>Violett fingersvamp
Kandelabersvamp
Slät lönnlav</t>
        </is>
      </c>
      <c r="S208">
        <f>HYPERLINK("https://klasma.github.io/Logging_0188/artfynd/A 45113-2022 artfynd.xlsx", "A 45113-2022")</f>
        <v/>
      </c>
      <c r="T208">
        <f>HYPERLINK("https://klasma.github.io/Logging_0188/kartor/A 45113-2022 karta.png", "A 45113-2022")</f>
        <v/>
      </c>
      <c r="V208">
        <f>HYPERLINK("https://klasma.github.io/Logging_0188/klagomål/A 45113-2022 FSC-klagomål.docx", "A 45113-2022")</f>
        <v/>
      </c>
      <c r="W208">
        <f>HYPERLINK("https://klasma.github.io/Logging_0188/klagomålsmail/A 45113-2022 FSC-klagomål mail.docx", "A 45113-2022")</f>
        <v/>
      </c>
      <c r="X208">
        <f>HYPERLINK("https://klasma.github.io/Logging_0188/tillsyn/A 45113-2022 tillsynsbegäran.docx", "A 45113-2022")</f>
        <v/>
      </c>
      <c r="Y208">
        <f>HYPERLINK("https://klasma.github.io/Logging_0188/tillsynsmail/A 45113-2022 tillsynsbegäran mail.docx", "A 45113-2022")</f>
        <v/>
      </c>
    </row>
    <row r="209" ht="15" customHeight="1">
      <c r="A209" t="inlineStr">
        <is>
          <t>A 48691-2022</t>
        </is>
      </c>
      <c r="B209" s="1" t="n">
        <v>44859</v>
      </c>
      <c r="C209" s="1" t="n">
        <v>45661</v>
      </c>
      <c r="D209" t="inlineStr">
        <is>
          <t>STOCKHOLMS LÄN</t>
        </is>
      </c>
      <c r="E209" t="inlineStr">
        <is>
          <t>VÄRMDÖ</t>
        </is>
      </c>
      <c r="G209" t="n">
        <v>3.6</v>
      </c>
      <c r="H209" t="n">
        <v>1</v>
      </c>
      <c r="I209" t="n">
        <v>2</v>
      </c>
      <c r="J209" t="n">
        <v>1</v>
      </c>
      <c r="K209" t="n">
        <v>0</v>
      </c>
      <c r="L209" t="n">
        <v>0</v>
      </c>
      <c r="M209" t="n">
        <v>0</v>
      </c>
      <c r="N209" t="n">
        <v>0</v>
      </c>
      <c r="O209" t="n">
        <v>1</v>
      </c>
      <c r="P209" t="n">
        <v>0</v>
      </c>
      <c r="Q209" t="n">
        <v>3</v>
      </c>
      <c r="R209" s="2" t="inlineStr">
        <is>
          <t>Havsörn
Brandticka
Skarp dropptaggsvamp</t>
        </is>
      </c>
      <c r="S209">
        <f>HYPERLINK("https://klasma.github.io/Logging_0120/artfynd/A 48691-2022 artfynd.xlsx", "A 48691-2022")</f>
        <v/>
      </c>
      <c r="T209">
        <f>HYPERLINK("https://klasma.github.io/Logging_0120/kartor/A 48691-2022 karta.png", "A 48691-2022")</f>
        <v/>
      </c>
      <c r="V209">
        <f>HYPERLINK("https://klasma.github.io/Logging_0120/klagomål/A 48691-2022 FSC-klagomål.docx", "A 48691-2022")</f>
        <v/>
      </c>
      <c r="W209">
        <f>HYPERLINK("https://klasma.github.io/Logging_0120/klagomålsmail/A 48691-2022 FSC-klagomål mail.docx", "A 48691-2022")</f>
        <v/>
      </c>
      <c r="X209">
        <f>HYPERLINK("https://klasma.github.io/Logging_0120/tillsyn/A 48691-2022 tillsynsbegäran.docx", "A 48691-2022")</f>
        <v/>
      </c>
      <c r="Y209">
        <f>HYPERLINK("https://klasma.github.io/Logging_0120/tillsynsmail/A 48691-2022 tillsynsbegäran mail.docx", "A 48691-2022")</f>
        <v/>
      </c>
      <c r="Z209">
        <f>HYPERLINK("https://klasma.github.io/Logging_0120/fåglar/A 48691-2022 prioriterade fågelarter.docx", "A 48691-2022")</f>
        <v/>
      </c>
    </row>
    <row r="210" ht="15" customHeight="1">
      <c r="A210" t="inlineStr">
        <is>
          <t>A 49680-2022</t>
        </is>
      </c>
      <c r="B210" s="1" t="n">
        <v>44862</v>
      </c>
      <c r="C210" s="1" t="n">
        <v>45661</v>
      </c>
      <c r="D210" t="inlineStr">
        <is>
          <t>STOCKHOLMS LÄN</t>
        </is>
      </c>
      <c r="E210" t="inlineStr">
        <is>
          <t>NYKVARN</t>
        </is>
      </c>
      <c r="F210" t="inlineStr">
        <is>
          <t>Allmännings- och besparingsskogar</t>
        </is>
      </c>
      <c r="G210" t="n">
        <v>2.4</v>
      </c>
      <c r="H210" t="n">
        <v>0</v>
      </c>
      <c r="I210" t="n">
        <v>1</v>
      </c>
      <c r="J210" t="n">
        <v>2</v>
      </c>
      <c r="K210" t="n">
        <v>0</v>
      </c>
      <c r="L210" t="n">
        <v>0</v>
      </c>
      <c r="M210" t="n">
        <v>0</v>
      </c>
      <c r="N210" t="n">
        <v>0</v>
      </c>
      <c r="O210" t="n">
        <v>2</v>
      </c>
      <c r="P210" t="n">
        <v>0</v>
      </c>
      <c r="Q210" t="n">
        <v>3</v>
      </c>
      <c r="R210" s="2" t="inlineStr">
        <is>
          <t>Granticka
Ullticka
Granbarkgnagare</t>
        </is>
      </c>
      <c r="S210">
        <f>HYPERLINK("https://klasma.github.io/Logging_0140/artfynd/A 49680-2022 artfynd.xlsx", "A 49680-2022")</f>
        <v/>
      </c>
      <c r="T210">
        <f>HYPERLINK("https://klasma.github.io/Logging_0140/kartor/A 49680-2022 karta.png", "A 49680-2022")</f>
        <v/>
      </c>
      <c r="V210">
        <f>HYPERLINK("https://klasma.github.io/Logging_0140/klagomål/A 49680-2022 FSC-klagomål.docx", "A 49680-2022")</f>
        <v/>
      </c>
      <c r="W210">
        <f>HYPERLINK("https://klasma.github.io/Logging_0140/klagomålsmail/A 49680-2022 FSC-klagomål mail.docx", "A 49680-2022")</f>
        <v/>
      </c>
      <c r="X210">
        <f>HYPERLINK("https://klasma.github.io/Logging_0140/tillsyn/A 49680-2022 tillsynsbegäran.docx", "A 49680-2022")</f>
        <v/>
      </c>
      <c r="Y210">
        <f>HYPERLINK("https://klasma.github.io/Logging_0140/tillsynsmail/A 49680-2022 tillsynsbegäran mail.docx", "A 49680-2022")</f>
        <v/>
      </c>
    </row>
    <row r="211" ht="15" customHeight="1">
      <c r="A211" t="inlineStr">
        <is>
          <t>A 50618-2022</t>
        </is>
      </c>
      <c r="B211" s="1" t="n">
        <v>44866</v>
      </c>
      <c r="C211" s="1" t="n">
        <v>45661</v>
      </c>
      <c r="D211" t="inlineStr">
        <is>
          <t>STOCKHOLMS LÄN</t>
        </is>
      </c>
      <c r="E211" t="inlineStr">
        <is>
          <t>NORRTÄLJE</t>
        </is>
      </c>
      <c r="G211" t="n">
        <v>7.8</v>
      </c>
      <c r="H211" t="n">
        <v>2</v>
      </c>
      <c r="I211" t="n">
        <v>2</v>
      </c>
      <c r="J211" t="n">
        <v>0</v>
      </c>
      <c r="K211" t="n">
        <v>0</v>
      </c>
      <c r="L211" t="n">
        <v>0</v>
      </c>
      <c r="M211" t="n">
        <v>0</v>
      </c>
      <c r="N211" t="n">
        <v>0</v>
      </c>
      <c r="O211" t="n">
        <v>0</v>
      </c>
      <c r="P211" t="n">
        <v>0</v>
      </c>
      <c r="Q211" t="n">
        <v>3</v>
      </c>
      <c r="R211" s="2" t="inlineStr">
        <is>
          <t>Skogsknipprot
Vårärt
Blåsippa</t>
        </is>
      </c>
      <c r="S211">
        <f>HYPERLINK("https://klasma.github.io/Logging_0188/artfynd/A 50618-2022 artfynd.xlsx", "A 50618-2022")</f>
        <v/>
      </c>
      <c r="T211">
        <f>HYPERLINK("https://klasma.github.io/Logging_0188/kartor/A 50618-2022 karta.png", "A 50618-2022")</f>
        <v/>
      </c>
      <c r="V211">
        <f>HYPERLINK("https://klasma.github.io/Logging_0188/klagomål/A 50618-2022 FSC-klagomål.docx", "A 50618-2022")</f>
        <v/>
      </c>
      <c r="W211">
        <f>HYPERLINK("https://klasma.github.io/Logging_0188/klagomålsmail/A 50618-2022 FSC-klagomål mail.docx", "A 50618-2022")</f>
        <v/>
      </c>
      <c r="X211">
        <f>HYPERLINK("https://klasma.github.io/Logging_0188/tillsyn/A 50618-2022 tillsynsbegäran.docx", "A 50618-2022")</f>
        <v/>
      </c>
      <c r="Y211">
        <f>HYPERLINK("https://klasma.github.io/Logging_0188/tillsynsmail/A 50618-2022 tillsynsbegäran mail.docx", "A 50618-2022")</f>
        <v/>
      </c>
    </row>
    <row r="212" ht="15" customHeight="1">
      <c r="A212" t="inlineStr">
        <is>
          <t>A 2851-2023</t>
        </is>
      </c>
      <c r="B212" s="1" t="n">
        <v>44945</v>
      </c>
      <c r="C212" s="1" t="n">
        <v>45661</v>
      </c>
      <c r="D212" t="inlineStr">
        <is>
          <t>STOCKHOLMS LÄN</t>
        </is>
      </c>
      <c r="E212" t="inlineStr">
        <is>
          <t>NORRTÄLJE</t>
        </is>
      </c>
      <c r="G212" t="n">
        <v>5.8</v>
      </c>
      <c r="H212" t="n">
        <v>1</v>
      </c>
      <c r="I212" t="n">
        <v>1</v>
      </c>
      <c r="J212" t="n">
        <v>2</v>
      </c>
      <c r="K212" t="n">
        <v>0</v>
      </c>
      <c r="L212" t="n">
        <v>0</v>
      </c>
      <c r="M212" t="n">
        <v>0</v>
      </c>
      <c r="N212" t="n">
        <v>0</v>
      </c>
      <c r="O212" t="n">
        <v>2</v>
      </c>
      <c r="P212" t="n">
        <v>0</v>
      </c>
      <c r="Q212" t="n">
        <v>3</v>
      </c>
      <c r="R212" s="2" t="inlineStr">
        <is>
          <t>Gulsparv
Vedflikmossa
Terpentinmossa</t>
        </is>
      </c>
      <c r="S212">
        <f>HYPERLINK("https://klasma.github.io/Logging_0188/artfynd/A 2851-2023 artfynd.xlsx", "A 2851-2023")</f>
        <v/>
      </c>
      <c r="T212">
        <f>HYPERLINK("https://klasma.github.io/Logging_0188/kartor/A 2851-2023 karta.png", "A 2851-2023")</f>
        <v/>
      </c>
      <c r="V212">
        <f>HYPERLINK("https://klasma.github.io/Logging_0188/klagomål/A 2851-2023 FSC-klagomål.docx", "A 2851-2023")</f>
        <v/>
      </c>
      <c r="W212">
        <f>HYPERLINK("https://klasma.github.io/Logging_0188/klagomålsmail/A 2851-2023 FSC-klagomål mail.docx", "A 2851-2023")</f>
        <v/>
      </c>
      <c r="X212">
        <f>HYPERLINK("https://klasma.github.io/Logging_0188/tillsyn/A 2851-2023 tillsynsbegäran.docx", "A 2851-2023")</f>
        <v/>
      </c>
      <c r="Y212">
        <f>HYPERLINK("https://klasma.github.io/Logging_0188/tillsynsmail/A 2851-2023 tillsynsbegäran mail.docx", "A 2851-2023")</f>
        <v/>
      </c>
      <c r="Z212">
        <f>HYPERLINK("https://klasma.github.io/Logging_0188/fåglar/A 2851-2023 prioriterade fågelarter.docx", "A 2851-2023")</f>
        <v/>
      </c>
    </row>
    <row r="213" ht="15" customHeight="1">
      <c r="A213" t="inlineStr">
        <is>
          <t>A 3552-2023</t>
        </is>
      </c>
      <c r="B213" s="1" t="n">
        <v>44950</v>
      </c>
      <c r="C213" s="1" t="n">
        <v>45661</v>
      </c>
      <c r="D213" t="inlineStr">
        <is>
          <t>STOCKHOLMS LÄN</t>
        </is>
      </c>
      <c r="E213" t="inlineStr">
        <is>
          <t>VALLENTUNA</t>
        </is>
      </c>
      <c r="G213" t="n">
        <v>8.800000000000001</v>
      </c>
      <c r="H213" t="n">
        <v>2</v>
      </c>
      <c r="I213" t="n">
        <v>1</v>
      </c>
      <c r="J213" t="n">
        <v>1</v>
      </c>
      <c r="K213" t="n">
        <v>0</v>
      </c>
      <c r="L213" t="n">
        <v>0</v>
      </c>
      <c r="M213" t="n">
        <v>0</v>
      </c>
      <c r="N213" t="n">
        <v>0</v>
      </c>
      <c r="O213" t="n">
        <v>1</v>
      </c>
      <c r="P213" t="n">
        <v>0</v>
      </c>
      <c r="Q213" t="n">
        <v>3</v>
      </c>
      <c r="R213" s="2" t="inlineStr">
        <is>
          <t>Kråka
Skogshakmossa
Blåsippa</t>
        </is>
      </c>
      <c r="S213">
        <f>HYPERLINK("https://klasma.github.io/Logging_0115/artfynd/A 3552-2023 artfynd.xlsx", "A 3552-2023")</f>
        <v/>
      </c>
      <c r="T213">
        <f>HYPERLINK("https://klasma.github.io/Logging_0115/kartor/A 3552-2023 karta.png", "A 3552-2023")</f>
        <v/>
      </c>
      <c r="V213">
        <f>HYPERLINK("https://klasma.github.io/Logging_0115/klagomål/A 3552-2023 FSC-klagomål.docx", "A 3552-2023")</f>
        <v/>
      </c>
      <c r="W213">
        <f>HYPERLINK("https://klasma.github.io/Logging_0115/klagomålsmail/A 3552-2023 FSC-klagomål mail.docx", "A 3552-2023")</f>
        <v/>
      </c>
      <c r="X213">
        <f>HYPERLINK("https://klasma.github.io/Logging_0115/tillsyn/A 3552-2023 tillsynsbegäran.docx", "A 3552-2023")</f>
        <v/>
      </c>
      <c r="Y213">
        <f>HYPERLINK("https://klasma.github.io/Logging_0115/tillsynsmail/A 3552-2023 tillsynsbegäran mail.docx", "A 3552-2023")</f>
        <v/>
      </c>
      <c r="Z213">
        <f>HYPERLINK("https://klasma.github.io/Logging_0115/fåglar/A 3552-2023 prioriterade fågelarter.docx", "A 3552-2023")</f>
        <v/>
      </c>
    </row>
    <row r="214" ht="15" customHeight="1">
      <c r="A214" t="inlineStr">
        <is>
          <t>A 6646-2023</t>
        </is>
      </c>
      <c r="B214" s="1" t="n">
        <v>44966</v>
      </c>
      <c r="C214" s="1" t="n">
        <v>45661</v>
      </c>
      <c r="D214" t="inlineStr">
        <is>
          <t>STOCKHOLMS LÄN</t>
        </is>
      </c>
      <c r="E214" t="inlineStr">
        <is>
          <t>HANINGE</t>
        </is>
      </c>
      <c r="G214" t="n">
        <v>6.9</v>
      </c>
      <c r="H214" t="n">
        <v>0</v>
      </c>
      <c r="I214" t="n">
        <v>2</v>
      </c>
      <c r="J214" t="n">
        <v>0</v>
      </c>
      <c r="K214" t="n">
        <v>0</v>
      </c>
      <c r="L214" t="n">
        <v>1</v>
      </c>
      <c r="M214" t="n">
        <v>0</v>
      </c>
      <c r="N214" t="n">
        <v>0</v>
      </c>
      <c r="O214" t="n">
        <v>1</v>
      </c>
      <c r="P214" t="n">
        <v>1</v>
      </c>
      <c r="Q214" t="n">
        <v>3</v>
      </c>
      <c r="R214" s="2" t="inlineStr">
        <is>
          <t>Ask
Stubbspretmossa
Tibast</t>
        </is>
      </c>
      <c r="S214">
        <f>HYPERLINK("https://klasma.github.io/Logging_0136/artfynd/A 6646-2023 artfynd.xlsx", "A 6646-2023")</f>
        <v/>
      </c>
      <c r="T214">
        <f>HYPERLINK("https://klasma.github.io/Logging_0136/kartor/A 6646-2023 karta.png", "A 6646-2023")</f>
        <v/>
      </c>
      <c r="V214">
        <f>HYPERLINK("https://klasma.github.io/Logging_0136/klagomål/A 6646-2023 FSC-klagomål.docx", "A 6646-2023")</f>
        <v/>
      </c>
      <c r="W214">
        <f>HYPERLINK("https://klasma.github.io/Logging_0136/klagomålsmail/A 6646-2023 FSC-klagomål mail.docx", "A 6646-2023")</f>
        <v/>
      </c>
      <c r="X214">
        <f>HYPERLINK("https://klasma.github.io/Logging_0136/tillsyn/A 6646-2023 tillsynsbegäran.docx", "A 6646-2023")</f>
        <v/>
      </c>
      <c r="Y214">
        <f>HYPERLINK("https://klasma.github.io/Logging_0136/tillsynsmail/A 6646-2023 tillsynsbegäran mail.docx", "A 6646-2023")</f>
        <v/>
      </c>
    </row>
    <row r="215" ht="15" customHeight="1">
      <c r="A215" t="inlineStr">
        <is>
          <t>A 13237-2023</t>
        </is>
      </c>
      <c r="B215" s="1" t="n">
        <v>45002</v>
      </c>
      <c r="C215" s="1" t="n">
        <v>45661</v>
      </c>
      <c r="D215" t="inlineStr">
        <is>
          <t>STOCKHOLMS LÄN</t>
        </is>
      </c>
      <c r="E215" t="inlineStr">
        <is>
          <t>EKERÖ</t>
        </is>
      </c>
      <c r="F215" t="inlineStr">
        <is>
          <t>Kommuner</t>
        </is>
      </c>
      <c r="G215" t="n">
        <v>9.300000000000001</v>
      </c>
      <c r="H215" t="n">
        <v>1</v>
      </c>
      <c r="I215" t="n">
        <v>1</v>
      </c>
      <c r="J215" t="n">
        <v>1</v>
      </c>
      <c r="K215" t="n">
        <v>0</v>
      </c>
      <c r="L215" t="n">
        <v>0</v>
      </c>
      <c r="M215" t="n">
        <v>0</v>
      </c>
      <c r="N215" t="n">
        <v>0</v>
      </c>
      <c r="O215" t="n">
        <v>1</v>
      </c>
      <c r="P215" t="n">
        <v>0</v>
      </c>
      <c r="Q215" t="n">
        <v>3</v>
      </c>
      <c r="R215" s="2" t="inlineStr">
        <is>
          <t>Tallticka
Granbarkgnagare
Blåsippa</t>
        </is>
      </c>
      <c r="S215">
        <f>HYPERLINK("https://klasma.github.io/Logging_0125/artfynd/A 13237-2023 artfynd.xlsx", "A 13237-2023")</f>
        <v/>
      </c>
      <c r="T215">
        <f>HYPERLINK("https://klasma.github.io/Logging_0125/kartor/A 13237-2023 karta.png", "A 13237-2023")</f>
        <v/>
      </c>
      <c r="V215">
        <f>HYPERLINK("https://klasma.github.io/Logging_0125/klagomål/A 13237-2023 FSC-klagomål.docx", "A 13237-2023")</f>
        <v/>
      </c>
      <c r="W215">
        <f>HYPERLINK("https://klasma.github.io/Logging_0125/klagomålsmail/A 13237-2023 FSC-klagomål mail.docx", "A 13237-2023")</f>
        <v/>
      </c>
      <c r="X215">
        <f>HYPERLINK("https://klasma.github.io/Logging_0125/tillsyn/A 13237-2023 tillsynsbegäran.docx", "A 13237-2023")</f>
        <v/>
      </c>
      <c r="Y215">
        <f>HYPERLINK("https://klasma.github.io/Logging_0125/tillsynsmail/A 13237-2023 tillsynsbegäran mail.docx", "A 13237-2023")</f>
        <v/>
      </c>
    </row>
    <row r="216" ht="15" customHeight="1">
      <c r="A216" t="inlineStr">
        <is>
          <t>A 15308-2023</t>
        </is>
      </c>
      <c r="B216" s="1" t="n">
        <v>45019</v>
      </c>
      <c r="C216" s="1" t="n">
        <v>45661</v>
      </c>
      <c r="D216" t="inlineStr">
        <is>
          <t>STOCKHOLMS LÄN</t>
        </is>
      </c>
      <c r="E216" t="inlineStr">
        <is>
          <t>VALLENTUNA</t>
        </is>
      </c>
      <c r="G216" t="n">
        <v>6.4</v>
      </c>
      <c r="H216" t="n">
        <v>2</v>
      </c>
      <c r="I216" t="n">
        <v>1</v>
      </c>
      <c r="J216" t="n">
        <v>0</v>
      </c>
      <c r="K216" t="n">
        <v>0</v>
      </c>
      <c r="L216" t="n">
        <v>0</v>
      </c>
      <c r="M216" t="n">
        <v>0</v>
      </c>
      <c r="N216" t="n">
        <v>0</v>
      </c>
      <c r="O216" t="n">
        <v>0</v>
      </c>
      <c r="P216" t="n">
        <v>0</v>
      </c>
      <c r="Q216" t="n">
        <v>3</v>
      </c>
      <c r="R216" s="2" t="inlineStr">
        <is>
          <t>Ögonpyrola
Fläcknycklar
Revlummer</t>
        </is>
      </c>
      <c r="S216">
        <f>HYPERLINK("https://klasma.github.io/Logging_0115/artfynd/A 15308-2023 artfynd.xlsx", "A 15308-2023")</f>
        <v/>
      </c>
      <c r="T216">
        <f>HYPERLINK("https://klasma.github.io/Logging_0115/kartor/A 15308-2023 karta.png", "A 15308-2023")</f>
        <v/>
      </c>
      <c r="V216">
        <f>HYPERLINK("https://klasma.github.io/Logging_0115/klagomål/A 15308-2023 FSC-klagomål.docx", "A 15308-2023")</f>
        <v/>
      </c>
      <c r="W216">
        <f>HYPERLINK("https://klasma.github.io/Logging_0115/klagomålsmail/A 15308-2023 FSC-klagomål mail.docx", "A 15308-2023")</f>
        <v/>
      </c>
      <c r="X216">
        <f>HYPERLINK("https://klasma.github.io/Logging_0115/tillsyn/A 15308-2023 tillsynsbegäran.docx", "A 15308-2023")</f>
        <v/>
      </c>
      <c r="Y216">
        <f>HYPERLINK("https://klasma.github.io/Logging_0115/tillsynsmail/A 15308-2023 tillsynsbegäran mail.docx", "A 15308-2023")</f>
        <v/>
      </c>
    </row>
    <row r="217" ht="15" customHeight="1">
      <c r="A217" t="inlineStr">
        <is>
          <t>A 17916-2023</t>
        </is>
      </c>
      <c r="B217" s="1" t="n">
        <v>45040</v>
      </c>
      <c r="C217" s="1" t="n">
        <v>45661</v>
      </c>
      <c r="D217" t="inlineStr">
        <is>
          <t>STOCKHOLMS LÄN</t>
        </is>
      </c>
      <c r="E217" t="inlineStr">
        <is>
          <t>NORRTÄLJE</t>
        </is>
      </c>
      <c r="G217" t="n">
        <v>9.1</v>
      </c>
      <c r="H217" t="n">
        <v>1</v>
      </c>
      <c r="I217" t="n">
        <v>2</v>
      </c>
      <c r="J217" t="n">
        <v>0</v>
      </c>
      <c r="K217" t="n">
        <v>0</v>
      </c>
      <c r="L217" t="n">
        <v>0</v>
      </c>
      <c r="M217" t="n">
        <v>0</v>
      </c>
      <c r="N217" t="n">
        <v>0</v>
      </c>
      <c r="O217" t="n">
        <v>0</v>
      </c>
      <c r="P217" t="n">
        <v>0</v>
      </c>
      <c r="Q217" t="n">
        <v>3</v>
      </c>
      <c r="R217" s="2" t="inlineStr">
        <is>
          <t>Skarp dropptaggsvamp
Sårläka
Blåsippa</t>
        </is>
      </c>
      <c r="S217">
        <f>HYPERLINK("https://klasma.github.io/Logging_0188/artfynd/A 17916-2023 artfynd.xlsx", "A 17916-2023")</f>
        <v/>
      </c>
      <c r="T217">
        <f>HYPERLINK("https://klasma.github.io/Logging_0188/kartor/A 17916-2023 karta.png", "A 17916-2023")</f>
        <v/>
      </c>
      <c r="V217">
        <f>HYPERLINK("https://klasma.github.io/Logging_0188/klagomål/A 17916-2023 FSC-klagomål.docx", "A 17916-2023")</f>
        <v/>
      </c>
      <c r="W217">
        <f>HYPERLINK("https://klasma.github.io/Logging_0188/klagomålsmail/A 17916-2023 FSC-klagomål mail.docx", "A 17916-2023")</f>
        <v/>
      </c>
      <c r="X217">
        <f>HYPERLINK("https://klasma.github.io/Logging_0188/tillsyn/A 17916-2023 tillsynsbegäran.docx", "A 17916-2023")</f>
        <v/>
      </c>
      <c r="Y217">
        <f>HYPERLINK("https://klasma.github.io/Logging_0188/tillsynsmail/A 17916-2023 tillsynsbegäran mail.docx", "A 17916-2023")</f>
        <v/>
      </c>
    </row>
    <row r="218" ht="15" customHeight="1">
      <c r="A218" t="inlineStr">
        <is>
          <t>A 32041-2023</t>
        </is>
      </c>
      <c r="B218" s="1" t="n">
        <v>45119</v>
      </c>
      <c r="C218" s="1" t="n">
        <v>45661</v>
      </c>
      <c r="D218" t="inlineStr">
        <is>
          <t>STOCKHOLMS LÄN</t>
        </is>
      </c>
      <c r="E218" t="inlineStr">
        <is>
          <t>SÖDERTÄLJE</t>
        </is>
      </c>
      <c r="F218" t="inlineStr">
        <is>
          <t>Sveaskog</t>
        </is>
      </c>
      <c r="G218" t="n">
        <v>1</v>
      </c>
      <c r="H218" t="n">
        <v>0</v>
      </c>
      <c r="I218" t="n">
        <v>0</v>
      </c>
      <c r="J218" t="n">
        <v>2</v>
      </c>
      <c r="K218" t="n">
        <v>0</v>
      </c>
      <c r="L218" t="n">
        <v>1</v>
      </c>
      <c r="M218" t="n">
        <v>0</v>
      </c>
      <c r="N218" t="n">
        <v>0</v>
      </c>
      <c r="O218" t="n">
        <v>3</v>
      </c>
      <c r="P218" t="n">
        <v>1</v>
      </c>
      <c r="Q218" t="n">
        <v>3</v>
      </c>
      <c r="R218" s="2" t="inlineStr">
        <is>
          <t>Stor bockrot
Krusfrö
Svinrot</t>
        </is>
      </c>
      <c r="S218">
        <f>HYPERLINK("https://klasma.github.io/Logging_0181/artfynd/A 32041-2023 artfynd.xlsx", "A 32041-2023")</f>
        <v/>
      </c>
      <c r="T218">
        <f>HYPERLINK("https://klasma.github.io/Logging_0181/kartor/A 32041-2023 karta.png", "A 32041-2023")</f>
        <v/>
      </c>
      <c r="V218">
        <f>HYPERLINK("https://klasma.github.io/Logging_0181/klagomål/A 32041-2023 FSC-klagomål.docx", "A 32041-2023")</f>
        <v/>
      </c>
      <c r="W218">
        <f>HYPERLINK("https://klasma.github.io/Logging_0181/klagomålsmail/A 32041-2023 FSC-klagomål mail.docx", "A 32041-2023")</f>
        <v/>
      </c>
      <c r="X218">
        <f>HYPERLINK("https://klasma.github.io/Logging_0181/tillsyn/A 32041-2023 tillsynsbegäran.docx", "A 32041-2023")</f>
        <v/>
      </c>
      <c r="Y218">
        <f>HYPERLINK("https://klasma.github.io/Logging_0181/tillsynsmail/A 32041-2023 tillsynsbegäran mail.docx", "A 32041-2023")</f>
        <v/>
      </c>
    </row>
    <row r="219" ht="15" customHeight="1">
      <c r="A219" t="inlineStr">
        <is>
          <t>A 33166-2023</t>
        </is>
      </c>
      <c r="B219" s="1" t="n">
        <v>45126</v>
      </c>
      <c r="C219" s="1" t="n">
        <v>45661</v>
      </c>
      <c r="D219" t="inlineStr">
        <is>
          <t>STOCKHOLMS LÄN</t>
        </is>
      </c>
      <c r="E219" t="inlineStr">
        <is>
          <t>VÄRMDÖ</t>
        </is>
      </c>
      <c r="G219" t="n">
        <v>3.8</v>
      </c>
      <c r="H219" t="n">
        <v>0</v>
      </c>
      <c r="I219" t="n">
        <v>0</v>
      </c>
      <c r="J219" t="n">
        <v>3</v>
      </c>
      <c r="K219" t="n">
        <v>0</v>
      </c>
      <c r="L219" t="n">
        <v>0</v>
      </c>
      <c r="M219" t="n">
        <v>0</v>
      </c>
      <c r="N219" t="n">
        <v>0</v>
      </c>
      <c r="O219" t="n">
        <v>3</v>
      </c>
      <c r="P219" t="n">
        <v>0</v>
      </c>
      <c r="Q219" t="n">
        <v>3</v>
      </c>
      <c r="R219" s="2" t="inlineStr">
        <is>
          <t>Backklöver
Gullklöver
Vippärt</t>
        </is>
      </c>
      <c r="S219">
        <f>HYPERLINK("https://klasma.github.io/Logging_0120/artfynd/A 33166-2023 artfynd.xlsx", "A 33166-2023")</f>
        <v/>
      </c>
      <c r="T219">
        <f>HYPERLINK("https://klasma.github.io/Logging_0120/kartor/A 33166-2023 karta.png", "A 33166-2023")</f>
        <v/>
      </c>
      <c r="V219">
        <f>HYPERLINK("https://klasma.github.io/Logging_0120/klagomål/A 33166-2023 FSC-klagomål.docx", "A 33166-2023")</f>
        <v/>
      </c>
      <c r="W219">
        <f>HYPERLINK("https://klasma.github.io/Logging_0120/klagomålsmail/A 33166-2023 FSC-klagomål mail.docx", "A 33166-2023")</f>
        <v/>
      </c>
      <c r="X219">
        <f>HYPERLINK("https://klasma.github.io/Logging_0120/tillsyn/A 33166-2023 tillsynsbegäran.docx", "A 33166-2023")</f>
        <v/>
      </c>
      <c r="Y219">
        <f>HYPERLINK("https://klasma.github.io/Logging_0120/tillsynsmail/A 33166-2023 tillsynsbegäran mail.docx", "A 33166-2023")</f>
        <v/>
      </c>
    </row>
    <row r="220" ht="15" customHeight="1">
      <c r="A220" t="inlineStr">
        <is>
          <t>A 36662-2023</t>
        </is>
      </c>
      <c r="B220" s="1" t="n">
        <v>45153</v>
      </c>
      <c r="C220" s="1" t="n">
        <v>45661</v>
      </c>
      <c r="D220" t="inlineStr">
        <is>
          <t>STOCKHOLMS LÄN</t>
        </is>
      </c>
      <c r="E220" t="inlineStr">
        <is>
          <t>NORRTÄLJE</t>
        </is>
      </c>
      <c r="G220" t="n">
        <v>3.1</v>
      </c>
      <c r="H220" t="n">
        <v>1</v>
      </c>
      <c r="I220" t="n">
        <v>2</v>
      </c>
      <c r="J220" t="n">
        <v>1</v>
      </c>
      <c r="K220" t="n">
        <v>0</v>
      </c>
      <c r="L220" t="n">
        <v>0</v>
      </c>
      <c r="M220" t="n">
        <v>0</v>
      </c>
      <c r="N220" t="n">
        <v>0</v>
      </c>
      <c r="O220" t="n">
        <v>1</v>
      </c>
      <c r="P220" t="n">
        <v>0</v>
      </c>
      <c r="Q220" t="n">
        <v>3</v>
      </c>
      <c r="R220" s="2" t="inlineStr">
        <is>
          <t>Svartvit taggsvamp
Skogsknipprot
Svavelriska</t>
        </is>
      </c>
      <c r="S220">
        <f>HYPERLINK("https://klasma.github.io/Logging_0188/artfynd/A 36662-2023 artfynd.xlsx", "A 36662-2023")</f>
        <v/>
      </c>
      <c r="T220">
        <f>HYPERLINK("https://klasma.github.io/Logging_0188/kartor/A 36662-2023 karta.png", "A 36662-2023")</f>
        <v/>
      </c>
      <c r="V220">
        <f>HYPERLINK("https://klasma.github.io/Logging_0188/klagomål/A 36662-2023 FSC-klagomål.docx", "A 36662-2023")</f>
        <v/>
      </c>
      <c r="W220">
        <f>HYPERLINK("https://klasma.github.io/Logging_0188/klagomålsmail/A 36662-2023 FSC-klagomål mail.docx", "A 36662-2023")</f>
        <v/>
      </c>
      <c r="X220">
        <f>HYPERLINK("https://klasma.github.io/Logging_0188/tillsyn/A 36662-2023 tillsynsbegäran.docx", "A 36662-2023")</f>
        <v/>
      </c>
      <c r="Y220">
        <f>HYPERLINK("https://klasma.github.io/Logging_0188/tillsynsmail/A 36662-2023 tillsynsbegäran mail.docx", "A 36662-2023")</f>
        <v/>
      </c>
    </row>
    <row r="221" ht="15" customHeight="1">
      <c r="A221" t="inlineStr">
        <is>
          <t>A 37456-2023</t>
        </is>
      </c>
      <c r="B221" s="1" t="n">
        <v>45156</v>
      </c>
      <c r="C221" s="1" t="n">
        <v>45661</v>
      </c>
      <c r="D221" t="inlineStr">
        <is>
          <t>STOCKHOLMS LÄN</t>
        </is>
      </c>
      <c r="E221" t="inlineStr">
        <is>
          <t>VALLENTUNA</t>
        </is>
      </c>
      <c r="F221" t="inlineStr">
        <is>
          <t>Övriga Aktiebolag</t>
        </is>
      </c>
      <c r="G221" t="n">
        <v>3.3</v>
      </c>
      <c r="H221" t="n">
        <v>1</v>
      </c>
      <c r="I221" t="n">
        <v>2</v>
      </c>
      <c r="J221" t="n">
        <v>0</v>
      </c>
      <c r="K221" t="n">
        <v>0</v>
      </c>
      <c r="L221" t="n">
        <v>0</v>
      </c>
      <c r="M221" t="n">
        <v>0</v>
      </c>
      <c r="N221" t="n">
        <v>0</v>
      </c>
      <c r="O221" t="n">
        <v>0</v>
      </c>
      <c r="P221" t="n">
        <v>0</v>
      </c>
      <c r="Q221" t="n">
        <v>3</v>
      </c>
      <c r="R221" s="2" t="inlineStr">
        <is>
          <t>Skarp dropptaggsvamp
Tjockfotad fingersvamp
Blåsippa</t>
        </is>
      </c>
      <c r="S221">
        <f>HYPERLINK("https://klasma.github.io/Logging_0115/artfynd/A 37456-2023 artfynd.xlsx", "A 37456-2023")</f>
        <v/>
      </c>
      <c r="T221">
        <f>HYPERLINK("https://klasma.github.io/Logging_0115/kartor/A 37456-2023 karta.png", "A 37456-2023")</f>
        <v/>
      </c>
      <c r="V221">
        <f>HYPERLINK("https://klasma.github.io/Logging_0115/klagomål/A 37456-2023 FSC-klagomål.docx", "A 37456-2023")</f>
        <v/>
      </c>
      <c r="W221">
        <f>HYPERLINK("https://klasma.github.io/Logging_0115/klagomålsmail/A 37456-2023 FSC-klagomål mail.docx", "A 37456-2023")</f>
        <v/>
      </c>
      <c r="X221">
        <f>HYPERLINK("https://klasma.github.io/Logging_0115/tillsyn/A 37456-2023 tillsynsbegäran.docx", "A 37456-2023")</f>
        <v/>
      </c>
      <c r="Y221">
        <f>HYPERLINK("https://klasma.github.io/Logging_0115/tillsynsmail/A 37456-2023 tillsynsbegäran mail.docx", "A 37456-2023")</f>
        <v/>
      </c>
    </row>
    <row r="222" ht="15" customHeight="1">
      <c r="A222" t="inlineStr">
        <is>
          <t>A 43304-2023</t>
        </is>
      </c>
      <c r="B222" s="1" t="n">
        <v>45183</v>
      </c>
      <c r="C222" s="1" t="n">
        <v>45661</v>
      </c>
      <c r="D222" t="inlineStr">
        <is>
          <t>STOCKHOLMS LÄN</t>
        </is>
      </c>
      <c r="E222" t="inlineStr">
        <is>
          <t>NORRTÄLJE</t>
        </is>
      </c>
      <c r="G222" t="n">
        <v>1.5</v>
      </c>
      <c r="H222" t="n">
        <v>0</v>
      </c>
      <c r="I222" t="n">
        <v>0</v>
      </c>
      <c r="J222" t="n">
        <v>2</v>
      </c>
      <c r="K222" t="n">
        <v>1</v>
      </c>
      <c r="L222" t="n">
        <v>0</v>
      </c>
      <c r="M222" t="n">
        <v>0</v>
      </c>
      <c r="N222" t="n">
        <v>0</v>
      </c>
      <c r="O222" t="n">
        <v>3</v>
      </c>
      <c r="P222" t="n">
        <v>1</v>
      </c>
      <c r="Q222" t="n">
        <v>3</v>
      </c>
      <c r="R222" s="2" t="inlineStr">
        <is>
          <t>Spricktaggsvamp
Kungsspindling
Persiljespindling</t>
        </is>
      </c>
      <c r="S222">
        <f>HYPERLINK("https://klasma.github.io/Logging_0188/artfynd/A 43304-2023 artfynd.xlsx", "A 43304-2023")</f>
        <v/>
      </c>
      <c r="T222">
        <f>HYPERLINK("https://klasma.github.io/Logging_0188/kartor/A 43304-2023 karta.png", "A 43304-2023")</f>
        <v/>
      </c>
      <c r="V222">
        <f>HYPERLINK("https://klasma.github.io/Logging_0188/klagomål/A 43304-2023 FSC-klagomål.docx", "A 43304-2023")</f>
        <v/>
      </c>
      <c r="W222">
        <f>HYPERLINK("https://klasma.github.io/Logging_0188/klagomålsmail/A 43304-2023 FSC-klagomål mail.docx", "A 43304-2023")</f>
        <v/>
      </c>
      <c r="X222">
        <f>HYPERLINK("https://klasma.github.io/Logging_0188/tillsyn/A 43304-2023 tillsynsbegäran.docx", "A 43304-2023")</f>
        <v/>
      </c>
      <c r="Y222">
        <f>HYPERLINK("https://klasma.github.io/Logging_0188/tillsynsmail/A 43304-2023 tillsynsbegäran mail.docx", "A 43304-2023")</f>
        <v/>
      </c>
    </row>
    <row r="223" ht="15" customHeight="1">
      <c r="A223" t="inlineStr">
        <is>
          <t>A 47707-2023</t>
        </is>
      </c>
      <c r="B223" s="1" t="n">
        <v>45203</v>
      </c>
      <c r="C223" s="1" t="n">
        <v>45661</v>
      </c>
      <c r="D223" t="inlineStr">
        <is>
          <t>STOCKHOLMS LÄN</t>
        </is>
      </c>
      <c r="E223" t="inlineStr">
        <is>
          <t>HANINGE</t>
        </is>
      </c>
      <c r="G223" t="n">
        <v>1.4</v>
      </c>
      <c r="H223" t="n">
        <v>0</v>
      </c>
      <c r="I223" t="n">
        <v>2</v>
      </c>
      <c r="J223" t="n">
        <v>1</v>
      </c>
      <c r="K223" t="n">
        <v>0</v>
      </c>
      <c r="L223" t="n">
        <v>0</v>
      </c>
      <c r="M223" t="n">
        <v>0</v>
      </c>
      <c r="N223" t="n">
        <v>0</v>
      </c>
      <c r="O223" t="n">
        <v>1</v>
      </c>
      <c r="P223" t="n">
        <v>0</v>
      </c>
      <c r="Q223" t="n">
        <v>3</v>
      </c>
      <c r="R223" s="2" t="inlineStr">
        <is>
          <t>Motaggsvamp
Granbarkgnagare
Stubbspretmossa</t>
        </is>
      </c>
      <c r="S223">
        <f>HYPERLINK("https://klasma.github.io/Logging_0136/artfynd/A 47707-2023 artfynd.xlsx", "A 47707-2023")</f>
        <v/>
      </c>
      <c r="T223">
        <f>HYPERLINK("https://klasma.github.io/Logging_0136/kartor/A 47707-2023 karta.png", "A 47707-2023")</f>
        <v/>
      </c>
      <c r="V223">
        <f>HYPERLINK("https://klasma.github.io/Logging_0136/klagomål/A 47707-2023 FSC-klagomål.docx", "A 47707-2023")</f>
        <v/>
      </c>
      <c r="W223">
        <f>HYPERLINK("https://klasma.github.io/Logging_0136/klagomålsmail/A 47707-2023 FSC-klagomål mail.docx", "A 47707-2023")</f>
        <v/>
      </c>
      <c r="X223">
        <f>HYPERLINK("https://klasma.github.io/Logging_0136/tillsyn/A 47707-2023 tillsynsbegäran.docx", "A 47707-2023")</f>
        <v/>
      </c>
      <c r="Y223">
        <f>HYPERLINK("https://klasma.github.io/Logging_0136/tillsynsmail/A 47707-2023 tillsynsbegäran mail.docx", "A 47707-2023")</f>
        <v/>
      </c>
    </row>
    <row r="224" ht="15" customHeight="1">
      <c r="A224" t="inlineStr">
        <is>
          <t>A 52011-2023</t>
        </is>
      </c>
      <c r="B224" s="1" t="n">
        <v>45223</v>
      </c>
      <c r="C224" s="1" t="n">
        <v>45661</v>
      </c>
      <c r="D224" t="inlineStr">
        <is>
          <t>STOCKHOLMS LÄN</t>
        </is>
      </c>
      <c r="E224" t="inlineStr">
        <is>
          <t>NORRTÄLJE</t>
        </is>
      </c>
      <c r="F224" t="inlineStr">
        <is>
          <t>Övriga Aktiebolag</t>
        </is>
      </c>
      <c r="G224" t="n">
        <v>16.6</v>
      </c>
      <c r="H224" t="n">
        <v>0</v>
      </c>
      <c r="I224" t="n">
        <v>2</v>
      </c>
      <c r="J224" t="n">
        <v>1</v>
      </c>
      <c r="K224" t="n">
        <v>0</v>
      </c>
      <c r="L224" t="n">
        <v>0</v>
      </c>
      <c r="M224" t="n">
        <v>0</v>
      </c>
      <c r="N224" t="n">
        <v>0</v>
      </c>
      <c r="O224" t="n">
        <v>1</v>
      </c>
      <c r="P224" t="n">
        <v>0</v>
      </c>
      <c r="Q224" t="n">
        <v>3</v>
      </c>
      <c r="R224" s="2" t="inlineStr">
        <is>
          <t>Vedtrappmossa
Mörk husmossa
Skogshakmossa</t>
        </is>
      </c>
      <c r="S224">
        <f>HYPERLINK("https://klasma.github.io/Logging_0188/artfynd/A 52011-2023 artfynd.xlsx", "A 52011-2023")</f>
        <v/>
      </c>
      <c r="T224">
        <f>HYPERLINK("https://klasma.github.io/Logging_0188/kartor/A 52011-2023 karta.png", "A 52011-2023")</f>
        <v/>
      </c>
      <c r="V224">
        <f>HYPERLINK("https://klasma.github.io/Logging_0188/klagomål/A 52011-2023 FSC-klagomål.docx", "A 52011-2023")</f>
        <v/>
      </c>
      <c r="W224">
        <f>HYPERLINK("https://klasma.github.io/Logging_0188/klagomålsmail/A 52011-2023 FSC-klagomål mail.docx", "A 52011-2023")</f>
        <v/>
      </c>
      <c r="X224">
        <f>HYPERLINK("https://klasma.github.io/Logging_0188/tillsyn/A 52011-2023 tillsynsbegäran.docx", "A 52011-2023")</f>
        <v/>
      </c>
      <c r="Y224">
        <f>HYPERLINK("https://klasma.github.io/Logging_0188/tillsynsmail/A 52011-2023 tillsynsbegäran mail.docx", "A 52011-2023")</f>
        <v/>
      </c>
    </row>
    <row r="225" ht="15" customHeight="1">
      <c r="A225" t="inlineStr">
        <is>
          <t>A 53714-2023</t>
        </is>
      </c>
      <c r="B225" s="1" t="n">
        <v>45230</v>
      </c>
      <c r="C225" s="1" t="n">
        <v>45661</v>
      </c>
      <c r="D225" t="inlineStr">
        <is>
          <t>STOCKHOLMS LÄN</t>
        </is>
      </c>
      <c r="E225" t="inlineStr">
        <is>
          <t>HANINGE</t>
        </is>
      </c>
      <c r="G225" t="n">
        <v>7.7</v>
      </c>
      <c r="H225" t="n">
        <v>0</v>
      </c>
      <c r="I225" t="n">
        <v>3</v>
      </c>
      <c r="J225" t="n">
        <v>0</v>
      </c>
      <c r="K225" t="n">
        <v>0</v>
      </c>
      <c r="L225" t="n">
        <v>0</v>
      </c>
      <c r="M225" t="n">
        <v>0</v>
      </c>
      <c r="N225" t="n">
        <v>0</v>
      </c>
      <c r="O225" t="n">
        <v>0</v>
      </c>
      <c r="P225" t="n">
        <v>0</v>
      </c>
      <c r="Q225" t="n">
        <v>3</v>
      </c>
      <c r="R225" s="2" t="inlineStr">
        <is>
          <t>Guldlockmossa
Platt fjädermossa
Trubbfjädermossa</t>
        </is>
      </c>
      <c r="S225">
        <f>HYPERLINK("https://klasma.github.io/Logging_0136/artfynd/A 53714-2023 artfynd.xlsx", "A 53714-2023")</f>
        <v/>
      </c>
      <c r="T225">
        <f>HYPERLINK("https://klasma.github.io/Logging_0136/kartor/A 53714-2023 karta.png", "A 53714-2023")</f>
        <v/>
      </c>
      <c r="V225">
        <f>HYPERLINK("https://klasma.github.io/Logging_0136/klagomål/A 53714-2023 FSC-klagomål.docx", "A 53714-2023")</f>
        <v/>
      </c>
      <c r="W225">
        <f>HYPERLINK("https://klasma.github.io/Logging_0136/klagomålsmail/A 53714-2023 FSC-klagomål mail.docx", "A 53714-2023")</f>
        <v/>
      </c>
      <c r="X225">
        <f>HYPERLINK("https://klasma.github.io/Logging_0136/tillsyn/A 53714-2023 tillsynsbegäran.docx", "A 53714-2023")</f>
        <v/>
      </c>
      <c r="Y225">
        <f>HYPERLINK("https://klasma.github.io/Logging_0136/tillsynsmail/A 53714-2023 tillsynsbegäran mail.docx", "A 53714-2023")</f>
        <v/>
      </c>
    </row>
    <row r="226" ht="15" customHeight="1">
      <c r="A226" t="inlineStr">
        <is>
          <t>A 63913-2023</t>
        </is>
      </c>
      <c r="B226" s="1" t="n">
        <v>45278</v>
      </c>
      <c r="C226" s="1" t="n">
        <v>45661</v>
      </c>
      <c r="D226" t="inlineStr">
        <is>
          <t>STOCKHOLMS LÄN</t>
        </is>
      </c>
      <c r="E226" t="inlineStr">
        <is>
          <t>ÖSTERÅKER</t>
        </is>
      </c>
      <c r="G226" t="n">
        <v>16.8</v>
      </c>
      <c r="H226" t="n">
        <v>2</v>
      </c>
      <c r="I226" t="n">
        <v>2</v>
      </c>
      <c r="J226" t="n">
        <v>0</v>
      </c>
      <c r="K226" t="n">
        <v>0</v>
      </c>
      <c r="L226" t="n">
        <v>0</v>
      </c>
      <c r="M226" t="n">
        <v>0</v>
      </c>
      <c r="N226" t="n">
        <v>0</v>
      </c>
      <c r="O226" t="n">
        <v>0</v>
      </c>
      <c r="P226" t="n">
        <v>0</v>
      </c>
      <c r="Q226" t="n">
        <v>3</v>
      </c>
      <c r="R226" s="2" t="inlineStr">
        <is>
          <t>Skogsknipprot
Vårärt
Blåsippa</t>
        </is>
      </c>
      <c r="S226">
        <f>HYPERLINK("https://klasma.github.io/Logging_0117/artfynd/A 63913-2023 artfynd.xlsx", "A 63913-2023")</f>
        <v/>
      </c>
      <c r="T226">
        <f>HYPERLINK("https://klasma.github.io/Logging_0117/kartor/A 63913-2023 karta.png", "A 63913-2023")</f>
        <v/>
      </c>
      <c r="V226">
        <f>HYPERLINK("https://klasma.github.io/Logging_0117/klagomål/A 63913-2023 FSC-klagomål.docx", "A 63913-2023")</f>
        <v/>
      </c>
      <c r="W226">
        <f>HYPERLINK("https://klasma.github.io/Logging_0117/klagomålsmail/A 63913-2023 FSC-klagomål mail.docx", "A 63913-2023")</f>
        <v/>
      </c>
      <c r="X226">
        <f>HYPERLINK("https://klasma.github.io/Logging_0117/tillsyn/A 63913-2023 tillsynsbegäran.docx", "A 63913-2023")</f>
        <v/>
      </c>
      <c r="Y226">
        <f>HYPERLINK("https://klasma.github.io/Logging_0117/tillsynsmail/A 63913-2023 tillsynsbegäran mail.docx", "A 63913-2023")</f>
        <v/>
      </c>
    </row>
    <row r="227" ht="15" customHeight="1">
      <c r="A227" t="inlineStr">
        <is>
          <t>A 13571-2024</t>
        </is>
      </c>
      <c r="B227" s="1" t="n">
        <v>45389</v>
      </c>
      <c r="C227" s="1" t="n">
        <v>45661</v>
      </c>
      <c r="D227" t="inlineStr">
        <is>
          <t>STOCKHOLMS LÄN</t>
        </is>
      </c>
      <c r="E227" t="inlineStr">
        <is>
          <t>VALLENTUNA</t>
        </is>
      </c>
      <c r="G227" t="n">
        <v>21.7</v>
      </c>
      <c r="H227" t="n">
        <v>1</v>
      </c>
      <c r="I227" t="n">
        <v>1</v>
      </c>
      <c r="J227" t="n">
        <v>1</v>
      </c>
      <c r="K227" t="n">
        <v>0</v>
      </c>
      <c r="L227" t="n">
        <v>0</v>
      </c>
      <c r="M227" t="n">
        <v>0</v>
      </c>
      <c r="N227" t="n">
        <v>0</v>
      </c>
      <c r="O227" t="n">
        <v>1</v>
      </c>
      <c r="P227" t="n">
        <v>0</v>
      </c>
      <c r="Q227" t="n">
        <v>3</v>
      </c>
      <c r="R227" s="2" t="inlineStr">
        <is>
          <t>Vedskivlav
Vedticka
Tjäder</t>
        </is>
      </c>
      <c r="S227">
        <f>HYPERLINK("https://klasma.github.io/Logging_0115/artfynd/A 13571-2024 artfynd.xlsx", "A 13571-2024")</f>
        <v/>
      </c>
      <c r="T227">
        <f>HYPERLINK("https://klasma.github.io/Logging_0115/kartor/A 13571-2024 karta.png", "A 13571-2024")</f>
        <v/>
      </c>
      <c r="V227">
        <f>HYPERLINK("https://klasma.github.io/Logging_0115/klagomål/A 13571-2024 FSC-klagomål.docx", "A 13571-2024")</f>
        <v/>
      </c>
      <c r="W227">
        <f>HYPERLINK("https://klasma.github.io/Logging_0115/klagomålsmail/A 13571-2024 FSC-klagomål mail.docx", "A 13571-2024")</f>
        <v/>
      </c>
      <c r="X227">
        <f>HYPERLINK("https://klasma.github.io/Logging_0115/tillsyn/A 13571-2024 tillsynsbegäran.docx", "A 13571-2024")</f>
        <v/>
      </c>
      <c r="Y227">
        <f>HYPERLINK("https://klasma.github.io/Logging_0115/tillsynsmail/A 13571-2024 tillsynsbegäran mail.docx", "A 13571-2024")</f>
        <v/>
      </c>
      <c r="Z227">
        <f>HYPERLINK("https://klasma.github.io/Logging_0115/fåglar/A 13571-2024 prioriterade fågelarter.docx", "A 13571-2024")</f>
        <v/>
      </c>
    </row>
    <row r="228" ht="15" customHeight="1">
      <c r="A228" t="inlineStr">
        <is>
          <t>A 18451-2024</t>
        </is>
      </c>
      <c r="B228" s="1" t="n">
        <v>45425</v>
      </c>
      <c r="C228" s="1" t="n">
        <v>45661</v>
      </c>
      <c r="D228" t="inlineStr">
        <is>
          <t>STOCKHOLMS LÄN</t>
        </is>
      </c>
      <c r="E228" t="inlineStr">
        <is>
          <t>SIGTUNA</t>
        </is>
      </c>
      <c r="G228" t="n">
        <v>6.4</v>
      </c>
      <c r="H228" t="n">
        <v>3</v>
      </c>
      <c r="I228" t="n">
        <v>0</v>
      </c>
      <c r="J228" t="n">
        <v>1</v>
      </c>
      <c r="K228" t="n">
        <v>0</v>
      </c>
      <c r="L228" t="n">
        <v>0</v>
      </c>
      <c r="M228" t="n">
        <v>0</v>
      </c>
      <c r="N228" t="n">
        <v>0</v>
      </c>
      <c r="O228" t="n">
        <v>1</v>
      </c>
      <c r="P228" t="n">
        <v>0</v>
      </c>
      <c r="Q228" t="n">
        <v>3</v>
      </c>
      <c r="R228" s="2" t="inlineStr">
        <is>
          <t>Spillkråka
Kungsfågel
Blåsippa</t>
        </is>
      </c>
      <c r="S228">
        <f>HYPERLINK("https://klasma.github.io/Logging_0191/artfynd/A 18451-2024 artfynd.xlsx", "A 18451-2024")</f>
        <v/>
      </c>
      <c r="T228">
        <f>HYPERLINK("https://klasma.github.io/Logging_0191/kartor/A 18451-2024 karta.png", "A 18451-2024")</f>
        <v/>
      </c>
      <c r="V228">
        <f>HYPERLINK("https://klasma.github.io/Logging_0191/klagomål/A 18451-2024 FSC-klagomål.docx", "A 18451-2024")</f>
        <v/>
      </c>
      <c r="W228">
        <f>HYPERLINK("https://klasma.github.io/Logging_0191/klagomålsmail/A 18451-2024 FSC-klagomål mail.docx", "A 18451-2024")</f>
        <v/>
      </c>
      <c r="X228">
        <f>HYPERLINK("https://klasma.github.io/Logging_0191/tillsyn/A 18451-2024 tillsynsbegäran.docx", "A 18451-2024")</f>
        <v/>
      </c>
      <c r="Y228">
        <f>HYPERLINK("https://klasma.github.io/Logging_0191/tillsynsmail/A 18451-2024 tillsynsbegäran mail.docx", "A 18451-2024")</f>
        <v/>
      </c>
      <c r="Z228">
        <f>HYPERLINK("https://klasma.github.io/Logging_0191/fåglar/A 18451-2024 prioriterade fågelarter.docx", "A 18451-2024")</f>
        <v/>
      </c>
    </row>
    <row r="229" ht="15" customHeight="1">
      <c r="A229" t="inlineStr">
        <is>
          <t>A 21978-2024</t>
        </is>
      </c>
      <c r="B229" s="1" t="n">
        <v>45443</v>
      </c>
      <c r="C229" s="1" t="n">
        <v>45661</v>
      </c>
      <c r="D229" t="inlineStr">
        <is>
          <t>STOCKHOLMS LÄN</t>
        </is>
      </c>
      <c r="E229" t="inlineStr">
        <is>
          <t>HANINGE</t>
        </is>
      </c>
      <c r="G229" t="n">
        <v>12.4</v>
      </c>
      <c r="H229" t="n">
        <v>2</v>
      </c>
      <c r="I229" t="n">
        <v>1</v>
      </c>
      <c r="J229" t="n">
        <v>1</v>
      </c>
      <c r="K229" t="n">
        <v>0</v>
      </c>
      <c r="L229" t="n">
        <v>0</v>
      </c>
      <c r="M229" t="n">
        <v>0</v>
      </c>
      <c r="N229" t="n">
        <v>0</v>
      </c>
      <c r="O229" t="n">
        <v>1</v>
      </c>
      <c r="P229" t="n">
        <v>0</v>
      </c>
      <c r="Q229" t="n">
        <v>3</v>
      </c>
      <c r="R229" s="2" t="inlineStr">
        <is>
          <t>Granticka
Grön sköldmossa
Vanlig snok</t>
        </is>
      </c>
      <c r="S229">
        <f>HYPERLINK("https://klasma.github.io/Logging_0136/artfynd/A 21978-2024 artfynd.xlsx", "A 21978-2024")</f>
        <v/>
      </c>
      <c r="T229">
        <f>HYPERLINK("https://klasma.github.io/Logging_0136/kartor/A 21978-2024 karta.png", "A 21978-2024")</f>
        <v/>
      </c>
      <c r="V229">
        <f>HYPERLINK("https://klasma.github.io/Logging_0136/klagomål/A 21978-2024 FSC-klagomål.docx", "A 21978-2024")</f>
        <v/>
      </c>
      <c r="W229">
        <f>HYPERLINK("https://klasma.github.io/Logging_0136/klagomålsmail/A 21978-2024 FSC-klagomål mail.docx", "A 21978-2024")</f>
        <v/>
      </c>
      <c r="X229">
        <f>HYPERLINK("https://klasma.github.io/Logging_0136/tillsyn/A 21978-2024 tillsynsbegäran.docx", "A 21978-2024")</f>
        <v/>
      </c>
      <c r="Y229">
        <f>HYPERLINK("https://klasma.github.io/Logging_0136/tillsynsmail/A 21978-2024 tillsynsbegäran mail.docx", "A 21978-2024")</f>
        <v/>
      </c>
    </row>
    <row r="230" ht="15" customHeight="1">
      <c r="A230" t="inlineStr">
        <is>
          <t>A 38429-2024</t>
        </is>
      </c>
      <c r="B230" s="1" t="n">
        <v>45546</v>
      </c>
      <c r="C230" s="1" t="n">
        <v>45661</v>
      </c>
      <c r="D230" t="inlineStr">
        <is>
          <t>STOCKHOLMS LÄN</t>
        </is>
      </c>
      <c r="E230" t="inlineStr">
        <is>
          <t>BOTKYRKA</t>
        </is>
      </c>
      <c r="G230" t="n">
        <v>3.2</v>
      </c>
      <c r="H230" t="n">
        <v>3</v>
      </c>
      <c r="I230" t="n">
        <v>0</v>
      </c>
      <c r="J230" t="n">
        <v>2</v>
      </c>
      <c r="K230" t="n">
        <v>0</v>
      </c>
      <c r="L230" t="n">
        <v>0</v>
      </c>
      <c r="M230" t="n">
        <v>0</v>
      </c>
      <c r="N230" t="n">
        <v>0</v>
      </c>
      <c r="O230" t="n">
        <v>2</v>
      </c>
      <c r="P230" t="n">
        <v>0</v>
      </c>
      <c r="Q230" t="n">
        <v>3</v>
      </c>
      <c r="R230" s="2" t="inlineStr">
        <is>
          <t>Duvhök
Spillkråka
Mattlummer</t>
        </is>
      </c>
      <c r="S230">
        <f>HYPERLINK("https://klasma.github.io/Logging_0127/artfynd/A 38429-2024 artfynd.xlsx", "A 38429-2024")</f>
        <v/>
      </c>
      <c r="T230">
        <f>HYPERLINK("https://klasma.github.io/Logging_0127/kartor/A 38429-2024 karta.png", "A 38429-2024")</f>
        <v/>
      </c>
      <c r="V230">
        <f>HYPERLINK("https://klasma.github.io/Logging_0127/klagomål/A 38429-2024 FSC-klagomål.docx", "A 38429-2024")</f>
        <v/>
      </c>
      <c r="W230">
        <f>HYPERLINK("https://klasma.github.io/Logging_0127/klagomålsmail/A 38429-2024 FSC-klagomål mail.docx", "A 38429-2024")</f>
        <v/>
      </c>
      <c r="X230">
        <f>HYPERLINK("https://klasma.github.io/Logging_0127/tillsyn/A 38429-2024 tillsynsbegäran.docx", "A 38429-2024")</f>
        <v/>
      </c>
      <c r="Y230">
        <f>HYPERLINK("https://klasma.github.io/Logging_0127/tillsynsmail/A 38429-2024 tillsynsbegäran mail.docx", "A 38429-2024")</f>
        <v/>
      </c>
      <c r="Z230">
        <f>HYPERLINK("https://klasma.github.io/Logging_0127/fåglar/A 38429-2024 prioriterade fågelarter.docx", "A 38429-2024")</f>
        <v/>
      </c>
    </row>
    <row r="231" ht="15" customHeight="1">
      <c r="A231" t="inlineStr">
        <is>
          <t>A 48266-2024</t>
        </is>
      </c>
      <c r="B231" s="1" t="n">
        <v>45590</v>
      </c>
      <c r="C231" s="1" t="n">
        <v>45661</v>
      </c>
      <c r="D231" t="inlineStr">
        <is>
          <t>STOCKHOLMS LÄN</t>
        </is>
      </c>
      <c r="E231" t="inlineStr">
        <is>
          <t>BOTKYRKA</t>
        </is>
      </c>
      <c r="G231" t="n">
        <v>1.6</v>
      </c>
      <c r="H231" t="n">
        <v>1</v>
      </c>
      <c r="I231" t="n">
        <v>0</v>
      </c>
      <c r="J231" t="n">
        <v>2</v>
      </c>
      <c r="K231" t="n">
        <v>1</v>
      </c>
      <c r="L231" t="n">
        <v>0</v>
      </c>
      <c r="M231" t="n">
        <v>0</v>
      </c>
      <c r="N231" t="n">
        <v>0</v>
      </c>
      <c r="O231" t="n">
        <v>3</v>
      </c>
      <c r="P231" t="n">
        <v>1</v>
      </c>
      <c r="Q231" t="n">
        <v>3</v>
      </c>
      <c r="R231" s="2" t="inlineStr">
        <is>
          <t>Brandtaggsvamp
Fyrflikig jordstjärna
Spillkråka</t>
        </is>
      </c>
      <c r="S231">
        <f>HYPERLINK("https://klasma.github.io/Logging_0127/artfynd/A 48266-2024 artfynd.xlsx", "A 48266-2024")</f>
        <v/>
      </c>
      <c r="T231">
        <f>HYPERLINK("https://klasma.github.io/Logging_0127/kartor/A 48266-2024 karta.png", "A 48266-2024")</f>
        <v/>
      </c>
      <c r="V231">
        <f>HYPERLINK("https://klasma.github.io/Logging_0127/klagomål/A 48266-2024 FSC-klagomål.docx", "A 48266-2024")</f>
        <v/>
      </c>
      <c r="W231">
        <f>HYPERLINK("https://klasma.github.io/Logging_0127/klagomålsmail/A 48266-2024 FSC-klagomål mail.docx", "A 48266-2024")</f>
        <v/>
      </c>
      <c r="X231">
        <f>HYPERLINK("https://klasma.github.io/Logging_0127/tillsyn/A 48266-2024 tillsynsbegäran.docx", "A 48266-2024")</f>
        <v/>
      </c>
      <c r="Y231">
        <f>HYPERLINK("https://klasma.github.io/Logging_0127/tillsynsmail/A 48266-2024 tillsynsbegäran mail.docx", "A 48266-2024")</f>
        <v/>
      </c>
      <c r="Z231">
        <f>HYPERLINK("https://klasma.github.io/Logging_0127/fåglar/A 48266-2024 prioriterade fågelarter.docx", "A 48266-2024")</f>
        <v/>
      </c>
    </row>
    <row r="232" ht="15" customHeight="1">
      <c r="A232" t="inlineStr">
        <is>
          <t>A 53065-2024</t>
        </is>
      </c>
      <c r="B232" s="1" t="n">
        <v>45611</v>
      </c>
      <c r="C232" s="1" t="n">
        <v>45661</v>
      </c>
      <c r="D232" t="inlineStr">
        <is>
          <t>STOCKHOLMS LÄN</t>
        </is>
      </c>
      <c r="E232" t="inlineStr">
        <is>
          <t>NORRTÄLJE</t>
        </is>
      </c>
      <c r="G232" t="n">
        <v>12.3</v>
      </c>
      <c r="H232" t="n">
        <v>0</v>
      </c>
      <c r="I232" t="n">
        <v>1</v>
      </c>
      <c r="J232" t="n">
        <v>1</v>
      </c>
      <c r="K232" t="n">
        <v>1</v>
      </c>
      <c r="L232" t="n">
        <v>0</v>
      </c>
      <c r="M232" t="n">
        <v>0</v>
      </c>
      <c r="N232" t="n">
        <v>0</v>
      </c>
      <c r="O232" t="n">
        <v>2</v>
      </c>
      <c r="P232" t="n">
        <v>1</v>
      </c>
      <c r="Q232" t="n">
        <v>3</v>
      </c>
      <c r="R232" s="2" t="inlineStr">
        <is>
          <t>Aspsplintbock
Grön aspvedbock
Gulröd blankbock</t>
        </is>
      </c>
      <c r="S232">
        <f>HYPERLINK("https://klasma.github.io/Logging_0188/artfynd/A 53065-2024 artfynd.xlsx", "A 53065-2024")</f>
        <v/>
      </c>
      <c r="T232">
        <f>HYPERLINK("https://klasma.github.io/Logging_0188/kartor/A 53065-2024 karta.png", "A 53065-2024")</f>
        <v/>
      </c>
      <c r="V232">
        <f>HYPERLINK("https://klasma.github.io/Logging_0188/klagomål/A 53065-2024 FSC-klagomål.docx", "A 53065-2024")</f>
        <v/>
      </c>
      <c r="W232">
        <f>HYPERLINK("https://klasma.github.io/Logging_0188/klagomålsmail/A 53065-2024 FSC-klagomål mail.docx", "A 53065-2024")</f>
        <v/>
      </c>
      <c r="X232">
        <f>HYPERLINK("https://klasma.github.io/Logging_0188/tillsyn/A 53065-2024 tillsynsbegäran.docx", "A 53065-2024")</f>
        <v/>
      </c>
      <c r="Y232">
        <f>HYPERLINK("https://klasma.github.io/Logging_0188/tillsynsmail/A 53065-2024 tillsynsbegäran mail.docx", "A 53065-2024")</f>
        <v/>
      </c>
    </row>
    <row r="233" ht="15" customHeight="1">
      <c r="A233" t="inlineStr">
        <is>
          <t>A 54110-2024</t>
        </is>
      </c>
      <c r="B233" s="1" t="n">
        <v>45616</v>
      </c>
      <c r="C233" s="1" t="n">
        <v>45661</v>
      </c>
      <c r="D233" t="inlineStr">
        <is>
          <t>STOCKHOLMS LÄN</t>
        </is>
      </c>
      <c r="E233" t="inlineStr">
        <is>
          <t>NORRTÄLJE</t>
        </is>
      </c>
      <c r="G233" t="n">
        <v>6.7</v>
      </c>
      <c r="H233" t="n">
        <v>2</v>
      </c>
      <c r="I233" t="n">
        <v>0</v>
      </c>
      <c r="J233" t="n">
        <v>1</v>
      </c>
      <c r="K233" t="n">
        <v>0</v>
      </c>
      <c r="L233" t="n">
        <v>0</v>
      </c>
      <c r="M233" t="n">
        <v>0</v>
      </c>
      <c r="N233" t="n">
        <v>0</v>
      </c>
      <c r="O233" t="n">
        <v>1</v>
      </c>
      <c r="P233" t="n">
        <v>0</v>
      </c>
      <c r="Q233" t="n">
        <v>3</v>
      </c>
      <c r="R233" s="2" t="inlineStr">
        <is>
          <t>Klasefibbla
Nattviol
Gullviva</t>
        </is>
      </c>
      <c r="S233">
        <f>HYPERLINK("https://klasma.github.io/Logging_0188/artfynd/A 54110-2024 artfynd.xlsx", "A 54110-2024")</f>
        <v/>
      </c>
      <c r="T233">
        <f>HYPERLINK("https://klasma.github.io/Logging_0188/kartor/A 54110-2024 karta.png", "A 54110-2024")</f>
        <v/>
      </c>
      <c r="V233">
        <f>HYPERLINK("https://klasma.github.io/Logging_0188/klagomål/A 54110-2024 FSC-klagomål.docx", "A 54110-2024")</f>
        <v/>
      </c>
      <c r="W233">
        <f>HYPERLINK("https://klasma.github.io/Logging_0188/klagomålsmail/A 54110-2024 FSC-klagomål mail.docx", "A 54110-2024")</f>
        <v/>
      </c>
      <c r="X233">
        <f>HYPERLINK("https://klasma.github.io/Logging_0188/tillsyn/A 54110-2024 tillsynsbegäran.docx", "A 54110-2024")</f>
        <v/>
      </c>
      <c r="Y233">
        <f>HYPERLINK("https://klasma.github.io/Logging_0188/tillsynsmail/A 54110-2024 tillsynsbegäran mail.docx", "A 54110-2024")</f>
        <v/>
      </c>
    </row>
    <row r="234" ht="15" customHeight="1">
      <c r="A234" t="inlineStr">
        <is>
          <t>A 28-2025</t>
        </is>
      </c>
      <c r="B234" s="1" t="n">
        <v>45659</v>
      </c>
      <c r="C234" s="1" t="n">
        <v>45661</v>
      </c>
      <c r="D234" t="inlineStr">
        <is>
          <t>STOCKHOLMS LÄN</t>
        </is>
      </c>
      <c r="E234" t="inlineStr">
        <is>
          <t>BOTKYRKA</t>
        </is>
      </c>
      <c r="G234" t="n">
        <v>4.1</v>
      </c>
      <c r="H234" t="n">
        <v>0</v>
      </c>
      <c r="I234" t="n">
        <v>2</v>
      </c>
      <c r="J234" t="n">
        <v>1</v>
      </c>
      <c r="K234" t="n">
        <v>0</v>
      </c>
      <c r="L234" t="n">
        <v>0</v>
      </c>
      <c r="M234" t="n">
        <v>0</v>
      </c>
      <c r="N234" t="n">
        <v>0</v>
      </c>
      <c r="O234" t="n">
        <v>1</v>
      </c>
      <c r="P234" t="n">
        <v>0</v>
      </c>
      <c r="Q234" t="n">
        <v>3</v>
      </c>
      <c r="R234" s="2" t="inlineStr">
        <is>
          <t>Motaggsvamp
Blomkålssvamp
Granbarkgnagare</t>
        </is>
      </c>
      <c r="S234">
        <f>HYPERLINK("https://klasma.github.io/Logging_0127/artfynd/A 28-2025 artfynd.xlsx", "A 28-2025")</f>
        <v/>
      </c>
      <c r="T234">
        <f>HYPERLINK("https://klasma.github.io/Logging_0127/kartor/A 28-2025 karta.png", "A 28-2025")</f>
        <v/>
      </c>
      <c r="V234">
        <f>HYPERLINK("https://klasma.github.io/Logging_0127/klagomål/A 28-2025 FSC-klagomål.docx", "A 28-2025")</f>
        <v/>
      </c>
      <c r="W234">
        <f>HYPERLINK("https://klasma.github.io/Logging_0127/klagomålsmail/A 28-2025 FSC-klagomål mail.docx", "A 28-2025")</f>
        <v/>
      </c>
      <c r="X234">
        <f>HYPERLINK("https://klasma.github.io/Logging_0127/tillsyn/A 28-2025 tillsynsbegäran.docx", "A 28-2025")</f>
        <v/>
      </c>
      <c r="Y234">
        <f>HYPERLINK("https://klasma.github.io/Logging_0127/tillsynsmail/A 28-2025 tillsynsbegäran mail.docx", "A 28-2025")</f>
        <v/>
      </c>
    </row>
    <row r="235" ht="15" customHeight="1">
      <c r="A235" t="inlineStr">
        <is>
          <t>A 23830-2019</t>
        </is>
      </c>
      <c r="B235" s="1" t="n">
        <v>43595</v>
      </c>
      <c r="C235" s="1" t="n">
        <v>45661</v>
      </c>
      <c r="D235" t="inlineStr">
        <is>
          <t>STOCKHOLMS LÄN</t>
        </is>
      </c>
      <c r="E235" t="inlineStr">
        <is>
          <t>NORRTÄLJE</t>
        </is>
      </c>
      <c r="G235" t="n">
        <v>3</v>
      </c>
      <c r="H235" t="n">
        <v>2</v>
      </c>
      <c r="I235" t="n">
        <v>1</v>
      </c>
      <c r="J235" t="n">
        <v>0</v>
      </c>
      <c r="K235" t="n">
        <v>0</v>
      </c>
      <c r="L235" t="n">
        <v>0</v>
      </c>
      <c r="M235" t="n">
        <v>0</v>
      </c>
      <c r="N235" t="n">
        <v>0</v>
      </c>
      <c r="O235" t="n">
        <v>0</v>
      </c>
      <c r="P235" t="n">
        <v>0</v>
      </c>
      <c r="Q235" t="n">
        <v>2</v>
      </c>
      <c r="R235" s="2" t="inlineStr">
        <is>
          <t>Guckusko
Grönvit nattviol</t>
        </is>
      </c>
      <c r="S235">
        <f>HYPERLINK("https://klasma.github.io/Logging_0188/artfynd/A 23830-2019 artfynd.xlsx", "A 23830-2019")</f>
        <v/>
      </c>
      <c r="T235">
        <f>HYPERLINK("https://klasma.github.io/Logging_0188/kartor/A 23830-2019 karta.png", "A 23830-2019")</f>
        <v/>
      </c>
      <c r="V235">
        <f>HYPERLINK("https://klasma.github.io/Logging_0188/klagomål/A 23830-2019 FSC-klagomål.docx", "A 23830-2019")</f>
        <v/>
      </c>
      <c r="W235">
        <f>HYPERLINK("https://klasma.github.io/Logging_0188/klagomålsmail/A 23830-2019 FSC-klagomål mail.docx", "A 23830-2019")</f>
        <v/>
      </c>
      <c r="X235">
        <f>HYPERLINK("https://klasma.github.io/Logging_0188/tillsyn/A 23830-2019 tillsynsbegäran.docx", "A 23830-2019")</f>
        <v/>
      </c>
      <c r="Y235">
        <f>HYPERLINK("https://klasma.github.io/Logging_0188/tillsynsmail/A 23830-2019 tillsynsbegäran mail.docx", "A 23830-2019")</f>
        <v/>
      </c>
    </row>
    <row r="236" ht="15" customHeight="1">
      <c r="A236" t="inlineStr">
        <is>
          <t>A 31893-2019</t>
        </is>
      </c>
      <c r="B236" s="1" t="n">
        <v>43642</v>
      </c>
      <c r="C236" s="1" t="n">
        <v>45661</v>
      </c>
      <c r="D236" t="inlineStr">
        <is>
          <t>STOCKHOLMS LÄN</t>
        </is>
      </c>
      <c r="E236" t="inlineStr">
        <is>
          <t>NYNÄSHAMN</t>
        </is>
      </c>
      <c r="F236" t="inlineStr">
        <is>
          <t>Kommuner</t>
        </is>
      </c>
      <c r="G236" t="n">
        <v>3.4</v>
      </c>
      <c r="H236" t="n">
        <v>1</v>
      </c>
      <c r="I236" t="n">
        <v>1</v>
      </c>
      <c r="J236" t="n">
        <v>0</v>
      </c>
      <c r="K236" t="n">
        <v>0</v>
      </c>
      <c r="L236" t="n">
        <v>0</v>
      </c>
      <c r="M236" t="n">
        <v>0</v>
      </c>
      <c r="N236" t="n">
        <v>0</v>
      </c>
      <c r="O236" t="n">
        <v>0</v>
      </c>
      <c r="P236" t="n">
        <v>0</v>
      </c>
      <c r="Q236" t="n">
        <v>2</v>
      </c>
      <c r="R236" s="2" t="inlineStr">
        <is>
          <t>Stubbspretmossa
Revlummer</t>
        </is>
      </c>
      <c r="S236">
        <f>HYPERLINK("https://klasma.github.io/Logging_0192/artfynd/A 31893-2019 artfynd.xlsx", "A 31893-2019")</f>
        <v/>
      </c>
      <c r="T236">
        <f>HYPERLINK("https://klasma.github.io/Logging_0192/kartor/A 31893-2019 karta.png", "A 31893-2019")</f>
        <v/>
      </c>
      <c r="V236">
        <f>HYPERLINK("https://klasma.github.io/Logging_0192/klagomål/A 31893-2019 FSC-klagomål.docx", "A 31893-2019")</f>
        <v/>
      </c>
      <c r="W236">
        <f>HYPERLINK("https://klasma.github.io/Logging_0192/klagomålsmail/A 31893-2019 FSC-klagomål mail.docx", "A 31893-2019")</f>
        <v/>
      </c>
      <c r="X236">
        <f>HYPERLINK("https://klasma.github.io/Logging_0192/tillsyn/A 31893-2019 tillsynsbegäran.docx", "A 31893-2019")</f>
        <v/>
      </c>
      <c r="Y236">
        <f>HYPERLINK("https://klasma.github.io/Logging_0192/tillsynsmail/A 31893-2019 tillsynsbegäran mail.docx", "A 31893-2019")</f>
        <v/>
      </c>
    </row>
    <row r="237" ht="15" customHeight="1">
      <c r="A237" t="inlineStr">
        <is>
          <t>A 37730-2019</t>
        </is>
      </c>
      <c r="B237" s="1" t="n">
        <v>43682</v>
      </c>
      <c r="C237" s="1" t="n">
        <v>45661</v>
      </c>
      <c r="D237" t="inlineStr">
        <is>
          <t>STOCKHOLMS LÄN</t>
        </is>
      </c>
      <c r="E237" t="inlineStr">
        <is>
          <t>VÄRMDÖ</t>
        </is>
      </c>
      <c r="G237" t="n">
        <v>1.4</v>
      </c>
      <c r="H237" t="n">
        <v>0</v>
      </c>
      <c r="I237" t="n">
        <v>2</v>
      </c>
      <c r="J237" t="n">
        <v>0</v>
      </c>
      <c r="K237" t="n">
        <v>0</v>
      </c>
      <c r="L237" t="n">
        <v>0</v>
      </c>
      <c r="M237" t="n">
        <v>0</v>
      </c>
      <c r="N237" t="n">
        <v>0</v>
      </c>
      <c r="O237" t="n">
        <v>0</v>
      </c>
      <c r="P237" t="n">
        <v>0</v>
      </c>
      <c r="Q237" t="n">
        <v>2</v>
      </c>
      <c r="R237" s="2" t="inlineStr">
        <is>
          <t>Kornknutmossa
Stubbspretmossa</t>
        </is>
      </c>
      <c r="S237">
        <f>HYPERLINK("https://klasma.github.io/Logging_0120/artfynd/A 37730-2019 artfynd.xlsx", "A 37730-2019")</f>
        <v/>
      </c>
      <c r="T237">
        <f>HYPERLINK("https://klasma.github.io/Logging_0120/kartor/A 37730-2019 karta.png", "A 37730-2019")</f>
        <v/>
      </c>
      <c r="V237">
        <f>HYPERLINK("https://klasma.github.io/Logging_0120/klagomål/A 37730-2019 FSC-klagomål.docx", "A 37730-2019")</f>
        <v/>
      </c>
      <c r="W237">
        <f>HYPERLINK("https://klasma.github.io/Logging_0120/klagomålsmail/A 37730-2019 FSC-klagomål mail.docx", "A 37730-2019")</f>
        <v/>
      </c>
      <c r="X237">
        <f>HYPERLINK("https://klasma.github.io/Logging_0120/tillsyn/A 37730-2019 tillsynsbegäran.docx", "A 37730-2019")</f>
        <v/>
      </c>
      <c r="Y237">
        <f>HYPERLINK("https://klasma.github.io/Logging_0120/tillsynsmail/A 37730-2019 tillsynsbegäran mail.docx", "A 37730-2019")</f>
        <v/>
      </c>
    </row>
    <row r="238" ht="15" customHeight="1">
      <c r="A238" t="inlineStr">
        <is>
          <t>A 47875-2019</t>
        </is>
      </c>
      <c r="B238" s="1" t="n">
        <v>43725</v>
      </c>
      <c r="C238" s="1" t="n">
        <v>45661</v>
      </c>
      <c r="D238" t="inlineStr">
        <is>
          <t>STOCKHOLMS LÄN</t>
        </is>
      </c>
      <c r="E238" t="inlineStr">
        <is>
          <t>NORRTÄLJE</t>
        </is>
      </c>
      <c r="G238" t="n">
        <v>10.9</v>
      </c>
      <c r="H238" t="n">
        <v>1</v>
      </c>
      <c r="I238" t="n">
        <v>0</v>
      </c>
      <c r="J238" t="n">
        <v>1</v>
      </c>
      <c r="K238" t="n">
        <v>0</v>
      </c>
      <c r="L238" t="n">
        <v>0</v>
      </c>
      <c r="M238" t="n">
        <v>0</v>
      </c>
      <c r="N238" t="n">
        <v>0</v>
      </c>
      <c r="O238" t="n">
        <v>1</v>
      </c>
      <c r="P238" t="n">
        <v>0</v>
      </c>
      <c r="Q238" t="n">
        <v>2</v>
      </c>
      <c r="R238" s="2" t="inlineStr">
        <is>
          <t>Vippärt
Mattlummer</t>
        </is>
      </c>
      <c r="S238">
        <f>HYPERLINK("https://klasma.github.io/Logging_0188/artfynd/A 47875-2019 artfynd.xlsx", "A 47875-2019")</f>
        <v/>
      </c>
      <c r="T238">
        <f>HYPERLINK("https://klasma.github.io/Logging_0188/kartor/A 47875-2019 karta.png", "A 47875-2019")</f>
        <v/>
      </c>
      <c r="V238">
        <f>HYPERLINK("https://klasma.github.io/Logging_0188/klagomål/A 47875-2019 FSC-klagomål.docx", "A 47875-2019")</f>
        <v/>
      </c>
      <c r="W238">
        <f>HYPERLINK("https://klasma.github.io/Logging_0188/klagomålsmail/A 47875-2019 FSC-klagomål mail.docx", "A 47875-2019")</f>
        <v/>
      </c>
      <c r="X238">
        <f>HYPERLINK("https://klasma.github.io/Logging_0188/tillsyn/A 47875-2019 tillsynsbegäran.docx", "A 47875-2019")</f>
        <v/>
      </c>
      <c r="Y238">
        <f>HYPERLINK("https://klasma.github.io/Logging_0188/tillsynsmail/A 47875-2019 tillsynsbegäran mail.docx", "A 47875-2019")</f>
        <v/>
      </c>
    </row>
    <row r="239" ht="15" customHeight="1">
      <c r="A239" t="inlineStr">
        <is>
          <t>A 1335-2020</t>
        </is>
      </c>
      <c r="B239" s="1" t="n">
        <v>43843</v>
      </c>
      <c r="C239" s="1" t="n">
        <v>45661</v>
      </c>
      <c r="D239" t="inlineStr">
        <is>
          <t>STOCKHOLMS LÄN</t>
        </is>
      </c>
      <c r="E239" t="inlineStr">
        <is>
          <t>BOTKYRKA</t>
        </is>
      </c>
      <c r="G239" t="n">
        <v>13.4</v>
      </c>
      <c r="H239" t="n">
        <v>0</v>
      </c>
      <c r="I239" t="n">
        <v>1</v>
      </c>
      <c r="J239" t="n">
        <v>0</v>
      </c>
      <c r="K239" t="n">
        <v>1</v>
      </c>
      <c r="L239" t="n">
        <v>0</v>
      </c>
      <c r="M239" t="n">
        <v>0</v>
      </c>
      <c r="N239" t="n">
        <v>0</v>
      </c>
      <c r="O239" t="n">
        <v>1</v>
      </c>
      <c r="P239" t="n">
        <v>1</v>
      </c>
      <c r="Q239" t="n">
        <v>2</v>
      </c>
      <c r="R239" s="2" t="inlineStr">
        <is>
          <t>Vedspik
Blodticka</t>
        </is>
      </c>
      <c r="S239">
        <f>HYPERLINK("https://klasma.github.io/Logging_0127/artfynd/A 1335-2020 artfynd.xlsx", "A 1335-2020")</f>
        <v/>
      </c>
      <c r="T239">
        <f>HYPERLINK("https://klasma.github.io/Logging_0127/kartor/A 1335-2020 karta.png", "A 1335-2020")</f>
        <v/>
      </c>
      <c r="V239">
        <f>HYPERLINK("https://klasma.github.io/Logging_0127/klagomål/A 1335-2020 FSC-klagomål.docx", "A 1335-2020")</f>
        <v/>
      </c>
      <c r="W239">
        <f>HYPERLINK("https://klasma.github.io/Logging_0127/klagomålsmail/A 1335-2020 FSC-klagomål mail.docx", "A 1335-2020")</f>
        <v/>
      </c>
      <c r="X239">
        <f>HYPERLINK("https://klasma.github.io/Logging_0127/tillsyn/A 1335-2020 tillsynsbegäran.docx", "A 1335-2020")</f>
        <v/>
      </c>
      <c r="Y239">
        <f>HYPERLINK("https://klasma.github.io/Logging_0127/tillsynsmail/A 1335-2020 tillsynsbegäran mail.docx", "A 1335-2020")</f>
        <v/>
      </c>
    </row>
    <row r="240" ht="15" customHeight="1">
      <c r="A240" t="inlineStr">
        <is>
          <t>A 2810-2020</t>
        </is>
      </c>
      <c r="B240" s="1" t="n">
        <v>43850</v>
      </c>
      <c r="C240" s="1" t="n">
        <v>45661</v>
      </c>
      <c r="D240" t="inlineStr">
        <is>
          <t>STOCKHOLMS LÄN</t>
        </is>
      </c>
      <c r="E240" t="inlineStr">
        <is>
          <t>NORRTÄLJE</t>
        </is>
      </c>
      <c r="G240" t="n">
        <v>0.9</v>
      </c>
      <c r="H240" t="n">
        <v>1</v>
      </c>
      <c r="I240" t="n">
        <v>1</v>
      </c>
      <c r="J240" t="n">
        <v>0</v>
      </c>
      <c r="K240" t="n">
        <v>1</v>
      </c>
      <c r="L240" t="n">
        <v>0</v>
      </c>
      <c r="M240" t="n">
        <v>0</v>
      </c>
      <c r="N240" t="n">
        <v>0</v>
      </c>
      <c r="O240" t="n">
        <v>1</v>
      </c>
      <c r="P240" t="n">
        <v>1</v>
      </c>
      <c r="Q240" t="n">
        <v>2</v>
      </c>
      <c r="R240" s="2" t="inlineStr">
        <is>
          <t>Knärot
Grönpyrola</t>
        </is>
      </c>
      <c r="S240">
        <f>HYPERLINK("https://klasma.github.io/Logging_0188/artfynd/A 2810-2020 artfynd.xlsx", "A 2810-2020")</f>
        <v/>
      </c>
      <c r="T240">
        <f>HYPERLINK("https://klasma.github.io/Logging_0188/kartor/A 2810-2020 karta.png", "A 2810-2020")</f>
        <v/>
      </c>
      <c r="U240">
        <f>HYPERLINK("https://klasma.github.io/Logging_0188/knärot/A 2810-2020 karta knärot.png", "A 2810-2020")</f>
        <v/>
      </c>
      <c r="V240">
        <f>HYPERLINK("https://klasma.github.io/Logging_0188/klagomål/A 2810-2020 FSC-klagomål.docx", "A 2810-2020")</f>
        <v/>
      </c>
      <c r="W240">
        <f>HYPERLINK("https://klasma.github.io/Logging_0188/klagomålsmail/A 2810-2020 FSC-klagomål mail.docx", "A 2810-2020")</f>
        <v/>
      </c>
      <c r="X240">
        <f>HYPERLINK("https://klasma.github.io/Logging_0188/tillsyn/A 2810-2020 tillsynsbegäran.docx", "A 2810-2020")</f>
        <v/>
      </c>
      <c r="Y240">
        <f>HYPERLINK("https://klasma.github.io/Logging_0188/tillsynsmail/A 2810-2020 tillsynsbegäran mail.docx", "A 2810-2020")</f>
        <v/>
      </c>
    </row>
    <row r="241" ht="15" customHeight="1">
      <c r="A241" t="inlineStr">
        <is>
          <t>A 3215-2020</t>
        </is>
      </c>
      <c r="B241" s="1" t="n">
        <v>43851</v>
      </c>
      <c r="C241" s="1" t="n">
        <v>45661</v>
      </c>
      <c r="D241" t="inlineStr">
        <is>
          <t>STOCKHOLMS LÄN</t>
        </is>
      </c>
      <c r="E241" t="inlineStr">
        <is>
          <t>NYNÄSHAMN</t>
        </is>
      </c>
      <c r="G241" t="n">
        <v>2.5</v>
      </c>
      <c r="H241" t="n">
        <v>0</v>
      </c>
      <c r="I241" t="n">
        <v>2</v>
      </c>
      <c r="J241" t="n">
        <v>0</v>
      </c>
      <c r="K241" t="n">
        <v>0</v>
      </c>
      <c r="L241" t="n">
        <v>0</v>
      </c>
      <c r="M241" t="n">
        <v>0</v>
      </c>
      <c r="N241" t="n">
        <v>0</v>
      </c>
      <c r="O241" t="n">
        <v>0</v>
      </c>
      <c r="P241" t="n">
        <v>0</v>
      </c>
      <c r="Q241" t="n">
        <v>2</v>
      </c>
      <c r="R241" s="2" t="inlineStr">
        <is>
          <t>Sårläka
Thomsons trägnagare</t>
        </is>
      </c>
      <c r="S241">
        <f>HYPERLINK("https://klasma.github.io/Logging_0192/artfynd/A 3215-2020 artfynd.xlsx", "A 3215-2020")</f>
        <v/>
      </c>
      <c r="T241">
        <f>HYPERLINK("https://klasma.github.io/Logging_0192/kartor/A 3215-2020 karta.png", "A 3215-2020")</f>
        <v/>
      </c>
      <c r="V241">
        <f>HYPERLINK("https://klasma.github.io/Logging_0192/klagomål/A 3215-2020 FSC-klagomål.docx", "A 3215-2020")</f>
        <v/>
      </c>
      <c r="W241">
        <f>HYPERLINK("https://klasma.github.io/Logging_0192/klagomålsmail/A 3215-2020 FSC-klagomål mail.docx", "A 3215-2020")</f>
        <v/>
      </c>
      <c r="X241">
        <f>HYPERLINK("https://klasma.github.io/Logging_0192/tillsyn/A 3215-2020 tillsynsbegäran.docx", "A 3215-2020")</f>
        <v/>
      </c>
      <c r="Y241">
        <f>HYPERLINK("https://klasma.github.io/Logging_0192/tillsynsmail/A 3215-2020 tillsynsbegäran mail.docx", "A 3215-2020")</f>
        <v/>
      </c>
    </row>
    <row r="242" ht="15" customHeight="1">
      <c r="A242" t="inlineStr">
        <is>
          <t>A 4124-2020</t>
        </is>
      </c>
      <c r="B242" s="1" t="n">
        <v>43857</v>
      </c>
      <c r="C242" s="1" t="n">
        <v>45661</v>
      </c>
      <c r="D242" t="inlineStr">
        <is>
          <t>STOCKHOLMS LÄN</t>
        </is>
      </c>
      <c r="E242" t="inlineStr">
        <is>
          <t>VALLENTUNA</t>
        </is>
      </c>
      <c r="G242" t="n">
        <v>1.2</v>
      </c>
      <c r="H242" t="n">
        <v>0</v>
      </c>
      <c r="I242" t="n">
        <v>1</v>
      </c>
      <c r="J242" t="n">
        <v>1</v>
      </c>
      <c r="K242" t="n">
        <v>0</v>
      </c>
      <c r="L242" t="n">
        <v>0</v>
      </c>
      <c r="M242" t="n">
        <v>0</v>
      </c>
      <c r="N242" t="n">
        <v>0</v>
      </c>
      <c r="O242" t="n">
        <v>1</v>
      </c>
      <c r="P242" t="n">
        <v>0</v>
      </c>
      <c r="Q242" t="n">
        <v>2</v>
      </c>
      <c r="R242" s="2" t="inlineStr">
        <is>
          <t>Barrpraktbagge
Blompraktbagge</t>
        </is>
      </c>
      <c r="S242">
        <f>HYPERLINK("https://klasma.github.io/Logging_0115/artfynd/A 4124-2020 artfynd.xlsx", "A 4124-2020")</f>
        <v/>
      </c>
      <c r="T242">
        <f>HYPERLINK("https://klasma.github.io/Logging_0115/kartor/A 4124-2020 karta.png", "A 4124-2020")</f>
        <v/>
      </c>
      <c r="V242">
        <f>HYPERLINK("https://klasma.github.io/Logging_0115/klagomål/A 4124-2020 FSC-klagomål.docx", "A 4124-2020")</f>
        <v/>
      </c>
      <c r="W242">
        <f>HYPERLINK("https://klasma.github.io/Logging_0115/klagomålsmail/A 4124-2020 FSC-klagomål mail.docx", "A 4124-2020")</f>
        <v/>
      </c>
      <c r="X242">
        <f>HYPERLINK("https://klasma.github.io/Logging_0115/tillsyn/A 4124-2020 tillsynsbegäran.docx", "A 4124-2020")</f>
        <v/>
      </c>
      <c r="Y242">
        <f>HYPERLINK("https://klasma.github.io/Logging_0115/tillsynsmail/A 4124-2020 tillsynsbegäran mail.docx", "A 4124-2020")</f>
        <v/>
      </c>
    </row>
    <row r="243" ht="15" customHeight="1">
      <c r="A243" t="inlineStr">
        <is>
          <t>A 4058-2020</t>
        </is>
      </c>
      <c r="B243" s="1" t="n">
        <v>43857</v>
      </c>
      <c r="C243" s="1" t="n">
        <v>45661</v>
      </c>
      <c r="D243" t="inlineStr">
        <is>
          <t>STOCKHOLMS LÄN</t>
        </is>
      </c>
      <c r="E243" t="inlineStr">
        <is>
          <t>BOTKYRKA</t>
        </is>
      </c>
      <c r="G243" t="n">
        <v>17.9</v>
      </c>
      <c r="H243" t="n">
        <v>0</v>
      </c>
      <c r="I243" t="n">
        <v>1</v>
      </c>
      <c r="J243" t="n">
        <v>1</v>
      </c>
      <c r="K243" t="n">
        <v>0</v>
      </c>
      <c r="L243" t="n">
        <v>0</v>
      </c>
      <c r="M243" t="n">
        <v>0</v>
      </c>
      <c r="N243" t="n">
        <v>0</v>
      </c>
      <c r="O243" t="n">
        <v>1</v>
      </c>
      <c r="P243" t="n">
        <v>0</v>
      </c>
      <c r="Q243" t="n">
        <v>2</v>
      </c>
      <c r="R243" s="2" t="inlineStr">
        <is>
          <t>Ekticka
Springkorn</t>
        </is>
      </c>
      <c r="S243">
        <f>HYPERLINK("https://klasma.github.io/Logging_0127/artfynd/A 4058-2020 artfynd.xlsx", "A 4058-2020")</f>
        <v/>
      </c>
      <c r="T243">
        <f>HYPERLINK("https://klasma.github.io/Logging_0127/kartor/A 4058-2020 karta.png", "A 4058-2020")</f>
        <v/>
      </c>
      <c r="V243">
        <f>HYPERLINK("https://klasma.github.io/Logging_0127/klagomål/A 4058-2020 FSC-klagomål.docx", "A 4058-2020")</f>
        <v/>
      </c>
      <c r="W243">
        <f>HYPERLINK("https://klasma.github.io/Logging_0127/klagomålsmail/A 4058-2020 FSC-klagomål mail.docx", "A 4058-2020")</f>
        <v/>
      </c>
      <c r="X243">
        <f>HYPERLINK("https://klasma.github.io/Logging_0127/tillsyn/A 4058-2020 tillsynsbegäran.docx", "A 4058-2020")</f>
        <v/>
      </c>
      <c r="Y243">
        <f>HYPERLINK("https://klasma.github.io/Logging_0127/tillsynsmail/A 4058-2020 tillsynsbegäran mail.docx", "A 4058-2020")</f>
        <v/>
      </c>
    </row>
    <row r="244" ht="15" customHeight="1">
      <c r="A244" t="inlineStr">
        <is>
          <t>A 4266-2020</t>
        </is>
      </c>
      <c r="B244" s="1" t="n">
        <v>43857</v>
      </c>
      <c r="C244" s="1" t="n">
        <v>45661</v>
      </c>
      <c r="D244" t="inlineStr">
        <is>
          <t>STOCKHOLMS LÄN</t>
        </is>
      </c>
      <c r="E244" t="inlineStr">
        <is>
          <t>VALLENTUNA</t>
        </is>
      </c>
      <c r="G244" t="n">
        <v>4.5</v>
      </c>
      <c r="H244" t="n">
        <v>0</v>
      </c>
      <c r="I244" t="n">
        <v>1</v>
      </c>
      <c r="J244" t="n">
        <v>1</v>
      </c>
      <c r="K244" t="n">
        <v>0</v>
      </c>
      <c r="L244" t="n">
        <v>0</v>
      </c>
      <c r="M244" t="n">
        <v>0</v>
      </c>
      <c r="N244" t="n">
        <v>0</v>
      </c>
      <c r="O244" t="n">
        <v>1</v>
      </c>
      <c r="P244" t="n">
        <v>0</v>
      </c>
      <c r="Q244" t="n">
        <v>2</v>
      </c>
      <c r="R244" s="2" t="inlineStr">
        <is>
          <t>Slåtterfibbla
Korthornad vedstekel</t>
        </is>
      </c>
      <c r="S244">
        <f>HYPERLINK("https://klasma.github.io/Logging_0115/artfynd/A 4266-2020 artfynd.xlsx", "A 4266-2020")</f>
        <v/>
      </c>
      <c r="T244">
        <f>HYPERLINK("https://klasma.github.io/Logging_0115/kartor/A 4266-2020 karta.png", "A 4266-2020")</f>
        <v/>
      </c>
      <c r="V244">
        <f>HYPERLINK("https://klasma.github.io/Logging_0115/klagomål/A 4266-2020 FSC-klagomål.docx", "A 4266-2020")</f>
        <v/>
      </c>
      <c r="W244">
        <f>HYPERLINK("https://klasma.github.io/Logging_0115/klagomålsmail/A 4266-2020 FSC-klagomål mail.docx", "A 4266-2020")</f>
        <v/>
      </c>
      <c r="X244">
        <f>HYPERLINK("https://klasma.github.io/Logging_0115/tillsyn/A 4266-2020 tillsynsbegäran.docx", "A 4266-2020")</f>
        <v/>
      </c>
      <c r="Y244">
        <f>HYPERLINK("https://klasma.github.io/Logging_0115/tillsynsmail/A 4266-2020 tillsynsbegäran mail.docx", "A 4266-2020")</f>
        <v/>
      </c>
    </row>
    <row r="245" ht="15" customHeight="1">
      <c r="A245" t="inlineStr">
        <is>
          <t>A 6272-2020</t>
        </is>
      </c>
      <c r="B245" s="1" t="n">
        <v>43866</v>
      </c>
      <c r="C245" s="1" t="n">
        <v>45661</v>
      </c>
      <c r="D245" t="inlineStr">
        <is>
          <t>STOCKHOLMS LÄN</t>
        </is>
      </c>
      <c r="E245" t="inlineStr">
        <is>
          <t>NORRTÄLJE</t>
        </is>
      </c>
      <c r="F245" t="inlineStr">
        <is>
          <t>Övriga statliga verk och myndigheter</t>
        </is>
      </c>
      <c r="G245" t="n">
        <v>1.9</v>
      </c>
      <c r="H245" t="n">
        <v>1</v>
      </c>
      <c r="I245" t="n">
        <v>1</v>
      </c>
      <c r="J245" t="n">
        <v>1</v>
      </c>
      <c r="K245" t="n">
        <v>0</v>
      </c>
      <c r="L245" t="n">
        <v>0</v>
      </c>
      <c r="M245" t="n">
        <v>0</v>
      </c>
      <c r="N245" t="n">
        <v>0</v>
      </c>
      <c r="O245" t="n">
        <v>1</v>
      </c>
      <c r="P245" t="n">
        <v>0</v>
      </c>
      <c r="Q245" t="n">
        <v>2</v>
      </c>
      <c r="R245" s="2" t="inlineStr">
        <is>
          <t>Silversmygare
Nästrot</t>
        </is>
      </c>
      <c r="S245">
        <f>HYPERLINK("https://klasma.github.io/Logging_0188/artfynd/A 6272-2020 artfynd.xlsx", "A 6272-2020")</f>
        <v/>
      </c>
      <c r="T245">
        <f>HYPERLINK("https://klasma.github.io/Logging_0188/kartor/A 6272-2020 karta.png", "A 6272-2020")</f>
        <v/>
      </c>
      <c r="V245">
        <f>HYPERLINK("https://klasma.github.io/Logging_0188/klagomål/A 6272-2020 FSC-klagomål.docx", "A 6272-2020")</f>
        <v/>
      </c>
      <c r="W245">
        <f>HYPERLINK("https://klasma.github.io/Logging_0188/klagomålsmail/A 6272-2020 FSC-klagomål mail.docx", "A 6272-2020")</f>
        <v/>
      </c>
      <c r="X245">
        <f>HYPERLINK("https://klasma.github.io/Logging_0188/tillsyn/A 6272-2020 tillsynsbegäran.docx", "A 6272-2020")</f>
        <v/>
      </c>
      <c r="Y245">
        <f>HYPERLINK("https://klasma.github.io/Logging_0188/tillsynsmail/A 6272-2020 tillsynsbegäran mail.docx", "A 6272-2020")</f>
        <v/>
      </c>
    </row>
    <row r="246" ht="15" customHeight="1">
      <c r="A246" t="inlineStr">
        <is>
          <t>A 7152-2020</t>
        </is>
      </c>
      <c r="B246" s="1" t="n">
        <v>43869</v>
      </c>
      <c r="C246" s="1" t="n">
        <v>45661</v>
      </c>
      <c r="D246" t="inlineStr">
        <is>
          <t>STOCKHOLMS LÄN</t>
        </is>
      </c>
      <c r="E246" t="inlineStr">
        <is>
          <t>NYNÄSHAMN</t>
        </is>
      </c>
      <c r="F246" t="inlineStr">
        <is>
          <t>Kommuner</t>
        </is>
      </c>
      <c r="G246" t="n">
        <v>5.8</v>
      </c>
      <c r="H246" t="n">
        <v>1</v>
      </c>
      <c r="I246" t="n">
        <v>1</v>
      </c>
      <c r="J246" t="n">
        <v>1</v>
      </c>
      <c r="K246" t="n">
        <v>0</v>
      </c>
      <c r="L246" t="n">
        <v>0</v>
      </c>
      <c r="M246" t="n">
        <v>0</v>
      </c>
      <c r="N246" t="n">
        <v>0</v>
      </c>
      <c r="O246" t="n">
        <v>1</v>
      </c>
      <c r="P246" t="n">
        <v>0</v>
      </c>
      <c r="Q246" t="n">
        <v>2</v>
      </c>
      <c r="R246" s="2" t="inlineStr">
        <is>
          <t>Granticka
Grön sköldmossa</t>
        </is>
      </c>
      <c r="S246">
        <f>HYPERLINK("https://klasma.github.io/Logging_0192/artfynd/A 7152-2020 artfynd.xlsx", "A 7152-2020")</f>
        <v/>
      </c>
      <c r="T246">
        <f>HYPERLINK("https://klasma.github.io/Logging_0192/kartor/A 7152-2020 karta.png", "A 7152-2020")</f>
        <v/>
      </c>
      <c r="V246">
        <f>HYPERLINK("https://klasma.github.io/Logging_0192/klagomål/A 7152-2020 FSC-klagomål.docx", "A 7152-2020")</f>
        <v/>
      </c>
      <c r="W246">
        <f>HYPERLINK("https://klasma.github.io/Logging_0192/klagomålsmail/A 7152-2020 FSC-klagomål mail.docx", "A 7152-2020")</f>
        <v/>
      </c>
      <c r="X246">
        <f>HYPERLINK("https://klasma.github.io/Logging_0192/tillsyn/A 7152-2020 tillsynsbegäran.docx", "A 7152-2020")</f>
        <v/>
      </c>
      <c r="Y246">
        <f>HYPERLINK("https://klasma.github.io/Logging_0192/tillsynsmail/A 7152-2020 tillsynsbegäran mail.docx", "A 7152-2020")</f>
        <v/>
      </c>
    </row>
    <row r="247" ht="15" customHeight="1">
      <c r="A247" t="inlineStr">
        <is>
          <t>A 14565-2020</t>
        </is>
      </c>
      <c r="B247" s="1" t="n">
        <v>43908</v>
      </c>
      <c r="C247" s="1" t="n">
        <v>45661</v>
      </c>
      <c r="D247" t="inlineStr">
        <is>
          <t>STOCKHOLMS LÄN</t>
        </is>
      </c>
      <c r="E247" t="inlineStr">
        <is>
          <t>NORRTÄLJE</t>
        </is>
      </c>
      <c r="G247" t="n">
        <v>3.4</v>
      </c>
      <c r="H247" t="n">
        <v>2</v>
      </c>
      <c r="I247" t="n">
        <v>0</v>
      </c>
      <c r="J247" t="n">
        <v>0</v>
      </c>
      <c r="K247" t="n">
        <v>0</v>
      </c>
      <c r="L247" t="n">
        <v>0</v>
      </c>
      <c r="M247" t="n">
        <v>0</v>
      </c>
      <c r="N247" t="n">
        <v>0</v>
      </c>
      <c r="O247" t="n">
        <v>0</v>
      </c>
      <c r="P247" t="n">
        <v>0</v>
      </c>
      <c r="Q247" t="n">
        <v>2</v>
      </c>
      <c r="R247" s="2" t="inlineStr">
        <is>
          <t>Mindre vattensalamander
Vanlig groda</t>
        </is>
      </c>
      <c r="S247">
        <f>HYPERLINK("https://klasma.github.io/Logging_0188/artfynd/A 14565-2020 artfynd.xlsx", "A 14565-2020")</f>
        <v/>
      </c>
      <c r="T247">
        <f>HYPERLINK("https://klasma.github.io/Logging_0188/kartor/A 14565-2020 karta.png", "A 14565-2020")</f>
        <v/>
      </c>
      <c r="V247">
        <f>HYPERLINK("https://klasma.github.io/Logging_0188/klagomål/A 14565-2020 FSC-klagomål.docx", "A 14565-2020")</f>
        <v/>
      </c>
      <c r="W247">
        <f>HYPERLINK("https://klasma.github.io/Logging_0188/klagomålsmail/A 14565-2020 FSC-klagomål mail.docx", "A 14565-2020")</f>
        <v/>
      </c>
      <c r="X247">
        <f>HYPERLINK("https://klasma.github.io/Logging_0188/tillsyn/A 14565-2020 tillsynsbegäran.docx", "A 14565-2020")</f>
        <v/>
      </c>
      <c r="Y247">
        <f>HYPERLINK("https://klasma.github.io/Logging_0188/tillsynsmail/A 14565-2020 tillsynsbegäran mail.docx", "A 14565-2020")</f>
        <v/>
      </c>
    </row>
    <row r="248" ht="15" customHeight="1">
      <c r="A248" t="inlineStr">
        <is>
          <t>A 19565-2020</t>
        </is>
      </c>
      <c r="B248" s="1" t="n">
        <v>43936</v>
      </c>
      <c r="C248" s="1" t="n">
        <v>45661</v>
      </c>
      <c r="D248" t="inlineStr">
        <is>
          <t>STOCKHOLMS LÄN</t>
        </is>
      </c>
      <c r="E248" t="inlineStr">
        <is>
          <t>NORRTÄLJE</t>
        </is>
      </c>
      <c r="G248" t="n">
        <v>2.4</v>
      </c>
      <c r="H248" t="n">
        <v>0</v>
      </c>
      <c r="I248" t="n">
        <v>2</v>
      </c>
      <c r="J248" t="n">
        <v>0</v>
      </c>
      <c r="K248" t="n">
        <v>0</v>
      </c>
      <c r="L248" t="n">
        <v>0</v>
      </c>
      <c r="M248" t="n">
        <v>0</v>
      </c>
      <c r="N248" t="n">
        <v>0</v>
      </c>
      <c r="O248" t="n">
        <v>0</v>
      </c>
      <c r="P248" t="n">
        <v>0</v>
      </c>
      <c r="Q248" t="n">
        <v>2</v>
      </c>
      <c r="R248" s="2" t="inlineStr">
        <is>
          <t>Mörk husmossa
Rödgul trumpetsvamp</t>
        </is>
      </c>
      <c r="S248">
        <f>HYPERLINK("https://klasma.github.io/Logging_0188/artfynd/A 19565-2020 artfynd.xlsx", "A 19565-2020")</f>
        <v/>
      </c>
      <c r="T248">
        <f>HYPERLINK("https://klasma.github.io/Logging_0188/kartor/A 19565-2020 karta.png", "A 19565-2020")</f>
        <v/>
      </c>
      <c r="V248">
        <f>HYPERLINK("https://klasma.github.io/Logging_0188/klagomål/A 19565-2020 FSC-klagomål.docx", "A 19565-2020")</f>
        <v/>
      </c>
      <c r="W248">
        <f>HYPERLINK("https://klasma.github.io/Logging_0188/klagomålsmail/A 19565-2020 FSC-klagomål mail.docx", "A 19565-2020")</f>
        <v/>
      </c>
      <c r="X248">
        <f>HYPERLINK("https://klasma.github.io/Logging_0188/tillsyn/A 19565-2020 tillsynsbegäran.docx", "A 19565-2020")</f>
        <v/>
      </c>
      <c r="Y248">
        <f>HYPERLINK("https://klasma.github.io/Logging_0188/tillsynsmail/A 19565-2020 tillsynsbegäran mail.docx", "A 19565-2020")</f>
        <v/>
      </c>
    </row>
    <row r="249" ht="15" customHeight="1">
      <c r="A249" t="inlineStr">
        <is>
          <t>A 21187-2020</t>
        </is>
      </c>
      <c r="B249" s="1" t="n">
        <v>43951</v>
      </c>
      <c r="C249" s="1" t="n">
        <v>45661</v>
      </c>
      <c r="D249" t="inlineStr">
        <is>
          <t>STOCKHOLMS LÄN</t>
        </is>
      </c>
      <c r="E249" t="inlineStr">
        <is>
          <t>HANINGE</t>
        </is>
      </c>
      <c r="G249" t="n">
        <v>1.2</v>
      </c>
      <c r="H249" t="n">
        <v>0</v>
      </c>
      <c r="I249" t="n">
        <v>1</v>
      </c>
      <c r="J249" t="n">
        <v>0</v>
      </c>
      <c r="K249" t="n">
        <v>1</v>
      </c>
      <c r="L249" t="n">
        <v>0</v>
      </c>
      <c r="M249" t="n">
        <v>0</v>
      </c>
      <c r="N249" t="n">
        <v>0</v>
      </c>
      <c r="O249" t="n">
        <v>1</v>
      </c>
      <c r="P249" t="n">
        <v>1</v>
      </c>
      <c r="Q249" t="n">
        <v>2</v>
      </c>
      <c r="R249" s="2" t="inlineStr">
        <is>
          <t>Fläckfingersvamp
Granbarkgnagare</t>
        </is>
      </c>
      <c r="S249">
        <f>HYPERLINK("https://klasma.github.io/Logging_0136/artfynd/A 21187-2020 artfynd.xlsx", "A 21187-2020")</f>
        <v/>
      </c>
      <c r="T249">
        <f>HYPERLINK("https://klasma.github.io/Logging_0136/kartor/A 21187-2020 karta.png", "A 21187-2020")</f>
        <v/>
      </c>
      <c r="V249">
        <f>HYPERLINK("https://klasma.github.io/Logging_0136/klagomål/A 21187-2020 FSC-klagomål.docx", "A 21187-2020")</f>
        <v/>
      </c>
      <c r="W249">
        <f>HYPERLINK("https://klasma.github.io/Logging_0136/klagomålsmail/A 21187-2020 FSC-klagomål mail.docx", "A 21187-2020")</f>
        <v/>
      </c>
      <c r="X249">
        <f>HYPERLINK("https://klasma.github.io/Logging_0136/tillsyn/A 21187-2020 tillsynsbegäran.docx", "A 21187-2020")</f>
        <v/>
      </c>
      <c r="Y249">
        <f>HYPERLINK("https://klasma.github.io/Logging_0136/tillsynsmail/A 21187-2020 tillsynsbegäran mail.docx", "A 21187-2020")</f>
        <v/>
      </c>
    </row>
    <row r="250" ht="15" customHeight="1">
      <c r="A250" t="inlineStr">
        <is>
          <t>A 24751-2020</t>
        </is>
      </c>
      <c r="B250" s="1" t="n">
        <v>43978</v>
      </c>
      <c r="C250" s="1" t="n">
        <v>45661</v>
      </c>
      <c r="D250" t="inlineStr">
        <is>
          <t>STOCKHOLMS LÄN</t>
        </is>
      </c>
      <c r="E250" t="inlineStr">
        <is>
          <t>VALLENTUNA</t>
        </is>
      </c>
      <c r="G250" t="n">
        <v>5.3</v>
      </c>
      <c r="H250" t="n">
        <v>0</v>
      </c>
      <c r="I250" t="n">
        <v>2</v>
      </c>
      <c r="J250" t="n">
        <v>0</v>
      </c>
      <c r="K250" t="n">
        <v>0</v>
      </c>
      <c r="L250" t="n">
        <v>0</v>
      </c>
      <c r="M250" t="n">
        <v>0</v>
      </c>
      <c r="N250" t="n">
        <v>0</v>
      </c>
      <c r="O250" t="n">
        <v>0</v>
      </c>
      <c r="P250" t="n">
        <v>0</v>
      </c>
      <c r="Q250" t="n">
        <v>2</v>
      </c>
      <c r="R250" s="2" t="inlineStr">
        <is>
          <t>Lönnlav
Stor aspticka</t>
        </is>
      </c>
      <c r="S250">
        <f>HYPERLINK("https://klasma.github.io/Logging_0115/artfynd/A 24751-2020 artfynd.xlsx", "A 24751-2020")</f>
        <v/>
      </c>
      <c r="T250">
        <f>HYPERLINK("https://klasma.github.io/Logging_0115/kartor/A 24751-2020 karta.png", "A 24751-2020")</f>
        <v/>
      </c>
      <c r="V250">
        <f>HYPERLINK("https://klasma.github.io/Logging_0115/klagomål/A 24751-2020 FSC-klagomål.docx", "A 24751-2020")</f>
        <v/>
      </c>
      <c r="W250">
        <f>HYPERLINK("https://klasma.github.io/Logging_0115/klagomålsmail/A 24751-2020 FSC-klagomål mail.docx", "A 24751-2020")</f>
        <v/>
      </c>
      <c r="X250">
        <f>HYPERLINK("https://klasma.github.io/Logging_0115/tillsyn/A 24751-2020 tillsynsbegäran.docx", "A 24751-2020")</f>
        <v/>
      </c>
      <c r="Y250">
        <f>HYPERLINK("https://klasma.github.io/Logging_0115/tillsynsmail/A 24751-2020 tillsynsbegäran mail.docx", "A 24751-2020")</f>
        <v/>
      </c>
    </row>
    <row r="251" ht="15" customHeight="1">
      <c r="A251" t="inlineStr">
        <is>
          <t>A 46237-2020</t>
        </is>
      </c>
      <c r="B251" s="1" t="n">
        <v>44092</v>
      </c>
      <c r="C251" s="1" t="n">
        <v>45661</v>
      </c>
      <c r="D251" t="inlineStr">
        <is>
          <t>STOCKHOLMS LÄN</t>
        </is>
      </c>
      <c r="E251" t="inlineStr">
        <is>
          <t>SÖDERTÄLJE</t>
        </is>
      </c>
      <c r="G251" t="n">
        <v>1.1</v>
      </c>
      <c r="H251" t="n">
        <v>1</v>
      </c>
      <c r="I251" t="n">
        <v>1</v>
      </c>
      <c r="J251" t="n">
        <v>0</v>
      </c>
      <c r="K251" t="n">
        <v>1</v>
      </c>
      <c r="L251" t="n">
        <v>0</v>
      </c>
      <c r="M251" t="n">
        <v>0</v>
      </c>
      <c r="N251" t="n">
        <v>0</v>
      </c>
      <c r="O251" t="n">
        <v>1</v>
      </c>
      <c r="P251" t="n">
        <v>1</v>
      </c>
      <c r="Q251" t="n">
        <v>2</v>
      </c>
      <c r="R251" s="2" t="inlineStr">
        <is>
          <t>Knärot
Rödbrun jordstjärna</t>
        </is>
      </c>
      <c r="S251">
        <f>HYPERLINK("https://klasma.github.io/Logging_0181/artfynd/A 46237-2020 artfynd.xlsx", "A 46237-2020")</f>
        <v/>
      </c>
      <c r="T251">
        <f>HYPERLINK("https://klasma.github.io/Logging_0181/kartor/A 46237-2020 karta.png", "A 46237-2020")</f>
        <v/>
      </c>
      <c r="U251">
        <f>HYPERLINK("https://klasma.github.io/Logging_0181/knärot/A 46237-2020 karta knärot.png", "A 46237-2020")</f>
        <v/>
      </c>
      <c r="V251">
        <f>HYPERLINK("https://klasma.github.io/Logging_0181/klagomål/A 46237-2020 FSC-klagomål.docx", "A 46237-2020")</f>
        <v/>
      </c>
      <c r="W251">
        <f>HYPERLINK("https://klasma.github.io/Logging_0181/klagomålsmail/A 46237-2020 FSC-klagomål mail.docx", "A 46237-2020")</f>
        <v/>
      </c>
      <c r="X251">
        <f>HYPERLINK("https://klasma.github.io/Logging_0181/tillsyn/A 46237-2020 tillsynsbegäran.docx", "A 46237-2020")</f>
        <v/>
      </c>
      <c r="Y251">
        <f>HYPERLINK("https://klasma.github.io/Logging_0181/tillsynsmail/A 46237-2020 tillsynsbegäran mail.docx", "A 46237-2020")</f>
        <v/>
      </c>
    </row>
    <row r="252" ht="15" customHeight="1">
      <c r="A252" t="inlineStr">
        <is>
          <t>A 53858-2020</t>
        </is>
      </c>
      <c r="B252" s="1" t="n">
        <v>44125</v>
      </c>
      <c r="C252" s="1" t="n">
        <v>45661</v>
      </c>
      <c r="D252" t="inlineStr">
        <is>
          <t>STOCKHOLMS LÄN</t>
        </is>
      </c>
      <c r="E252" t="inlineStr">
        <is>
          <t>HANINGE</t>
        </is>
      </c>
      <c r="G252" t="n">
        <v>18.5</v>
      </c>
      <c r="H252" t="n">
        <v>2</v>
      </c>
      <c r="I252" t="n">
        <v>1</v>
      </c>
      <c r="J252" t="n">
        <v>0</v>
      </c>
      <c r="K252" t="n">
        <v>0</v>
      </c>
      <c r="L252" t="n">
        <v>0</v>
      </c>
      <c r="M252" t="n">
        <v>0</v>
      </c>
      <c r="N252" t="n">
        <v>0</v>
      </c>
      <c r="O252" t="n">
        <v>0</v>
      </c>
      <c r="P252" t="n">
        <v>0</v>
      </c>
      <c r="Q252" t="n">
        <v>2</v>
      </c>
      <c r="R252" s="2" t="inlineStr">
        <is>
          <t>Korallrot
Fläcknycklar</t>
        </is>
      </c>
      <c r="S252">
        <f>HYPERLINK("https://klasma.github.io/Logging_0136/artfynd/A 53858-2020 artfynd.xlsx", "A 53858-2020")</f>
        <v/>
      </c>
      <c r="T252">
        <f>HYPERLINK("https://klasma.github.io/Logging_0136/kartor/A 53858-2020 karta.png", "A 53858-2020")</f>
        <v/>
      </c>
      <c r="V252">
        <f>HYPERLINK("https://klasma.github.io/Logging_0136/klagomål/A 53858-2020 FSC-klagomål.docx", "A 53858-2020")</f>
        <v/>
      </c>
      <c r="W252">
        <f>HYPERLINK("https://klasma.github.io/Logging_0136/klagomålsmail/A 53858-2020 FSC-klagomål mail.docx", "A 53858-2020")</f>
        <v/>
      </c>
      <c r="X252">
        <f>HYPERLINK("https://klasma.github.io/Logging_0136/tillsyn/A 53858-2020 tillsynsbegäran.docx", "A 53858-2020")</f>
        <v/>
      </c>
      <c r="Y252">
        <f>HYPERLINK("https://klasma.github.io/Logging_0136/tillsynsmail/A 53858-2020 tillsynsbegäran mail.docx", "A 53858-2020")</f>
        <v/>
      </c>
    </row>
    <row r="253" ht="15" customHeight="1">
      <c r="A253" t="inlineStr">
        <is>
          <t>A 559-2021</t>
        </is>
      </c>
      <c r="B253" s="1" t="n">
        <v>44203</v>
      </c>
      <c r="C253" s="1" t="n">
        <v>45661</v>
      </c>
      <c r="D253" t="inlineStr">
        <is>
          <t>STOCKHOLMS LÄN</t>
        </is>
      </c>
      <c r="E253" t="inlineStr">
        <is>
          <t>NYNÄSHAMN</t>
        </is>
      </c>
      <c r="G253" t="n">
        <v>19.5</v>
      </c>
      <c r="H253" t="n">
        <v>0</v>
      </c>
      <c r="I253" t="n">
        <v>0</v>
      </c>
      <c r="J253" t="n">
        <v>2</v>
      </c>
      <c r="K253" t="n">
        <v>0</v>
      </c>
      <c r="L253" t="n">
        <v>0</v>
      </c>
      <c r="M253" t="n">
        <v>0</v>
      </c>
      <c r="N253" t="n">
        <v>0</v>
      </c>
      <c r="O253" t="n">
        <v>2</v>
      </c>
      <c r="P253" t="n">
        <v>0</v>
      </c>
      <c r="Q253" t="n">
        <v>2</v>
      </c>
      <c r="R253" s="2" t="inlineStr">
        <is>
          <t>Garnlav
Ullticka</t>
        </is>
      </c>
      <c r="S253">
        <f>HYPERLINK("https://klasma.github.io/Logging_0192/artfynd/A 559-2021 artfynd.xlsx", "A 559-2021")</f>
        <v/>
      </c>
      <c r="T253">
        <f>HYPERLINK("https://klasma.github.io/Logging_0192/kartor/A 559-2021 karta.png", "A 559-2021")</f>
        <v/>
      </c>
      <c r="V253">
        <f>HYPERLINK("https://klasma.github.io/Logging_0192/klagomål/A 559-2021 FSC-klagomål.docx", "A 559-2021")</f>
        <v/>
      </c>
      <c r="W253">
        <f>HYPERLINK("https://klasma.github.io/Logging_0192/klagomålsmail/A 559-2021 FSC-klagomål mail.docx", "A 559-2021")</f>
        <v/>
      </c>
      <c r="X253">
        <f>HYPERLINK("https://klasma.github.io/Logging_0192/tillsyn/A 559-2021 tillsynsbegäran.docx", "A 559-2021")</f>
        <v/>
      </c>
      <c r="Y253">
        <f>HYPERLINK("https://klasma.github.io/Logging_0192/tillsynsmail/A 559-2021 tillsynsbegäran mail.docx", "A 559-2021")</f>
        <v/>
      </c>
    </row>
    <row r="254" ht="15" customHeight="1">
      <c r="A254" t="inlineStr">
        <is>
          <t>A 2294-2021</t>
        </is>
      </c>
      <c r="B254" s="1" t="n">
        <v>44212</v>
      </c>
      <c r="C254" s="1" t="n">
        <v>45661</v>
      </c>
      <c r="D254" t="inlineStr">
        <is>
          <t>STOCKHOLMS LÄN</t>
        </is>
      </c>
      <c r="E254" t="inlineStr">
        <is>
          <t>NYNÄSHAMN</t>
        </is>
      </c>
      <c r="G254" t="n">
        <v>22.1</v>
      </c>
      <c r="H254" t="n">
        <v>0</v>
      </c>
      <c r="I254" t="n">
        <v>0</v>
      </c>
      <c r="J254" t="n">
        <v>2</v>
      </c>
      <c r="K254" t="n">
        <v>0</v>
      </c>
      <c r="L254" t="n">
        <v>0</v>
      </c>
      <c r="M254" t="n">
        <v>0</v>
      </c>
      <c r="N254" t="n">
        <v>0</v>
      </c>
      <c r="O254" t="n">
        <v>2</v>
      </c>
      <c r="P254" t="n">
        <v>0</v>
      </c>
      <c r="Q254" t="n">
        <v>2</v>
      </c>
      <c r="R254" s="2" t="inlineStr">
        <is>
          <t>Solvända
Ängsskära</t>
        </is>
      </c>
      <c r="S254">
        <f>HYPERLINK("https://klasma.github.io/Logging_0192/artfynd/A 2294-2021 artfynd.xlsx", "A 2294-2021")</f>
        <v/>
      </c>
      <c r="T254">
        <f>HYPERLINK("https://klasma.github.io/Logging_0192/kartor/A 2294-2021 karta.png", "A 2294-2021")</f>
        <v/>
      </c>
      <c r="V254">
        <f>HYPERLINK("https://klasma.github.io/Logging_0192/klagomål/A 2294-2021 FSC-klagomål.docx", "A 2294-2021")</f>
        <v/>
      </c>
      <c r="W254">
        <f>HYPERLINK("https://klasma.github.io/Logging_0192/klagomålsmail/A 2294-2021 FSC-klagomål mail.docx", "A 2294-2021")</f>
        <v/>
      </c>
      <c r="X254">
        <f>HYPERLINK("https://klasma.github.io/Logging_0192/tillsyn/A 2294-2021 tillsynsbegäran.docx", "A 2294-2021")</f>
        <v/>
      </c>
      <c r="Y254">
        <f>HYPERLINK("https://klasma.github.io/Logging_0192/tillsynsmail/A 2294-2021 tillsynsbegäran mail.docx", "A 2294-2021")</f>
        <v/>
      </c>
    </row>
    <row r="255" ht="15" customHeight="1">
      <c r="A255" t="inlineStr">
        <is>
          <t>A 9956-2021</t>
        </is>
      </c>
      <c r="B255" s="1" t="n">
        <v>44252</v>
      </c>
      <c r="C255" s="1" t="n">
        <v>45661</v>
      </c>
      <c r="D255" t="inlineStr">
        <is>
          <t>STOCKHOLMS LÄN</t>
        </is>
      </c>
      <c r="E255" t="inlineStr">
        <is>
          <t>UPPLANDS-BRO</t>
        </is>
      </c>
      <c r="F255" t="inlineStr">
        <is>
          <t>Kyrkan</t>
        </is>
      </c>
      <c r="G255" t="n">
        <v>3.4</v>
      </c>
      <c r="H255" t="n">
        <v>0</v>
      </c>
      <c r="I255" t="n">
        <v>1</v>
      </c>
      <c r="J255" t="n">
        <v>1</v>
      </c>
      <c r="K255" t="n">
        <v>0</v>
      </c>
      <c r="L255" t="n">
        <v>0</v>
      </c>
      <c r="M255" t="n">
        <v>0</v>
      </c>
      <c r="N255" t="n">
        <v>0</v>
      </c>
      <c r="O255" t="n">
        <v>1</v>
      </c>
      <c r="P255" t="n">
        <v>0</v>
      </c>
      <c r="Q255" t="n">
        <v>2</v>
      </c>
      <c r="R255" s="2" t="inlineStr">
        <is>
          <t>Dofttaggsvamp
Svavelriska</t>
        </is>
      </c>
      <c r="S255">
        <f>HYPERLINK("https://klasma.github.io/Logging_0139/artfynd/A 9956-2021 artfynd.xlsx", "A 9956-2021")</f>
        <v/>
      </c>
      <c r="T255">
        <f>HYPERLINK("https://klasma.github.io/Logging_0139/kartor/A 9956-2021 karta.png", "A 9956-2021")</f>
        <v/>
      </c>
      <c r="V255">
        <f>HYPERLINK("https://klasma.github.io/Logging_0139/klagomål/A 9956-2021 FSC-klagomål.docx", "A 9956-2021")</f>
        <v/>
      </c>
      <c r="W255">
        <f>HYPERLINK("https://klasma.github.io/Logging_0139/klagomålsmail/A 9956-2021 FSC-klagomål mail.docx", "A 9956-2021")</f>
        <v/>
      </c>
      <c r="X255">
        <f>HYPERLINK("https://klasma.github.io/Logging_0139/tillsyn/A 9956-2021 tillsynsbegäran.docx", "A 9956-2021")</f>
        <v/>
      </c>
      <c r="Y255">
        <f>HYPERLINK("https://klasma.github.io/Logging_0139/tillsynsmail/A 9956-2021 tillsynsbegäran mail.docx", "A 9956-2021")</f>
        <v/>
      </c>
    </row>
    <row r="256" ht="15" customHeight="1">
      <c r="A256" t="inlineStr">
        <is>
          <t>A 15314-2021</t>
        </is>
      </c>
      <c r="B256" s="1" t="n">
        <v>44284</v>
      </c>
      <c r="C256" s="1" t="n">
        <v>45661</v>
      </c>
      <c r="D256" t="inlineStr">
        <is>
          <t>STOCKHOLMS LÄN</t>
        </is>
      </c>
      <c r="E256" t="inlineStr">
        <is>
          <t>NYNÄSHAMN</t>
        </is>
      </c>
      <c r="F256" t="inlineStr">
        <is>
          <t>Kommuner</t>
        </is>
      </c>
      <c r="G256" t="n">
        <v>9</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15314-2021 artfynd.xlsx", "A 15314-2021")</f>
        <v/>
      </c>
      <c r="T256">
        <f>HYPERLINK("https://klasma.github.io/Logging_0192/kartor/A 15314-2021 karta.png", "A 15314-2021")</f>
        <v/>
      </c>
      <c r="V256">
        <f>HYPERLINK("https://klasma.github.io/Logging_0192/klagomål/A 15314-2021 FSC-klagomål.docx", "A 15314-2021")</f>
        <v/>
      </c>
      <c r="W256">
        <f>HYPERLINK("https://klasma.github.io/Logging_0192/klagomålsmail/A 15314-2021 FSC-klagomål mail.docx", "A 15314-2021")</f>
        <v/>
      </c>
      <c r="X256">
        <f>HYPERLINK("https://klasma.github.io/Logging_0192/tillsyn/A 15314-2021 tillsynsbegäran.docx", "A 15314-2021")</f>
        <v/>
      </c>
      <c r="Y256">
        <f>HYPERLINK("https://klasma.github.io/Logging_0192/tillsynsmail/A 15314-2021 tillsynsbegäran mail.docx", "A 15314-2021")</f>
        <v/>
      </c>
    </row>
    <row r="257" ht="15" customHeight="1">
      <c r="A257" t="inlineStr">
        <is>
          <t>A 16084-2021</t>
        </is>
      </c>
      <c r="B257" s="1" t="n">
        <v>44288</v>
      </c>
      <c r="C257" s="1" t="n">
        <v>45661</v>
      </c>
      <c r="D257" t="inlineStr">
        <is>
          <t>STOCKHOLMS LÄN</t>
        </is>
      </c>
      <c r="E257" t="inlineStr">
        <is>
          <t>VÄRMDÖ</t>
        </is>
      </c>
      <c r="G257" t="n">
        <v>1.2</v>
      </c>
      <c r="H257" t="n">
        <v>0</v>
      </c>
      <c r="I257" t="n">
        <v>1</v>
      </c>
      <c r="J257" t="n">
        <v>1</v>
      </c>
      <c r="K257" t="n">
        <v>0</v>
      </c>
      <c r="L257" t="n">
        <v>0</v>
      </c>
      <c r="M257" t="n">
        <v>0</v>
      </c>
      <c r="N257" t="n">
        <v>0</v>
      </c>
      <c r="O257" t="n">
        <v>1</v>
      </c>
      <c r="P257" t="n">
        <v>0</v>
      </c>
      <c r="Q257" t="n">
        <v>2</v>
      </c>
      <c r="R257" s="2" t="inlineStr">
        <is>
          <t>Reliktbock
Grovticka</t>
        </is>
      </c>
      <c r="S257">
        <f>HYPERLINK("https://klasma.github.io/Logging_0120/artfynd/A 16084-2021 artfynd.xlsx", "A 16084-2021")</f>
        <v/>
      </c>
      <c r="T257">
        <f>HYPERLINK("https://klasma.github.io/Logging_0120/kartor/A 16084-2021 karta.png", "A 16084-2021")</f>
        <v/>
      </c>
      <c r="V257">
        <f>HYPERLINK("https://klasma.github.io/Logging_0120/klagomål/A 16084-2021 FSC-klagomål.docx", "A 16084-2021")</f>
        <v/>
      </c>
      <c r="W257">
        <f>HYPERLINK("https://klasma.github.io/Logging_0120/klagomålsmail/A 16084-2021 FSC-klagomål mail.docx", "A 16084-2021")</f>
        <v/>
      </c>
      <c r="X257">
        <f>HYPERLINK("https://klasma.github.io/Logging_0120/tillsyn/A 16084-2021 tillsynsbegäran.docx", "A 16084-2021")</f>
        <v/>
      </c>
      <c r="Y257">
        <f>HYPERLINK("https://klasma.github.io/Logging_0120/tillsynsmail/A 16084-2021 tillsynsbegäran mail.docx", "A 16084-2021")</f>
        <v/>
      </c>
    </row>
    <row r="258" ht="15" customHeight="1">
      <c r="A258" t="inlineStr">
        <is>
          <t>A 16869-2021</t>
        </is>
      </c>
      <c r="B258" s="1" t="n">
        <v>44295</v>
      </c>
      <c r="C258" s="1" t="n">
        <v>45661</v>
      </c>
      <c r="D258" t="inlineStr">
        <is>
          <t>STOCKHOLMS LÄN</t>
        </is>
      </c>
      <c r="E258" t="inlineStr">
        <is>
          <t>NYNÄSHAMN</t>
        </is>
      </c>
      <c r="F258" t="inlineStr">
        <is>
          <t>Kommuner</t>
        </is>
      </c>
      <c r="G258" t="n">
        <v>6.5</v>
      </c>
      <c r="H258" t="n">
        <v>1</v>
      </c>
      <c r="I258" t="n">
        <v>2</v>
      </c>
      <c r="J258" t="n">
        <v>0</v>
      </c>
      <c r="K258" t="n">
        <v>0</v>
      </c>
      <c r="L258" t="n">
        <v>0</v>
      </c>
      <c r="M258" t="n">
        <v>0</v>
      </c>
      <c r="N258" t="n">
        <v>0</v>
      </c>
      <c r="O258" t="n">
        <v>0</v>
      </c>
      <c r="P258" t="n">
        <v>0</v>
      </c>
      <c r="Q258" t="n">
        <v>2</v>
      </c>
      <c r="R258" s="2" t="inlineStr">
        <is>
          <t>Grön sköldmossa
Kattfotslav</t>
        </is>
      </c>
      <c r="S258">
        <f>HYPERLINK("https://klasma.github.io/Logging_0192/artfynd/A 16869-2021 artfynd.xlsx", "A 16869-2021")</f>
        <v/>
      </c>
      <c r="T258">
        <f>HYPERLINK("https://klasma.github.io/Logging_0192/kartor/A 16869-2021 karta.png", "A 16869-2021")</f>
        <v/>
      </c>
      <c r="V258">
        <f>HYPERLINK("https://klasma.github.io/Logging_0192/klagomål/A 16869-2021 FSC-klagomål.docx", "A 16869-2021")</f>
        <v/>
      </c>
      <c r="W258">
        <f>HYPERLINK("https://klasma.github.io/Logging_0192/klagomålsmail/A 16869-2021 FSC-klagomål mail.docx", "A 16869-2021")</f>
        <v/>
      </c>
      <c r="X258">
        <f>HYPERLINK("https://klasma.github.io/Logging_0192/tillsyn/A 16869-2021 tillsynsbegäran.docx", "A 16869-2021")</f>
        <v/>
      </c>
      <c r="Y258">
        <f>HYPERLINK("https://klasma.github.io/Logging_0192/tillsynsmail/A 16869-2021 tillsynsbegäran mail.docx", "A 16869-2021")</f>
        <v/>
      </c>
    </row>
    <row r="259" ht="15" customHeight="1">
      <c r="A259" t="inlineStr">
        <is>
          <t>A 17648-2021</t>
        </is>
      </c>
      <c r="B259" s="1" t="n">
        <v>44300</v>
      </c>
      <c r="C259" s="1" t="n">
        <v>45661</v>
      </c>
      <c r="D259" t="inlineStr">
        <is>
          <t>STOCKHOLMS LÄN</t>
        </is>
      </c>
      <c r="E259" t="inlineStr">
        <is>
          <t>SÖDERTÄLJE</t>
        </is>
      </c>
      <c r="G259" t="n">
        <v>11.8</v>
      </c>
      <c r="H259" t="n">
        <v>0</v>
      </c>
      <c r="I259" t="n">
        <v>0</v>
      </c>
      <c r="J259" t="n">
        <v>1</v>
      </c>
      <c r="K259" t="n">
        <v>1</v>
      </c>
      <c r="L259" t="n">
        <v>0</v>
      </c>
      <c r="M259" t="n">
        <v>0</v>
      </c>
      <c r="N259" t="n">
        <v>0</v>
      </c>
      <c r="O259" t="n">
        <v>2</v>
      </c>
      <c r="P259" t="n">
        <v>1</v>
      </c>
      <c r="Q259" t="n">
        <v>2</v>
      </c>
      <c r="R259" s="2" t="inlineStr">
        <is>
          <t>Hedpärlemorfjäril
Sexfläckig bastardsvärmare</t>
        </is>
      </c>
      <c r="S259">
        <f>HYPERLINK("https://klasma.github.io/Logging_0181/artfynd/A 17648-2021 artfynd.xlsx", "A 17648-2021")</f>
        <v/>
      </c>
      <c r="T259">
        <f>HYPERLINK("https://klasma.github.io/Logging_0181/kartor/A 17648-2021 karta.png", "A 17648-2021")</f>
        <v/>
      </c>
      <c r="V259">
        <f>HYPERLINK("https://klasma.github.io/Logging_0181/klagomål/A 17648-2021 FSC-klagomål.docx", "A 17648-2021")</f>
        <v/>
      </c>
      <c r="W259">
        <f>HYPERLINK("https://klasma.github.io/Logging_0181/klagomålsmail/A 17648-2021 FSC-klagomål mail.docx", "A 17648-2021")</f>
        <v/>
      </c>
      <c r="X259">
        <f>HYPERLINK("https://klasma.github.io/Logging_0181/tillsyn/A 17648-2021 tillsynsbegäran.docx", "A 17648-2021")</f>
        <v/>
      </c>
      <c r="Y259">
        <f>HYPERLINK("https://klasma.github.io/Logging_0181/tillsynsmail/A 17648-2021 tillsynsbegäran mail.docx", "A 17648-2021")</f>
        <v/>
      </c>
    </row>
    <row r="260" ht="15" customHeight="1">
      <c r="A260" t="inlineStr">
        <is>
          <t>A 31803-2021</t>
        </is>
      </c>
      <c r="B260" s="1" t="n">
        <v>44370</v>
      </c>
      <c r="C260" s="1" t="n">
        <v>45661</v>
      </c>
      <c r="D260" t="inlineStr">
        <is>
          <t>STOCKHOLMS LÄN</t>
        </is>
      </c>
      <c r="E260" t="inlineStr">
        <is>
          <t>NORRTÄLJE</t>
        </is>
      </c>
      <c r="G260" t="n">
        <v>4.6</v>
      </c>
      <c r="H260" t="n">
        <v>0</v>
      </c>
      <c r="I260" t="n">
        <v>1</v>
      </c>
      <c r="J260" t="n">
        <v>1</v>
      </c>
      <c r="K260" t="n">
        <v>0</v>
      </c>
      <c r="L260" t="n">
        <v>0</v>
      </c>
      <c r="M260" t="n">
        <v>0</v>
      </c>
      <c r="N260" t="n">
        <v>0</v>
      </c>
      <c r="O260" t="n">
        <v>1</v>
      </c>
      <c r="P260" t="n">
        <v>0</v>
      </c>
      <c r="Q260" t="n">
        <v>2</v>
      </c>
      <c r="R260" s="2" t="inlineStr">
        <is>
          <t>Slåtterfibbla
Vårärt</t>
        </is>
      </c>
      <c r="S260">
        <f>HYPERLINK("https://klasma.github.io/Logging_0188/artfynd/A 31803-2021 artfynd.xlsx", "A 31803-2021")</f>
        <v/>
      </c>
      <c r="T260">
        <f>HYPERLINK("https://klasma.github.io/Logging_0188/kartor/A 31803-2021 karta.png", "A 31803-2021")</f>
        <v/>
      </c>
      <c r="V260">
        <f>HYPERLINK("https://klasma.github.io/Logging_0188/klagomål/A 31803-2021 FSC-klagomål.docx", "A 31803-2021")</f>
        <v/>
      </c>
      <c r="W260">
        <f>HYPERLINK("https://klasma.github.io/Logging_0188/klagomålsmail/A 31803-2021 FSC-klagomål mail.docx", "A 31803-2021")</f>
        <v/>
      </c>
      <c r="X260">
        <f>HYPERLINK("https://klasma.github.io/Logging_0188/tillsyn/A 31803-2021 tillsynsbegäran.docx", "A 31803-2021")</f>
        <v/>
      </c>
      <c r="Y260">
        <f>HYPERLINK("https://klasma.github.io/Logging_0188/tillsynsmail/A 31803-2021 tillsynsbegäran mail.docx", "A 31803-2021")</f>
        <v/>
      </c>
    </row>
    <row r="261" ht="15" customHeight="1">
      <c r="A261" t="inlineStr">
        <is>
          <t>A 40072-2021</t>
        </is>
      </c>
      <c r="B261" s="1" t="n">
        <v>44418</v>
      </c>
      <c r="C261" s="1" t="n">
        <v>45661</v>
      </c>
      <c r="D261" t="inlineStr">
        <is>
          <t>STOCKHOLMS LÄN</t>
        </is>
      </c>
      <c r="E261" t="inlineStr">
        <is>
          <t>NORRTÄLJE</t>
        </is>
      </c>
      <c r="G261" t="n">
        <v>1.1</v>
      </c>
      <c r="H261" t="n">
        <v>2</v>
      </c>
      <c r="I261" t="n">
        <v>0</v>
      </c>
      <c r="J261" t="n">
        <v>2</v>
      </c>
      <c r="K261" t="n">
        <v>0</v>
      </c>
      <c r="L261" t="n">
        <v>0</v>
      </c>
      <c r="M261" t="n">
        <v>0</v>
      </c>
      <c r="N261" t="n">
        <v>0</v>
      </c>
      <c r="O261" t="n">
        <v>2</v>
      </c>
      <c r="P261" t="n">
        <v>0</v>
      </c>
      <c r="Q261" t="n">
        <v>2</v>
      </c>
      <c r="R261" s="2" t="inlineStr">
        <is>
          <t>Rördrom
Slaguggla</t>
        </is>
      </c>
      <c r="S261">
        <f>HYPERLINK("https://klasma.github.io/Logging_0188/artfynd/A 40072-2021 artfynd.xlsx", "A 40072-2021")</f>
        <v/>
      </c>
      <c r="T261">
        <f>HYPERLINK("https://klasma.github.io/Logging_0188/kartor/A 40072-2021 karta.png", "A 40072-2021")</f>
        <v/>
      </c>
      <c r="V261">
        <f>HYPERLINK("https://klasma.github.io/Logging_0188/klagomål/A 40072-2021 FSC-klagomål.docx", "A 40072-2021")</f>
        <v/>
      </c>
      <c r="W261">
        <f>HYPERLINK("https://klasma.github.io/Logging_0188/klagomålsmail/A 40072-2021 FSC-klagomål mail.docx", "A 40072-2021")</f>
        <v/>
      </c>
      <c r="X261">
        <f>HYPERLINK("https://klasma.github.io/Logging_0188/tillsyn/A 40072-2021 tillsynsbegäran.docx", "A 40072-2021")</f>
        <v/>
      </c>
      <c r="Y261">
        <f>HYPERLINK("https://klasma.github.io/Logging_0188/tillsynsmail/A 40072-2021 tillsynsbegäran mail.docx", "A 40072-2021")</f>
        <v/>
      </c>
      <c r="Z261">
        <f>HYPERLINK("https://klasma.github.io/Logging_0188/fåglar/A 40072-2021 prioriterade fågelarter.docx", "A 40072-2021")</f>
        <v/>
      </c>
    </row>
    <row r="262" ht="15" customHeight="1">
      <c r="A262" t="inlineStr">
        <is>
          <t>A 58676-2021</t>
        </is>
      </c>
      <c r="B262" s="1" t="n">
        <v>44489</v>
      </c>
      <c r="C262" s="1" t="n">
        <v>45661</v>
      </c>
      <c r="D262" t="inlineStr">
        <is>
          <t>STOCKHOLMS LÄN</t>
        </is>
      </c>
      <c r="E262" t="inlineStr">
        <is>
          <t>NORRTÄLJE</t>
        </is>
      </c>
      <c r="G262" t="n">
        <v>0.6</v>
      </c>
      <c r="H262" t="n">
        <v>2</v>
      </c>
      <c r="I262" t="n">
        <v>0</v>
      </c>
      <c r="J262" t="n">
        <v>0</v>
      </c>
      <c r="K262" t="n">
        <v>0</v>
      </c>
      <c r="L262" t="n">
        <v>0</v>
      </c>
      <c r="M262" t="n">
        <v>0</v>
      </c>
      <c r="N262" t="n">
        <v>0</v>
      </c>
      <c r="O262" t="n">
        <v>0</v>
      </c>
      <c r="P262" t="n">
        <v>0</v>
      </c>
      <c r="Q262" t="n">
        <v>2</v>
      </c>
      <c r="R262" s="2" t="inlineStr">
        <is>
          <t>Nattviol
Blåsippa</t>
        </is>
      </c>
      <c r="S262">
        <f>HYPERLINK("https://klasma.github.io/Logging_0188/artfynd/A 58676-2021 artfynd.xlsx", "A 58676-2021")</f>
        <v/>
      </c>
      <c r="T262">
        <f>HYPERLINK("https://klasma.github.io/Logging_0188/kartor/A 58676-2021 karta.png", "A 58676-2021")</f>
        <v/>
      </c>
      <c r="V262">
        <f>HYPERLINK("https://klasma.github.io/Logging_0188/klagomål/A 58676-2021 FSC-klagomål.docx", "A 58676-2021")</f>
        <v/>
      </c>
      <c r="W262">
        <f>HYPERLINK("https://klasma.github.io/Logging_0188/klagomålsmail/A 58676-2021 FSC-klagomål mail.docx", "A 58676-2021")</f>
        <v/>
      </c>
      <c r="X262">
        <f>HYPERLINK("https://klasma.github.io/Logging_0188/tillsyn/A 58676-2021 tillsynsbegäran.docx", "A 58676-2021")</f>
        <v/>
      </c>
      <c r="Y262">
        <f>HYPERLINK("https://klasma.github.io/Logging_0188/tillsynsmail/A 58676-2021 tillsynsbegäran mail.docx", "A 58676-2021")</f>
        <v/>
      </c>
    </row>
    <row r="263" ht="15" customHeight="1">
      <c r="A263" t="inlineStr">
        <is>
          <t>A 59732-2021</t>
        </is>
      </c>
      <c r="B263" s="1" t="n">
        <v>44494</v>
      </c>
      <c r="C263" s="1" t="n">
        <v>45661</v>
      </c>
      <c r="D263" t="inlineStr">
        <is>
          <t>STOCKHOLMS LÄN</t>
        </is>
      </c>
      <c r="E263" t="inlineStr">
        <is>
          <t>UPPLANDS-BRO</t>
        </is>
      </c>
      <c r="F263" t="inlineStr">
        <is>
          <t>Övriga statliga verk och myndigheter</t>
        </is>
      </c>
      <c r="G263" t="n">
        <v>17.2</v>
      </c>
      <c r="H263" t="n">
        <v>1</v>
      </c>
      <c r="I263" t="n">
        <v>0</v>
      </c>
      <c r="J263" t="n">
        <v>1</v>
      </c>
      <c r="K263" t="n">
        <v>0</v>
      </c>
      <c r="L263" t="n">
        <v>0</v>
      </c>
      <c r="M263" t="n">
        <v>0</v>
      </c>
      <c r="N263" t="n">
        <v>0</v>
      </c>
      <c r="O263" t="n">
        <v>1</v>
      </c>
      <c r="P263" t="n">
        <v>0</v>
      </c>
      <c r="Q263" t="n">
        <v>2</v>
      </c>
      <c r="R263" s="2" t="inlineStr">
        <is>
          <t>Ängsskära
Gullviva</t>
        </is>
      </c>
      <c r="S263">
        <f>HYPERLINK("https://klasma.github.io/Logging_0139/artfynd/A 59732-2021 artfynd.xlsx", "A 59732-2021")</f>
        <v/>
      </c>
      <c r="T263">
        <f>HYPERLINK("https://klasma.github.io/Logging_0139/kartor/A 59732-2021 karta.png", "A 59732-2021")</f>
        <v/>
      </c>
      <c r="V263">
        <f>HYPERLINK("https://klasma.github.io/Logging_0139/klagomål/A 59732-2021 FSC-klagomål.docx", "A 59732-2021")</f>
        <v/>
      </c>
      <c r="W263">
        <f>HYPERLINK("https://klasma.github.io/Logging_0139/klagomålsmail/A 59732-2021 FSC-klagomål mail.docx", "A 59732-2021")</f>
        <v/>
      </c>
      <c r="X263">
        <f>HYPERLINK("https://klasma.github.io/Logging_0139/tillsyn/A 59732-2021 tillsynsbegäran.docx", "A 59732-2021")</f>
        <v/>
      </c>
      <c r="Y263">
        <f>HYPERLINK("https://klasma.github.io/Logging_0139/tillsynsmail/A 59732-2021 tillsynsbegäran mail.docx", "A 59732-2021")</f>
        <v/>
      </c>
    </row>
    <row r="264" ht="15" customHeight="1">
      <c r="A264" t="inlineStr">
        <is>
          <t>A 61275-2021</t>
        </is>
      </c>
      <c r="B264" s="1" t="n">
        <v>44498</v>
      </c>
      <c r="C264" s="1" t="n">
        <v>45661</v>
      </c>
      <c r="D264" t="inlineStr">
        <is>
          <t>STOCKHOLMS LÄN</t>
        </is>
      </c>
      <c r="E264" t="inlineStr">
        <is>
          <t>ÖSTERÅKER</t>
        </is>
      </c>
      <c r="G264" t="n">
        <v>2.1</v>
      </c>
      <c r="H264" t="n">
        <v>2</v>
      </c>
      <c r="I264" t="n">
        <v>0</v>
      </c>
      <c r="J264" t="n">
        <v>0</v>
      </c>
      <c r="K264" t="n">
        <v>0</v>
      </c>
      <c r="L264" t="n">
        <v>0</v>
      </c>
      <c r="M264" t="n">
        <v>0</v>
      </c>
      <c r="N264" t="n">
        <v>0</v>
      </c>
      <c r="O264" t="n">
        <v>0</v>
      </c>
      <c r="P264" t="n">
        <v>0</v>
      </c>
      <c r="Q264" t="n">
        <v>2</v>
      </c>
      <c r="R264" s="2" t="inlineStr">
        <is>
          <t>Fläcknycklar
Nattviol</t>
        </is>
      </c>
      <c r="S264">
        <f>HYPERLINK("https://klasma.github.io/Logging_0117/artfynd/A 61275-2021 artfynd.xlsx", "A 61275-2021")</f>
        <v/>
      </c>
      <c r="T264">
        <f>HYPERLINK("https://klasma.github.io/Logging_0117/kartor/A 61275-2021 karta.png", "A 61275-2021")</f>
        <v/>
      </c>
      <c r="V264">
        <f>HYPERLINK("https://klasma.github.io/Logging_0117/klagomål/A 61275-2021 FSC-klagomål.docx", "A 61275-2021")</f>
        <v/>
      </c>
      <c r="W264">
        <f>HYPERLINK("https://klasma.github.io/Logging_0117/klagomålsmail/A 61275-2021 FSC-klagomål mail.docx", "A 61275-2021")</f>
        <v/>
      </c>
      <c r="X264">
        <f>HYPERLINK("https://klasma.github.io/Logging_0117/tillsyn/A 61275-2021 tillsynsbegäran.docx", "A 61275-2021")</f>
        <v/>
      </c>
      <c r="Y264">
        <f>HYPERLINK("https://klasma.github.io/Logging_0117/tillsynsmail/A 61275-2021 tillsynsbegäran mail.docx", "A 61275-2021")</f>
        <v/>
      </c>
    </row>
    <row r="265" ht="15" customHeight="1">
      <c r="A265" t="inlineStr">
        <is>
          <t>A 60-2022</t>
        </is>
      </c>
      <c r="B265" s="1" t="n">
        <v>44560</v>
      </c>
      <c r="C265" s="1" t="n">
        <v>45661</v>
      </c>
      <c r="D265" t="inlineStr">
        <is>
          <t>STOCKHOLMS LÄN</t>
        </is>
      </c>
      <c r="E265" t="inlineStr">
        <is>
          <t>VALLENTUNA</t>
        </is>
      </c>
      <c r="F265" t="inlineStr">
        <is>
          <t>Övriga Aktiebolag</t>
        </is>
      </c>
      <c r="G265" t="n">
        <v>14.3</v>
      </c>
      <c r="H265" t="n">
        <v>0</v>
      </c>
      <c r="I265" t="n">
        <v>2</v>
      </c>
      <c r="J265" t="n">
        <v>0</v>
      </c>
      <c r="K265" t="n">
        <v>0</v>
      </c>
      <c r="L265" t="n">
        <v>0</v>
      </c>
      <c r="M265" t="n">
        <v>0</v>
      </c>
      <c r="N265" t="n">
        <v>0</v>
      </c>
      <c r="O265" t="n">
        <v>0</v>
      </c>
      <c r="P265" t="n">
        <v>0</v>
      </c>
      <c r="Q265" t="n">
        <v>2</v>
      </c>
      <c r="R265" s="2" t="inlineStr">
        <is>
          <t>Vätteros
Vårärt</t>
        </is>
      </c>
      <c r="S265">
        <f>HYPERLINK("https://klasma.github.io/Logging_0115/artfynd/A 60-2022 artfynd.xlsx", "A 60-2022")</f>
        <v/>
      </c>
      <c r="T265">
        <f>HYPERLINK("https://klasma.github.io/Logging_0115/kartor/A 60-2022 karta.png", "A 60-2022")</f>
        <v/>
      </c>
      <c r="V265">
        <f>HYPERLINK("https://klasma.github.io/Logging_0115/klagomål/A 60-2022 FSC-klagomål.docx", "A 60-2022")</f>
        <v/>
      </c>
      <c r="W265">
        <f>HYPERLINK("https://klasma.github.io/Logging_0115/klagomålsmail/A 60-2022 FSC-klagomål mail.docx", "A 60-2022")</f>
        <v/>
      </c>
      <c r="X265">
        <f>HYPERLINK("https://klasma.github.io/Logging_0115/tillsyn/A 60-2022 tillsynsbegäran.docx", "A 60-2022")</f>
        <v/>
      </c>
      <c r="Y265">
        <f>HYPERLINK("https://klasma.github.io/Logging_0115/tillsynsmail/A 60-2022 tillsynsbegäran mail.docx", "A 60-2022")</f>
        <v/>
      </c>
    </row>
    <row r="266" ht="15" customHeight="1">
      <c r="A266" t="inlineStr">
        <is>
          <t>A 46-2022</t>
        </is>
      </c>
      <c r="B266" s="1" t="n">
        <v>44560</v>
      </c>
      <c r="C266" s="1" t="n">
        <v>45661</v>
      </c>
      <c r="D266" t="inlineStr">
        <is>
          <t>STOCKHOLMS LÄN</t>
        </is>
      </c>
      <c r="E266" t="inlineStr">
        <is>
          <t>VALLENTUNA</t>
        </is>
      </c>
      <c r="F266" t="inlineStr">
        <is>
          <t>Övriga Aktiebolag</t>
        </is>
      </c>
      <c r="G266" t="n">
        <v>7.9</v>
      </c>
      <c r="H266" t="n">
        <v>1</v>
      </c>
      <c r="I266" t="n">
        <v>1</v>
      </c>
      <c r="J266" t="n">
        <v>0</v>
      </c>
      <c r="K266" t="n">
        <v>0</v>
      </c>
      <c r="L266" t="n">
        <v>0</v>
      </c>
      <c r="M266" t="n">
        <v>0</v>
      </c>
      <c r="N266" t="n">
        <v>0</v>
      </c>
      <c r="O266" t="n">
        <v>0</v>
      </c>
      <c r="P266" t="n">
        <v>0</v>
      </c>
      <c r="Q266" t="n">
        <v>2</v>
      </c>
      <c r="R266" s="2" t="inlineStr">
        <is>
          <t>Fällmossa
Blåsippa</t>
        </is>
      </c>
      <c r="S266">
        <f>HYPERLINK("https://klasma.github.io/Logging_0115/artfynd/A 46-2022 artfynd.xlsx", "A 46-2022")</f>
        <v/>
      </c>
      <c r="T266">
        <f>HYPERLINK("https://klasma.github.io/Logging_0115/kartor/A 46-2022 karta.png", "A 46-2022")</f>
        <v/>
      </c>
      <c r="V266">
        <f>HYPERLINK("https://klasma.github.io/Logging_0115/klagomål/A 46-2022 FSC-klagomål.docx", "A 46-2022")</f>
        <v/>
      </c>
      <c r="W266">
        <f>HYPERLINK("https://klasma.github.io/Logging_0115/klagomålsmail/A 46-2022 FSC-klagomål mail.docx", "A 46-2022")</f>
        <v/>
      </c>
      <c r="X266">
        <f>HYPERLINK("https://klasma.github.io/Logging_0115/tillsyn/A 46-2022 tillsynsbegäran.docx", "A 46-2022")</f>
        <v/>
      </c>
      <c r="Y266">
        <f>HYPERLINK("https://klasma.github.io/Logging_0115/tillsynsmail/A 46-2022 tillsynsbegäran mail.docx", "A 46-2022")</f>
        <v/>
      </c>
    </row>
    <row r="267" ht="15" customHeight="1">
      <c r="A267" t="inlineStr">
        <is>
          <t>A 1061-2022</t>
        </is>
      </c>
      <c r="B267" s="1" t="n">
        <v>44571</v>
      </c>
      <c r="C267" s="1" t="n">
        <v>45661</v>
      </c>
      <c r="D267" t="inlineStr">
        <is>
          <t>STOCKHOLMS LÄN</t>
        </is>
      </c>
      <c r="E267" t="inlineStr">
        <is>
          <t>UPPLANDS VÄSBY</t>
        </is>
      </c>
      <c r="G267" t="n">
        <v>5.3</v>
      </c>
      <c r="H267" t="n">
        <v>1</v>
      </c>
      <c r="I267" t="n">
        <v>1</v>
      </c>
      <c r="J267" t="n">
        <v>0</v>
      </c>
      <c r="K267" t="n">
        <v>0</v>
      </c>
      <c r="L267" t="n">
        <v>0</v>
      </c>
      <c r="M267" t="n">
        <v>0</v>
      </c>
      <c r="N267" t="n">
        <v>0</v>
      </c>
      <c r="O267" t="n">
        <v>0</v>
      </c>
      <c r="P267" t="n">
        <v>0</v>
      </c>
      <c r="Q267" t="n">
        <v>2</v>
      </c>
      <c r="R267" s="2" t="inlineStr">
        <is>
          <t>Blomkålssvamp
Blåsippa</t>
        </is>
      </c>
      <c r="S267">
        <f>HYPERLINK("https://klasma.github.io/Logging_0114/artfynd/A 1061-2022 artfynd.xlsx", "A 1061-2022")</f>
        <v/>
      </c>
      <c r="T267">
        <f>HYPERLINK("https://klasma.github.io/Logging_0114/kartor/A 1061-2022 karta.png", "A 1061-2022")</f>
        <v/>
      </c>
      <c r="V267">
        <f>HYPERLINK("https://klasma.github.io/Logging_0114/klagomål/A 1061-2022 FSC-klagomål.docx", "A 1061-2022")</f>
        <v/>
      </c>
      <c r="W267">
        <f>HYPERLINK("https://klasma.github.io/Logging_0114/klagomålsmail/A 1061-2022 FSC-klagomål mail.docx", "A 1061-2022")</f>
        <v/>
      </c>
      <c r="X267">
        <f>HYPERLINK("https://klasma.github.io/Logging_0114/tillsyn/A 1061-2022 tillsynsbegäran.docx", "A 1061-2022")</f>
        <v/>
      </c>
      <c r="Y267">
        <f>HYPERLINK("https://klasma.github.io/Logging_0114/tillsynsmail/A 1061-2022 tillsynsbegäran mail.docx", "A 1061-2022")</f>
        <v/>
      </c>
    </row>
    <row r="268" ht="15" customHeight="1">
      <c r="A268" t="inlineStr">
        <is>
          <t>A 6852-2022</t>
        </is>
      </c>
      <c r="B268" s="1" t="n">
        <v>44602</v>
      </c>
      <c r="C268" s="1" t="n">
        <v>45661</v>
      </c>
      <c r="D268" t="inlineStr">
        <is>
          <t>STOCKHOLMS LÄN</t>
        </is>
      </c>
      <c r="E268" t="inlineStr">
        <is>
          <t>NYKVARN</t>
        </is>
      </c>
      <c r="F268" t="inlineStr">
        <is>
          <t>Kommuner</t>
        </is>
      </c>
      <c r="G268" t="n">
        <v>5</v>
      </c>
      <c r="H268" t="n">
        <v>0</v>
      </c>
      <c r="I268" t="n">
        <v>2</v>
      </c>
      <c r="J268" t="n">
        <v>0</v>
      </c>
      <c r="K268" t="n">
        <v>0</v>
      </c>
      <c r="L268" t="n">
        <v>0</v>
      </c>
      <c r="M268" t="n">
        <v>0</v>
      </c>
      <c r="N268" t="n">
        <v>0</v>
      </c>
      <c r="O268" t="n">
        <v>0</v>
      </c>
      <c r="P268" t="n">
        <v>0</v>
      </c>
      <c r="Q268" t="n">
        <v>2</v>
      </c>
      <c r="R268" s="2" t="inlineStr">
        <is>
          <t>Fjällig taggsvamp s.str.
Skarp dropptaggsvamp</t>
        </is>
      </c>
      <c r="S268">
        <f>HYPERLINK("https://klasma.github.io/Logging_0140/artfynd/A 6852-2022 artfynd.xlsx", "A 6852-2022")</f>
        <v/>
      </c>
      <c r="T268">
        <f>HYPERLINK("https://klasma.github.io/Logging_0140/kartor/A 6852-2022 karta.png", "A 6852-2022")</f>
        <v/>
      </c>
      <c r="V268">
        <f>HYPERLINK("https://klasma.github.io/Logging_0140/klagomål/A 6852-2022 FSC-klagomål.docx", "A 6852-2022")</f>
        <v/>
      </c>
      <c r="W268">
        <f>HYPERLINK("https://klasma.github.io/Logging_0140/klagomålsmail/A 6852-2022 FSC-klagomål mail.docx", "A 6852-2022")</f>
        <v/>
      </c>
      <c r="X268">
        <f>HYPERLINK("https://klasma.github.io/Logging_0140/tillsyn/A 6852-2022 tillsynsbegäran.docx", "A 6852-2022")</f>
        <v/>
      </c>
      <c r="Y268">
        <f>HYPERLINK("https://klasma.github.io/Logging_0140/tillsynsmail/A 6852-2022 tillsynsbegäran mail.docx", "A 6852-2022")</f>
        <v/>
      </c>
    </row>
    <row r="269" ht="15" customHeight="1">
      <c r="A269" t="inlineStr">
        <is>
          <t>A 8024-2022</t>
        </is>
      </c>
      <c r="B269" s="1" t="n">
        <v>44609</v>
      </c>
      <c r="C269" s="1" t="n">
        <v>45661</v>
      </c>
      <c r="D269" t="inlineStr">
        <is>
          <t>STOCKHOLMS LÄN</t>
        </is>
      </c>
      <c r="E269" t="inlineStr">
        <is>
          <t>NORRTÄLJE</t>
        </is>
      </c>
      <c r="F269" t="inlineStr">
        <is>
          <t>Kyrkan</t>
        </is>
      </c>
      <c r="G269" t="n">
        <v>28.2</v>
      </c>
      <c r="H269" t="n">
        <v>2</v>
      </c>
      <c r="I269" t="n">
        <v>0</v>
      </c>
      <c r="J269" t="n">
        <v>0</v>
      </c>
      <c r="K269" t="n">
        <v>0</v>
      </c>
      <c r="L269" t="n">
        <v>0</v>
      </c>
      <c r="M269" t="n">
        <v>0</v>
      </c>
      <c r="N269" t="n">
        <v>0</v>
      </c>
      <c r="O269" t="n">
        <v>0</v>
      </c>
      <c r="P269" t="n">
        <v>0</v>
      </c>
      <c r="Q269" t="n">
        <v>2</v>
      </c>
      <c r="R269" s="2" t="inlineStr">
        <is>
          <t>Hökuggla
Revlummer</t>
        </is>
      </c>
      <c r="S269">
        <f>HYPERLINK("https://klasma.github.io/Logging_0188/artfynd/A 8024-2022 artfynd.xlsx", "A 8024-2022")</f>
        <v/>
      </c>
      <c r="T269">
        <f>HYPERLINK("https://klasma.github.io/Logging_0188/kartor/A 8024-2022 karta.png", "A 8024-2022")</f>
        <v/>
      </c>
      <c r="V269">
        <f>HYPERLINK("https://klasma.github.io/Logging_0188/klagomål/A 8024-2022 FSC-klagomål.docx", "A 8024-2022")</f>
        <v/>
      </c>
      <c r="W269">
        <f>HYPERLINK("https://klasma.github.io/Logging_0188/klagomålsmail/A 8024-2022 FSC-klagomål mail.docx", "A 8024-2022")</f>
        <v/>
      </c>
      <c r="X269">
        <f>HYPERLINK("https://klasma.github.io/Logging_0188/tillsyn/A 8024-2022 tillsynsbegäran.docx", "A 8024-2022")</f>
        <v/>
      </c>
      <c r="Y269">
        <f>HYPERLINK("https://klasma.github.io/Logging_0188/tillsynsmail/A 8024-2022 tillsynsbegäran mail.docx", "A 8024-2022")</f>
        <v/>
      </c>
      <c r="Z269">
        <f>HYPERLINK("https://klasma.github.io/Logging_0188/fåglar/A 8024-2022 prioriterade fågelarter.docx", "A 8024-2022")</f>
        <v/>
      </c>
    </row>
    <row r="270" ht="15" customHeight="1">
      <c r="A270" t="inlineStr">
        <is>
          <t>A 9745-2022</t>
        </is>
      </c>
      <c r="B270" s="1" t="n">
        <v>44618</v>
      </c>
      <c r="C270" s="1" t="n">
        <v>45661</v>
      </c>
      <c r="D270" t="inlineStr">
        <is>
          <t>STOCKHOLMS LÄN</t>
        </is>
      </c>
      <c r="E270" t="inlineStr">
        <is>
          <t>VALLENTUNA</t>
        </is>
      </c>
      <c r="G270" t="n">
        <v>5.9</v>
      </c>
      <c r="H270" t="n">
        <v>1</v>
      </c>
      <c r="I270" t="n">
        <v>1</v>
      </c>
      <c r="J270" t="n">
        <v>1</v>
      </c>
      <c r="K270" t="n">
        <v>0</v>
      </c>
      <c r="L270" t="n">
        <v>0</v>
      </c>
      <c r="M270" t="n">
        <v>0</v>
      </c>
      <c r="N270" t="n">
        <v>0</v>
      </c>
      <c r="O270" t="n">
        <v>1</v>
      </c>
      <c r="P270" t="n">
        <v>0</v>
      </c>
      <c r="Q270" t="n">
        <v>2</v>
      </c>
      <c r="R270" s="2" t="inlineStr">
        <is>
          <t>Spillkråka
Björksplintborre</t>
        </is>
      </c>
      <c r="S270">
        <f>HYPERLINK("https://klasma.github.io/Logging_0115/artfynd/A 9745-2022 artfynd.xlsx", "A 9745-2022")</f>
        <v/>
      </c>
      <c r="T270">
        <f>HYPERLINK("https://klasma.github.io/Logging_0115/kartor/A 9745-2022 karta.png", "A 9745-2022")</f>
        <v/>
      </c>
      <c r="V270">
        <f>HYPERLINK("https://klasma.github.io/Logging_0115/klagomål/A 9745-2022 FSC-klagomål.docx", "A 9745-2022")</f>
        <v/>
      </c>
      <c r="W270">
        <f>HYPERLINK("https://klasma.github.io/Logging_0115/klagomålsmail/A 9745-2022 FSC-klagomål mail.docx", "A 9745-2022")</f>
        <v/>
      </c>
      <c r="X270">
        <f>HYPERLINK("https://klasma.github.io/Logging_0115/tillsyn/A 9745-2022 tillsynsbegäran.docx", "A 9745-2022")</f>
        <v/>
      </c>
      <c r="Y270">
        <f>HYPERLINK("https://klasma.github.io/Logging_0115/tillsynsmail/A 9745-2022 tillsynsbegäran mail.docx", "A 9745-2022")</f>
        <v/>
      </c>
      <c r="Z270">
        <f>HYPERLINK("https://klasma.github.io/Logging_0115/fåglar/A 9745-2022 prioriterade fågelarter.docx", "A 9745-2022")</f>
        <v/>
      </c>
    </row>
    <row r="271" ht="15" customHeight="1">
      <c r="A271" t="inlineStr">
        <is>
          <t>A 16260-2022</t>
        </is>
      </c>
      <c r="B271" s="1" t="n">
        <v>44670</v>
      </c>
      <c r="C271" s="1" t="n">
        <v>45661</v>
      </c>
      <c r="D271" t="inlineStr">
        <is>
          <t>STOCKHOLMS LÄN</t>
        </is>
      </c>
      <c r="E271" t="inlineStr">
        <is>
          <t>NORRTÄLJE</t>
        </is>
      </c>
      <c r="G271" t="n">
        <v>6.6</v>
      </c>
      <c r="H271" t="n">
        <v>1</v>
      </c>
      <c r="I271" t="n">
        <v>2</v>
      </c>
      <c r="J271" t="n">
        <v>0</v>
      </c>
      <c r="K271" t="n">
        <v>0</v>
      </c>
      <c r="L271" t="n">
        <v>0</v>
      </c>
      <c r="M271" t="n">
        <v>0</v>
      </c>
      <c r="N271" t="n">
        <v>0</v>
      </c>
      <c r="O271" t="n">
        <v>0</v>
      </c>
      <c r="P271" t="n">
        <v>0</v>
      </c>
      <c r="Q271" t="n">
        <v>2</v>
      </c>
      <c r="R271" s="2" t="inlineStr">
        <is>
          <t>Nästrot
Vårärt</t>
        </is>
      </c>
      <c r="S271">
        <f>HYPERLINK("https://klasma.github.io/Logging_0188/artfynd/A 16260-2022 artfynd.xlsx", "A 16260-2022")</f>
        <v/>
      </c>
      <c r="T271">
        <f>HYPERLINK("https://klasma.github.io/Logging_0188/kartor/A 16260-2022 karta.png", "A 16260-2022")</f>
        <v/>
      </c>
      <c r="V271">
        <f>HYPERLINK("https://klasma.github.io/Logging_0188/klagomål/A 16260-2022 FSC-klagomål.docx", "A 16260-2022")</f>
        <v/>
      </c>
      <c r="W271">
        <f>HYPERLINK("https://klasma.github.io/Logging_0188/klagomålsmail/A 16260-2022 FSC-klagomål mail.docx", "A 16260-2022")</f>
        <v/>
      </c>
      <c r="X271">
        <f>HYPERLINK("https://klasma.github.io/Logging_0188/tillsyn/A 16260-2022 tillsynsbegäran.docx", "A 16260-2022")</f>
        <v/>
      </c>
      <c r="Y271">
        <f>HYPERLINK("https://klasma.github.io/Logging_0188/tillsynsmail/A 16260-2022 tillsynsbegäran mail.docx", "A 16260-2022")</f>
        <v/>
      </c>
    </row>
    <row r="272" ht="15" customHeight="1">
      <c r="A272" t="inlineStr">
        <is>
          <t>A 19862-2022</t>
        </is>
      </c>
      <c r="B272" s="1" t="n">
        <v>44696</v>
      </c>
      <c r="C272" s="1" t="n">
        <v>45661</v>
      </c>
      <c r="D272" t="inlineStr">
        <is>
          <t>STOCKHOLMS LÄN</t>
        </is>
      </c>
      <c r="E272" t="inlineStr">
        <is>
          <t>NORRTÄLJE</t>
        </is>
      </c>
      <c r="G272" t="n">
        <v>6</v>
      </c>
      <c r="H272" t="n">
        <v>1</v>
      </c>
      <c r="I272" t="n">
        <v>0</v>
      </c>
      <c r="J272" t="n">
        <v>1</v>
      </c>
      <c r="K272" t="n">
        <v>0</v>
      </c>
      <c r="L272" t="n">
        <v>0</v>
      </c>
      <c r="M272" t="n">
        <v>0</v>
      </c>
      <c r="N272" t="n">
        <v>0</v>
      </c>
      <c r="O272" t="n">
        <v>1</v>
      </c>
      <c r="P272" t="n">
        <v>0</v>
      </c>
      <c r="Q272" t="n">
        <v>2</v>
      </c>
      <c r="R272" s="2" t="inlineStr">
        <is>
          <t>Granticka
Blåsippa</t>
        </is>
      </c>
      <c r="S272">
        <f>HYPERLINK("https://klasma.github.io/Logging_0188/artfynd/A 19862-2022 artfynd.xlsx", "A 19862-2022")</f>
        <v/>
      </c>
      <c r="T272">
        <f>HYPERLINK("https://klasma.github.io/Logging_0188/kartor/A 19862-2022 karta.png", "A 19862-2022")</f>
        <v/>
      </c>
      <c r="V272">
        <f>HYPERLINK("https://klasma.github.io/Logging_0188/klagomål/A 19862-2022 FSC-klagomål.docx", "A 19862-2022")</f>
        <v/>
      </c>
      <c r="W272">
        <f>HYPERLINK("https://klasma.github.io/Logging_0188/klagomålsmail/A 19862-2022 FSC-klagomål mail.docx", "A 19862-2022")</f>
        <v/>
      </c>
      <c r="X272">
        <f>HYPERLINK("https://klasma.github.io/Logging_0188/tillsyn/A 19862-2022 tillsynsbegäran.docx", "A 19862-2022")</f>
        <v/>
      </c>
      <c r="Y272">
        <f>HYPERLINK("https://klasma.github.io/Logging_0188/tillsynsmail/A 19862-2022 tillsynsbegäran mail.docx", "A 19862-2022")</f>
        <v/>
      </c>
    </row>
    <row r="273" ht="15" customHeight="1">
      <c r="A273" t="inlineStr">
        <is>
          <t>A 27742-2022</t>
        </is>
      </c>
      <c r="B273" s="1" t="n">
        <v>44743</v>
      </c>
      <c r="C273" s="1" t="n">
        <v>45661</v>
      </c>
      <c r="D273" t="inlineStr">
        <is>
          <t>STOCKHOLMS LÄN</t>
        </is>
      </c>
      <c r="E273" t="inlineStr">
        <is>
          <t>NORRTÄLJE</t>
        </is>
      </c>
      <c r="G273" t="n">
        <v>3.9</v>
      </c>
      <c r="H273" t="n">
        <v>1</v>
      </c>
      <c r="I273" t="n">
        <v>1</v>
      </c>
      <c r="J273" t="n">
        <v>0</v>
      </c>
      <c r="K273" t="n">
        <v>0</v>
      </c>
      <c r="L273" t="n">
        <v>0</v>
      </c>
      <c r="M273" t="n">
        <v>0</v>
      </c>
      <c r="N273" t="n">
        <v>0</v>
      </c>
      <c r="O273" t="n">
        <v>0</v>
      </c>
      <c r="P273" t="n">
        <v>0</v>
      </c>
      <c r="Q273" t="n">
        <v>2</v>
      </c>
      <c r="R273" s="2" t="inlineStr">
        <is>
          <t>Svavelriska
Blåsippa</t>
        </is>
      </c>
      <c r="S273">
        <f>HYPERLINK("https://klasma.github.io/Logging_0188/artfynd/A 27742-2022 artfynd.xlsx", "A 27742-2022")</f>
        <v/>
      </c>
      <c r="T273">
        <f>HYPERLINK("https://klasma.github.io/Logging_0188/kartor/A 27742-2022 karta.png", "A 27742-2022")</f>
        <v/>
      </c>
      <c r="V273">
        <f>HYPERLINK("https://klasma.github.io/Logging_0188/klagomål/A 27742-2022 FSC-klagomål.docx", "A 27742-2022")</f>
        <v/>
      </c>
      <c r="W273">
        <f>HYPERLINK("https://klasma.github.io/Logging_0188/klagomålsmail/A 27742-2022 FSC-klagomål mail.docx", "A 27742-2022")</f>
        <v/>
      </c>
      <c r="X273">
        <f>HYPERLINK("https://klasma.github.io/Logging_0188/tillsyn/A 27742-2022 tillsynsbegäran.docx", "A 27742-2022")</f>
        <v/>
      </c>
      <c r="Y273">
        <f>HYPERLINK("https://klasma.github.io/Logging_0188/tillsynsmail/A 27742-2022 tillsynsbegäran mail.docx", "A 27742-2022")</f>
        <v/>
      </c>
    </row>
    <row r="274" ht="15" customHeight="1">
      <c r="A274" t="inlineStr">
        <is>
          <t>A 30693-2022</t>
        </is>
      </c>
      <c r="B274" s="1" t="n">
        <v>44763</v>
      </c>
      <c r="C274" s="1" t="n">
        <v>45661</v>
      </c>
      <c r="D274" t="inlineStr">
        <is>
          <t>STOCKHOLMS LÄN</t>
        </is>
      </c>
      <c r="E274" t="inlineStr">
        <is>
          <t>NORRTÄLJE</t>
        </is>
      </c>
      <c r="F274" t="inlineStr">
        <is>
          <t>Sveaskog</t>
        </is>
      </c>
      <c r="G274" t="n">
        <v>3.4</v>
      </c>
      <c r="H274" t="n">
        <v>2</v>
      </c>
      <c r="I274" t="n">
        <v>0</v>
      </c>
      <c r="J274" t="n">
        <v>1</v>
      </c>
      <c r="K274" t="n">
        <v>0</v>
      </c>
      <c r="L274" t="n">
        <v>0</v>
      </c>
      <c r="M274" t="n">
        <v>0</v>
      </c>
      <c r="N274" t="n">
        <v>0</v>
      </c>
      <c r="O274" t="n">
        <v>1</v>
      </c>
      <c r="P274" t="n">
        <v>0</v>
      </c>
      <c r="Q274" t="n">
        <v>2</v>
      </c>
      <c r="R274" s="2" t="inlineStr">
        <is>
          <t>Gulsparv
Gullviva</t>
        </is>
      </c>
      <c r="S274">
        <f>HYPERLINK("https://klasma.github.io/Logging_0188/artfynd/A 30693-2022 artfynd.xlsx", "A 30693-2022")</f>
        <v/>
      </c>
      <c r="T274">
        <f>HYPERLINK("https://klasma.github.io/Logging_0188/kartor/A 30693-2022 karta.png", "A 30693-2022")</f>
        <v/>
      </c>
      <c r="V274">
        <f>HYPERLINK("https://klasma.github.io/Logging_0188/klagomål/A 30693-2022 FSC-klagomål.docx", "A 30693-2022")</f>
        <v/>
      </c>
      <c r="W274">
        <f>HYPERLINK("https://klasma.github.io/Logging_0188/klagomålsmail/A 30693-2022 FSC-klagomål mail.docx", "A 30693-2022")</f>
        <v/>
      </c>
      <c r="X274">
        <f>HYPERLINK("https://klasma.github.io/Logging_0188/tillsyn/A 30693-2022 tillsynsbegäran.docx", "A 30693-2022")</f>
        <v/>
      </c>
      <c r="Y274">
        <f>HYPERLINK("https://klasma.github.io/Logging_0188/tillsynsmail/A 30693-2022 tillsynsbegäran mail.docx", "A 30693-2022")</f>
        <v/>
      </c>
      <c r="Z274">
        <f>HYPERLINK("https://klasma.github.io/Logging_0188/fåglar/A 30693-2022 prioriterade fågelarter.docx", "A 30693-2022")</f>
        <v/>
      </c>
    </row>
    <row r="275" ht="15" customHeight="1">
      <c r="A275" t="inlineStr">
        <is>
          <t>A 31523-2022</t>
        </is>
      </c>
      <c r="B275" s="1" t="n">
        <v>44775</v>
      </c>
      <c r="C275" s="1" t="n">
        <v>45661</v>
      </c>
      <c r="D275" t="inlineStr">
        <is>
          <t>STOCKHOLMS LÄN</t>
        </is>
      </c>
      <c r="E275" t="inlineStr">
        <is>
          <t>ÖSTERÅKER</t>
        </is>
      </c>
      <c r="G275" t="n">
        <v>9</v>
      </c>
      <c r="H275" t="n">
        <v>0</v>
      </c>
      <c r="I275" t="n">
        <v>0</v>
      </c>
      <c r="J275" t="n">
        <v>2</v>
      </c>
      <c r="K275" t="n">
        <v>0</v>
      </c>
      <c r="L275" t="n">
        <v>0</v>
      </c>
      <c r="M275" t="n">
        <v>0</v>
      </c>
      <c r="N275" t="n">
        <v>0</v>
      </c>
      <c r="O275" t="n">
        <v>2</v>
      </c>
      <c r="P275" t="n">
        <v>0</v>
      </c>
      <c r="Q275" t="n">
        <v>2</v>
      </c>
      <c r="R275" s="2" t="inlineStr">
        <is>
          <t>Garnlav
Tallticka</t>
        </is>
      </c>
      <c r="S275">
        <f>HYPERLINK("https://klasma.github.io/Logging_0117/artfynd/A 31523-2022 artfynd.xlsx", "A 31523-2022")</f>
        <v/>
      </c>
      <c r="T275">
        <f>HYPERLINK("https://klasma.github.io/Logging_0117/kartor/A 31523-2022 karta.png", "A 31523-2022")</f>
        <v/>
      </c>
      <c r="V275">
        <f>HYPERLINK("https://klasma.github.io/Logging_0117/klagomål/A 31523-2022 FSC-klagomål.docx", "A 31523-2022")</f>
        <v/>
      </c>
      <c r="W275">
        <f>HYPERLINK("https://klasma.github.io/Logging_0117/klagomålsmail/A 31523-2022 FSC-klagomål mail.docx", "A 31523-2022")</f>
        <v/>
      </c>
      <c r="X275">
        <f>HYPERLINK("https://klasma.github.io/Logging_0117/tillsyn/A 31523-2022 tillsynsbegäran.docx", "A 31523-2022")</f>
        <v/>
      </c>
      <c r="Y275">
        <f>HYPERLINK("https://klasma.github.io/Logging_0117/tillsynsmail/A 31523-2022 tillsynsbegäran mail.docx", "A 31523-2022")</f>
        <v/>
      </c>
    </row>
    <row r="276" ht="15" customHeight="1">
      <c r="A276" t="inlineStr">
        <is>
          <t>A 34068-2022</t>
        </is>
      </c>
      <c r="B276" s="1" t="n">
        <v>44791</v>
      </c>
      <c r="C276" s="1" t="n">
        <v>45661</v>
      </c>
      <c r="D276" t="inlineStr">
        <is>
          <t>STOCKHOLMS LÄN</t>
        </is>
      </c>
      <c r="E276" t="inlineStr">
        <is>
          <t>SIGTUNA</t>
        </is>
      </c>
      <c r="G276" t="n">
        <v>5.8</v>
      </c>
      <c r="H276" t="n">
        <v>1</v>
      </c>
      <c r="I276" t="n">
        <v>0</v>
      </c>
      <c r="J276" t="n">
        <v>0</v>
      </c>
      <c r="K276" t="n">
        <v>0</v>
      </c>
      <c r="L276" t="n">
        <v>1</v>
      </c>
      <c r="M276" t="n">
        <v>0</v>
      </c>
      <c r="N276" t="n">
        <v>0</v>
      </c>
      <c r="O276" t="n">
        <v>1</v>
      </c>
      <c r="P276" t="n">
        <v>1</v>
      </c>
      <c r="Q276" t="n">
        <v>2</v>
      </c>
      <c r="R276" s="2" t="inlineStr">
        <is>
          <t>Ask
Gullviva</t>
        </is>
      </c>
      <c r="S276">
        <f>HYPERLINK("https://klasma.github.io/Logging_0191/artfynd/A 34068-2022 artfynd.xlsx", "A 34068-2022")</f>
        <v/>
      </c>
      <c r="T276">
        <f>HYPERLINK("https://klasma.github.io/Logging_0191/kartor/A 34068-2022 karta.png", "A 34068-2022")</f>
        <v/>
      </c>
      <c r="V276">
        <f>HYPERLINK("https://klasma.github.io/Logging_0191/klagomål/A 34068-2022 FSC-klagomål.docx", "A 34068-2022")</f>
        <v/>
      </c>
      <c r="W276">
        <f>HYPERLINK("https://klasma.github.io/Logging_0191/klagomålsmail/A 34068-2022 FSC-klagomål mail.docx", "A 34068-2022")</f>
        <v/>
      </c>
      <c r="X276">
        <f>HYPERLINK("https://klasma.github.io/Logging_0191/tillsyn/A 34068-2022 tillsynsbegäran.docx", "A 34068-2022")</f>
        <v/>
      </c>
      <c r="Y276">
        <f>HYPERLINK("https://klasma.github.io/Logging_0191/tillsynsmail/A 34068-2022 tillsynsbegäran mail.docx", "A 34068-2022")</f>
        <v/>
      </c>
    </row>
    <row r="277" ht="15" customHeight="1">
      <c r="A277" t="inlineStr">
        <is>
          <t>A 38597-2022</t>
        </is>
      </c>
      <c r="B277" s="1" t="n">
        <v>44813</v>
      </c>
      <c r="C277" s="1" t="n">
        <v>45661</v>
      </c>
      <c r="D277" t="inlineStr">
        <is>
          <t>STOCKHOLMS LÄN</t>
        </is>
      </c>
      <c r="E277" t="inlineStr">
        <is>
          <t>NORRTÄLJE</t>
        </is>
      </c>
      <c r="G277" t="n">
        <v>13.2</v>
      </c>
      <c r="H277" t="n">
        <v>1</v>
      </c>
      <c r="I277" t="n">
        <v>1</v>
      </c>
      <c r="J277" t="n">
        <v>0</v>
      </c>
      <c r="K277" t="n">
        <v>0</v>
      </c>
      <c r="L277" t="n">
        <v>1</v>
      </c>
      <c r="M277" t="n">
        <v>0</v>
      </c>
      <c r="N277" t="n">
        <v>0</v>
      </c>
      <c r="O277" t="n">
        <v>1</v>
      </c>
      <c r="P277" t="n">
        <v>1</v>
      </c>
      <c r="Q277" t="n">
        <v>2</v>
      </c>
      <c r="R277" s="2" t="inlineStr">
        <is>
          <t>Asknätfjäril
Scharlakansvårskål agg.</t>
        </is>
      </c>
      <c r="S277">
        <f>HYPERLINK("https://klasma.github.io/Logging_0188/artfynd/A 38597-2022 artfynd.xlsx", "A 38597-2022")</f>
        <v/>
      </c>
      <c r="T277">
        <f>HYPERLINK("https://klasma.github.io/Logging_0188/kartor/A 38597-2022 karta.png", "A 38597-2022")</f>
        <v/>
      </c>
      <c r="V277">
        <f>HYPERLINK("https://klasma.github.io/Logging_0188/klagomål/A 38597-2022 FSC-klagomål.docx", "A 38597-2022")</f>
        <v/>
      </c>
      <c r="W277">
        <f>HYPERLINK("https://klasma.github.io/Logging_0188/klagomålsmail/A 38597-2022 FSC-klagomål mail.docx", "A 38597-2022")</f>
        <v/>
      </c>
      <c r="X277">
        <f>HYPERLINK("https://klasma.github.io/Logging_0188/tillsyn/A 38597-2022 tillsynsbegäran.docx", "A 38597-2022")</f>
        <v/>
      </c>
      <c r="Y277">
        <f>HYPERLINK("https://klasma.github.io/Logging_0188/tillsynsmail/A 38597-2022 tillsynsbegäran mail.docx", "A 38597-2022")</f>
        <v/>
      </c>
    </row>
    <row r="278" ht="15" customHeight="1">
      <c r="A278" t="inlineStr">
        <is>
          <t>A 52046-2022</t>
        </is>
      </c>
      <c r="B278" s="1" t="n">
        <v>44868</v>
      </c>
      <c r="C278" s="1" t="n">
        <v>45661</v>
      </c>
      <c r="D278" t="inlineStr">
        <is>
          <t>STOCKHOLMS LÄN</t>
        </is>
      </c>
      <c r="E278" t="inlineStr">
        <is>
          <t>SÖDERTÄLJE</t>
        </is>
      </c>
      <c r="F278" t="inlineStr">
        <is>
          <t>Kommuner</t>
        </is>
      </c>
      <c r="G278" t="n">
        <v>22.9</v>
      </c>
      <c r="H278" t="n">
        <v>1</v>
      </c>
      <c r="I278" t="n">
        <v>1</v>
      </c>
      <c r="J278" t="n">
        <v>0</v>
      </c>
      <c r="K278" t="n">
        <v>0</v>
      </c>
      <c r="L278" t="n">
        <v>0</v>
      </c>
      <c r="M278" t="n">
        <v>0</v>
      </c>
      <c r="N278" t="n">
        <v>0</v>
      </c>
      <c r="O278" t="n">
        <v>0</v>
      </c>
      <c r="P278" t="n">
        <v>0</v>
      </c>
      <c r="Q278" t="n">
        <v>2</v>
      </c>
      <c r="R278" s="2" t="inlineStr">
        <is>
          <t>Tjockfotad fingersvamp
Nattviol</t>
        </is>
      </c>
      <c r="S278">
        <f>HYPERLINK("https://klasma.github.io/Logging_0181/artfynd/A 52046-2022 artfynd.xlsx", "A 52046-2022")</f>
        <v/>
      </c>
      <c r="T278">
        <f>HYPERLINK("https://klasma.github.io/Logging_0181/kartor/A 52046-2022 karta.png", "A 52046-2022")</f>
        <v/>
      </c>
      <c r="V278">
        <f>HYPERLINK("https://klasma.github.io/Logging_0181/klagomål/A 52046-2022 FSC-klagomål.docx", "A 52046-2022")</f>
        <v/>
      </c>
      <c r="W278">
        <f>HYPERLINK("https://klasma.github.io/Logging_0181/klagomålsmail/A 52046-2022 FSC-klagomål mail.docx", "A 52046-2022")</f>
        <v/>
      </c>
      <c r="X278">
        <f>HYPERLINK("https://klasma.github.io/Logging_0181/tillsyn/A 52046-2022 tillsynsbegäran.docx", "A 52046-2022")</f>
        <v/>
      </c>
      <c r="Y278">
        <f>HYPERLINK("https://klasma.github.io/Logging_0181/tillsynsmail/A 52046-2022 tillsynsbegäran mail.docx", "A 52046-2022")</f>
        <v/>
      </c>
    </row>
    <row r="279" ht="15" customHeight="1">
      <c r="A279" t="inlineStr">
        <is>
          <t>A 52124-2022</t>
        </is>
      </c>
      <c r="B279" s="1" t="n">
        <v>44868</v>
      </c>
      <c r="C279" s="1" t="n">
        <v>45661</v>
      </c>
      <c r="D279" t="inlineStr">
        <is>
          <t>STOCKHOLMS LÄN</t>
        </is>
      </c>
      <c r="E279" t="inlineStr">
        <is>
          <t>NORRTÄLJE</t>
        </is>
      </c>
      <c r="G279" t="n">
        <v>4.8</v>
      </c>
      <c r="H279" t="n">
        <v>1</v>
      </c>
      <c r="I279" t="n">
        <v>0</v>
      </c>
      <c r="J279" t="n">
        <v>1</v>
      </c>
      <c r="K279" t="n">
        <v>0</v>
      </c>
      <c r="L279" t="n">
        <v>0</v>
      </c>
      <c r="M279" t="n">
        <v>0</v>
      </c>
      <c r="N279" t="n">
        <v>0</v>
      </c>
      <c r="O279" t="n">
        <v>1</v>
      </c>
      <c r="P279" t="n">
        <v>0</v>
      </c>
      <c r="Q279" t="n">
        <v>2</v>
      </c>
      <c r="R279" s="2" t="inlineStr">
        <is>
          <t>Kandelabersvamp
Blåsippa</t>
        </is>
      </c>
      <c r="S279">
        <f>HYPERLINK("https://klasma.github.io/Logging_0188/artfynd/A 52124-2022 artfynd.xlsx", "A 52124-2022")</f>
        <v/>
      </c>
      <c r="T279">
        <f>HYPERLINK("https://klasma.github.io/Logging_0188/kartor/A 52124-2022 karta.png", "A 52124-2022")</f>
        <v/>
      </c>
      <c r="V279">
        <f>HYPERLINK("https://klasma.github.io/Logging_0188/klagomål/A 52124-2022 FSC-klagomål.docx", "A 52124-2022")</f>
        <v/>
      </c>
      <c r="W279">
        <f>HYPERLINK("https://klasma.github.io/Logging_0188/klagomålsmail/A 52124-2022 FSC-klagomål mail.docx", "A 52124-2022")</f>
        <v/>
      </c>
      <c r="X279">
        <f>HYPERLINK("https://klasma.github.io/Logging_0188/tillsyn/A 52124-2022 tillsynsbegäran.docx", "A 52124-2022")</f>
        <v/>
      </c>
      <c r="Y279">
        <f>HYPERLINK("https://klasma.github.io/Logging_0188/tillsynsmail/A 52124-2022 tillsynsbegäran mail.docx", "A 52124-2022")</f>
        <v/>
      </c>
    </row>
    <row r="280" ht="15" customHeight="1">
      <c r="A280" t="inlineStr">
        <is>
          <t>A 51980-2022</t>
        </is>
      </c>
      <c r="B280" s="1" t="n">
        <v>44872</v>
      </c>
      <c r="C280" s="1" t="n">
        <v>45661</v>
      </c>
      <c r="D280" t="inlineStr">
        <is>
          <t>STOCKHOLMS LÄN</t>
        </is>
      </c>
      <c r="E280" t="inlineStr">
        <is>
          <t>NORRTÄLJE</t>
        </is>
      </c>
      <c r="G280" t="n">
        <v>7.9</v>
      </c>
      <c r="H280" t="n">
        <v>1</v>
      </c>
      <c r="I280" t="n">
        <v>2</v>
      </c>
      <c r="J280" t="n">
        <v>0</v>
      </c>
      <c r="K280" t="n">
        <v>0</v>
      </c>
      <c r="L280" t="n">
        <v>0</v>
      </c>
      <c r="M280" t="n">
        <v>0</v>
      </c>
      <c r="N280" t="n">
        <v>0</v>
      </c>
      <c r="O280" t="n">
        <v>0</v>
      </c>
      <c r="P280" t="n">
        <v>0</v>
      </c>
      <c r="Q280" t="n">
        <v>2</v>
      </c>
      <c r="R280" s="2" t="inlineStr">
        <is>
          <t>Rödgul trumpetsvamp
Skogsknipprot</t>
        </is>
      </c>
      <c r="S280">
        <f>HYPERLINK("https://klasma.github.io/Logging_0188/artfynd/A 51980-2022 artfynd.xlsx", "A 51980-2022")</f>
        <v/>
      </c>
      <c r="T280">
        <f>HYPERLINK("https://klasma.github.io/Logging_0188/kartor/A 51980-2022 karta.png", "A 51980-2022")</f>
        <v/>
      </c>
      <c r="V280">
        <f>HYPERLINK("https://klasma.github.io/Logging_0188/klagomål/A 51980-2022 FSC-klagomål.docx", "A 51980-2022")</f>
        <v/>
      </c>
      <c r="W280">
        <f>HYPERLINK("https://klasma.github.io/Logging_0188/klagomålsmail/A 51980-2022 FSC-klagomål mail.docx", "A 51980-2022")</f>
        <v/>
      </c>
      <c r="X280">
        <f>HYPERLINK("https://klasma.github.io/Logging_0188/tillsyn/A 51980-2022 tillsynsbegäran.docx", "A 51980-2022")</f>
        <v/>
      </c>
      <c r="Y280">
        <f>HYPERLINK("https://klasma.github.io/Logging_0188/tillsynsmail/A 51980-2022 tillsynsbegäran mail.docx", "A 51980-2022")</f>
        <v/>
      </c>
    </row>
    <row r="281" ht="15" customHeight="1">
      <c r="A281" t="inlineStr">
        <is>
          <t>A 61302-2022</t>
        </is>
      </c>
      <c r="B281" s="1" t="n">
        <v>44915</v>
      </c>
      <c r="C281" s="1" t="n">
        <v>45661</v>
      </c>
      <c r="D281" t="inlineStr">
        <is>
          <t>STOCKHOLMS LÄN</t>
        </is>
      </c>
      <c r="E281" t="inlineStr">
        <is>
          <t>SALEM</t>
        </is>
      </c>
      <c r="F281" t="inlineStr">
        <is>
          <t>Kommuner</t>
        </is>
      </c>
      <c r="G281" t="n">
        <v>14.8</v>
      </c>
      <c r="H281" t="n">
        <v>0</v>
      </c>
      <c r="I281" t="n">
        <v>2</v>
      </c>
      <c r="J281" t="n">
        <v>0</v>
      </c>
      <c r="K281" t="n">
        <v>0</v>
      </c>
      <c r="L281" t="n">
        <v>0</v>
      </c>
      <c r="M281" t="n">
        <v>0</v>
      </c>
      <c r="N281" t="n">
        <v>0</v>
      </c>
      <c r="O281" t="n">
        <v>0</v>
      </c>
      <c r="P281" t="n">
        <v>0</v>
      </c>
      <c r="Q281" t="n">
        <v>2</v>
      </c>
      <c r="R281" s="2" t="inlineStr">
        <is>
          <t>Trådticka
Zontaggsvamp</t>
        </is>
      </c>
      <c r="S281">
        <f>HYPERLINK("https://klasma.github.io/Logging_0128/artfynd/A 61302-2022 artfynd.xlsx", "A 61302-2022")</f>
        <v/>
      </c>
      <c r="T281">
        <f>HYPERLINK("https://klasma.github.io/Logging_0128/kartor/A 61302-2022 karta.png", "A 61302-2022")</f>
        <v/>
      </c>
      <c r="V281">
        <f>HYPERLINK("https://klasma.github.io/Logging_0128/klagomål/A 61302-2022 FSC-klagomål.docx", "A 61302-2022")</f>
        <v/>
      </c>
      <c r="W281">
        <f>HYPERLINK("https://klasma.github.io/Logging_0128/klagomålsmail/A 61302-2022 FSC-klagomål mail.docx", "A 61302-2022")</f>
        <v/>
      </c>
      <c r="X281">
        <f>HYPERLINK("https://klasma.github.io/Logging_0128/tillsyn/A 61302-2022 tillsynsbegäran.docx", "A 61302-2022")</f>
        <v/>
      </c>
      <c r="Y281">
        <f>HYPERLINK("https://klasma.github.io/Logging_0128/tillsynsmail/A 61302-2022 tillsynsbegäran mail.docx", "A 61302-2022")</f>
        <v/>
      </c>
    </row>
    <row r="282" ht="15" customHeight="1">
      <c r="A282" t="inlineStr">
        <is>
          <t>A 61357-2022</t>
        </is>
      </c>
      <c r="B282" s="1" t="n">
        <v>44915</v>
      </c>
      <c r="C282" s="1" t="n">
        <v>45661</v>
      </c>
      <c r="D282" t="inlineStr">
        <is>
          <t>STOCKHOLMS LÄN</t>
        </is>
      </c>
      <c r="E282" t="inlineStr">
        <is>
          <t>ÖSTERÅKER</t>
        </is>
      </c>
      <c r="G282" t="n">
        <v>3.5</v>
      </c>
      <c r="H282" t="n">
        <v>0</v>
      </c>
      <c r="I282" t="n">
        <v>2</v>
      </c>
      <c r="J282" t="n">
        <v>0</v>
      </c>
      <c r="K282" t="n">
        <v>0</v>
      </c>
      <c r="L282" t="n">
        <v>0</v>
      </c>
      <c r="M282" t="n">
        <v>0</v>
      </c>
      <c r="N282" t="n">
        <v>0</v>
      </c>
      <c r="O282" t="n">
        <v>0</v>
      </c>
      <c r="P282" t="n">
        <v>0</v>
      </c>
      <c r="Q282" t="n">
        <v>2</v>
      </c>
      <c r="R282" s="2" t="inlineStr">
        <is>
          <t>Dvärgtufs
Slanklav</t>
        </is>
      </c>
      <c r="S282">
        <f>HYPERLINK("https://klasma.github.io/Logging_0117/artfynd/A 61357-2022 artfynd.xlsx", "A 61357-2022")</f>
        <v/>
      </c>
      <c r="T282">
        <f>HYPERLINK("https://klasma.github.io/Logging_0117/kartor/A 61357-2022 karta.png", "A 61357-2022")</f>
        <v/>
      </c>
      <c r="U282">
        <f>HYPERLINK("https://klasma.github.io/Logging_0117/knärot/A 61357-2022 karta knärot.png", "A 61357-2022")</f>
        <v/>
      </c>
      <c r="V282">
        <f>HYPERLINK("https://klasma.github.io/Logging_0117/klagomål/A 61357-2022 FSC-klagomål.docx", "A 61357-2022")</f>
        <v/>
      </c>
      <c r="W282">
        <f>HYPERLINK("https://klasma.github.io/Logging_0117/klagomålsmail/A 61357-2022 FSC-klagomål mail.docx", "A 61357-2022")</f>
        <v/>
      </c>
      <c r="X282">
        <f>HYPERLINK("https://klasma.github.io/Logging_0117/tillsyn/A 61357-2022 tillsynsbegäran.docx", "A 61357-2022")</f>
        <v/>
      </c>
      <c r="Y282">
        <f>HYPERLINK("https://klasma.github.io/Logging_0117/tillsynsmail/A 61357-2022 tillsynsbegäran mail.docx", "A 61357-2022")</f>
        <v/>
      </c>
    </row>
    <row r="283" ht="15" customHeight="1">
      <c r="A283" t="inlineStr">
        <is>
          <t>A 61363-2022</t>
        </is>
      </c>
      <c r="B283" s="1" t="n">
        <v>44915</v>
      </c>
      <c r="C283" s="1" t="n">
        <v>45661</v>
      </c>
      <c r="D283" t="inlineStr">
        <is>
          <t>STOCKHOLMS LÄN</t>
        </is>
      </c>
      <c r="E283" t="inlineStr">
        <is>
          <t>ÖSTERÅKER</t>
        </is>
      </c>
      <c r="G283" t="n">
        <v>5.3</v>
      </c>
      <c r="H283" t="n">
        <v>0</v>
      </c>
      <c r="I283" t="n">
        <v>1</v>
      </c>
      <c r="J283" t="n">
        <v>1</v>
      </c>
      <c r="K283" t="n">
        <v>0</v>
      </c>
      <c r="L283" t="n">
        <v>0</v>
      </c>
      <c r="M283" t="n">
        <v>0</v>
      </c>
      <c r="N283" t="n">
        <v>0</v>
      </c>
      <c r="O283" t="n">
        <v>1</v>
      </c>
      <c r="P283" t="n">
        <v>0</v>
      </c>
      <c r="Q283" t="n">
        <v>2</v>
      </c>
      <c r="R283" s="2" t="inlineStr">
        <is>
          <t>Motaggsvamp
Skuggblåslav</t>
        </is>
      </c>
      <c r="S283">
        <f>HYPERLINK("https://klasma.github.io/Logging_0117/artfynd/A 61363-2022 artfynd.xlsx", "A 61363-2022")</f>
        <v/>
      </c>
      <c r="T283">
        <f>HYPERLINK("https://klasma.github.io/Logging_0117/kartor/A 61363-2022 karta.png", "A 61363-2022")</f>
        <v/>
      </c>
      <c r="V283">
        <f>HYPERLINK("https://klasma.github.io/Logging_0117/klagomål/A 61363-2022 FSC-klagomål.docx", "A 61363-2022")</f>
        <v/>
      </c>
      <c r="W283">
        <f>HYPERLINK("https://klasma.github.io/Logging_0117/klagomålsmail/A 61363-2022 FSC-klagomål mail.docx", "A 61363-2022")</f>
        <v/>
      </c>
      <c r="X283">
        <f>HYPERLINK("https://klasma.github.io/Logging_0117/tillsyn/A 61363-2022 tillsynsbegäran.docx", "A 61363-2022")</f>
        <v/>
      </c>
      <c r="Y283">
        <f>HYPERLINK("https://klasma.github.io/Logging_0117/tillsynsmail/A 61363-2022 tillsynsbegäran mail.docx", "A 61363-2022")</f>
        <v/>
      </c>
    </row>
    <row r="284" ht="15" customHeight="1">
      <c r="A284" t="inlineStr">
        <is>
          <t>A 1561-2023</t>
        </is>
      </c>
      <c r="B284" s="1" t="n">
        <v>44937</v>
      </c>
      <c r="C284" s="1" t="n">
        <v>45661</v>
      </c>
      <c r="D284" t="inlineStr">
        <is>
          <t>STOCKHOLMS LÄN</t>
        </is>
      </c>
      <c r="E284" t="inlineStr">
        <is>
          <t>NYNÄSHAMN</t>
        </is>
      </c>
      <c r="G284" t="n">
        <v>1.3</v>
      </c>
      <c r="H284" t="n">
        <v>1</v>
      </c>
      <c r="I284" t="n">
        <v>0</v>
      </c>
      <c r="J284" t="n">
        <v>1</v>
      </c>
      <c r="K284" t="n">
        <v>0</v>
      </c>
      <c r="L284" t="n">
        <v>0</v>
      </c>
      <c r="M284" t="n">
        <v>0</v>
      </c>
      <c r="N284" t="n">
        <v>0</v>
      </c>
      <c r="O284" t="n">
        <v>1</v>
      </c>
      <c r="P284" t="n">
        <v>0</v>
      </c>
      <c r="Q284" t="n">
        <v>2</v>
      </c>
      <c r="R284" s="2" t="inlineStr">
        <is>
          <t>Tallticka
Blåsippa</t>
        </is>
      </c>
      <c r="S284">
        <f>HYPERLINK("https://klasma.github.io/Logging_0192/artfynd/A 1561-2023 artfynd.xlsx", "A 1561-2023")</f>
        <v/>
      </c>
      <c r="T284">
        <f>HYPERLINK("https://klasma.github.io/Logging_0192/kartor/A 1561-2023 karta.png", "A 1561-2023")</f>
        <v/>
      </c>
      <c r="V284">
        <f>HYPERLINK("https://klasma.github.io/Logging_0192/klagomål/A 1561-2023 FSC-klagomål.docx", "A 1561-2023")</f>
        <v/>
      </c>
      <c r="W284">
        <f>HYPERLINK("https://klasma.github.io/Logging_0192/klagomålsmail/A 1561-2023 FSC-klagomål mail.docx", "A 1561-2023")</f>
        <v/>
      </c>
      <c r="X284">
        <f>HYPERLINK("https://klasma.github.io/Logging_0192/tillsyn/A 1561-2023 tillsynsbegäran.docx", "A 1561-2023")</f>
        <v/>
      </c>
      <c r="Y284">
        <f>HYPERLINK("https://klasma.github.io/Logging_0192/tillsynsmail/A 1561-2023 tillsynsbegäran mail.docx", "A 1561-2023")</f>
        <v/>
      </c>
    </row>
    <row r="285" ht="15" customHeight="1">
      <c r="A285" t="inlineStr">
        <is>
          <t>A 1697-2023</t>
        </is>
      </c>
      <c r="B285" s="1" t="n">
        <v>44938</v>
      </c>
      <c r="C285" s="1" t="n">
        <v>45661</v>
      </c>
      <c r="D285" t="inlineStr">
        <is>
          <t>STOCKHOLMS LÄN</t>
        </is>
      </c>
      <c r="E285" t="inlineStr">
        <is>
          <t>BOTKYRKA</t>
        </is>
      </c>
      <c r="G285" t="n">
        <v>1.1</v>
      </c>
      <c r="H285" t="n">
        <v>0</v>
      </c>
      <c r="I285" t="n">
        <v>1</v>
      </c>
      <c r="J285" t="n">
        <v>1</v>
      </c>
      <c r="K285" t="n">
        <v>0</v>
      </c>
      <c r="L285" t="n">
        <v>0</v>
      </c>
      <c r="M285" t="n">
        <v>0</v>
      </c>
      <c r="N285" t="n">
        <v>0</v>
      </c>
      <c r="O285" t="n">
        <v>1</v>
      </c>
      <c r="P285" t="n">
        <v>0</v>
      </c>
      <c r="Q285" t="n">
        <v>2</v>
      </c>
      <c r="R285" s="2" t="inlineStr">
        <is>
          <t>Lunglav
Bårdlav</t>
        </is>
      </c>
      <c r="S285">
        <f>HYPERLINK("https://klasma.github.io/Logging_0127/artfynd/A 1697-2023 artfynd.xlsx", "A 1697-2023")</f>
        <v/>
      </c>
      <c r="T285">
        <f>HYPERLINK("https://klasma.github.io/Logging_0127/kartor/A 1697-2023 karta.png", "A 1697-2023")</f>
        <v/>
      </c>
      <c r="V285">
        <f>HYPERLINK("https://klasma.github.io/Logging_0127/klagomål/A 1697-2023 FSC-klagomål.docx", "A 1697-2023")</f>
        <v/>
      </c>
      <c r="W285">
        <f>HYPERLINK("https://klasma.github.io/Logging_0127/klagomålsmail/A 1697-2023 FSC-klagomål mail.docx", "A 1697-2023")</f>
        <v/>
      </c>
      <c r="X285">
        <f>HYPERLINK("https://klasma.github.io/Logging_0127/tillsyn/A 1697-2023 tillsynsbegäran.docx", "A 1697-2023")</f>
        <v/>
      </c>
      <c r="Y285">
        <f>HYPERLINK("https://klasma.github.io/Logging_0127/tillsynsmail/A 1697-2023 tillsynsbegäran mail.docx", "A 1697-2023")</f>
        <v/>
      </c>
    </row>
    <row r="286" ht="15" customHeight="1">
      <c r="A286" t="inlineStr">
        <is>
          <t>A 2992-2023</t>
        </is>
      </c>
      <c r="B286" s="1" t="n">
        <v>44945</v>
      </c>
      <c r="C286" s="1" t="n">
        <v>45661</v>
      </c>
      <c r="D286" t="inlineStr">
        <is>
          <t>STOCKHOLMS LÄN</t>
        </is>
      </c>
      <c r="E286" t="inlineStr">
        <is>
          <t>SALEM</t>
        </is>
      </c>
      <c r="F286" t="inlineStr">
        <is>
          <t>Kommuner</t>
        </is>
      </c>
      <c r="G286" t="n">
        <v>1.7</v>
      </c>
      <c r="H286" t="n">
        <v>0</v>
      </c>
      <c r="I286" t="n">
        <v>1</v>
      </c>
      <c r="J286" t="n">
        <v>0</v>
      </c>
      <c r="K286" t="n">
        <v>1</v>
      </c>
      <c r="L286" t="n">
        <v>0</v>
      </c>
      <c r="M286" t="n">
        <v>0</v>
      </c>
      <c r="N286" t="n">
        <v>0</v>
      </c>
      <c r="O286" t="n">
        <v>1</v>
      </c>
      <c r="P286" t="n">
        <v>1</v>
      </c>
      <c r="Q286" t="n">
        <v>2</v>
      </c>
      <c r="R286" s="2" t="inlineStr">
        <is>
          <t>Rynkskinn
Blåmossa</t>
        </is>
      </c>
      <c r="S286">
        <f>HYPERLINK("https://klasma.github.io/Logging_0128/artfynd/A 2992-2023 artfynd.xlsx", "A 2992-2023")</f>
        <v/>
      </c>
      <c r="T286">
        <f>HYPERLINK("https://klasma.github.io/Logging_0128/kartor/A 2992-2023 karta.png", "A 2992-2023")</f>
        <v/>
      </c>
      <c r="V286">
        <f>HYPERLINK("https://klasma.github.io/Logging_0128/klagomål/A 2992-2023 FSC-klagomål.docx", "A 2992-2023")</f>
        <v/>
      </c>
      <c r="W286">
        <f>HYPERLINK("https://klasma.github.io/Logging_0128/klagomålsmail/A 2992-2023 FSC-klagomål mail.docx", "A 2992-2023")</f>
        <v/>
      </c>
      <c r="X286">
        <f>HYPERLINK("https://klasma.github.io/Logging_0128/tillsyn/A 2992-2023 tillsynsbegäran.docx", "A 2992-2023")</f>
        <v/>
      </c>
      <c r="Y286">
        <f>HYPERLINK("https://klasma.github.io/Logging_0128/tillsynsmail/A 2992-2023 tillsynsbegäran mail.docx", "A 2992-2023")</f>
        <v/>
      </c>
    </row>
    <row r="287" ht="15" customHeight="1">
      <c r="A287" t="inlineStr">
        <is>
          <t>A 5567-2023</t>
        </is>
      </c>
      <c r="B287" s="1" t="n">
        <v>44960</v>
      </c>
      <c r="C287" s="1" t="n">
        <v>45661</v>
      </c>
      <c r="D287" t="inlineStr">
        <is>
          <t>STOCKHOLMS LÄN</t>
        </is>
      </c>
      <c r="E287" t="inlineStr">
        <is>
          <t>NYNÄSHAMN</t>
        </is>
      </c>
      <c r="G287" t="n">
        <v>10.1</v>
      </c>
      <c r="H287" t="n">
        <v>1</v>
      </c>
      <c r="I287" t="n">
        <v>1</v>
      </c>
      <c r="J287" t="n">
        <v>0</v>
      </c>
      <c r="K287" t="n">
        <v>0</v>
      </c>
      <c r="L287" t="n">
        <v>0</v>
      </c>
      <c r="M287" t="n">
        <v>0</v>
      </c>
      <c r="N287" t="n">
        <v>0</v>
      </c>
      <c r="O287" t="n">
        <v>0</v>
      </c>
      <c r="P287" t="n">
        <v>0</v>
      </c>
      <c r="Q287" t="n">
        <v>2</v>
      </c>
      <c r="R287" s="2" t="inlineStr">
        <is>
          <t>Sårläka
Blåsippa</t>
        </is>
      </c>
      <c r="S287">
        <f>HYPERLINK("https://klasma.github.io/Logging_0192/artfynd/A 5567-2023 artfynd.xlsx", "A 5567-2023")</f>
        <v/>
      </c>
      <c r="T287">
        <f>HYPERLINK("https://klasma.github.io/Logging_0192/kartor/A 5567-2023 karta.png", "A 5567-2023")</f>
        <v/>
      </c>
      <c r="V287">
        <f>HYPERLINK("https://klasma.github.io/Logging_0192/klagomål/A 5567-2023 FSC-klagomål.docx", "A 5567-2023")</f>
        <v/>
      </c>
      <c r="W287">
        <f>HYPERLINK("https://klasma.github.io/Logging_0192/klagomålsmail/A 5567-2023 FSC-klagomål mail.docx", "A 5567-2023")</f>
        <v/>
      </c>
      <c r="X287">
        <f>HYPERLINK("https://klasma.github.io/Logging_0192/tillsyn/A 5567-2023 tillsynsbegäran.docx", "A 5567-2023")</f>
        <v/>
      </c>
      <c r="Y287">
        <f>HYPERLINK("https://klasma.github.io/Logging_0192/tillsynsmail/A 5567-2023 tillsynsbegäran mail.docx", "A 5567-2023")</f>
        <v/>
      </c>
    </row>
    <row r="288" ht="15" customHeight="1">
      <c r="A288" t="inlineStr">
        <is>
          <t>A 7341-2023</t>
        </is>
      </c>
      <c r="B288" s="1" t="n">
        <v>44971</v>
      </c>
      <c r="C288" s="1" t="n">
        <v>45661</v>
      </c>
      <c r="D288" t="inlineStr">
        <is>
          <t>STOCKHOLMS LÄN</t>
        </is>
      </c>
      <c r="E288" t="inlineStr">
        <is>
          <t>NORRTÄLJE</t>
        </is>
      </c>
      <c r="F288" t="inlineStr">
        <is>
          <t>Holmen skog AB</t>
        </is>
      </c>
      <c r="G288" t="n">
        <v>10.7</v>
      </c>
      <c r="H288" t="n">
        <v>0</v>
      </c>
      <c r="I288" t="n">
        <v>0</v>
      </c>
      <c r="J288" t="n">
        <v>2</v>
      </c>
      <c r="K288" t="n">
        <v>0</v>
      </c>
      <c r="L288" t="n">
        <v>0</v>
      </c>
      <c r="M288" t="n">
        <v>0</v>
      </c>
      <c r="N288" t="n">
        <v>0</v>
      </c>
      <c r="O288" t="n">
        <v>2</v>
      </c>
      <c r="P288" t="n">
        <v>0</v>
      </c>
      <c r="Q288" t="n">
        <v>2</v>
      </c>
      <c r="R288" s="2" t="inlineStr">
        <is>
          <t>Mindre bastardsvärmare
Smalsprötad bastardsvärmare</t>
        </is>
      </c>
      <c r="S288">
        <f>HYPERLINK("https://klasma.github.io/Logging_0188/artfynd/A 7341-2023 artfynd.xlsx", "A 7341-2023")</f>
        <v/>
      </c>
      <c r="T288">
        <f>HYPERLINK("https://klasma.github.io/Logging_0188/kartor/A 7341-2023 karta.png", "A 7341-2023")</f>
        <v/>
      </c>
      <c r="V288">
        <f>HYPERLINK("https://klasma.github.io/Logging_0188/klagomål/A 7341-2023 FSC-klagomål.docx", "A 7341-2023")</f>
        <v/>
      </c>
      <c r="W288">
        <f>HYPERLINK("https://klasma.github.io/Logging_0188/klagomålsmail/A 7341-2023 FSC-klagomål mail.docx", "A 7341-2023")</f>
        <v/>
      </c>
      <c r="X288">
        <f>HYPERLINK("https://klasma.github.io/Logging_0188/tillsyn/A 7341-2023 tillsynsbegäran.docx", "A 7341-2023")</f>
        <v/>
      </c>
      <c r="Y288">
        <f>HYPERLINK("https://klasma.github.io/Logging_0188/tillsynsmail/A 7341-2023 tillsynsbegäran mail.docx", "A 7341-2023")</f>
        <v/>
      </c>
    </row>
    <row r="289" ht="15" customHeight="1">
      <c r="A289" t="inlineStr">
        <is>
          <t>A 10136-2023</t>
        </is>
      </c>
      <c r="B289" s="1" t="n">
        <v>44986</v>
      </c>
      <c r="C289" s="1" t="n">
        <v>45661</v>
      </c>
      <c r="D289" t="inlineStr">
        <is>
          <t>STOCKHOLMS LÄN</t>
        </is>
      </c>
      <c r="E289" t="inlineStr">
        <is>
          <t>NORRTÄLJE</t>
        </is>
      </c>
      <c r="F289" t="inlineStr">
        <is>
          <t>Övriga statliga verk och myndigheter</t>
        </is>
      </c>
      <c r="G289" t="n">
        <v>3.6</v>
      </c>
      <c r="H289" t="n">
        <v>0</v>
      </c>
      <c r="I289" t="n">
        <v>0</v>
      </c>
      <c r="J289" t="n">
        <v>1</v>
      </c>
      <c r="K289" t="n">
        <v>1</v>
      </c>
      <c r="L289" t="n">
        <v>0</v>
      </c>
      <c r="M289" t="n">
        <v>0</v>
      </c>
      <c r="N289" t="n">
        <v>0</v>
      </c>
      <c r="O289" t="n">
        <v>2</v>
      </c>
      <c r="P289" t="n">
        <v>1</v>
      </c>
      <c r="Q289" t="n">
        <v>2</v>
      </c>
      <c r="R289" s="2" t="inlineStr">
        <is>
          <t>Svartfjällig musseron
Persiljespindling</t>
        </is>
      </c>
      <c r="S289">
        <f>HYPERLINK("https://klasma.github.io/Logging_0188/artfynd/A 10136-2023 artfynd.xlsx", "A 10136-2023")</f>
        <v/>
      </c>
      <c r="T289">
        <f>HYPERLINK("https://klasma.github.io/Logging_0188/kartor/A 10136-2023 karta.png", "A 10136-2023")</f>
        <v/>
      </c>
      <c r="V289">
        <f>HYPERLINK("https://klasma.github.io/Logging_0188/klagomål/A 10136-2023 FSC-klagomål.docx", "A 10136-2023")</f>
        <v/>
      </c>
      <c r="W289">
        <f>HYPERLINK("https://klasma.github.io/Logging_0188/klagomålsmail/A 10136-2023 FSC-klagomål mail.docx", "A 10136-2023")</f>
        <v/>
      </c>
      <c r="X289">
        <f>HYPERLINK("https://klasma.github.io/Logging_0188/tillsyn/A 10136-2023 tillsynsbegäran.docx", "A 10136-2023")</f>
        <v/>
      </c>
      <c r="Y289">
        <f>HYPERLINK("https://klasma.github.io/Logging_0188/tillsynsmail/A 10136-2023 tillsynsbegäran mail.docx", "A 10136-2023")</f>
        <v/>
      </c>
    </row>
    <row r="290" ht="15" customHeight="1">
      <c r="A290" t="inlineStr">
        <is>
          <t>A 14729-2023</t>
        </is>
      </c>
      <c r="B290" s="1" t="n">
        <v>45014</v>
      </c>
      <c r="C290" s="1" t="n">
        <v>45661</v>
      </c>
      <c r="D290" t="inlineStr">
        <is>
          <t>STOCKHOLMS LÄN</t>
        </is>
      </c>
      <c r="E290" t="inlineStr">
        <is>
          <t>HANINGE</t>
        </is>
      </c>
      <c r="G290" t="n">
        <v>0.2</v>
      </c>
      <c r="H290" t="n">
        <v>0</v>
      </c>
      <c r="I290" t="n">
        <v>1</v>
      </c>
      <c r="J290" t="n">
        <v>1</v>
      </c>
      <c r="K290" t="n">
        <v>0</v>
      </c>
      <c r="L290" t="n">
        <v>0</v>
      </c>
      <c r="M290" t="n">
        <v>0</v>
      </c>
      <c r="N290" t="n">
        <v>0</v>
      </c>
      <c r="O290" t="n">
        <v>1</v>
      </c>
      <c r="P290" t="n">
        <v>0</v>
      </c>
      <c r="Q290" t="n">
        <v>2</v>
      </c>
      <c r="R290" s="2" t="inlineStr">
        <is>
          <t>Ullticka
Mindre märgborre</t>
        </is>
      </c>
      <c r="S290">
        <f>HYPERLINK("https://klasma.github.io/Logging_0136/artfynd/A 14729-2023 artfynd.xlsx", "A 14729-2023")</f>
        <v/>
      </c>
      <c r="T290">
        <f>HYPERLINK("https://klasma.github.io/Logging_0136/kartor/A 14729-2023 karta.png", "A 14729-2023")</f>
        <v/>
      </c>
      <c r="V290">
        <f>HYPERLINK("https://klasma.github.io/Logging_0136/klagomål/A 14729-2023 FSC-klagomål.docx", "A 14729-2023")</f>
        <v/>
      </c>
      <c r="W290">
        <f>HYPERLINK("https://klasma.github.io/Logging_0136/klagomålsmail/A 14729-2023 FSC-klagomål mail.docx", "A 14729-2023")</f>
        <v/>
      </c>
      <c r="X290">
        <f>HYPERLINK("https://klasma.github.io/Logging_0136/tillsyn/A 14729-2023 tillsynsbegäran.docx", "A 14729-2023")</f>
        <v/>
      </c>
      <c r="Y290">
        <f>HYPERLINK("https://klasma.github.io/Logging_0136/tillsynsmail/A 14729-2023 tillsynsbegäran mail.docx", "A 14729-2023")</f>
        <v/>
      </c>
    </row>
    <row r="291" ht="15" customHeight="1">
      <c r="A291" t="inlineStr">
        <is>
          <t>A 15574-2023</t>
        </is>
      </c>
      <c r="B291" s="1" t="n">
        <v>45020</v>
      </c>
      <c r="C291" s="1" t="n">
        <v>45661</v>
      </c>
      <c r="D291" t="inlineStr">
        <is>
          <t>STOCKHOLMS LÄN</t>
        </is>
      </c>
      <c r="E291" t="inlineStr">
        <is>
          <t>NYKVARN</t>
        </is>
      </c>
      <c r="F291" t="inlineStr">
        <is>
          <t>Sveaskog</t>
        </is>
      </c>
      <c r="G291" t="n">
        <v>17.7</v>
      </c>
      <c r="H291" t="n">
        <v>0</v>
      </c>
      <c r="I291" t="n">
        <v>1</v>
      </c>
      <c r="J291" t="n">
        <v>1</v>
      </c>
      <c r="K291" t="n">
        <v>0</v>
      </c>
      <c r="L291" t="n">
        <v>0</v>
      </c>
      <c r="M291" t="n">
        <v>0</v>
      </c>
      <c r="N291" t="n">
        <v>0</v>
      </c>
      <c r="O291" t="n">
        <v>1</v>
      </c>
      <c r="P291" t="n">
        <v>0</v>
      </c>
      <c r="Q291" t="n">
        <v>2</v>
      </c>
      <c r="R291" s="2" t="inlineStr">
        <is>
          <t>Rödbrun blekspik
Gulpudrad spiklav</t>
        </is>
      </c>
      <c r="S291">
        <f>HYPERLINK("https://klasma.github.io/Logging_0140/artfynd/A 15574-2023 artfynd.xlsx", "A 15574-2023")</f>
        <v/>
      </c>
      <c r="T291">
        <f>HYPERLINK("https://klasma.github.io/Logging_0140/kartor/A 15574-2023 karta.png", "A 15574-2023")</f>
        <v/>
      </c>
      <c r="V291">
        <f>HYPERLINK("https://klasma.github.io/Logging_0140/klagomål/A 15574-2023 FSC-klagomål.docx", "A 15574-2023")</f>
        <v/>
      </c>
      <c r="W291">
        <f>HYPERLINK("https://klasma.github.io/Logging_0140/klagomålsmail/A 15574-2023 FSC-klagomål mail.docx", "A 15574-2023")</f>
        <v/>
      </c>
      <c r="X291">
        <f>HYPERLINK("https://klasma.github.io/Logging_0140/tillsyn/A 15574-2023 tillsynsbegäran.docx", "A 15574-2023")</f>
        <v/>
      </c>
      <c r="Y291">
        <f>HYPERLINK("https://klasma.github.io/Logging_0140/tillsynsmail/A 15574-2023 tillsynsbegäran mail.docx", "A 15574-2023")</f>
        <v/>
      </c>
    </row>
    <row r="292" ht="15" customHeight="1">
      <c r="A292" t="inlineStr">
        <is>
          <t>A 21748-2023</t>
        </is>
      </c>
      <c r="B292" s="1" t="n">
        <v>45065</v>
      </c>
      <c r="C292" s="1" t="n">
        <v>45661</v>
      </c>
      <c r="D292" t="inlineStr">
        <is>
          <t>STOCKHOLMS LÄN</t>
        </is>
      </c>
      <c r="E292" t="inlineStr">
        <is>
          <t>NORRTÄLJE</t>
        </is>
      </c>
      <c r="F292" t="inlineStr">
        <is>
          <t>Holmen skog AB</t>
        </is>
      </c>
      <c r="G292" t="n">
        <v>2.4</v>
      </c>
      <c r="H292" t="n">
        <v>0</v>
      </c>
      <c r="I292" t="n">
        <v>2</v>
      </c>
      <c r="J292" t="n">
        <v>0</v>
      </c>
      <c r="K292" t="n">
        <v>0</v>
      </c>
      <c r="L292" t="n">
        <v>0</v>
      </c>
      <c r="M292" t="n">
        <v>0</v>
      </c>
      <c r="N292" t="n">
        <v>0</v>
      </c>
      <c r="O292" t="n">
        <v>0</v>
      </c>
      <c r="P292" t="n">
        <v>0</v>
      </c>
      <c r="Q292" t="n">
        <v>2</v>
      </c>
      <c r="R292" s="2" t="inlineStr">
        <is>
          <t>Aspvedgnagare
Tibast</t>
        </is>
      </c>
      <c r="S292">
        <f>HYPERLINK("https://klasma.github.io/Logging_0188/artfynd/A 21748-2023 artfynd.xlsx", "A 21748-2023")</f>
        <v/>
      </c>
      <c r="T292">
        <f>HYPERLINK("https://klasma.github.io/Logging_0188/kartor/A 21748-2023 karta.png", "A 21748-2023")</f>
        <v/>
      </c>
      <c r="V292">
        <f>HYPERLINK("https://klasma.github.io/Logging_0188/klagomål/A 21748-2023 FSC-klagomål.docx", "A 21748-2023")</f>
        <v/>
      </c>
      <c r="W292">
        <f>HYPERLINK("https://klasma.github.io/Logging_0188/klagomålsmail/A 21748-2023 FSC-klagomål mail.docx", "A 21748-2023")</f>
        <v/>
      </c>
      <c r="X292">
        <f>HYPERLINK("https://klasma.github.io/Logging_0188/tillsyn/A 21748-2023 tillsynsbegäran.docx", "A 21748-2023")</f>
        <v/>
      </c>
      <c r="Y292">
        <f>HYPERLINK("https://klasma.github.io/Logging_0188/tillsynsmail/A 21748-2023 tillsynsbegäran mail.docx", "A 21748-2023")</f>
        <v/>
      </c>
    </row>
    <row r="293" ht="15" customHeight="1">
      <c r="A293" t="inlineStr">
        <is>
          <t>A 23861-2023</t>
        </is>
      </c>
      <c r="B293" s="1" t="n">
        <v>45078</v>
      </c>
      <c r="C293" s="1" t="n">
        <v>45661</v>
      </c>
      <c r="D293" t="inlineStr">
        <is>
          <t>STOCKHOLMS LÄN</t>
        </is>
      </c>
      <c r="E293" t="inlineStr">
        <is>
          <t>NORRTÄLJE</t>
        </is>
      </c>
      <c r="G293" t="n">
        <v>3.3</v>
      </c>
      <c r="H293" t="n">
        <v>1</v>
      </c>
      <c r="I293" t="n">
        <v>1</v>
      </c>
      <c r="J293" t="n">
        <v>0</v>
      </c>
      <c r="K293" t="n">
        <v>0</v>
      </c>
      <c r="L293" t="n">
        <v>0</v>
      </c>
      <c r="M293" t="n">
        <v>0</v>
      </c>
      <c r="N293" t="n">
        <v>0</v>
      </c>
      <c r="O293" t="n">
        <v>0</v>
      </c>
      <c r="P293" t="n">
        <v>0</v>
      </c>
      <c r="Q293" t="n">
        <v>2</v>
      </c>
      <c r="R293" s="2" t="inlineStr">
        <is>
          <t>Tibast
Blåsippa</t>
        </is>
      </c>
      <c r="S293">
        <f>HYPERLINK("https://klasma.github.io/Logging_0188/artfynd/A 23861-2023 artfynd.xlsx", "A 23861-2023")</f>
        <v/>
      </c>
      <c r="T293">
        <f>HYPERLINK("https://klasma.github.io/Logging_0188/kartor/A 23861-2023 karta.png", "A 23861-2023")</f>
        <v/>
      </c>
      <c r="V293">
        <f>HYPERLINK("https://klasma.github.io/Logging_0188/klagomål/A 23861-2023 FSC-klagomål.docx", "A 23861-2023")</f>
        <v/>
      </c>
      <c r="W293">
        <f>HYPERLINK("https://klasma.github.io/Logging_0188/klagomålsmail/A 23861-2023 FSC-klagomål mail.docx", "A 23861-2023")</f>
        <v/>
      </c>
      <c r="X293">
        <f>HYPERLINK("https://klasma.github.io/Logging_0188/tillsyn/A 23861-2023 tillsynsbegäran.docx", "A 23861-2023")</f>
        <v/>
      </c>
      <c r="Y293">
        <f>HYPERLINK("https://klasma.github.io/Logging_0188/tillsynsmail/A 23861-2023 tillsynsbegäran mail.docx", "A 23861-2023")</f>
        <v/>
      </c>
    </row>
    <row r="294" ht="15" customHeight="1">
      <c r="A294" t="inlineStr">
        <is>
          <t>A 32317-2023</t>
        </is>
      </c>
      <c r="B294" s="1" t="n">
        <v>45120</v>
      </c>
      <c r="C294" s="1" t="n">
        <v>45661</v>
      </c>
      <c r="D294" t="inlineStr">
        <is>
          <t>STOCKHOLMS LÄN</t>
        </is>
      </c>
      <c r="E294" t="inlineStr">
        <is>
          <t>VÄRMDÖ</t>
        </is>
      </c>
      <c r="G294" t="n">
        <v>21.2</v>
      </c>
      <c r="H294" t="n">
        <v>2</v>
      </c>
      <c r="I294" t="n">
        <v>0</v>
      </c>
      <c r="J294" t="n">
        <v>0</v>
      </c>
      <c r="K294" t="n">
        <v>0</v>
      </c>
      <c r="L294" t="n">
        <v>0</v>
      </c>
      <c r="M294" t="n">
        <v>0</v>
      </c>
      <c r="N294" t="n">
        <v>0</v>
      </c>
      <c r="O294" t="n">
        <v>0</v>
      </c>
      <c r="P294" t="n">
        <v>0</v>
      </c>
      <c r="Q294" t="n">
        <v>2</v>
      </c>
      <c r="R294" s="2" t="inlineStr">
        <is>
          <t>Adam och eva
Gullviva</t>
        </is>
      </c>
      <c r="S294">
        <f>HYPERLINK("https://klasma.github.io/Logging_0120/artfynd/A 32317-2023 artfynd.xlsx", "A 32317-2023")</f>
        <v/>
      </c>
      <c r="T294">
        <f>HYPERLINK("https://klasma.github.io/Logging_0120/kartor/A 32317-2023 karta.png", "A 32317-2023")</f>
        <v/>
      </c>
      <c r="V294">
        <f>HYPERLINK("https://klasma.github.io/Logging_0120/klagomål/A 32317-2023 FSC-klagomål.docx", "A 32317-2023")</f>
        <v/>
      </c>
      <c r="W294">
        <f>HYPERLINK("https://klasma.github.io/Logging_0120/klagomålsmail/A 32317-2023 FSC-klagomål mail.docx", "A 32317-2023")</f>
        <v/>
      </c>
      <c r="X294">
        <f>HYPERLINK("https://klasma.github.io/Logging_0120/tillsyn/A 32317-2023 tillsynsbegäran.docx", "A 32317-2023")</f>
        <v/>
      </c>
      <c r="Y294">
        <f>HYPERLINK("https://klasma.github.io/Logging_0120/tillsynsmail/A 32317-2023 tillsynsbegäran mail.docx", "A 32317-2023")</f>
        <v/>
      </c>
    </row>
    <row r="295" ht="15" customHeight="1">
      <c r="A295" t="inlineStr">
        <is>
          <t>A 33165-2023</t>
        </is>
      </c>
      <c r="B295" s="1" t="n">
        <v>45126</v>
      </c>
      <c r="C295" s="1" t="n">
        <v>45661</v>
      </c>
      <c r="D295" t="inlineStr">
        <is>
          <t>STOCKHOLMS LÄN</t>
        </is>
      </c>
      <c r="E295" t="inlineStr">
        <is>
          <t>VÄRMDÖ</t>
        </is>
      </c>
      <c r="G295" t="n">
        <v>9.1</v>
      </c>
      <c r="H295" t="n">
        <v>0</v>
      </c>
      <c r="I295" t="n">
        <v>0</v>
      </c>
      <c r="J295" t="n">
        <v>0</v>
      </c>
      <c r="K295" t="n">
        <v>1</v>
      </c>
      <c r="L295" t="n">
        <v>1</v>
      </c>
      <c r="M295" t="n">
        <v>0</v>
      </c>
      <c r="N295" t="n">
        <v>0</v>
      </c>
      <c r="O295" t="n">
        <v>2</v>
      </c>
      <c r="P295" t="n">
        <v>2</v>
      </c>
      <c r="Q295" t="n">
        <v>2</v>
      </c>
      <c r="R295" s="2" t="inlineStr">
        <is>
          <t>Ask
Mörk kraterlav</t>
        </is>
      </c>
      <c r="S295">
        <f>HYPERLINK("https://klasma.github.io/Logging_0120/artfynd/A 33165-2023 artfynd.xlsx", "A 33165-2023")</f>
        <v/>
      </c>
      <c r="T295">
        <f>HYPERLINK("https://klasma.github.io/Logging_0120/kartor/A 33165-2023 karta.png", "A 33165-2023")</f>
        <v/>
      </c>
      <c r="V295">
        <f>HYPERLINK("https://klasma.github.io/Logging_0120/klagomål/A 33165-2023 FSC-klagomål.docx", "A 33165-2023")</f>
        <v/>
      </c>
      <c r="W295">
        <f>HYPERLINK("https://klasma.github.io/Logging_0120/klagomålsmail/A 33165-2023 FSC-klagomål mail.docx", "A 33165-2023")</f>
        <v/>
      </c>
      <c r="X295">
        <f>HYPERLINK("https://klasma.github.io/Logging_0120/tillsyn/A 33165-2023 tillsynsbegäran.docx", "A 33165-2023")</f>
        <v/>
      </c>
      <c r="Y295">
        <f>HYPERLINK("https://klasma.github.io/Logging_0120/tillsynsmail/A 33165-2023 tillsynsbegäran mail.docx", "A 33165-2023")</f>
        <v/>
      </c>
    </row>
    <row r="296" ht="15" customHeight="1">
      <c r="A296" t="inlineStr">
        <is>
          <t>A 33287-2023</t>
        </is>
      </c>
      <c r="B296" s="1" t="n">
        <v>45127</v>
      </c>
      <c r="C296" s="1" t="n">
        <v>45661</v>
      </c>
      <c r="D296" t="inlineStr">
        <is>
          <t>STOCKHOLMS LÄN</t>
        </is>
      </c>
      <c r="E296" t="inlineStr">
        <is>
          <t>NORRTÄLJE</t>
        </is>
      </c>
      <c r="F296" t="inlineStr">
        <is>
          <t>Holmen skog AB</t>
        </is>
      </c>
      <c r="G296" t="n">
        <v>3.3</v>
      </c>
      <c r="H296" t="n">
        <v>0</v>
      </c>
      <c r="I296" t="n">
        <v>0</v>
      </c>
      <c r="J296" t="n">
        <v>2</v>
      </c>
      <c r="K296" t="n">
        <v>0</v>
      </c>
      <c r="L296" t="n">
        <v>0</v>
      </c>
      <c r="M296" t="n">
        <v>0</v>
      </c>
      <c r="N296" t="n">
        <v>0</v>
      </c>
      <c r="O296" t="n">
        <v>2</v>
      </c>
      <c r="P296" t="n">
        <v>0</v>
      </c>
      <c r="Q296" t="n">
        <v>2</v>
      </c>
      <c r="R296" s="2" t="inlineStr">
        <is>
          <t>Smalsprötad bastardsvärmare
Violettkantad guldvinge</t>
        </is>
      </c>
      <c r="S296">
        <f>HYPERLINK("https://klasma.github.io/Logging_0188/artfynd/A 33287-2023 artfynd.xlsx", "A 33287-2023")</f>
        <v/>
      </c>
      <c r="T296">
        <f>HYPERLINK("https://klasma.github.io/Logging_0188/kartor/A 33287-2023 karta.png", "A 33287-2023")</f>
        <v/>
      </c>
      <c r="V296">
        <f>HYPERLINK("https://klasma.github.io/Logging_0188/klagomål/A 33287-2023 FSC-klagomål.docx", "A 33287-2023")</f>
        <v/>
      </c>
      <c r="W296">
        <f>HYPERLINK("https://klasma.github.io/Logging_0188/klagomålsmail/A 33287-2023 FSC-klagomål mail.docx", "A 33287-2023")</f>
        <v/>
      </c>
      <c r="X296">
        <f>HYPERLINK("https://klasma.github.io/Logging_0188/tillsyn/A 33287-2023 tillsynsbegäran.docx", "A 33287-2023")</f>
        <v/>
      </c>
      <c r="Y296">
        <f>HYPERLINK("https://klasma.github.io/Logging_0188/tillsynsmail/A 33287-2023 tillsynsbegäran mail.docx", "A 33287-2023")</f>
        <v/>
      </c>
    </row>
    <row r="297" ht="15" customHeight="1">
      <c r="A297" t="inlineStr">
        <is>
          <t>A 35937-2023</t>
        </is>
      </c>
      <c r="B297" s="1" t="n">
        <v>45148</v>
      </c>
      <c r="C297" s="1" t="n">
        <v>45661</v>
      </c>
      <c r="D297" t="inlineStr">
        <is>
          <t>STOCKHOLMS LÄN</t>
        </is>
      </c>
      <c r="E297" t="inlineStr">
        <is>
          <t>SÖDERTÄLJE</t>
        </is>
      </c>
      <c r="G297" t="n">
        <v>3</v>
      </c>
      <c r="H297" t="n">
        <v>0</v>
      </c>
      <c r="I297" t="n">
        <v>0</v>
      </c>
      <c r="J297" t="n">
        <v>0</v>
      </c>
      <c r="K297" t="n">
        <v>0</v>
      </c>
      <c r="L297" t="n">
        <v>1</v>
      </c>
      <c r="M297" t="n">
        <v>1</v>
      </c>
      <c r="N297" t="n">
        <v>0</v>
      </c>
      <c r="O297" t="n">
        <v>2</v>
      </c>
      <c r="P297" t="n">
        <v>2</v>
      </c>
      <c r="Q297" t="n">
        <v>2</v>
      </c>
      <c r="R297" s="2" t="inlineStr">
        <is>
          <t>Skogsalm
Ask</t>
        </is>
      </c>
      <c r="S297">
        <f>HYPERLINK("https://klasma.github.io/Logging_0181/artfynd/A 35937-2023 artfynd.xlsx", "A 35937-2023")</f>
        <v/>
      </c>
      <c r="T297">
        <f>HYPERLINK("https://klasma.github.io/Logging_0181/kartor/A 35937-2023 karta.png", "A 35937-2023")</f>
        <v/>
      </c>
      <c r="V297">
        <f>HYPERLINK("https://klasma.github.io/Logging_0181/klagomål/A 35937-2023 FSC-klagomål.docx", "A 35937-2023")</f>
        <v/>
      </c>
      <c r="W297">
        <f>HYPERLINK("https://klasma.github.io/Logging_0181/klagomålsmail/A 35937-2023 FSC-klagomål mail.docx", "A 35937-2023")</f>
        <v/>
      </c>
      <c r="X297">
        <f>HYPERLINK("https://klasma.github.io/Logging_0181/tillsyn/A 35937-2023 tillsynsbegäran.docx", "A 35937-2023")</f>
        <v/>
      </c>
      <c r="Y297">
        <f>HYPERLINK("https://klasma.github.io/Logging_0181/tillsynsmail/A 35937-2023 tillsynsbegäran mail.docx", "A 35937-2023")</f>
        <v/>
      </c>
    </row>
    <row r="298" ht="15" customHeight="1">
      <c r="A298" t="inlineStr">
        <is>
          <t>A 40444-2023</t>
        </is>
      </c>
      <c r="B298" s="1" t="n">
        <v>45170</v>
      </c>
      <c r="C298" s="1" t="n">
        <v>45661</v>
      </c>
      <c r="D298" t="inlineStr">
        <is>
          <t>STOCKHOLMS LÄN</t>
        </is>
      </c>
      <c r="E298" t="inlineStr">
        <is>
          <t>BOTKYRKA</t>
        </is>
      </c>
      <c r="F298" t="inlineStr">
        <is>
          <t>Övriga Aktiebolag</t>
        </is>
      </c>
      <c r="G298" t="n">
        <v>0.6</v>
      </c>
      <c r="H298" t="n">
        <v>2</v>
      </c>
      <c r="I298" t="n">
        <v>0</v>
      </c>
      <c r="J298" t="n">
        <v>1</v>
      </c>
      <c r="K298" t="n">
        <v>0</v>
      </c>
      <c r="L298" t="n">
        <v>0</v>
      </c>
      <c r="M298" t="n">
        <v>0</v>
      </c>
      <c r="N298" t="n">
        <v>0</v>
      </c>
      <c r="O298" t="n">
        <v>1</v>
      </c>
      <c r="P298" t="n">
        <v>0</v>
      </c>
      <c r="Q298" t="n">
        <v>2</v>
      </c>
      <c r="R298" s="2" t="inlineStr">
        <is>
          <t>Gulsparv
Kopparödla</t>
        </is>
      </c>
      <c r="S298">
        <f>HYPERLINK("https://klasma.github.io/Logging_0127/artfynd/A 40444-2023 artfynd.xlsx", "A 40444-2023")</f>
        <v/>
      </c>
      <c r="T298">
        <f>HYPERLINK("https://klasma.github.io/Logging_0127/kartor/A 40444-2023 karta.png", "A 40444-2023")</f>
        <v/>
      </c>
      <c r="V298">
        <f>HYPERLINK("https://klasma.github.io/Logging_0127/klagomål/A 40444-2023 FSC-klagomål.docx", "A 40444-2023")</f>
        <v/>
      </c>
      <c r="W298">
        <f>HYPERLINK("https://klasma.github.io/Logging_0127/klagomålsmail/A 40444-2023 FSC-klagomål mail.docx", "A 40444-2023")</f>
        <v/>
      </c>
      <c r="X298">
        <f>HYPERLINK("https://klasma.github.io/Logging_0127/tillsyn/A 40444-2023 tillsynsbegäran.docx", "A 40444-2023")</f>
        <v/>
      </c>
      <c r="Y298">
        <f>HYPERLINK("https://klasma.github.io/Logging_0127/tillsynsmail/A 40444-2023 tillsynsbegäran mail.docx", "A 40444-2023")</f>
        <v/>
      </c>
      <c r="Z298">
        <f>HYPERLINK("https://klasma.github.io/Logging_0127/fåglar/A 40444-2023 prioriterade fågelarter.docx", "A 40444-2023")</f>
        <v/>
      </c>
    </row>
    <row r="299" ht="15" customHeight="1">
      <c r="A299" t="inlineStr">
        <is>
          <t>A 41021-2023</t>
        </is>
      </c>
      <c r="B299" s="1" t="n">
        <v>45173</v>
      </c>
      <c r="C299" s="1" t="n">
        <v>45661</v>
      </c>
      <c r="D299" t="inlineStr">
        <is>
          <t>STOCKHOLMS LÄN</t>
        </is>
      </c>
      <c r="E299" t="inlineStr">
        <is>
          <t>VALLENTUNA</t>
        </is>
      </c>
      <c r="G299" t="n">
        <v>3</v>
      </c>
      <c r="H299" t="n">
        <v>0</v>
      </c>
      <c r="I299" t="n">
        <v>1</v>
      </c>
      <c r="J299" t="n">
        <v>1</v>
      </c>
      <c r="K299" t="n">
        <v>0</v>
      </c>
      <c r="L299" t="n">
        <v>0</v>
      </c>
      <c r="M299" t="n">
        <v>0</v>
      </c>
      <c r="N299" t="n">
        <v>0</v>
      </c>
      <c r="O299" t="n">
        <v>1</v>
      </c>
      <c r="P299" t="n">
        <v>0</v>
      </c>
      <c r="Q299" t="n">
        <v>2</v>
      </c>
      <c r="R299" s="2" t="inlineStr">
        <is>
          <t>Orange taggsvamp
Fjällig taggsvamp s.str.</t>
        </is>
      </c>
      <c r="S299">
        <f>HYPERLINK("https://klasma.github.io/Logging_0115/artfynd/A 41021-2023 artfynd.xlsx", "A 41021-2023")</f>
        <v/>
      </c>
      <c r="T299">
        <f>HYPERLINK("https://klasma.github.io/Logging_0115/kartor/A 41021-2023 karta.png", "A 41021-2023")</f>
        <v/>
      </c>
      <c r="V299">
        <f>HYPERLINK("https://klasma.github.io/Logging_0115/klagomål/A 41021-2023 FSC-klagomål.docx", "A 41021-2023")</f>
        <v/>
      </c>
      <c r="W299">
        <f>HYPERLINK("https://klasma.github.io/Logging_0115/klagomålsmail/A 41021-2023 FSC-klagomål mail.docx", "A 41021-2023")</f>
        <v/>
      </c>
      <c r="X299">
        <f>HYPERLINK("https://klasma.github.io/Logging_0115/tillsyn/A 41021-2023 tillsynsbegäran.docx", "A 41021-2023")</f>
        <v/>
      </c>
      <c r="Y299">
        <f>HYPERLINK("https://klasma.github.io/Logging_0115/tillsynsmail/A 41021-2023 tillsynsbegäran mail.docx", "A 41021-2023")</f>
        <v/>
      </c>
    </row>
    <row r="300" ht="15" customHeight="1">
      <c r="A300" t="inlineStr">
        <is>
          <t>A 43525-2023</t>
        </is>
      </c>
      <c r="B300" s="1" t="n">
        <v>45184</v>
      </c>
      <c r="C300" s="1" t="n">
        <v>45661</v>
      </c>
      <c r="D300" t="inlineStr">
        <is>
          <t>STOCKHOLMS LÄN</t>
        </is>
      </c>
      <c r="E300" t="inlineStr">
        <is>
          <t>SÖDERTÄLJE</t>
        </is>
      </c>
      <c r="F300" t="inlineStr">
        <is>
          <t>Sveaskog</t>
        </is>
      </c>
      <c r="G300" t="n">
        <v>3.7</v>
      </c>
      <c r="H300" t="n">
        <v>1</v>
      </c>
      <c r="I300" t="n">
        <v>0</v>
      </c>
      <c r="J300" t="n">
        <v>1</v>
      </c>
      <c r="K300" t="n">
        <v>0</v>
      </c>
      <c r="L300" t="n">
        <v>0</v>
      </c>
      <c r="M300" t="n">
        <v>0</v>
      </c>
      <c r="N300" t="n">
        <v>0</v>
      </c>
      <c r="O300" t="n">
        <v>1</v>
      </c>
      <c r="P300" t="n">
        <v>0</v>
      </c>
      <c r="Q300" t="n">
        <v>2</v>
      </c>
      <c r="R300" s="2" t="inlineStr">
        <is>
          <t>Slåtterfibbla
Fläcknycklar</t>
        </is>
      </c>
      <c r="S300">
        <f>HYPERLINK("https://klasma.github.io/Logging_0181/artfynd/A 43525-2023 artfynd.xlsx", "A 43525-2023")</f>
        <v/>
      </c>
      <c r="T300">
        <f>HYPERLINK("https://klasma.github.io/Logging_0181/kartor/A 43525-2023 karta.png", "A 43525-2023")</f>
        <v/>
      </c>
      <c r="V300">
        <f>HYPERLINK("https://klasma.github.io/Logging_0181/klagomål/A 43525-2023 FSC-klagomål.docx", "A 43525-2023")</f>
        <v/>
      </c>
      <c r="W300">
        <f>HYPERLINK("https://klasma.github.io/Logging_0181/klagomålsmail/A 43525-2023 FSC-klagomål mail.docx", "A 43525-2023")</f>
        <v/>
      </c>
      <c r="X300">
        <f>HYPERLINK("https://klasma.github.io/Logging_0181/tillsyn/A 43525-2023 tillsynsbegäran.docx", "A 43525-2023")</f>
        <v/>
      </c>
      <c r="Y300">
        <f>HYPERLINK("https://klasma.github.io/Logging_0181/tillsynsmail/A 43525-2023 tillsynsbegäran mail.docx", "A 43525-2023")</f>
        <v/>
      </c>
    </row>
    <row r="301" ht="15" customHeight="1">
      <c r="A301" t="inlineStr">
        <is>
          <t>A 46953-2023</t>
        </is>
      </c>
      <c r="B301" s="1" t="n">
        <v>45195</v>
      </c>
      <c r="C301" s="1" t="n">
        <v>45661</v>
      </c>
      <c r="D301" t="inlineStr">
        <is>
          <t>STOCKHOLMS LÄN</t>
        </is>
      </c>
      <c r="E301" t="inlineStr">
        <is>
          <t>BOTKYRKA</t>
        </is>
      </c>
      <c r="G301" t="n">
        <v>4.6</v>
      </c>
      <c r="H301" t="n">
        <v>0</v>
      </c>
      <c r="I301" t="n">
        <v>2</v>
      </c>
      <c r="J301" t="n">
        <v>0</v>
      </c>
      <c r="K301" t="n">
        <v>0</v>
      </c>
      <c r="L301" t="n">
        <v>0</v>
      </c>
      <c r="M301" t="n">
        <v>0</v>
      </c>
      <c r="N301" t="n">
        <v>0</v>
      </c>
      <c r="O301" t="n">
        <v>0</v>
      </c>
      <c r="P301" t="n">
        <v>0</v>
      </c>
      <c r="Q301" t="n">
        <v>2</v>
      </c>
      <c r="R301" s="2" t="inlineStr">
        <is>
          <t>Rödgul trumpetsvamp
Sotriska</t>
        </is>
      </c>
      <c r="S301">
        <f>HYPERLINK("https://klasma.github.io/Logging_0127/artfynd/A 46953-2023 artfynd.xlsx", "A 46953-2023")</f>
        <v/>
      </c>
      <c r="T301">
        <f>HYPERLINK("https://klasma.github.io/Logging_0127/kartor/A 46953-2023 karta.png", "A 46953-2023")</f>
        <v/>
      </c>
      <c r="V301">
        <f>HYPERLINK("https://klasma.github.io/Logging_0127/klagomål/A 46953-2023 FSC-klagomål.docx", "A 46953-2023")</f>
        <v/>
      </c>
      <c r="W301">
        <f>HYPERLINK("https://klasma.github.io/Logging_0127/klagomålsmail/A 46953-2023 FSC-klagomål mail.docx", "A 46953-2023")</f>
        <v/>
      </c>
      <c r="X301">
        <f>HYPERLINK("https://klasma.github.io/Logging_0127/tillsyn/A 46953-2023 tillsynsbegäran.docx", "A 46953-2023")</f>
        <v/>
      </c>
      <c r="Y301">
        <f>HYPERLINK("https://klasma.github.io/Logging_0127/tillsynsmail/A 46953-2023 tillsynsbegäran mail.docx", "A 46953-2023")</f>
        <v/>
      </c>
    </row>
    <row r="302" ht="15" customHeight="1">
      <c r="A302" t="inlineStr">
        <is>
          <t>A 47098-2023</t>
        </is>
      </c>
      <c r="B302" s="1" t="n">
        <v>45196</v>
      </c>
      <c r="C302" s="1" t="n">
        <v>45661</v>
      </c>
      <c r="D302" t="inlineStr">
        <is>
          <t>STOCKHOLMS LÄN</t>
        </is>
      </c>
      <c r="E302" t="inlineStr">
        <is>
          <t>NYNÄSHAMN</t>
        </is>
      </c>
      <c r="G302" t="n">
        <v>8</v>
      </c>
      <c r="H302" t="n">
        <v>0</v>
      </c>
      <c r="I302" t="n">
        <v>2</v>
      </c>
      <c r="J302" t="n">
        <v>0</v>
      </c>
      <c r="K302" t="n">
        <v>0</v>
      </c>
      <c r="L302" t="n">
        <v>0</v>
      </c>
      <c r="M302" t="n">
        <v>0</v>
      </c>
      <c r="N302" t="n">
        <v>0</v>
      </c>
      <c r="O302" t="n">
        <v>0</v>
      </c>
      <c r="P302" t="n">
        <v>0</v>
      </c>
      <c r="Q302" t="n">
        <v>2</v>
      </c>
      <c r="R302" s="2" t="inlineStr">
        <is>
          <t>Hasselticka
Myskmadra</t>
        </is>
      </c>
      <c r="S302">
        <f>HYPERLINK("https://klasma.github.io/Logging_0192/artfynd/A 47098-2023 artfynd.xlsx", "A 47098-2023")</f>
        <v/>
      </c>
      <c r="T302">
        <f>HYPERLINK("https://klasma.github.io/Logging_0192/kartor/A 47098-2023 karta.png", "A 47098-2023")</f>
        <v/>
      </c>
      <c r="V302">
        <f>HYPERLINK("https://klasma.github.io/Logging_0192/klagomål/A 47098-2023 FSC-klagomål.docx", "A 47098-2023")</f>
        <v/>
      </c>
      <c r="W302">
        <f>HYPERLINK("https://klasma.github.io/Logging_0192/klagomålsmail/A 47098-2023 FSC-klagomål mail.docx", "A 47098-2023")</f>
        <v/>
      </c>
      <c r="X302">
        <f>HYPERLINK("https://klasma.github.io/Logging_0192/tillsyn/A 47098-2023 tillsynsbegäran.docx", "A 47098-2023")</f>
        <v/>
      </c>
      <c r="Y302">
        <f>HYPERLINK("https://klasma.github.io/Logging_0192/tillsynsmail/A 47098-2023 tillsynsbegäran mail.docx", "A 47098-2023")</f>
        <v/>
      </c>
    </row>
    <row r="303" ht="15" customHeight="1">
      <c r="A303" t="inlineStr">
        <is>
          <t>A 49523-2023</t>
        </is>
      </c>
      <c r="B303" s="1" t="n">
        <v>45211</v>
      </c>
      <c r="C303" s="1" t="n">
        <v>45661</v>
      </c>
      <c r="D303" t="inlineStr">
        <is>
          <t>STOCKHOLMS LÄN</t>
        </is>
      </c>
      <c r="E303" t="inlineStr">
        <is>
          <t>NYNÄSHAMN</t>
        </is>
      </c>
      <c r="G303" t="n">
        <v>2.2</v>
      </c>
      <c r="H303" t="n">
        <v>0</v>
      </c>
      <c r="I303" t="n">
        <v>2</v>
      </c>
      <c r="J303" t="n">
        <v>0</v>
      </c>
      <c r="K303" t="n">
        <v>0</v>
      </c>
      <c r="L303" t="n">
        <v>0</v>
      </c>
      <c r="M303" t="n">
        <v>0</v>
      </c>
      <c r="N303" t="n">
        <v>0</v>
      </c>
      <c r="O303" t="n">
        <v>0</v>
      </c>
      <c r="P303" t="n">
        <v>0</v>
      </c>
      <c r="Q303" t="n">
        <v>2</v>
      </c>
      <c r="R303" s="2" t="inlineStr">
        <is>
          <t>Grönpyrola
Västlig hakmossa</t>
        </is>
      </c>
      <c r="S303">
        <f>HYPERLINK("https://klasma.github.io/Logging_0192/artfynd/A 49523-2023 artfynd.xlsx", "A 49523-2023")</f>
        <v/>
      </c>
      <c r="T303">
        <f>HYPERLINK("https://klasma.github.io/Logging_0192/kartor/A 49523-2023 karta.png", "A 49523-2023")</f>
        <v/>
      </c>
      <c r="V303">
        <f>HYPERLINK("https://klasma.github.io/Logging_0192/klagomål/A 49523-2023 FSC-klagomål.docx", "A 49523-2023")</f>
        <v/>
      </c>
      <c r="W303">
        <f>HYPERLINK("https://klasma.github.io/Logging_0192/klagomålsmail/A 49523-2023 FSC-klagomål mail.docx", "A 49523-2023")</f>
        <v/>
      </c>
      <c r="X303">
        <f>HYPERLINK("https://klasma.github.io/Logging_0192/tillsyn/A 49523-2023 tillsynsbegäran.docx", "A 49523-2023")</f>
        <v/>
      </c>
      <c r="Y303">
        <f>HYPERLINK("https://klasma.github.io/Logging_0192/tillsynsmail/A 49523-2023 tillsynsbegäran mail.docx", "A 49523-2023")</f>
        <v/>
      </c>
    </row>
    <row r="304" ht="15" customHeight="1">
      <c r="A304" t="inlineStr">
        <is>
          <t>A 51220-2023</t>
        </is>
      </c>
      <c r="B304" s="1" t="n">
        <v>45219</v>
      </c>
      <c r="C304" s="1" t="n">
        <v>45661</v>
      </c>
      <c r="D304" t="inlineStr">
        <is>
          <t>STOCKHOLMS LÄN</t>
        </is>
      </c>
      <c r="E304" t="inlineStr">
        <is>
          <t>NORRTÄLJE</t>
        </is>
      </c>
      <c r="G304" t="n">
        <v>7.7</v>
      </c>
      <c r="H304" t="n">
        <v>1</v>
      </c>
      <c r="I304" t="n">
        <v>0</v>
      </c>
      <c r="J304" t="n">
        <v>1</v>
      </c>
      <c r="K304" t="n">
        <v>0</v>
      </c>
      <c r="L304" t="n">
        <v>0</v>
      </c>
      <c r="M304" t="n">
        <v>0</v>
      </c>
      <c r="N304" t="n">
        <v>0</v>
      </c>
      <c r="O304" t="n">
        <v>1</v>
      </c>
      <c r="P304" t="n">
        <v>0</v>
      </c>
      <c r="Q304" t="n">
        <v>2</v>
      </c>
      <c r="R304" s="2" t="inlineStr">
        <is>
          <t>Ullticka
Blåsippa</t>
        </is>
      </c>
      <c r="S304">
        <f>HYPERLINK("https://klasma.github.io/Logging_0188/artfynd/A 51220-2023 artfynd.xlsx", "A 51220-2023")</f>
        <v/>
      </c>
      <c r="T304">
        <f>HYPERLINK("https://klasma.github.io/Logging_0188/kartor/A 51220-2023 karta.png", "A 51220-2023")</f>
        <v/>
      </c>
      <c r="V304">
        <f>HYPERLINK("https://klasma.github.io/Logging_0188/klagomål/A 51220-2023 FSC-klagomål.docx", "A 51220-2023")</f>
        <v/>
      </c>
      <c r="W304">
        <f>HYPERLINK("https://klasma.github.io/Logging_0188/klagomålsmail/A 51220-2023 FSC-klagomål mail.docx", "A 51220-2023")</f>
        <v/>
      </c>
      <c r="X304">
        <f>HYPERLINK("https://klasma.github.io/Logging_0188/tillsyn/A 51220-2023 tillsynsbegäran.docx", "A 51220-2023")</f>
        <v/>
      </c>
      <c r="Y304">
        <f>HYPERLINK("https://klasma.github.io/Logging_0188/tillsynsmail/A 51220-2023 tillsynsbegäran mail.docx", "A 51220-2023")</f>
        <v/>
      </c>
    </row>
    <row r="305" ht="15" customHeight="1">
      <c r="A305" t="inlineStr">
        <is>
          <t>A 52825-2023</t>
        </is>
      </c>
      <c r="B305" s="1" t="n">
        <v>45226</v>
      </c>
      <c r="C305" s="1" t="n">
        <v>45661</v>
      </c>
      <c r="D305" t="inlineStr">
        <is>
          <t>STOCKHOLMS LÄN</t>
        </is>
      </c>
      <c r="E305" t="inlineStr">
        <is>
          <t>NORRTÄLJE</t>
        </is>
      </c>
      <c r="G305" t="n">
        <v>1</v>
      </c>
      <c r="H305" t="n">
        <v>0</v>
      </c>
      <c r="I305" t="n">
        <v>2</v>
      </c>
      <c r="J305" t="n">
        <v>0</v>
      </c>
      <c r="K305" t="n">
        <v>0</v>
      </c>
      <c r="L305" t="n">
        <v>0</v>
      </c>
      <c r="M305" t="n">
        <v>0</v>
      </c>
      <c r="N305" t="n">
        <v>0</v>
      </c>
      <c r="O305" t="n">
        <v>0</v>
      </c>
      <c r="P305" t="n">
        <v>0</v>
      </c>
      <c r="Q305" t="n">
        <v>2</v>
      </c>
      <c r="R305" s="2" t="inlineStr">
        <is>
          <t>Fjällig taggsvamp s.str.
Strimspindling</t>
        </is>
      </c>
      <c r="S305">
        <f>HYPERLINK("https://klasma.github.io/Logging_0188/artfynd/A 52825-2023 artfynd.xlsx", "A 52825-2023")</f>
        <v/>
      </c>
      <c r="T305">
        <f>HYPERLINK("https://klasma.github.io/Logging_0188/kartor/A 52825-2023 karta.png", "A 52825-2023")</f>
        <v/>
      </c>
      <c r="V305">
        <f>HYPERLINK("https://klasma.github.io/Logging_0188/klagomål/A 52825-2023 FSC-klagomål.docx", "A 52825-2023")</f>
        <v/>
      </c>
      <c r="W305">
        <f>HYPERLINK("https://klasma.github.io/Logging_0188/klagomålsmail/A 52825-2023 FSC-klagomål mail.docx", "A 52825-2023")</f>
        <v/>
      </c>
      <c r="X305">
        <f>HYPERLINK("https://klasma.github.io/Logging_0188/tillsyn/A 52825-2023 tillsynsbegäran.docx", "A 52825-2023")</f>
        <v/>
      </c>
      <c r="Y305">
        <f>HYPERLINK("https://klasma.github.io/Logging_0188/tillsynsmail/A 52825-2023 tillsynsbegäran mail.docx", "A 52825-2023")</f>
        <v/>
      </c>
    </row>
    <row r="306" ht="15" customHeight="1">
      <c r="A306" t="inlineStr">
        <is>
          <t>A 60213-2023</t>
        </is>
      </c>
      <c r="B306" s="1" t="n">
        <v>45258</v>
      </c>
      <c r="C306" s="1" t="n">
        <v>45661</v>
      </c>
      <c r="D306" t="inlineStr">
        <is>
          <t>STOCKHOLMS LÄN</t>
        </is>
      </c>
      <c r="E306" t="inlineStr">
        <is>
          <t>HANINGE</t>
        </is>
      </c>
      <c r="G306" t="n">
        <v>3.4</v>
      </c>
      <c r="H306" t="n">
        <v>1</v>
      </c>
      <c r="I306" t="n">
        <v>1</v>
      </c>
      <c r="J306" t="n">
        <v>1</v>
      </c>
      <c r="K306" t="n">
        <v>0</v>
      </c>
      <c r="L306" t="n">
        <v>0</v>
      </c>
      <c r="M306" t="n">
        <v>0</v>
      </c>
      <c r="N306" t="n">
        <v>0</v>
      </c>
      <c r="O306" t="n">
        <v>1</v>
      </c>
      <c r="P306" t="n">
        <v>0</v>
      </c>
      <c r="Q306" t="n">
        <v>2</v>
      </c>
      <c r="R306" s="2" t="inlineStr">
        <is>
          <t>Granticka
Grön sköldmossa</t>
        </is>
      </c>
      <c r="S306">
        <f>HYPERLINK("https://klasma.github.io/Logging_0136/artfynd/A 60213-2023 artfynd.xlsx", "A 60213-2023")</f>
        <v/>
      </c>
      <c r="T306">
        <f>HYPERLINK("https://klasma.github.io/Logging_0136/kartor/A 60213-2023 karta.png", "A 60213-2023")</f>
        <v/>
      </c>
      <c r="V306">
        <f>HYPERLINK("https://klasma.github.io/Logging_0136/klagomål/A 60213-2023 FSC-klagomål.docx", "A 60213-2023")</f>
        <v/>
      </c>
      <c r="W306">
        <f>HYPERLINK("https://klasma.github.io/Logging_0136/klagomålsmail/A 60213-2023 FSC-klagomål mail.docx", "A 60213-2023")</f>
        <v/>
      </c>
      <c r="X306">
        <f>HYPERLINK("https://klasma.github.io/Logging_0136/tillsyn/A 60213-2023 tillsynsbegäran.docx", "A 60213-2023")</f>
        <v/>
      </c>
      <c r="Y306">
        <f>HYPERLINK("https://klasma.github.io/Logging_0136/tillsynsmail/A 60213-2023 tillsynsbegäran mail.docx", "A 60213-2023")</f>
        <v/>
      </c>
    </row>
    <row r="307" ht="15" customHeight="1">
      <c r="A307" t="inlineStr">
        <is>
          <t>A 60375-2023</t>
        </is>
      </c>
      <c r="B307" s="1" t="n">
        <v>45259</v>
      </c>
      <c r="C307" s="1" t="n">
        <v>45661</v>
      </c>
      <c r="D307" t="inlineStr">
        <is>
          <t>STOCKHOLMS LÄN</t>
        </is>
      </c>
      <c r="E307" t="inlineStr">
        <is>
          <t>HANINGE</t>
        </is>
      </c>
      <c r="G307" t="n">
        <v>2.1</v>
      </c>
      <c r="H307" t="n">
        <v>0</v>
      </c>
      <c r="I307" t="n">
        <v>1</v>
      </c>
      <c r="J307" t="n">
        <v>1</v>
      </c>
      <c r="K307" t="n">
        <v>0</v>
      </c>
      <c r="L307" t="n">
        <v>0</v>
      </c>
      <c r="M307" t="n">
        <v>0</v>
      </c>
      <c r="N307" t="n">
        <v>0</v>
      </c>
      <c r="O307" t="n">
        <v>1</v>
      </c>
      <c r="P307" t="n">
        <v>0</v>
      </c>
      <c r="Q307" t="n">
        <v>2</v>
      </c>
      <c r="R307" s="2" t="inlineStr">
        <is>
          <t>Granticka
Granbarkgnagare</t>
        </is>
      </c>
      <c r="S307">
        <f>HYPERLINK("https://klasma.github.io/Logging_0136/artfynd/A 60375-2023 artfynd.xlsx", "A 60375-2023")</f>
        <v/>
      </c>
      <c r="T307">
        <f>HYPERLINK("https://klasma.github.io/Logging_0136/kartor/A 60375-2023 karta.png", "A 60375-2023")</f>
        <v/>
      </c>
      <c r="V307">
        <f>HYPERLINK("https://klasma.github.io/Logging_0136/klagomål/A 60375-2023 FSC-klagomål.docx", "A 60375-2023")</f>
        <v/>
      </c>
      <c r="W307">
        <f>HYPERLINK("https://klasma.github.io/Logging_0136/klagomålsmail/A 60375-2023 FSC-klagomål mail.docx", "A 60375-2023")</f>
        <v/>
      </c>
      <c r="X307">
        <f>HYPERLINK("https://klasma.github.io/Logging_0136/tillsyn/A 60375-2023 tillsynsbegäran.docx", "A 60375-2023")</f>
        <v/>
      </c>
      <c r="Y307">
        <f>HYPERLINK("https://klasma.github.io/Logging_0136/tillsynsmail/A 60375-2023 tillsynsbegäran mail.docx", "A 60375-2023")</f>
        <v/>
      </c>
    </row>
    <row r="308" ht="15" customHeight="1">
      <c r="A308" t="inlineStr">
        <is>
          <t>A 64189-2023</t>
        </is>
      </c>
      <c r="B308" s="1" t="n">
        <v>45279</v>
      </c>
      <c r="C308" s="1" t="n">
        <v>45661</v>
      </c>
      <c r="D308" t="inlineStr">
        <is>
          <t>STOCKHOLMS LÄN</t>
        </is>
      </c>
      <c r="E308" t="inlineStr">
        <is>
          <t>NYNÄSHAMN</t>
        </is>
      </c>
      <c r="G308" t="n">
        <v>1.5</v>
      </c>
      <c r="H308" t="n">
        <v>2</v>
      </c>
      <c r="I308" t="n">
        <v>0</v>
      </c>
      <c r="J308" t="n">
        <v>0</v>
      </c>
      <c r="K308" t="n">
        <v>0</v>
      </c>
      <c r="L308" t="n">
        <v>0</v>
      </c>
      <c r="M308" t="n">
        <v>0</v>
      </c>
      <c r="N308" t="n">
        <v>0</v>
      </c>
      <c r="O308" t="n">
        <v>0</v>
      </c>
      <c r="P308" t="n">
        <v>0</v>
      </c>
      <c r="Q308" t="n">
        <v>2</v>
      </c>
      <c r="R308" s="2" t="inlineStr">
        <is>
          <t>Blåsippa
Gullviva</t>
        </is>
      </c>
      <c r="S308">
        <f>HYPERLINK("https://klasma.github.io/Logging_0192/artfynd/A 64189-2023 artfynd.xlsx", "A 64189-2023")</f>
        <v/>
      </c>
      <c r="T308">
        <f>HYPERLINK("https://klasma.github.io/Logging_0192/kartor/A 64189-2023 karta.png", "A 64189-2023")</f>
        <v/>
      </c>
      <c r="V308">
        <f>HYPERLINK("https://klasma.github.io/Logging_0192/klagomål/A 64189-2023 FSC-klagomål.docx", "A 64189-2023")</f>
        <v/>
      </c>
      <c r="W308">
        <f>HYPERLINK("https://klasma.github.io/Logging_0192/klagomålsmail/A 64189-2023 FSC-klagomål mail.docx", "A 64189-2023")</f>
        <v/>
      </c>
      <c r="X308">
        <f>HYPERLINK("https://klasma.github.io/Logging_0192/tillsyn/A 64189-2023 tillsynsbegäran.docx", "A 64189-2023")</f>
        <v/>
      </c>
      <c r="Y308">
        <f>HYPERLINK("https://klasma.github.io/Logging_0192/tillsynsmail/A 64189-2023 tillsynsbegäran mail.docx", "A 64189-2023")</f>
        <v/>
      </c>
    </row>
    <row r="309" ht="15" customHeight="1">
      <c r="A309" t="inlineStr">
        <is>
          <t>A 64357-2023</t>
        </is>
      </c>
      <c r="B309" s="1" t="n">
        <v>45280</v>
      </c>
      <c r="C309" s="1" t="n">
        <v>45661</v>
      </c>
      <c r="D309" t="inlineStr">
        <is>
          <t>STOCKHOLMS LÄN</t>
        </is>
      </c>
      <c r="E309" t="inlineStr">
        <is>
          <t>SIGTUNA</t>
        </is>
      </c>
      <c r="F309" t="inlineStr">
        <is>
          <t>Allmännings- och besparingsskogar</t>
        </is>
      </c>
      <c r="G309" t="n">
        <v>6.7</v>
      </c>
      <c r="H309" t="n">
        <v>2</v>
      </c>
      <c r="I309" t="n">
        <v>0</v>
      </c>
      <c r="J309" t="n">
        <v>0</v>
      </c>
      <c r="K309" t="n">
        <v>0</v>
      </c>
      <c r="L309" t="n">
        <v>0</v>
      </c>
      <c r="M309" t="n">
        <v>0</v>
      </c>
      <c r="N309" t="n">
        <v>0</v>
      </c>
      <c r="O309" t="n">
        <v>0</v>
      </c>
      <c r="P309" t="n">
        <v>0</v>
      </c>
      <c r="Q309" t="n">
        <v>2</v>
      </c>
      <c r="R309" s="2" t="inlineStr">
        <is>
          <t>Grönsiska
Pudrad kärrtrollslända</t>
        </is>
      </c>
      <c r="S309">
        <f>HYPERLINK("https://klasma.github.io/Logging_0191/artfynd/A 64357-2023 artfynd.xlsx", "A 64357-2023")</f>
        <v/>
      </c>
      <c r="T309">
        <f>HYPERLINK("https://klasma.github.io/Logging_0191/kartor/A 64357-2023 karta.png", "A 64357-2023")</f>
        <v/>
      </c>
      <c r="V309">
        <f>HYPERLINK("https://klasma.github.io/Logging_0191/klagomål/A 64357-2023 FSC-klagomål.docx", "A 64357-2023")</f>
        <v/>
      </c>
      <c r="W309">
        <f>HYPERLINK("https://klasma.github.io/Logging_0191/klagomålsmail/A 64357-2023 FSC-klagomål mail.docx", "A 64357-2023")</f>
        <v/>
      </c>
      <c r="X309">
        <f>HYPERLINK("https://klasma.github.io/Logging_0191/tillsyn/A 64357-2023 tillsynsbegäran.docx", "A 64357-2023")</f>
        <v/>
      </c>
      <c r="Y309">
        <f>HYPERLINK("https://klasma.github.io/Logging_0191/tillsynsmail/A 64357-2023 tillsynsbegäran mail.docx", "A 64357-2023")</f>
        <v/>
      </c>
      <c r="Z309">
        <f>HYPERLINK("https://klasma.github.io/Logging_0191/fåglar/A 64357-2023 prioriterade fågelarter.docx", "A 64357-2023")</f>
        <v/>
      </c>
    </row>
    <row r="310" ht="15" customHeight="1">
      <c r="A310" t="inlineStr">
        <is>
          <t>A 754-2024</t>
        </is>
      </c>
      <c r="B310" s="1" t="n">
        <v>45300</v>
      </c>
      <c r="C310" s="1" t="n">
        <v>45661</v>
      </c>
      <c r="D310" t="inlineStr">
        <is>
          <t>STOCKHOLMS LÄN</t>
        </is>
      </c>
      <c r="E310" t="inlineStr">
        <is>
          <t>VALLENTUNA</t>
        </is>
      </c>
      <c r="G310" t="n">
        <v>2.5</v>
      </c>
      <c r="H310" t="n">
        <v>1</v>
      </c>
      <c r="I310" t="n">
        <v>1</v>
      </c>
      <c r="J310" t="n">
        <v>0</v>
      </c>
      <c r="K310" t="n">
        <v>0</v>
      </c>
      <c r="L310" t="n">
        <v>0</v>
      </c>
      <c r="M310" t="n">
        <v>0</v>
      </c>
      <c r="N310" t="n">
        <v>0</v>
      </c>
      <c r="O310" t="n">
        <v>0</v>
      </c>
      <c r="P310" t="n">
        <v>0</v>
      </c>
      <c r="Q310" t="n">
        <v>2</v>
      </c>
      <c r="R310" s="2" t="inlineStr">
        <is>
          <t>Vågbandad barkbock
Grönsiska</t>
        </is>
      </c>
      <c r="S310">
        <f>HYPERLINK("https://klasma.github.io/Logging_0115/artfynd/A 754-2024 artfynd.xlsx", "A 754-2024")</f>
        <v/>
      </c>
      <c r="T310">
        <f>HYPERLINK("https://klasma.github.io/Logging_0115/kartor/A 754-2024 karta.png", "A 754-2024")</f>
        <v/>
      </c>
      <c r="V310">
        <f>HYPERLINK("https://klasma.github.io/Logging_0115/klagomål/A 754-2024 FSC-klagomål.docx", "A 754-2024")</f>
        <v/>
      </c>
      <c r="W310">
        <f>HYPERLINK("https://klasma.github.io/Logging_0115/klagomålsmail/A 754-2024 FSC-klagomål mail.docx", "A 754-2024")</f>
        <v/>
      </c>
      <c r="X310">
        <f>HYPERLINK("https://klasma.github.io/Logging_0115/tillsyn/A 754-2024 tillsynsbegäran.docx", "A 754-2024")</f>
        <v/>
      </c>
      <c r="Y310">
        <f>HYPERLINK("https://klasma.github.io/Logging_0115/tillsynsmail/A 754-2024 tillsynsbegäran mail.docx", "A 754-2024")</f>
        <v/>
      </c>
      <c r="Z310">
        <f>HYPERLINK("https://klasma.github.io/Logging_0115/fåglar/A 754-2024 prioriterade fågelarter.docx", "A 754-2024")</f>
        <v/>
      </c>
    </row>
    <row r="311" ht="15" customHeight="1">
      <c r="A311" t="inlineStr">
        <is>
          <t>A 1036-2024</t>
        </is>
      </c>
      <c r="B311" s="1" t="n">
        <v>45301</v>
      </c>
      <c r="C311" s="1" t="n">
        <v>45661</v>
      </c>
      <c r="D311" t="inlineStr">
        <is>
          <t>STOCKHOLMS LÄN</t>
        </is>
      </c>
      <c r="E311" t="inlineStr">
        <is>
          <t>UPPLANDS VÄSBY</t>
        </is>
      </c>
      <c r="G311" t="n">
        <v>5</v>
      </c>
      <c r="H311" t="n">
        <v>1</v>
      </c>
      <c r="I311" t="n">
        <v>1</v>
      </c>
      <c r="J311" t="n">
        <v>0</v>
      </c>
      <c r="K311" t="n">
        <v>0</v>
      </c>
      <c r="L311" t="n">
        <v>0</v>
      </c>
      <c r="M311" t="n">
        <v>0</v>
      </c>
      <c r="N311" t="n">
        <v>0</v>
      </c>
      <c r="O311" t="n">
        <v>0</v>
      </c>
      <c r="P311" t="n">
        <v>0</v>
      </c>
      <c r="Q311" t="n">
        <v>2</v>
      </c>
      <c r="R311" s="2" t="inlineStr">
        <is>
          <t>Vedticka
Revlummer</t>
        </is>
      </c>
      <c r="S311">
        <f>HYPERLINK("https://klasma.github.io/Logging_0114/artfynd/A 1036-2024 artfynd.xlsx", "A 1036-2024")</f>
        <v/>
      </c>
      <c r="T311">
        <f>HYPERLINK("https://klasma.github.io/Logging_0114/kartor/A 1036-2024 karta.png", "A 1036-2024")</f>
        <v/>
      </c>
      <c r="V311">
        <f>HYPERLINK("https://klasma.github.io/Logging_0114/klagomål/A 1036-2024 FSC-klagomål.docx", "A 1036-2024")</f>
        <v/>
      </c>
      <c r="W311">
        <f>HYPERLINK("https://klasma.github.io/Logging_0114/klagomålsmail/A 1036-2024 FSC-klagomål mail.docx", "A 1036-2024")</f>
        <v/>
      </c>
      <c r="X311">
        <f>HYPERLINK("https://klasma.github.io/Logging_0114/tillsyn/A 1036-2024 tillsynsbegäran.docx", "A 1036-2024")</f>
        <v/>
      </c>
      <c r="Y311">
        <f>HYPERLINK("https://klasma.github.io/Logging_0114/tillsynsmail/A 1036-2024 tillsynsbegäran mail.docx", "A 1036-2024")</f>
        <v/>
      </c>
    </row>
    <row r="312" ht="15" customHeight="1">
      <c r="A312" t="inlineStr">
        <is>
          <t>A 4909-2024</t>
        </is>
      </c>
      <c r="B312" s="1" t="n">
        <v>45329</v>
      </c>
      <c r="C312" s="1" t="n">
        <v>45661</v>
      </c>
      <c r="D312" t="inlineStr">
        <is>
          <t>STOCKHOLMS LÄN</t>
        </is>
      </c>
      <c r="E312" t="inlineStr">
        <is>
          <t>NORRTÄLJE</t>
        </is>
      </c>
      <c r="G312" t="n">
        <v>4.1</v>
      </c>
      <c r="H312" t="n">
        <v>0</v>
      </c>
      <c r="I312" t="n">
        <v>2</v>
      </c>
      <c r="J312" t="n">
        <v>0</v>
      </c>
      <c r="K312" t="n">
        <v>0</v>
      </c>
      <c r="L312" t="n">
        <v>0</v>
      </c>
      <c r="M312" t="n">
        <v>0</v>
      </c>
      <c r="N312" t="n">
        <v>0</v>
      </c>
      <c r="O312" t="n">
        <v>0</v>
      </c>
      <c r="P312" t="n">
        <v>0</v>
      </c>
      <c r="Q312" t="n">
        <v>2</v>
      </c>
      <c r="R312" s="2" t="inlineStr">
        <is>
          <t>Fjällig taggsvamp s.str.
Rödgul trumpetsvamp</t>
        </is>
      </c>
      <c r="S312">
        <f>HYPERLINK("https://klasma.github.io/Logging_0188/artfynd/A 4909-2024 artfynd.xlsx", "A 4909-2024")</f>
        <v/>
      </c>
      <c r="T312">
        <f>HYPERLINK("https://klasma.github.io/Logging_0188/kartor/A 4909-2024 karta.png", "A 4909-2024")</f>
        <v/>
      </c>
      <c r="V312">
        <f>HYPERLINK("https://klasma.github.io/Logging_0188/klagomål/A 4909-2024 FSC-klagomål.docx", "A 4909-2024")</f>
        <v/>
      </c>
      <c r="W312">
        <f>HYPERLINK("https://klasma.github.io/Logging_0188/klagomålsmail/A 4909-2024 FSC-klagomål mail.docx", "A 4909-2024")</f>
        <v/>
      </c>
      <c r="X312">
        <f>HYPERLINK("https://klasma.github.io/Logging_0188/tillsyn/A 4909-2024 tillsynsbegäran.docx", "A 4909-2024")</f>
        <v/>
      </c>
      <c r="Y312">
        <f>HYPERLINK("https://klasma.github.io/Logging_0188/tillsynsmail/A 4909-2024 tillsynsbegäran mail.docx", "A 4909-2024")</f>
        <v/>
      </c>
    </row>
    <row r="313" ht="15" customHeight="1">
      <c r="A313" t="inlineStr">
        <is>
          <t>A 8622-2024</t>
        </is>
      </c>
      <c r="B313" s="1" t="n">
        <v>45355</v>
      </c>
      <c r="C313" s="1" t="n">
        <v>45661</v>
      </c>
      <c r="D313" t="inlineStr">
        <is>
          <t>STOCKHOLMS LÄN</t>
        </is>
      </c>
      <c r="E313" t="inlineStr">
        <is>
          <t>ÖSTERÅKER</t>
        </is>
      </c>
      <c r="G313" t="n">
        <v>5.3</v>
      </c>
      <c r="H313" t="n">
        <v>2</v>
      </c>
      <c r="I313" t="n">
        <v>0</v>
      </c>
      <c r="J313" t="n">
        <v>1</v>
      </c>
      <c r="K313" t="n">
        <v>0</v>
      </c>
      <c r="L313" t="n">
        <v>0</v>
      </c>
      <c r="M313" t="n">
        <v>0</v>
      </c>
      <c r="N313" t="n">
        <v>0</v>
      </c>
      <c r="O313" t="n">
        <v>1</v>
      </c>
      <c r="P313" t="n">
        <v>0</v>
      </c>
      <c r="Q313" t="n">
        <v>2</v>
      </c>
      <c r="R313" s="2" t="inlineStr">
        <is>
          <t>Svartvit flugsnappare
Blåsippa</t>
        </is>
      </c>
      <c r="S313">
        <f>HYPERLINK("https://klasma.github.io/Logging_0117/artfynd/A 8622-2024 artfynd.xlsx", "A 8622-2024")</f>
        <v/>
      </c>
      <c r="T313">
        <f>HYPERLINK("https://klasma.github.io/Logging_0117/kartor/A 8622-2024 karta.png", "A 8622-2024")</f>
        <v/>
      </c>
      <c r="V313">
        <f>HYPERLINK("https://klasma.github.io/Logging_0117/klagomål/A 8622-2024 FSC-klagomål.docx", "A 8622-2024")</f>
        <v/>
      </c>
      <c r="W313">
        <f>HYPERLINK("https://klasma.github.io/Logging_0117/klagomålsmail/A 8622-2024 FSC-klagomål mail.docx", "A 8622-2024")</f>
        <v/>
      </c>
      <c r="X313">
        <f>HYPERLINK("https://klasma.github.io/Logging_0117/tillsyn/A 8622-2024 tillsynsbegäran.docx", "A 8622-2024")</f>
        <v/>
      </c>
      <c r="Y313">
        <f>HYPERLINK("https://klasma.github.io/Logging_0117/tillsynsmail/A 8622-2024 tillsynsbegäran mail.docx", "A 8622-2024")</f>
        <v/>
      </c>
      <c r="Z313">
        <f>HYPERLINK("https://klasma.github.io/Logging_0117/fåglar/A 8622-2024 prioriterade fågelarter.docx", "A 8622-2024")</f>
        <v/>
      </c>
    </row>
    <row r="314" ht="15" customHeight="1">
      <c r="A314" t="inlineStr">
        <is>
          <t>A 11995-2024</t>
        </is>
      </c>
      <c r="B314" s="1" t="n">
        <v>45377</v>
      </c>
      <c r="C314" s="1" t="n">
        <v>45661</v>
      </c>
      <c r="D314" t="inlineStr">
        <is>
          <t>STOCKHOLMS LÄN</t>
        </is>
      </c>
      <c r="E314" t="inlineStr">
        <is>
          <t>NORRTÄLJE</t>
        </is>
      </c>
      <c r="G314" t="n">
        <v>4.7</v>
      </c>
      <c r="H314" t="n">
        <v>0</v>
      </c>
      <c r="I314" t="n">
        <v>1</v>
      </c>
      <c r="J314" t="n">
        <v>1</v>
      </c>
      <c r="K314" t="n">
        <v>0</v>
      </c>
      <c r="L314" t="n">
        <v>0</v>
      </c>
      <c r="M314" t="n">
        <v>0</v>
      </c>
      <c r="N314" t="n">
        <v>0</v>
      </c>
      <c r="O314" t="n">
        <v>1</v>
      </c>
      <c r="P314" t="n">
        <v>0</v>
      </c>
      <c r="Q314" t="n">
        <v>2</v>
      </c>
      <c r="R314" s="2" t="inlineStr">
        <is>
          <t>Tallticka
Svavelriska</t>
        </is>
      </c>
      <c r="S314">
        <f>HYPERLINK("https://klasma.github.io/Logging_0188/artfynd/A 11995-2024 artfynd.xlsx", "A 11995-2024")</f>
        <v/>
      </c>
      <c r="T314">
        <f>HYPERLINK("https://klasma.github.io/Logging_0188/kartor/A 11995-2024 karta.png", "A 11995-2024")</f>
        <v/>
      </c>
      <c r="V314">
        <f>HYPERLINK("https://klasma.github.io/Logging_0188/klagomål/A 11995-2024 FSC-klagomål.docx", "A 11995-2024")</f>
        <v/>
      </c>
      <c r="W314">
        <f>HYPERLINK("https://klasma.github.io/Logging_0188/klagomålsmail/A 11995-2024 FSC-klagomål mail.docx", "A 11995-2024")</f>
        <v/>
      </c>
      <c r="X314">
        <f>HYPERLINK("https://klasma.github.io/Logging_0188/tillsyn/A 11995-2024 tillsynsbegäran.docx", "A 11995-2024")</f>
        <v/>
      </c>
      <c r="Y314">
        <f>HYPERLINK("https://klasma.github.io/Logging_0188/tillsynsmail/A 11995-2024 tillsynsbegäran mail.docx", "A 11995-2024")</f>
        <v/>
      </c>
    </row>
    <row r="315" ht="15" customHeight="1">
      <c r="A315" t="inlineStr">
        <is>
          <t>A 12662-2024</t>
        </is>
      </c>
      <c r="B315" s="1" t="n">
        <v>45384</v>
      </c>
      <c r="C315" s="1" t="n">
        <v>45661</v>
      </c>
      <c r="D315" t="inlineStr">
        <is>
          <t>STOCKHOLMS LÄN</t>
        </is>
      </c>
      <c r="E315" t="inlineStr">
        <is>
          <t>HANINGE</t>
        </is>
      </c>
      <c r="G315" t="n">
        <v>1.8</v>
      </c>
      <c r="H315" t="n">
        <v>1</v>
      </c>
      <c r="I315" t="n">
        <v>1</v>
      </c>
      <c r="J315" t="n">
        <v>0</v>
      </c>
      <c r="K315" t="n">
        <v>0</v>
      </c>
      <c r="L315" t="n">
        <v>0</v>
      </c>
      <c r="M315" t="n">
        <v>0</v>
      </c>
      <c r="N315" t="n">
        <v>0</v>
      </c>
      <c r="O315" t="n">
        <v>0</v>
      </c>
      <c r="P315" t="n">
        <v>0</v>
      </c>
      <c r="Q315" t="n">
        <v>2</v>
      </c>
      <c r="R315" s="2" t="inlineStr">
        <is>
          <t>Skogshakmossa
Blåsippa</t>
        </is>
      </c>
      <c r="S315">
        <f>HYPERLINK("https://klasma.github.io/Logging_0136/artfynd/A 12662-2024 artfynd.xlsx", "A 12662-2024")</f>
        <v/>
      </c>
      <c r="T315">
        <f>HYPERLINK("https://klasma.github.io/Logging_0136/kartor/A 12662-2024 karta.png", "A 12662-2024")</f>
        <v/>
      </c>
      <c r="V315">
        <f>HYPERLINK("https://klasma.github.io/Logging_0136/klagomål/A 12662-2024 FSC-klagomål.docx", "A 12662-2024")</f>
        <v/>
      </c>
      <c r="W315">
        <f>HYPERLINK("https://klasma.github.io/Logging_0136/klagomålsmail/A 12662-2024 FSC-klagomål mail.docx", "A 12662-2024")</f>
        <v/>
      </c>
      <c r="X315">
        <f>HYPERLINK("https://klasma.github.io/Logging_0136/tillsyn/A 12662-2024 tillsynsbegäran.docx", "A 12662-2024")</f>
        <v/>
      </c>
      <c r="Y315">
        <f>HYPERLINK("https://klasma.github.io/Logging_0136/tillsynsmail/A 12662-2024 tillsynsbegäran mail.docx", "A 12662-2024")</f>
        <v/>
      </c>
    </row>
    <row r="316" ht="15" customHeight="1">
      <c r="A316" t="inlineStr">
        <is>
          <t>A 13150-2024</t>
        </is>
      </c>
      <c r="B316" s="1" t="n">
        <v>45386</v>
      </c>
      <c r="C316" s="1" t="n">
        <v>45661</v>
      </c>
      <c r="D316" t="inlineStr">
        <is>
          <t>STOCKHOLMS LÄN</t>
        </is>
      </c>
      <c r="E316" t="inlineStr">
        <is>
          <t>NORRTÄLJE</t>
        </is>
      </c>
      <c r="G316" t="n">
        <v>7.4</v>
      </c>
      <c r="H316" t="n">
        <v>0</v>
      </c>
      <c r="I316" t="n">
        <v>1</v>
      </c>
      <c r="J316" t="n">
        <v>1</v>
      </c>
      <c r="K316" t="n">
        <v>0</v>
      </c>
      <c r="L316" t="n">
        <v>0</v>
      </c>
      <c r="M316" t="n">
        <v>0</v>
      </c>
      <c r="N316" t="n">
        <v>0</v>
      </c>
      <c r="O316" t="n">
        <v>1</v>
      </c>
      <c r="P316" t="n">
        <v>0</v>
      </c>
      <c r="Q316" t="n">
        <v>2</v>
      </c>
      <c r="R316" s="2" t="inlineStr">
        <is>
          <t>Orange taggsvamp
Mönjevaxskivling</t>
        </is>
      </c>
      <c r="S316">
        <f>HYPERLINK("https://klasma.github.io/Logging_0188/artfynd/A 13150-2024 artfynd.xlsx", "A 13150-2024")</f>
        <v/>
      </c>
      <c r="T316">
        <f>HYPERLINK("https://klasma.github.io/Logging_0188/kartor/A 13150-2024 karta.png", "A 13150-2024")</f>
        <v/>
      </c>
      <c r="V316">
        <f>HYPERLINK("https://klasma.github.io/Logging_0188/klagomål/A 13150-2024 FSC-klagomål.docx", "A 13150-2024")</f>
        <v/>
      </c>
      <c r="W316">
        <f>HYPERLINK("https://klasma.github.io/Logging_0188/klagomålsmail/A 13150-2024 FSC-klagomål mail.docx", "A 13150-2024")</f>
        <v/>
      </c>
      <c r="X316">
        <f>HYPERLINK("https://klasma.github.io/Logging_0188/tillsyn/A 13150-2024 tillsynsbegäran.docx", "A 13150-2024")</f>
        <v/>
      </c>
      <c r="Y316">
        <f>HYPERLINK("https://klasma.github.io/Logging_0188/tillsynsmail/A 13150-2024 tillsynsbegäran mail.docx", "A 13150-2024")</f>
        <v/>
      </c>
    </row>
    <row r="317" ht="15" customHeight="1">
      <c r="A317" t="inlineStr">
        <is>
          <t>A 23583-2024</t>
        </is>
      </c>
      <c r="B317" s="1" t="n">
        <v>45454</v>
      </c>
      <c r="C317" s="1" t="n">
        <v>45661</v>
      </c>
      <c r="D317" t="inlineStr">
        <is>
          <t>STOCKHOLMS LÄN</t>
        </is>
      </c>
      <c r="E317" t="inlineStr">
        <is>
          <t>NORRTÄLJE</t>
        </is>
      </c>
      <c r="G317" t="n">
        <v>7.7</v>
      </c>
      <c r="H317" t="n">
        <v>0</v>
      </c>
      <c r="I317" t="n">
        <v>2</v>
      </c>
      <c r="J317" t="n">
        <v>0</v>
      </c>
      <c r="K317" t="n">
        <v>0</v>
      </c>
      <c r="L317" t="n">
        <v>0</v>
      </c>
      <c r="M317" t="n">
        <v>0</v>
      </c>
      <c r="N317" t="n">
        <v>0</v>
      </c>
      <c r="O317" t="n">
        <v>0</v>
      </c>
      <c r="P317" t="n">
        <v>0</v>
      </c>
      <c r="Q317" t="n">
        <v>2</v>
      </c>
      <c r="R317" s="2" t="inlineStr">
        <is>
          <t>Gulnål
Kattfotslav</t>
        </is>
      </c>
      <c r="S317">
        <f>HYPERLINK("https://klasma.github.io/Logging_0188/artfynd/A 23583-2024 artfynd.xlsx", "A 23583-2024")</f>
        <v/>
      </c>
      <c r="T317">
        <f>HYPERLINK("https://klasma.github.io/Logging_0188/kartor/A 23583-2024 karta.png", "A 23583-2024")</f>
        <v/>
      </c>
      <c r="V317">
        <f>HYPERLINK("https://klasma.github.io/Logging_0188/klagomål/A 23583-2024 FSC-klagomål.docx", "A 23583-2024")</f>
        <v/>
      </c>
      <c r="W317">
        <f>HYPERLINK("https://klasma.github.io/Logging_0188/klagomålsmail/A 23583-2024 FSC-klagomål mail.docx", "A 23583-2024")</f>
        <v/>
      </c>
      <c r="X317">
        <f>HYPERLINK("https://klasma.github.io/Logging_0188/tillsyn/A 23583-2024 tillsynsbegäran.docx", "A 23583-2024")</f>
        <v/>
      </c>
      <c r="Y317">
        <f>HYPERLINK("https://klasma.github.io/Logging_0188/tillsynsmail/A 23583-2024 tillsynsbegäran mail.docx", "A 23583-2024")</f>
        <v/>
      </c>
    </row>
    <row r="318" ht="15" customHeight="1">
      <c r="A318" t="inlineStr">
        <is>
          <t>A 24025-2024</t>
        </is>
      </c>
      <c r="B318" s="1" t="n">
        <v>45456</v>
      </c>
      <c r="C318" s="1" t="n">
        <v>45661</v>
      </c>
      <c r="D318" t="inlineStr">
        <is>
          <t>STOCKHOLMS LÄN</t>
        </is>
      </c>
      <c r="E318" t="inlineStr">
        <is>
          <t>NORRTÄLJE</t>
        </is>
      </c>
      <c r="G318" t="n">
        <v>6</v>
      </c>
      <c r="H318" t="n">
        <v>0</v>
      </c>
      <c r="I318" t="n">
        <v>2</v>
      </c>
      <c r="J318" t="n">
        <v>0</v>
      </c>
      <c r="K318" t="n">
        <v>0</v>
      </c>
      <c r="L318" t="n">
        <v>0</v>
      </c>
      <c r="M318" t="n">
        <v>0</v>
      </c>
      <c r="N318" t="n">
        <v>0</v>
      </c>
      <c r="O318" t="n">
        <v>0</v>
      </c>
      <c r="P318" t="n">
        <v>0</v>
      </c>
      <c r="Q318" t="n">
        <v>2</v>
      </c>
      <c r="R318" s="2" t="inlineStr">
        <is>
          <t>Guldlockmossa
Platt fjädermossa</t>
        </is>
      </c>
      <c r="S318">
        <f>HYPERLINK("https://klasma.github.io/Logging_0188/artfynd/A 24025-2024 artfynd.xlsx", "A 24025-2024")</f>
        <v/>
      </c>
      <c r="T318">
        <f>HYPERLINK("https://klasma.github.io/Logging_0188/kartor/A 24025-2024 karta.png", "A 24025-2024")</f>
        <v/>
      </c>
      <c r="V318">
        <f>HYPERLINK("https://klasma.github.io/Logging_0188/klagomål/A 24025-2024 FSC-klagomål.docx", "A 24025-2024")</f>
        <v/>
      </c>
      <c r="W318">
        <f>HYPERLINK("https://klasma.github.io/Logging_0188/klagomålsmail/A 24025-2024 FSC-klagomål mail.docx", "A 24025-2024")</f>
        <v/>
      </c>
      <c r="X318">
        <f>HYPERLINK("https://klasma.github.io/Logging_0188/tillsyn/A 24025-2024 tillsynsbegäran.docx", "A 24025-2024")</f>
        <v/>
      </c>
      <c r="Y318">
        <f>HYPERLINK("https://klasma.github.io/Logging_0188/tillsynsmail/A 24025-2024 tillsynsbegäran mail.docx", "A 24025-2024")</f>
        <v/>
      </c>
    </row>
    <row r="319" ht="15" customHeight="1">
      <c r="A319" t="inlineStr">
        <is>
          <t>A 29376-2024</t>
        </is>
      </c>
      <c r="B319" s="1" t="n">
        <v>45483</v>
      </c>
      <c r="C319" s="1" t="n">
        <v>45661</v>
      </c>
      <c r="D319" t="inlineStr">
        <is>
          <t>STOCKHOLMS LÄN</t>
        </is>
      </c>
      <c r="E319" t="inlineStr">
        <is>
          <t>VALLENTUNA</t>
        </is>
      </c>
      <c r="F319" t="inlineStr">
        <is>
          <t>Övriga Aktiebolag</t>
        </is>
      </c>
      <c r="G319" t="n">
        <v>11.9</v>
      </c>
      <c r="H319" t="n">
        <v>0</v>
      </c>
      <c r="I319" t="n">
        <v>0</v>
      </c>
      <c r="J319" t="n">
        <v>1</v>
      </c>
      <c r="K319" t="n">
        <v>1</v>
      </c>
      <c r="L319" t="n">
        <v>0</v>
      </c>
      <c r="M319" t="n">
        <v>0</v>
      </c>
      <c r="N319" t="n">
        <v>0</v>
      </c>
      <c r="O319" t="n">
        <v>2</v>
      </c>
      <c r="P319" t="n">
        <v>1</v>
      </c>
      <c r="Q319" t="n">
        <v>2</v>
      </c>
      <c r="R319" s="2" t="inlineStr">
        <is>
          <t>Bandnate
Vedtrappmossa</t>
        </is>
      </c>
      <c r="S319">
        <f>HYPERLINK("https://klasma.github.io/Logging_0115/artfynd/A 29376-2024 artfynd.xlsx", "A 29376-2024")</f>
        <v/>
      </c>
      <c r="T319">
        <f>HYPERLINK("https://klasma.github.io/Logging_0115/kartor/A 29376-2024 karta.png", "A 29376-2024")</f>
        <v/>
      </c>
      <c r="V319">
        <f>HYPERLINK("https://klasma.github.io/Logging_0115/klagomål/A 29376-2024 FSC-klagomål.docx", "A 29376-2024")</f>
        <v/>
      </c>
      <c r="W319">
        <f>HYPERLINK("https://klasma.github.io/Logging_0115/klagomålsmail/A 29376-2024 FSC-klagomål mail.docx", "A 29376-2024")</f>
        <v/>
      </c>
      <c r="X319">
        <f>HYPERLINK("https://klasma.github.io/Logging_0115/tillsyn/A 29376-2024 tillsynsbegäran.docx", "A 29376-2024")</f>
        <v/>
      </c>
      <c r="Y319">
        <f>HYPERLINK("https://klasma.github.io/Logging_0115/tillsynsmail/A 29376-2024 tillsynsbegäran mail.docx", "A 29376-2024")</f>
        <v/>
      </c>
    </row>
    <row r="320" ht="15" customHeight="1">
      <c r="A320" t="inlineStr">
        <is>
          <t>A 36813-2024</t>
        </is>
      </c>
      <c r="B320" s="1" t="n">
        <v>45538</v>
      </c>
      <c r="C320" s="1" t="n">
        <v>45661</v>
      </c>
      <c r="D320" t="inlineStr">
        <is>
          <t>STOCKHOLMS LÄN</t>
        </is>
      </c>
      <c r="E320" t="inlineStr">
        <is>
          <t>NYKVARN</t>
        </is>
      </c>
      <c r="G320" t="n">
        <v>5.9</v>
      </c>
      <c r="H320" t="n">
        <v>1</v>
      </c>
      <c r="I320" t="n">
        <v>1</v>
      </c>
      <c r="J320" t="n">
        <v>0</v>
      </c>
      <c r="K320" t="n">
        <v>0</v>
      </c>
      <c r="L320" t="n">
        <v>0</v>
      </c>
      <c r="M320" t="n">
        <v>0</v>
      </c>
      <c r="N320" t="n">
        <v>0</v>
      </c>
      <c r="O320" t="n">
        <v>0</v>
      </c>
      <c r="P320" t="n">
        <v>0</v>
      </c>
      <c r="Q320" t="n">
        <v>2</v>
      </c>
      <c r="R320" s="2" t="inlineStr">
        <is>
          <t>Vårärt
Blåsippa</t>
        </is>
      </c>
      <c r="S320">
        <f>HYPERLINK("https://klasma.github.io/Logging_0140/artfynd/A 36813-2024 artfynd.xlsx", "A 36813-2024")</f>
        <v/>
      </c>
      <c r="T320">
        <f>HYPERLINK("https://klasma.github.io/Logging_0140/kartor/A 36813-2024 karta.png", "A 36813-2024")</f>
        <v/>
      </c>
      <c r="V320">
        <f>HYPERLINK("https://klasma.github.io/Logging_0140/klagomål/A 36813-2024 FSC-klagomål.docx", "A 36813-2024")</f>
        <v/>
      </c>
      <c r="W320">
        <f>HYPERLINK("https://klasma.github.io/Logging_0140/klagomålsmail/A 36813-2024 FSC-klagomål mail.docx", "A 36813-2024")</f>
        <v/>
      </c>
      <c r="X320">
        <f>HYPERLINK("https://klasma.github.io/Logging_0140/tillsyn/A 36813-2024 tillsynsbegäran.docx", "A 36813-2024")</f>
        <v/>
      </c>
      <c r="Y320">
        <f>HYPERLINK("https://klasma.github.io/Logging_0140/tillsynsmail/A 36813-2024 tillsynsbegäran mail.docx", "A 36813-2024")</f>
        <v/>
      </c>
    </row>
    <row r="321" ht="15" customHeight="1">
      <c r="A321" t="inlineStr">
        <is>
          <t>A 43308-2024</t>
        </is>
      </c>
      <c r="B321" s="1" t="n">
        <v>45568</v>
      </c>
      <c r="C321" s="1" t="n">
        <v>45661</v>
      </c>
      <c r="D321" t="inlineStr">
        <is>
          <t>STOCKHOLMS LÄN</t>
        </is>
      </c>
      <c r="E321" t="inlineStr">
        <is>
          <t>ÖSTERÅKER</t>
        </is>
      </c>
      <c r="F321" t="inlineStr">
        <is>
          <t>Kyrkan</t>
        </is>
      </c>
      <c r="G321" t="n">
        <v>3.2</v>
      </c>
      <c r="H321" t="n">
        <v>0</v>
      </c>
      <c r="I321" t="n">
        <v>1</v>
      </c>
      <c r="J321" t="n">
        <v>1</v>
      </c>
      <c r="K321" t="n">
        <v>0</v>
      </c>
      <c r="L321" t="n">
        <v>0</v>
      </c>
      <c r="M321" t="n">
        <v>0</v>
      </c>
      <c r="N321" t="n">
        <v>0</v>
      </c>
      <c r="O321" t="n">
        <v>1</v>
      </c>
      <c r="P321" t="n">
        <v>0</v>
      </c>
      <c r="Q321" t="n">
        <v>2</v>
      </c>
      <c r="R321" s="2" t="inlineStr">
        <is>
          <t>Tallticka
Dropptaggsvamp</t>
        </is>
      </c>
      <c r="S321">
        <f>HYPERLINK("https://klasma.github.io/Logging_0117/artfynd/A 43308-2024 artfynd.xlsx", "A 43308-2024")</f>
        <v/>
      </c>
      <c r="T321">
        <f>HYPERLINK("https://klasma.github.io/Logging_0117/kartor/A 43308-2024 karta.png", "A 43308-2024")</f>
        <v/>
      </c>
      <c r="V321">
        <f>HYPERLINK("https://klasma.github.io/Logging_0117/klagomål/A 43308-2024 FSC-klagomål.docx", "A 43308-2024")</f>
        <v/>
      </c>
      <c r="W321">
        <f>HYPERLINK("https://klasma.github.io/Logging_0117/klagomålsmail/A 43308-2024 FSC-klagomål mail.docx", "A 43308-2024")</f>
        <v/>
      </c>
      <c r="X321">
        <f>HYPERLINK("https://klasma.github.io/Logging_0117/tillsyn/A 43308-2024 tillsynsbegäran.docx", "A 43308-2024")</f>
        <v/>
      </c>
      <c r="Y321">
        <f>HYPERLINK("https://klasma.github.io/Logging_0117/tillsynsmail/A 43308-2024 tillsynsbegäran mail.docx", "A 43308-2024")</f>
        <v/>
      </c>
    </row>
    <row r="322" ht="15" customHeight="1">
      <c r="A322" t="inlineStr">
        <is>
          <t>A 50326-2024</t>
        </is>
      </c>
      <c r="B322" s="1" t="n">
        <v>45600</v>
      </c>
      <c r="C322" s="1" t="n">
        <v>45661</v>
      </c>
      <c r="D322" t="inlineStr">
        <is>
          <t>STOCKHOLMS LÄN</t>
        </is>
      </c>
      <c r="E322" t="inlineStr">
        <is>
          <t>NORRTÄLJE</t>
        </is>
      </c>
      <c r="G322" t="n">
        <v>23.9</v>
      </c>
      <c r="H322" t="n">
        <v>1</v>
      </c>
      <c r="I322" t="n">
        <v>1</v>
      </c>
      <c r="J322" t="n">
        <v>1</v>
      </c>
      <c r="K322" t="n">
        <v>0</v>
      </c>
      <c r="L322" t="n">
        <v>0</v>
      </c>
      <c r="M322" t="n">
        <v>0</v>
      </c>
      <c r="N322" t="n">
        <v>0</v>
      </c>
      <c r="O322" t="n">
        <v>1</v>
      </c>
      <c r="P322" t="n">
        <v>0</v>
      </c>
      <c r="Q322" t="n">
        <v>2</v>
      </c>
      <c r="R322" s="2" t="inlineStr">
        <is>
          <t>Sommarfibbla
Nästrot</t>
        </is>
      </c>
      <c r="S322">
        <f>HYPERLINK("https://klasma.github.io/Logging_0188/artfynd/A 50326-2024 artfynd.xlsx", "A 50326-2024")</f>
        <v/>
      </c>
      <c r="T322">
        <f>HYPERLINK("https://klasma.github.io/Logging_0188/kartor/A 50326-2024 karta.png", "A 50326-2024")</f>
        <v/>
      </c>
      <c r="V322">
        <f>HYPERLINK("https://klasma.github.io/Logging_0188/klagomål/A 50326-2024 FSC-klagomål.docx", "A 50326-2024")</f>
        <v/>
      </c>
      <c r="W322">
        <f>HYPERLINK("https://klasma.github.io/Logging_0188/klagomålsmail/A 50326-2024 FSC-klagomål mail.docx", "A 50326-2024")</f>
        <v/>
      </c>
      <c r="X322">
        <f>HYPERLINK("https://klasma.github.io/Logging_0188/tillsyn/A 50326-2024 tillsynsbegäran.docx", "A 50326-2024")</f>
        <v/>
      </c>
      <c r="Y322">
        <f>HYPERLINK("https://klasma.github.io/Logging_0188/tillsynsmail/A 50326-2024 tillsynsbegäran mail.docx", "A 50326-2024")</f>
        <v/>
      </c>
    </row>
    <row r="323" ht="15" customHeight="1">
      <c r="A323" t="inlineStr">
        <is>
          <t>A 52360-2024</t>
        </is>
      </c>
      <c r="B323" s="1" t="n">
        <v>45609</v>
      </c>
      <c r="C323" s="1" t="n">
        <v>45661</v>
      </c>
      <c r="D323" t="inlineStr">
        <is>
          <t>STOCKHOLMS LÄN</t>
        </is>
      </c>
      <c r="E323" t="inlineStr">
        <is>
          <t>NORRTÄLJE</t>
        </is>
      </c>
      <c r="G323" t="n">
        <v>2.2</v>
      </c>
      <c r="H323" t="n">
        <v>1</v>
      </c>
      <c r="I323" t="n">
        <v>1</v>
      </c>
      <c r="J323" t="n">
        <v>0</v>
      </c>
      <c r="K323" t="n">
        <v>0</v>
      </c>
      <c r="L323" t="n">
        <v>0</v>
      </c>
      <c r="M323" t="n">
        <v>0</v>
      </c>
      <c r="N323" t="n">
        <v>0</v>
      </c>
      <c r="O323" t="n">
        <v>0</v>
      </c>
      <c r="P323" t="n">
        <v>0</v>
      </c>
      <c r="Q323" t="n">
        <v>2</v>
      </c>
      <c r="R323" s="2" t="inlineStr">
        <is>
          <t>Brandticka
Blåsippa</t>
        </is>
      </c>
      <c r="S323">
        <f>HYPERLINK("https://klasma.github.io/Logging_0188/artfynd/A 52360-2024 artfynd.xlsx", "A 52360-2024")</f>
        <v/>
      </c>
      <c r="T323">
        <f>HYPERLINK("https://klasma.github.io/Logging_0188/kartor/A 52360-2024 karta.png", "A 52360-2024")</f>
        <v/>
      </c>
      <c r="V323">
        <f>HYPERLINK("https://klasma.github.io/Logging_0188/klagomål/A 52360-2024 FSC-klagomål.docx", "A 52360-2024")</f>
        <v/>
      </c>
      <c r="W323">
        <f>HYPERLINK("https://klasma.github.io/Logging_0188/klagomålsmail/A 52360-2024 FSC-klagomål mail.docx", "A 52360-2024")</f>
        <v/>
      </c>
      <c r="X323">
        <f>HYPERLINK("https://klasma.github.io/Logging_0188/tillsyn/A 52360-2024 tillsynsbegäran.docx", "A 52360-2024")</f>
        <v/>
      </c>
      <c r="Y323">
        <f>HYPERLINK("https://klasma.github.io/Logging_0188/tillsynsmail/A 52360-2024 tillsynsbegäran mail.docx", "A 52360-2024")</f>
        <v/>
      </c>
    </row>
    <row r="324" ht="15" customHeight="1">
      <c r="A324" t="inlineStr">
        <is>
          <t>A 54703-2024</t>
        </is>
      </c>
      <c r="B324" s="1" t="n">
        <v>45618</v>
      </c>
      <c r="C324" s="1" t="n">
        <v>45661</v>
      </c>
      <c r="D324" t="inlineStr">
        <is>
          <t>STOCKHOLMS LÄN</t>
        </is>
      </c>
      <c r="E324" t="inlineStr">
        <is>
          <t>ÖSTERÅKER</t>
        </is>
      </c>
      <c r="G324" t="n">
        <v>7.7</v>
      </c>
      <c r="H324" t="n">
        <v>1</v>
      </c>
      <c r="I324" t="n">
        <v>0</v>
      </c>
      <c r="J324" t="n">
        <v>2</v>
      </c>
      <c r="K324" t="n">
        <v>0</v>
      </c>
      <c r="L324" t="n">
        <v>0</v>
      </c>
      <c r="M324" t="n">
        <v>0</v>
      </c>
      <c r="N324" t="n">
        <v>0</v>
      </c>
      <c r="O324" t="n">
        <v>2</v>
      </c>
      <c r="P324" t="n">
        <v>0</v>
      </c>
      <c r="Q324" t="n">
        <v>2</v>
      </c>
      <c r="R324" s="2" t="inlineStr">
        <is>
          <t>Spillkråka
Tallticka</t>
        </is>
      </c>
      <c r="S324">
        <f>HYPERLINK("https://klasma.github.io/Logging_0117/artfynd/A 54703-2024 artfynd.xlsx", "A 54703-2024")</f>
        <v/>
      </c>
      <c r="T324">
        <f>HYPERLINK("https://klasma.github.io/Logging_0117/kartor/A 54703-2024 karta.png", "A 54703-2024")</f>
        <v/>
      </c>
      <c r="V324">
        <f>HYPERLINK("https://klasma.github.io/Logging_0117/klagomål/A 54703-2024 FSC-klagomål.docx", "A 54703-2024")</f>
        <v/>
      </c>
      <c r="W324">
        <f>HYPERLINK("https://klasma.github.io/Logging_0117/klagomålsmail/A 54703-2024 FSC-klagomål mail.docx", "A 54703-2024")</f>
        <v/>
      </c>
      <c r="X324">
        <f>HYPERLINK("https://klasma.github.io/Logging_0117/tillsyn/A 54703-2024 tillsynsbegäran.docx", "A 54703-2024")</f>
        <v/>
      </c>
      <c r="Y324">
        <f>HYPERLINK("https://klasma.github.io/Logging_0117/tillsynsmail/A 54703-2024 tillsynsbegäran mail.docx", "A 54703-2024")</f>
        <v/>
      </c>
      <c r="Z324">
        <f>HYPERLINK("https://klasma.github.io/Logging_0117/fåglar/A 54703-2024 prioriterade fågelarter.docx", "A 54703-2024")</f>
        <v/>
      </c>
    </row>
    <row r="325" ht="15" customHeight="1">
      <c r="A325" t="inlineStr">
        <is>
          <t>A 20740-2019</t>
        </is>
      </c>
      <c r="B325" s="1" t="n">
        <v>43573</v>
      </c>
      <c r="C325" s="1" t="n">
        <v>45661</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Slåtterfibbla</t>
        </is>
      </c>
      <c r="S325">
        <f>HYPERLINK("https://klasma.github.io/Logging_0188/artfynd/A 20740-2019 artfynd.xlsx", "A 20740-2019")</f>
        <v/>
      </c>
      <c r="T325">
        <f>HYPERLINK("https://klasma.github.io/Logging_0188/kartor/A 20740-2019 karta.png", "A 20740-2019")</f>
        <v/>
      </c>
      <c r="V325">
        <f>HYPERLINK("https://klasma.github.io/Logging_0188/klagomål/A 20740-2019 FSC-klagomål.docx", "A 20740-2019")</f>
        <v/>
      </c>
      <c r="W325">
        <f>HYPERLINK("https://klasma.github.io/Logging_0188/klagomålsmail/A 20740-2019 FSC-klagomål mail.docx", "A 20740-2019")</f>
        <v/>
      </c>
      <c r="X325">
        <f>HYPERLINK("https://klasma.github.io/Logging_0188/tillsyn/A 20740-2019 tillsynsbegäran.docx", "A 20740-2019")</f>
        <v/>
      </c>
      <c r="Y325">
        <f>HYPERLINK("https://klasma.github.io/Logging_0188/tillsynsmail/A 20740-2019 tillsynsbegäran mail.docx", "A 20740-2019")</f>
        <v/>
      </c>
    </row>
    <row r="326" ht="15" customHeight="1">
      <c r="A326" t="inlineStr">
        <is>
          <t>A 24362-2019</t>
        </is>
      </c>
      <c r="B326" s="1" t="n">
        <v>43599</v>
      </c>
      <c r="C326" s="1" t="n">
        <v>45661</v>
      </c>
      <c r="D326" t="inlineStr">
        <is>
          <t>STOCKHOLMS LÄN</t>
        </is>
      </c>
      <c r="E326" t="inlineStr">
        <is>
          <t>NYNÄSHAMN</t>
        </is>
      </c>
      <c r="F326" t="inlineStr">
        <is>
          <t>Kommuner</t>
        </is>
      </c>
      <c r="G326" t="n">
        <v>2.3</v>
      </c>
      <c r="H326" t="n">
        <v>1</v>
      </c>
      <c r="I326" t="n">
        <v>1</v>
      </c>
      <c r="J326" t="n">
        <v>0</v>
      </c>
      <c r="K326" t="n">
        <v>0</v>
      </c>
      <c r="L326" t="n">
        <v>0</v>
      </c>
      <c r="M326" t="n">
        <v>0</v>
      </c>
      <c r="N326" t="n">
        <v>0</v>
      </c>
      <c r="O326" t="n">
        <v>0</v>
      </c>
      <c r="P326" t="n">
        <v>0</v>
      </c>
      <c r="Q326" t="n">
        <v>1</v>
      </c>
      <c r="R326" s="2" t="inlineStr">
        <is>
          <t>Grön sköldmossa</t>
        </is>
      </c>
      <c r="S326">
        <f>HYPERLINK("https://klasma.github.io/Logging_0192/artfynd/A 24362-2019 artfynd.xlsx", "A 24362-2019")</f>
        <v/>
      </c>
      <c r="T326">
        <f>HYPERLINK("https://klasma.github.io/Logging_0192/kartor/A 24362-2019 karta.png", "A 24362-2019")</f>
        <v/>
      </c>
      <c r="V326">
        <f>HYPERLINK("https://klasma.github.io/Logging_0192/klagomål/A 24362-2019 FSC-klagomål.docx", "A 24362-2019")</f>
        <v/>
      </c>
      <c r="W326">
        <f>HYPERLINK("https://klasma.github.io/Logging_0192/klagomålsmail/A 24362-2019 FSC-klagomål mail.docx", "A 24362-2019")</f>
        <v/>
      </c>
      <c r="X326">
        <f>HYPERLINK("https://klasma.github.io/Logging_0192/tillsyn/A 24362-2019 tillsynsbegäran.docx", "A 24362-2019")</f>
        <v/>
      </c>
      <c r="Y326">
        <f>HYPERLINK("https://klasma.github.io/Logging_0192/tillsynsmail/A 24362-2019 tillsynsbegäran mail.docx", "A 24362-2019")</f>
        <v/>
      </c>
    </row>
    <row r="327" ht="15" customHeight="1">
      <c r="A327" t="inlineStr">
        <is>
          <t>A 26275-2019</t>
        </is>
      </c>
      <c r="B327" s="1" t="n">
        <v>43611</v>
      </c>
      <c r="C327" s="1" t="n">
        <v>45661</v>
      </c>
      <c r="D327" t="inlineStr">
        <is>
          <t>STOCKHOLMS LÄN</t>
        </is>
      </c>
      <c r="E327" t="inlineStr">
        <is>
          <t>NORRTÄLJE</t>
        </is>
      </c>
      <c r="G327" t="n">
        <v>0.5</v>
      </c>
      <c r="H327" t="n">
        <v>0</v>
      </c>
      <c r="I327" t="n">
        <v>1</v>
      </c>
      <c r="J327" t="n">
        <v>0</v>
      </c>
      <c r="K327" t="n">
        <v>0</v>
      </c>
      <c r="L327" t="n">
        <v>0</v>
      </c>
      <c r="M327" t="n">
        <v>0</v>
      </c>
      <c r="N327" t="n">
        <v>0</v>
      </c>
      <c r="O327" t="n">
        <v>0</v>
      </c>
      <c r="P327" t="n">
        <v>0</v>
      </c>
      <c r="Q327" t="n">
        <v>1</v>
      </c>
      <c r="R327" s="2" t="inlineStr">
        <is>
          <t>Blåmossa</t>
        </is>
      </c>
      <c r="S327">
        <f>HYPERLINK("https://klasma.github.io/Logging_0188/artfynd/A 26275-2019 artfynd.xlsx", "A 26275-2019")</f>
        <v/>
      </c>
      <c r="T327">
        <f>HYPERLINK("https://klasma.github.io/Logging_0188/kartor/A 26275-2019 karta.png", "A 26275-2019")</f>
        <v/>
      </c>
      <c r="V327">
        <f>HYPERLINK("https://klasma.github.io/Logging_0188/klagomål/A 26275-2019 FSC-klagomål.docx", "A 26275-2019")</f>
        <v/>
      </c>
      <c r="W327">
        <f>HYPERLINK("https://klasma.github.io/Logging_0188/klagomålsmail/A 26275-2019 FSC-klagomål mail.docx", "A 26275-2019")</f>
        <v/>
      </c>
      <c r="X327">
        <f>HYPERLINK("https://klasma.github.io/Logging_0188/tillsyn/A 26275-2019 tillsynsbegäran.docx", "A 26275-2019")</f>
        <v/>
      </c>
      <c r="Y327">
        <f>HYPERLINK("https://klasma.github.io/Logging_0188/tillsynsmail/A 26275-2019 tillsynsbegäran mail.docx", "A 26275-2019")</f>
        <v/>
      </c>
    </row>
    <row r="328" ht="15" customHeight="1">
      <c r="A328" t="inlineStr">
        <is>
          <t>A 27513-2019</t>
        </is>
      </c>
      <c r="B328" s="1" t="n">
        <v>43619</v>
      </c>
      <c r="C328" s="1" t="n">
        <v>45661</v>
      </c>
      <c r="D328" t="inlineStr">
        <is>
          <t>STOCKHOLMS LÄN</t>
        </is>
      </c>
      <c r="E328" t="inlineStr">
        <is>
          <t>SÖDERTÄLJE</t>
        </is>
      </c>
      <c r="F328" t="inlineStr">
        <is>
          <t>Sveaskog</t>
        </is>
      </c>
      <c r="G328" t="n">
        <v>2.9</v>
      </c>
      <c r="H328" t="n">
        <v>0</v>
      </c>
      <c r="I328" t="n">
        <v>0</v>
      </c>
      <c r="J328" t="n">
        <v>1</v>
      </c>
      <c r="K328" t="n">
        <v>0</v>
      </c>
      <c r="L328" t="n">
        <v>0</v>
      </c>
      <c r="M328" t="n">
        <v>0</v>
      </c>
      <c r="N328" t="n">
        <v>0</v>
      </c>
      <c r="O328" t="n">
        <v>1</v>
      </c>
      <c r="P328" t="n">
        <v>0</v>
      </c>
      <c r="Q328" t="n">
        <v>1</v>
      </c>
      <c r="R328" s="2" t="inlineStr">
        <is>
          <t>Vedtrappmossa</t>
        </is>
      </c>
      <c r="S328">
        <f>HYPERLINK("https://klasma.github.io/Logging_0181/artfynd/A 27513-2019 artfynd.xlsx", "A 27513-2019")</f>
        <v/>
      </c>
      <c r="T328">
        <f>HYPERLINK("https://klasma.github.io/Logging_0181/kartor/A 27513-2019 karta.png", "A 27513-2019")</f>
        <v/>
      </c>
      <c r="V328">
        <f>HYPERLINK("https://klasma.github.io/Logging_0181/klagomål/A 27513-2019 FSC-klagomål.docx", "A 27513-2019")</f>
        <v/>
      </c>
      <c r="W328">
        <f>HYPERLINK("https://klasma.github.io/Logging_0181/klagomålsmail/A 27513-2019 FSC-klagomål mail.docx", "A 27513-2019")</f>
        <v/>
      </c>
      <c r="X328">
        <f>HYPERLINK("https://klasma.github.io/Logging_0181/tillsyn/A 27513-2019 tillsynsbegäran.docx", "A 27513-2019")</f>
        <v/>
      </c>
      <c r="Y328">
        <f>HYPERLINK("https://klasma.github.io/Logging_0181/tillsynsmail/A 27513-2019 tillsynsbegäran mail.docx", "A 27513-2019")</f>
        <v/>
      </c>
    </row>
    <row r="329" ht="15" customHeight="1">
      <c r="A329" t="inlineStr">
        <is>
          <t>A 29513-2019</t>
        </is>
      </c>
      <c r="B329" s="1" t="n">
        <v>43627</v>
      </c>
      <c r="C329" s="1" t="n">
        <v>45661</v>
      </c>
      <c r="D329" t="inlineStr">
        <is>
          <t>STOCKHOLMS LÄN</t>
        </is>
      </c>
      <c r="E329" t="inlineStr">
        <is>
          <t>HANINGE</t>
        </is>
      </c>
      <c r="G329" t="n">
        <v>2.1</v>
      </c>
      <c r="H329" t="n">
        <v>1</v>
      </c>
      <c r="I329" t="n">
        <v>0</v>
      </c>
      <c r="J329" t="n">
        <v>1</v>
      </c>
      <c r="K329" t="n">
        <v>0</v>
      </c>
      <c r="L329" t="n">
        <v>0</v>
      </c>
      <c r="M329" t="n">
        <v>0</v>
      </c>
      <c r="N329" t="n">
        <v>0</v>
      </c>
      <c r="O329" t="n">
        <v>1</v>
      </c>
      <c r="P329" t="n">
        <v>0</v>
      </c>
      <c r="Q329" t="n">
        <v>1</v>
      </c>
      <c r="R329" s="2" t="inlineStr">
        <is>
          <t>Spillkråka</t>
        </is>
      </c>
      <c r="S329">
        <f>HYPERLINK("https://klasma.github.io/Logging_0136/artfynd/A 29513-2019 artfynd.xlsx", "A 29513-2019")</f>
        <v/>
      </c>
      <c r="T329">
        <f>HYPERLINK("https://klasma.github.io/Logging_0136/kartor/A 29513-2019 karta.png", "A 29513-2019")</f>
        <v/>
      </c>
      <c r="V329">
        <f>HYPERLINK("https://klasma.github.io/Logging_0136/klagomål/A 29513-2019 FSC-klagomål.docx", "A 29513-2019")</f>
        <v/>
      </c>
      <c r="W329">
        <f>HYPERLINK("https://klasma.github.io/Logging_0136/klagomålsmail/A 29513-2019 FSC-klagomål mail.docx", "A 29513-2019")</f>
        <v/>
      </c>
      <c r="X329">
        <f>HYPERLINK("https://klasma.github.io/Logging_0136/tillsyn/A 29513-2019 tillsynsbegäran.docx", "A 29513-2019")</f>
        <v/>
      </c>
      <c r="Y329">
        <f>HYPERLINK("https://klasma.github.io/Logging_0136/tillsynsmail/A 29513-2019 tillsynsbegäran mail.docx", "A 29513-2019")</f>
        <v/>
      </c>
      <c r="Z329">
        <f>HYPERLINK("https://klasma.github.io/Logging_0136/fåglar/A 29513-2019 prioriterade fågelarter.docx", "A 29513-2019")</f>
        <v/>
      </c>
    </row>
    <row r="330" ht="15" customHeight="1">
      <c r="A330" t="inlineStr">
        <is>
          <t>A 30011-2019</t>
        </is>
      </c>
      <c r="B330" s="1" t="n">
        <v>43633</v>
      </c>
      <c r="C330" s="1" t="n">
        <v>45661</v>
      </c>
      <c r="D330" t="inlineStr">
        <is>
          <t>STOCKHOLMS LÄN</t>
        </is>
      </c>
      <c r="E330" t="inlineStr">
        <is>
          <t>NORRTÄLJE</t>
        </is>
      </c>
      <c r="G330" t="n">
        <v>2.6</v>
      </c>
      <c r="H330" t="n">
        <v>0</v>
      </c>
      <c r="I330" t="n">
        <v>1</v>
      </c>
      <c r="J330" t="n">
        <v>0</v>
      </c>
      <c r="K330" t="n">
        <v>0</v>
      </c>
      <c r="L330" t="n">
        <v>0</v>
      </c>
      <c r="M330" t="n">
        <v>0</v>
      </c>
      <c r="N330" t="n">
        <v>0</v>
      </c>
      <c r="O330" t="n">
        <v>0</v>
      </c>
      <c r="P330" t="n">
        <v>0</v>
      </c>
      <c r="Q330" t="n">
        <v>1</v>
      </c>
      <c r="R330" s="2" t="inlineStr">
        <is>
          <t>Tibast</t>
        </is>
      </c>
      <c r="S330">
        <f>HYPERLINK("https://klasma.github.io/Logging_0188/artfynd/A 30011-2019 artfynd.xlsx", "A 30011-2019")</f>
        <v/>
      </c>
      <c r="T330">
        <f>HYPERLINK("https://klasma.github.io/Logging_0188/kartor/A 30011-2019 karta.png", "A 30011-2019")</f>
        <v/>
      </c>
      <c r="V330">
        <f>HYPERLINK("https://klasma.github.io/Logging_0188/klagomål/A 30011-2019 FSC-klagomål.docx", "A 30011-2019")</f>
        <v/>
      </c>
      <c r="W330">
        <f>HYPERLINK("https://klasma.github.io/Logging_0188/klagomålsmail/A 30011-2019 FSC-klagomål mail.docx", "A 30011-2019")</f>
        <v/>
      </c>
      <c r="X330">
        <f>HYPERLINK("https://klasma.github.io/Logging_0188/tillsyn/A 30011-2019 tillsynsbegäran.docx", "A 30011-2019")</f>
        <v/>
      </c>
      <c r="Y330">
        <f>HYPERLINK("https://klasma.github.io/Logging_0188/tillsynsmail/A 30011-2019 tillsynsbegäran mail.docx", "A 30011-2019")</f>
        <v/>
      </c>
    </row>
    <row r="331" ht="15" customHeight="1">
      <c r="A331" t="inlineStr">
        <is>
          <t>A 31167-2019</t>
        </is>
      </c>
      <c r="B331" s="1" t="n">
        <v>43635</v>
      </c>
      <c r="C331" s="1" t="n">
        <v>45661</v>
      </c>
      <c r="D331" t="inlineStr">
        <is>
          <t>STOCKHOLMS LÄN</t>
        </is>
      </c>
      <c r="E331" t="inlineStr">
        <is>
          <t>EKERÖ</t>
        </is>
      </c>
      <c r="F331" t="inlineStr">
        <is>
          <t>Övriga statliga verk och myndigheter</t>
        </is>
      </c>
      <c r="G331" t="n">
        <v>3.7</v>
      </c>
      <c r="H331" t="n">
        <v>1</v>
      </c>
      <c r="I331" t="n">
        <v>0</v>
      </c>
      <c r="J331" t="n">
        <v>0</v>
      </c>
      <c r="K331" t="n">
        <v>1</v>
      </c>
      <c r="L331" t="n">
        <v>0</v>
      </c>
      <c r="M331" t="n">
        <v>0</v>
      </c>
      <c r="N331" t="n">
        <v>0</v>
      </c>
      <c r="O331" t="n">
        <v>1</v>
      </c>
      <c r="P331" t="n">
        <v>1</v>
      </c>
      <c r="Q331" t="n">
        <v>1</v>
      </c>
      <c r="R331" s="2" t="inlineStr">
        <is>
          <t>Läderbagge</t>
        </is>
      </c>
      <c r="S331">
        <f>HYPERLINK("https://klasma.github.io/Logging_0125/artfynd/A 31167-2019 artfynd.xlsx", "A 31167-2019")</f>
        <v/>
      </c>
      <c r="T331">
        <f>HYPERLINK("https://klasma.github.io/Logging_0125/kartor/A 31167-2019 karta.png", "A 31167-2019")</f>
        <v/>
      </c>
      <c r="V331">
        <f>HYPERLINK("https://klasma.github.io/Logging_0125/klagomål/A 31167-2019 FSC-klagomål.docx", "A 31167-2019")</f>
        <v/>
      </c>
      <c r="W331">
        <f>HYPERLINK("https://klasma.github.io/Logging_0125/klagomålsmail/A 31167-2019 FSC-klagomål mail.docx", "A 31167-2019")</f>
        <v/>
      </c>
      <c r="X331">
        <f>HYPERLINK("https://klasma.github.io/Logging_0125/tillsyn/A 31167-2019 tillsynsbegäran.docx", "A 31167-2019")</f>
        <v/>
      </c>
      <c r="Y331">
        <f>HYPERLINK("https://klasma.github.io/Logging_0125/tillsynsmail/A 31167-2019 tillsynsbegäran mail.docx", "A 31167-2019")</f>
        <v/>
      </c>
    </row>
    <row r="332" ht="15" customHeight="1">
      <c r="A332" t="inlineStr">
        <is>
          <t>A 38137-2019</t>
        </is>
      </c>
      <c r="B332" s="1" t="n">
        <v>43684</v>
      </c>
      <c r="C332" s="1" t="n">
        <v>45661</v>
      </c>
      <c r="D332" t="inlineStr">
        <is>
          <t>STOCKHOLMS LÄN</t>
        </is>
      </c>
      <c r="E332" t="inlineStr">
        <is>
          <t>NORRTÄLJE</t>
        </is>
      </c>
      <c r="G332" t="n">
        <v>12.9</v>
      </c>
      <c r="H332" t="n">
        <v>0</v>
      </c>
      <c r="I332" t="n">
        <v>0</v>
      </c>
      <c r="J332" t="n">
        <v>1</v>
      </c>
      <c r="K332" t="n">
        <v>0</v>
      </c>
      <c r="L332" t="n">
        <v>0</v>
      </c>
      <c r="M332" t="n">
        <v>0</v>
      </c>
      <c r="N332" t="n">
        <v>0</v>
      </c>
      <c r="O332" t="n">
        <v>1</v>
      </c>
      <c r="P332" t="n">
        <v>0</v>
      </c>
      <c r="Q332" t="n">
        <v>1</v>
      </c>
      <c r="R332" s="2" t="inlineStr">
        <is>
          <t>Rutskinn</t>
        </is>
      </c>
      <c r="S332">
        <f>HYPERLINK("https://klasma.github.io/Logging_0188/artfynd/A 38137-2019 artfynd.xlsx", "A 38137-2019")</f>
        <v/>
      </c>
      <c r="T332">
        <f>HYPERLINK("https://klasma.github.io/Logging_0188/kartor/A 38137-2019 karta.png", "A 38137-2019")</f>
        <v/>
      </c>
      <c r="V332">
        <f>HYPERLINK("https://klasma.github.io/Logging_0188/klagomål/A 38137-2019 FSC-klagomål.docx", "A 38137-2019")</f>
        <v/>
      </c>
      <c r="W332">
        <f>HYPERLINK("https://klasma.github.io/Logging_0188/klagomålsmail/A 38137-2019 FSC-klagomål mail.docx", "A 38137-2019")</f>
        <v/>
      </c>
      <c r="X332">
        <f>HYPERLINK("https://klasma.github.io/Logging_0188/tillsyn/A 38137-2019 tillsynsbegäran.docx", "A 38137-2019")</f>
        <v/>
      </c>
      <c r="Y332">
        <f>HYPERLINK("https://klasma.github.io/Logging_0188/tillsynsmail/A 38137-2019 tillsynsbegäran mail.docx", "A 38137-2019")</f>
        <v/>
      </c>
    </row>
    <row r="333" ht="15" customHeight="1">
      <c r="A333" t="inlineStr">
        <is>
          <t>A 42497-2019</t>
        </is>
      </c>
      <c r="B333" s="1" t="n">
        <v>43699</v>
      </c>
      <c r="C333" s="1" t="n">
        <v>45661</v>
      </c>
      <c r="D333" t="inlineStr">
        <is>
          <t>STOCKHOLMS LÄN</t>
        </is>
      </c>
      <c r="E333" t="inlineStr">
        <is>
          <t>SIGTUNA</t>
        </is>
      </c>
      <c r="G333" t="n">
        <v>3.6</v>
      </c>
      <c r="H333" t="n">
        <v>1</v>
      </c>
      <c r="I333" t="n">
        <v>0</v>
      </c>
      <c r="J333" t="n">
        <v>1</v>
      </c>
      <c r="K333" t="n">
        <v>0</v>
      </c>
      <c r="L333" t="n">
        <v>0</v>
      </c>
      <c r="M333" t="n">
        <v>0</v>
      </c>
      <c r="N333" t="n">
        <v>0</v>
      </c>
      <c r="O333" t="n">
        <v>1</v>
      </c>
      <c r="P333" t="n">
        <v>0</v>
      </c>
      <c r="Q333" t="n">
        <v>1</v>
      </c>
      <c r="R333" s="2" t="inlineStr">
        <is>
          <t>Gulsparv</t>
        </is>
      </c>
      <c r="S333">
        <f>HYPERLINK("https://klasma.github.io/Logging_0191/artfynd/A 42497-2019 artfynd.xlsx", "A 42497-2019")</f>
        <v/>
      </c>
      <c r="T333">
        <f>HYPERLINK("https://klasma.github.io/Logging_0191/kartor/A 42497-2019 karta.png", "A 42497-2019")</f>
        <v/>
      </c>
      <c r="V333">
        <f>HYPERLINK("https://klasma.github.io/Logging_0191/klagomål/A 42497-2019 FSC-klagomål.docx", "A 42497-2019")</f>
        <v/>
      </c>
      <c r="W333">
        <f>HYPERLINK("https://klasma.github.io/Logging_0191/klagomålsmail/A 42497-2019 FSC-klagomål mail.docx", "A 42497-2019")</f>
        <v/>
      </c>
      <c r="X333">
        <f>HYPERLINK("https://klasma.github.io/Logging_0191/tillsyn/A 42497-2019 tillsynsbegäran.docx", "A 42497-2019")</f>
        <v/>
      </c>
      <c r="Y333">
        <f>HYPERLINK("https://klasma.github.io/Logging_0191/tillsynsmail/A 42497-2019 tillsynsbegäran mail.docx", "A 42497-2019")</f>
        <v/>
      </c>
      <c r="Z333">
        <f>HYPERLINK("https://klasma.github.io/Logging_0191/fåglar/A 42497-2019 prioriterade fågelarter.docx", "A 42497-2019")</f>
        <v/>
      </c>
    </row>
    <row r="334" ht="15" customHeight="1">
      <c r="A334" t="inlineStr">
        <is>
          <t>A 52009-2019</t>
        </is>
      </c>
      <c r="B334" s="1" t="n">
        <v>43742</v>
      </c>
      <c r="C334" s="1" t="n">
        <v>45661</v>
      </c>
      <c r="D334" t="inlineStr">
        <is>
          <t>STOCKHOLMS LÄN</t>
        </is>
      </c>
      <c r="E334" t="inlineStr">
        <is>
          <t>SALEM</t>
        </is>
      </c>
      <c r="G334" t="n">
        <v>16.9</v>
      </c>
      <c r="H334" t="n">
        <v>0</v>
      </c>
      <c r="I334" t="n">
        <v>1</v>
      </c>
      <c r="J334" t="n">
        <v>0</v>
      </c>
      <c r="K334" t="n">
        <v>0</v>
      </c>
      <c r="L334" t="n">
        <v>0</v>
      </c>
      <c r="M334" t="n">
        <v>0</v>
      </c>
      <c r="N334" t="n">
        <v>0</v>
      </c>
      <c r="O334" t="n">
        <v>0</v>
      </c>
      <c r="P334" t="n">
        <v>0</v>
      </c>
      <c r="Q334" t="n">
        <v>1</v>
      </c>
      <c r="R334" s="2" t="inlineStr">
        <is>
          <t>Svart trolldruva</t>
        </is>
      </c>
      <c r="S334">
        <f>HYPERLINK("https://klasma.github.io/Logging_0128/artfynd/A 52009-2019 artfynd.xlsx", "A 52009-2019")</f>
        <v/>
      </c>
      <c r="T334">
        <f>HYPERLINK("https://klasma.github.io/Logging_0128/kartor/A 52009-2019 karta.png", "A 52009-2019")</f>
        <v/>
      </c>
      <c r="V334">
        <f>HYPERLINK("https://klasma.github.io/Logging_0128/klagomål/A 52009-2019 FSC-klagomål.docx", "A 52009-2019")</f>
        <v/>
      </c>
      <c r="W334">
        <f>HYPERLINK("https://klasma.github.io/Logging_0128/klagomålsmail/A 52009-2019 FSC-klagomål mail.docx", "A 52009-2019")</f>
        <v/>
      </c>
      <c r="X334">
        <f>HYPERLINK("https://klasma.github.io/Logging_0128/tillsyn/A 52009-2019 tillsynsbegäran.docx", "A 52009-2019")</f>
        <v/>
      </c>
      <c r="Y334">
        <f>HYPERLINK("https://klasma.github.io/Logging_0128/tillsynsmail/A 52009-2019 tillsynsbegäran mail.docx", "A 52009-2019")</f>
        <v/>
      </c>
    </row>
    <row r="335" ht="15" customHeight="1">
      <c r="A335" t="inlineStr">
        <is>
          <t>A 54231-2019</t>
        </is>
      </c>
      <c r="B335" s="1" t="n">
        <v>43753</v>
      </c>
      <c r="C335" s="1" t="n">
        <v>45661</v>
      </c>
      <c r="D335" t="inlineStr">
        <is>
          <t>STOCKHOLMS LÄN</t>
        </is>
      </c>
      <c r="E335" t="inlineStr">
        <is>
          <t>EKERÖ</t>
        </is>
      </c>
      <c r="G335" t="n">
        <v>6.2</v>
      </c>
      <c r="H335" t="n">
        <v>1</v>
      </c>
      <c r="I335" t="n">
        <v>0</v>
      </c>
      <c r="J335" t="n">
        <v>0</v>
      </c>
      <c r="K335" t="n">
        <v>1</v>
      </c>
      <c r="L335" t="n">
        <v>0</v>
      </c>
      <c r="M335" t="n">
        <v>0</v>
      </c>
      <c r="N335" t="n">
        <v>0</v>
      </c>
      <c r="O335" t="n">
        <v>1</v>
      </c>
      <c r="P335" t="n">
        <v>1</v>
      </c>
      <c r="Q335" t="n">
        <v>1</v>
      </c>
      <c r="R335" s="2" t="inlineStr">
        <is>
          <t>Bombmurkla</t>
        </is>
      </c>
      <c r="S335">
        <f>HYPERLINK("https://klasma.github.io/Logging_0125/artfynd/A 54231-2019 artfynd.xlsx", "A 54231-2019")</f>
        <v/>
      </c>
      <c r="T335">
        <f>HYPERLINK("https://klasma.github.io/Logging_0125/kartor/A 54231-2019 karta.png", "A 54231-2019")</f>
        <v/>
      </c>
      <c r="V335">
        <f>HYPERLINK("https://klasma.github.io/Logging_0125/klagomål/A 54231-2019 FSC-klagomål.docx", "A 54231-2019")</f>
        <v/>
      </c>
      <c r="W335">
        <f>HYPERLINK("https://klasma.github.io/Logging_0125/klagomålsmail/A 54231-2019 FSC-klagomål mail.docx", "A 54231-2019")</f>
        <v/>
      </c>
      <c r="X335">
        <f>HYPERLINK("https://klasma.github.io/Logging_0125/tillsyn/A 54231-2019 tillsynsbegäran.docx", "A 54231-2019")</f>
        <v/>
      </c>
      <c r="Y335">
        <f>HYPERLINK("https://klasma.github.io/Logging_0125/tillsynsmail/A 54231-2019 tillsynsbegäran mail.docx", "A 54231-2019")</f>
        <v/>
      </c>
    </row>
    <row r="336" ht="15" customHeight="1">
      <c r="A336" t="inlineStr">
        <is>
          <t>A 59643-2019</t>
        </is>
      </c>
      <c r="B336" s="1" t="n">
        <v>43776</v>
      </c>
      <c r="C336" s="1" t="n">
        <v>45661</v>
      </c>
      <c r="D336" t="inlineStr">
        <is>
          <t>STOCKHOLMS LÄN</t>
        </is>
      </c>
      <c r="E336" t="inlineStr">
        <is>
          <t>SÖDERTÄLJE</t>
        </is>
      </c>
      <c r="G336" t="n">
        <v>2</v>
      </c>
      <c r="H336" t="n">
        <v>1</v>
      </c>
      <c r="I336" t="n">
        <v>0</v>
      </c>
      <c r="J336" t="n">
        <v>0</v>
      </c>
      <c r="K336" t="n">
        <v>1</v>
      </c>
      <c r="L336" t="n">
        <v>0</v>
      </c>
      <c r="M336" t="n">
        <v>0</v>
      </c>
      <c r="N336" t="n">
        <v>0</v>
      </c>
      <c r="O336" t="n">
        <v>1</v>
      </c>
      <c r="P336" t="n">
        <v>1</v>
      </c>
      <c r="Q336" t="n">
        <v>1</v>
      </c>
      <c r="R336" s="2" t="inlineStr">
        <is>
          <t>Knärot</t>
        </is>
      </c>
      <c r="S336">
        <f>HYPERLINK("https://klasma.github.io/Logging_0181/artfynd/A 59643-2019 artfynd.xlsx", "A 59643-2019")</f>
        <v/>
      </c>
      <c r="T336">
        <f>HYPERLINK("https://klasma.github.io/Logging_0181/kartor/A 59643-2019 karta.png", "A 59643-2019")</f>
        <v/>
      </c>
      <c r="U336">
        <f>HYPERLINK("https://klasma.github.io/Logging_0181/knärot/A 59643-2019 karta knärot.png", "A 59643-2019")</f>
        <v/>
      </c>
      <c r="V336">
        <f>HYPERLINK("https://klasma.github.io/Logging_0181/klagomål/A 59643-2019 FSC-klagomål.docx", "A 59643-2019")</f>
        <v/>
      </c>
      <c r="W336">
        <f>HYPERLINK("https://klasma.github.io/Logging_0181/klagomålsmail/A 59643-2019 FSC-klagomål mail.docx", "A 59643-2019")</f>
        <v/>
      </c>
      <c r="X336">
        <f>HYPERLINK("https://klasma.github.io/Logging_0181/tillsyn/A 59643-2019 tillsynsbegäran.docx", "A 59643-2019")</f>
        <v/>
      </c>
      <c r="Y336">
        <f>HYPERLINK("https://klasma.github.io/Logging_0181/tillsynsmail/A 59643-2019 tillsynsbegäran mail.docx", "A 59643-2019")</f>
        <v/>
      </c>
    </row>
    <row r="337" ht="15" customHeight="1">
      <c r="A337" t="inlineStr">
        <is>
          <t>A 62848-2019</t>
        </is>
      </c>
      <c r="B337" s="1" t="n">
        <v>43790</v>
      </c>
      <c r="C337" s="1" t="n">
        <v>45661</v>
      </c>
      <c r="D337" t="inlineStr">
        <is>
          <t>STOCKHOLMS LÄN</t>
        </is>
      </c>
      <c r="E337" t="inlineStr">
        <is>
          <t>NORRTÄLJE</t>
        </is>
      </c>
      <c r="F337" t="inlineStr">
        <is>
          <t>Holmen skog AB</t>
        </is>
      </c>
      <c r="G337" t="n">
        <v>6.6</v>
      </c>
      <c r="H337" t="n">
        <v>1</v>
      </c>
      <c r="I337" t="n">
        <v>0</v>
      </c>
      <c r="J337" t="n">
        <v>0</v>
      </c>
      <c r="K337" t="n">
        <v>0</v>
      </c>
      <c r="L337" t="n">
        <v>1</v>
      </c>
      <c r="M337" t="n">
        <v>0</v>
      </c>
      <c r="N337" t="n">
        <v>0</v>
      </c>
      <c r="O337" t="n">
        <v>1</v>
      </c>
      <c r="P337" t="n">
        <v>1</v>
      </c>
      <c r="Q337" t="n">
        <v>1</v>
      </c>
      <c r="R337" s="2" t="inlineStr">
        <is>
          <t>Asknätfjäril</t>
        </is>
      </c>
      <c r="S337">
        <f>HYPERLINK("https://klasma.github.io/Logging_0188/artfynd/A 62848-2019 artfynd.xlsx", "A 62848-2019")</f>
        <v/>
      </c>
      <c r="T337">
        <f>HYPERLINK("https://klasma.github.io/Logging_0188/kartor/A 62848-2019 karta.png", "A 62848-2019")</f>
        <v/>
      </c>
      <c r="V337">
        <f>HYPERLINK("https://klasma.github.io/Logging_0188/klagomål/A 62848-2019 FSC-klagomål.docx", "A 62848-2019")</f>
        <v/>
      </c>
      <c r="W337">
        <f>HYPERLINK("https://klasma.github.io/Logging_0188/klagomålsmail/A 62848-2019 FSC-klagomål mail.docx", "A 62848-2019")</f>
        <v/>
      </c>
      <c r="X337">
        <f>HYPERLINK("https://klasma.github.io/Logging_0188/tillsyn/A 62848-2019 tillsynsbegäran.docx", "A 62848-2019")</f>
        <v/>
      </c>
      <c r="Y337">
        <f>HYPERLINK("https://klasma.github.io/Logging_0188/tillsynsmail/A 62848-2019 tillsynsbegäran mail.docx", "A 62848-2019")</f>
        <v/>
      </c>
    </row>
    <row r="338" ht="15" customHeight="1">
      <c r="A338" t="inlineStr">
        <is>
          <t>A 64849-2019</t>
        </is>
      </c>
      <c r="B338" s="1" t="n">
        <v>43801</v>
      </c>
      <c r="C338" s="1" t="n">
        <v>45661</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Skogsklocka</t>
        </is>
      </c>
      <c r="S338">
        <f>HYPERLINK("https://klasma.github.io/Logging_0188/artfynd/A 64849-2019 artfynd.xlsx", "A 64849-2019")</f>
        <v/>
      </c>
      <c r="T338">
        <f>HYPERLINK("https://klasma.github.io/Logging_0188/kartor/A 64849-2019 karta.png", "A 64849-2019")</f>
        <v/>
      </c>
      <c r="V338">
        <f>HYPERLINK("https://klasma.github.io/Logging_0188/klagomål/A 64849-2019 FSC-klagomål.docx", "A 64849-2019")</f>
        <v/>
      </c>
      <c r="W338">
        <f>HYPERLINK("https://klasma.github.io/Logging_0188/klagomålsmail/A 64849-2019 FSC-klagomål mail.docx", "A 64849-2019")</f>
        <v/>
      </c>
      <c r="X338">
        <f>HYPERLINK("https://klasma.github.io/Logging_0188/tillsyn/A 64849-2019 tillsynsbegäran.docx", "A 64849-2019")</f>
        <v/>
      </c>
      <c r="Y338">
        <f>HYPERLINK("https://klasma.github.io/Logging_0188/tillsynsmail/A 64849-2019 tillsynsbegäran mail.docx", "A 64849-2019")</f>
        <v/>
      </c>
    </row>
    <row r="339" ht="15" customHeight="1">
      <c r="A339" t="inlineStr">
        <is>
          <t>A 68108-2019</t>
        </is>
      </c>
      <c r="B339" s="1" t="n">
        <v>43817</v>
      </c>
      <c r="C339" s="1" t="n">
        <v>45661</v>
      </c>
      <c r="D339" t="inlineStr">
        <is>
          <t>STOCKHOLMS LÄN</t>
        </is>
      </c>
      <c r="E339" t="inlineStr">
        <is>
          <t>VALLENTUNA</t>
        </is>
      </c>
      <c r="G339" t="n">
        <v>3.2</v>
      </c>
      <c r="H339" t="n">
        <v>0</v>
      </c>
      <c r="I339" t="n">
        <v>1</v>
      </c>
      <c r="J339" t="n">
        <v>0</v>
      </c>
      <c r="K339" t="n">
        <v>0</v>
      </c>
      <c r="L339" t="n">
        <v>0</v>
      </c>
      <c r="M339" t="n">
        <v>0</v>
      </c>
      <c r="N339" t="n">
        <v>0</v>
      </c>
      <c r="O339" t="n">
        <v>0</v>
      </c>
      <c r="P339" t="n">
        <v>0</v>
      </c>
      <c r="Q339" t="n">
        <v>1</v>
      </c>
      <c r="R339" s="2" t="inlineStr">
        <is>
          <t>Skuggblåslav</t>
        </is>
      </c>
      <c r="S339">
        <f>HYPERLINK("https://klasma.github.io/Logging_0115/artfynd/A 68108-2019 artfynd.xlsx", "A 68108-2019")</f>
        <v/>
      </c>
      <c r="T339">
        <f>HYPERLINK("https://klasma.github.io/Logging_0115/kartor/A 68108-2019 karta.png", "A 68108-2019")</f>
        <v/>
      </c>
      <c r="V339">
        <f>HYPERLINK("https://klasma.github.io/Logging_0115/klagomål/A 68108-2019 FSC-klagomål.docx", "A 68108-2019")</f>
        <v/>
      </c>
      <c r="W339">
        <f>HYPERLINK("https://klasma.github.io/Logging_0115/klagomålsmail/A 68108-2019 FSC-klagomål mail.docx", "A 68108-2019")</f>
        <v/>
      </c>
      <c r="X339">
        <f>HYPERLINK("https://klasma.github.io/Logging_0115/tillsyn/A 68108-2019 tillsynsbegäran.docx", "A 68108-2019")</f>
        <v/>
      </c>
      <c r="Y339">
        <f>HYPERLINK("https://klasma.github.io/Logging_0115/tillsynsmail/A 68108-2019 tillsynsbegäran mail.docx", "A 68108-2019")</f>
        <v/>
      </c>
    </row>
    <row r="340" ht="15" customHeight="1">
      <c r="A340" t="inlineStr">
        <is>
          <t>A 68107-2019</t>
        </is>
      </c>
      <c r="B340" s="1" t="n">
        <v>43817</v>
      </c>
      <c r="C340" s="1" t="n">
        <v>45661</v>
      </c>
      <c r="D340" t="inlineStr">
        <is>
          <t>STOCKHOLMS LÄN</t>
        </is>
      </c>
      <c r="E340" t="inlineStr">
        <is>
          <t>VALLENTUNA</t>
        </is>
      </c>
      <c r="G340" t="n">
        <v>11.4</v>
      </c>
      <c r="H340" t="n">
        <v>0</v>
      </c>
      <c r="I340" t="n">
        <v>0</v>
      </c>
      <c r="J340" t="n">
        <v>1</v>
      </c>
      <c r="K340" t="n">
        <v>0</v>
      </c>
      <c r="L340" t="n">
        <v>0</v>
      </c>
      <c r="M340" t="n">
        <v>0</v>
      </c>
      <c r="N340" t="n">
        <v>0</v>
      </c>
      <c r="O340" t="n">
        <v>1</v>
      </c>
      <c r="P340" t="n">
        <v>0</v>
      </c>
      <c r="Q340" t="n">
        <v>1</v>
      </c>
      <c r="R340" s="2" t="inlineStr">
        <is>
          <t>Tallticka</t>
        </is>
      </c>
      <c r="S340">
        <f>HYPERLINK("https://klasma.github.io/Logging_0115/artfynd/A 68107-2019 artfynd.xlsx", "A 68107-2019")</f>
        <v/>
      </c>
      <c r="T340">
        <f>HYPERLINK("https://klasma.github.io/Logging_0115/kartor/A 68107-2019 karta.png", "A 68107-2019")</f>
        <v/>
      </c>
      <c r="V340">
        <f>HYPERLINK("https://klasma.github.io/Logging_0115/klagomål/A 68107-2019 FSC-klagomål.docx", "A 68107-2019")</f>
        <v/>
      </c>
      <c r="W340">
        <f>HYPERLINK("https://klasma.github.io/Logging_0115/klagomålsmail/A 68107-2019 FSC-klagomål mail.docx", "A 68107-2019")</f>
        <v/>
      </c>
      <c r="X340">
        <f>HYPERLINK("https://klasma.github.io/Logging_0115/tillsyn/A 68107-2019 tillsynsbegäran.docx", "A 68107-2019")</f>
        <v/>
      </c>
      <c r="Y340">
        <f>HYPERLINK("https://klasma.github.io/Logging_0115/tillsynsmail/A 68107-2019 tillsynsbegäran mail.docx", "A 68107-2019")</f>
        <v/>
      </c>
    </row>
    <row r="341" ht="15" customHeight="1">
      <c r="A341" t="inlineStr">
        <is>
          <t>A 68231-2019</t>
        </is>
      </c>
      <c r="B341" s="1" t="n">
        <v>43817</v>
      </c>
      <c r="C341" s="1" t="n">
        <v>45661</v>
      </c>
      <c r="D341" t="inlineStr">
        <is>
          <t>STOCKHOLMS LÄN</t>
        </is>
      </c>
      <c r="E341" t="inlineStr">
        <is>
          <t>HANINGE</t>
        </is>
      </c>
      <c r="F341" t="inlineStr">
        <is>
          <t>Övriga statliga verk och myndigheter</t>
        </is>
      </c>
      <c r="G341" t="n">
        <v>80.5</v>
      </c>
      <c r="H341" t="n">
        <v>1</v>
      </c>
      <c r="I341" t="n">
        <v>0</v>
      </c>
      <c r="J341" t="n">
        <v>1</v>
      </c>
      <c r="K341" t="n">
        <v>0</v>
      </c>
      <c r="L341" t="n">
        <v>0</v>
      </c>
      <c r="M341" t="n">
        <v>0</v>
      </c>
      <c r="N341" t="n">
        <v>0</v>
      </c>
      <c r="O341" t="n">
        <v>1</v>
      </c>
      <c r="P341" t="n">
        <v>0</v>
      </c>
      <c r="Q341" t="n">
        <v>1</v>
      </c>
      <c r="R341" s="2" t="inlineStr">
        <is>
          <t>Havsörn</t>
        </is>
      </c>
      <c r="S341">
        <f>HYPERLINK("https://klasma.github.io/Logging_0136/artfynd/A 68231-2019 artfynd.xlsx", "A 68231-2019")</f>
        <v/>
      </c>
      <c r="T341">
        <f>HYPERLINK("https://klasma.github.io/Logging_0136/kartor/A 68231-2019 karta.png", "A 68231-2019")</f>
        <v/>
      </c>
      <c r="V341">
        <f>HYPERLINK("https://klasma.github.io/Logging_0136/klagomål/A 68231-2019 FSC-klagomål.docx", "A 68231-2019")</f>
        <v/>
      </c>
      <c r="W341">
        <f>HYPERLINK("https://klasma.github.io/Logging_0136/klagomålsmail/A 68231-2019 FSC-klagomål mail.docx", "A 68231-2019")</f>
        <v/>
      </c>
      <c r="X341">
        <f>HYPERLINK("https://klasma.github.io/Logging_0136/tillsyn/A 68231-2019 tillsynsbegäran.docx", "A 68231-2019")</f>
        <v/>
      </c>
      <c r="Y341">
        <f>HYPERLINK("https://klasma.github.io/Logging_0136/tillsynsmail/A 68231-2019 tillsynsbegäran mail.docx", "A 68231-2019")</f>
        <v/>
      </c>
      <c r="Z341">
        <f>HYPERLINK("https://klasma.github.io/Logging_0136/fåglar/A 68231-2019 prioriterade fågelarter.docx", "A 68231-2019")</f>
        <v/>
      </c>
    </row>
    <row r="342" ht="15" customHeight="1">
      <c r="A342" t="inlineStr">
        <is>
          <t>A 2808-2020</t>
        </is>
      </c>
      <c r="B342" s="1" t="n">
        <v>43850</v>
      </c>
      <c r="C342" s="1" t="n">
        <v>45661</v>
      </c>
      <c r="D342" t="inlineStr">
        <is>
          <t>STOCKHOLMS LÄN</t>
        </is>
      </c>
      <c r="E342" t="inlineStr">
        <is>
          <t>NORRTÄLJE</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HYPERLINK("https://klasma.github.io/Logging_0188/artfynd/A 2808-2020 artfynd.xlsx", "A 2808-2020")</f>
        <v/>
      </c>
      <c r="T342">
        <f>HYPERLINK("https://klasma.github.io/Logging_0188/kartor/A 2808-2020 karta.png", "A 2808-2020")</f>
        <v/>
      </c>
      <c r="U342">
        <f>HYPERLINK("https://klasma.github.io/Logging_0188/knärot/A 2808-2020 karta knärot.png", "A 2808-2020")</f>
        <v/>
      </c>
      <c r="V342">
        <f>HYPERLINK("https://klasma.github.io/Logging_0188/klagomål/A 2808-2020 FSC-klagomål.docx", "A 2808-2020")</f>
        <v/>
      </c>
      <c r="W342">
        <f>HYPERLINK("https://klasma.github.io/Logging_0188/klagomålsmail/A 2808-2020 FSC-klagomål mail.docx", "A 2808-2020")</f>
        <v/>
      </c>
      <c r="X342">
        <f>HYPERLINK("https://klasma.github.io/Logging_0188/tillsyn/A 2808-2020 tillsynsbegäran.docx", "A 2808-2020")</f>
        <v/>
      </c>
      <c r="Y342">
        <f>HYPERLINK("https://klasma.github.io/Logging_0188/tillsynsmail/A 2808-2020 tillsynsbegäran mail.docx", "A 2808-2020")</f>
        <v/>
      </c>
    </row>
    <row r="343" ht="15" customHeight="1">
      <c r="A343" t="inlineStr">
        <is>
          <t>A 2796-2020</t>
        </is>
      </c>
      <c r="B343" s="1" t="n">
        <v>43850</v>
      </c>
      <c r="C343" s="1" t="n">
        <v>45661</v>
      </c>
      <c r="D343" t="inlineStr">
        <is>
          <t>STOCKHOLMS LÄN</t>
        </is>
      </c>
      <c r="E343" t="inlineStr">
        <is>
          <t>NORRTÄLJE</t>
        </is>
      </c>
      <c r="G343" t="n">
        <v>5.6</v>
      </c>
      <c r="H343" t="n">
        <v>1</v>
      </c>
      <c r="I343" t="n">
        <v>1</v>
      </c>
      <c r="J343" t="n">
        <v>0</v>
      </c>
      <c r="K343" t="n">
        <v>0</v>
      </c>
      <c r="L343" t="n">
        <v>0</v>
      </c>
      <c r="M343" t="n">
        <v>0</v>
      </c>
      <c r="N343" t="n">
        <v>0</v>
      </c>
      <c r="O343" t="n">
        <v>0</v>
      </c>
      <c r="P343" t="n">
        <v>0</v>
      </c>
      <c r="Q343" t="n">
        <v>1</v>
      </c>
      <c r="R343" s="2" t="inlineStr">
        <is>
          <t>Spindelblomster</t>
        </is>
      </c>
      <c r="S343">
        <f>HYPERLINK("https://klasma.github.io/Logging_0188/artfynd/A 2796-2020 artfynd.xlsx", "A 2796-2020")</f>
        <v/>
      </c>
      <c r="T343">
        <f>HYPERLINK("https://klasma.github.io/Logging_0188/kartor/A 2796-2020 karta.png", "A 2796-2020")</f>
        <v/>
      </c>
      <c r="V343">
        <f>HYPERLINK("https://klasma.github.io/Logging_0188/klagomål/A 2796-2020 FSC-klagomål.docx", "A 2796-2020")</f>
        <v/>
      </c>
      <c r="W343">
        <f>HYPERLINK("https://klasma.github.io/Logging_0188/klagomålsmail/A 2796-2020 FSC-klagomål mail.docx", "A 2796-2020")</f>
        <v/>
      </c>
      <c r="X343">
        <f>HYPERLINK("https://klasma.github.io/Logging_0188/tillsyn/A 2796-2020 tillsynsbegäran.docx", "A 2796-2020")</f>
        <v/>
      </c>
      <c r="Y343">
        <f>HYPERLINK("https://klasma.github.io/Logging_0188/tillsynsmail/A 2796-2020 tillsynsbegäran mail.docx", "A 2796-2020")</f>
        <v/>
      </c>
    </row>
    <row r="344" ht="15" customHeight="1">
      <c r="A344" t="inlineStr">
        <is>
          <t>A 5953-2020</t>
        </is>
      </c>
      <c r="B344" s="1" t="n">
        <v>43864</v>
      </c>
      <c r="C344" s="1" t="n">
        <v>45661</v>
      </c>
      <c r="D344" t="inlineStr">
        <is>
          <t>STOCKHOLMS LÄN</t>
        </is>
      </c>
      <c r="E344" t="inlineStr">
        <is>
          <t>BOTKYRKA</t>
        </is>
      </c>
      <c r="G344" t="n">
        <v>3.3</v>
      </c>
      <c r="H344" t="n">
        <v>1</v>
      </c>
      <c r="I344" t="n">
        <v>0</v>
      </c>
      <c r="J344" t="n">
        <v>1</v>
      </c>
      <c r="K344" t="n">
        <v>0</v>
      </c>
      <c r="L344" t="n">
        <v>0</v>
      </c>
      <c r="M344" t="n">
        <v>0</v>
      </c>
      <c r="N344" t="n">
        <v>0</v>
      </c>
      <c r="O344" t="n">
        <v>1</v>
      </c>
      <c r="P344" t="n">
        <v>0</v>
      </c>
      <c r="Q344" t="n">
        <v>1</v>
      </c>
      <c r="R344" s="2" t="inlineStr">
        <is>
          <t>Spillkråka</t>
        </is>
      </c>
      <c r="S344">
        <f>HYPERLINK("https://klasma.github.io/Logging_0127/artfynd/A 5953-2020 artfynd.xlsx", "A 5953-2020")</f>
        <v/>
      </c>
      <c r="T344">
        <f>HYPERLINK("https://klasma.github.io/Logging_0127/kartor/A 5953-2020 karta.png", "A 5953-2020")</f>
        <v/>
      </c>
      <c r="V344">
        <f>HYPERLINK("https://klasma.github.io/Logging_0127/klagomål/A 5953-2020 FSC-klagomål.docx", "A 5953-2020")</f>
        <v/>
      </c>
      <c r="W344">
        <f>HYPERLINK("https://klasma.github.io/Logging_0127/klagomålsmail/A 5953-2020 FSC-klagomål mail.docx", "A 5953-2020")</f>
        <v/>
      </c>
      <c r="X344">
        <f>HYPERLINK("https://klasma.github.io/Logging_0127/tillsyn/A 5953-2020 tillsynsbegäran.docx", "A 5953-2020")</f>
        <v/>
      </c>
      <c r="Y344">
        <f>HYPERLINK("https://klasma.github.io/Logging_0127/tillsynsmail/A 5953-2020 tillsynsbegäran mail.docx", "A 5953-2020")</f>
        <v/>
      </c>
      <c r="Z344">
        <f>HYPERLINK("https://klasma.github.io/Logging_0127/fåglar/A 5953-2020 prioriterade fågelarter.docx", "A 5953-2020")</f>
        <v/>
      </c>
    </row>
    <row r="345" ht="15" customHeight="1">
      <c r="A345" t="inlineStr">
        <is>
          <t>A 7032-2020</t>
        </is>
      </c>
      <c r="B345" s="1" t="n">
        <v>43868</v>
      </c>
      <c r="C345" s="1" t="n">
        <v>45661</v>
      </c>
      <c r="D345" t="inlineStr">
        <is>
          <t>STOCKHOLMS LÄN</t>
        </is>
      </c>
      <c r="E345" t="inlineStr">
        <is>
          <t>EKERÖ</t>
        </is>
      </c>
      <c r="G345" t="n">
        <v>3.1</v>
      </c>
      <c r="H345" t="n">
        <v>0</v>
      </c>
      <c r="I345" t="n">
        <v>0</v>
      </c>
      <c r="J345" t="n">
        <v>1</v>
      </c>
      <c r="K345" t="n">
        <v>0</v>
      </c>
      <c r="L345" t="n">
        <v>0</v>
      </c>
      <c r="M345" t="n">
        <v>0</v>
      </c>
      <c r="N345" t="n">
        <v>0</v>
      </c>
      <c r="O345" t="n">
        <v>1</v>
      </c>
      <c r="P345" t="n">
        <v>0</v>
      </c>
      <c r="Q345" t="n">
        <v>1</v>
      </c>
      <c r="R345" s="2" t="inlineStr">
        <is>
          <t>Mindre timmerman</t>
        </is>
      </c>
      <c r="S345">
        <f>HYPERLINK("https://klasma.github.io/Logging_0125/artfynd/A 7032-2020 artfynd.xlsx", "A 7032-2020")</f>
        <v/>
      </c>
      <c r="T345">
        <f>HYPERLINK("https://klasma.github.io/Logging_0125/kartor/A 7032-2020 karta.png", "A 7032-2020")</f>
        <v/>
      </c>
      <c r="V345">
        <f>HYPERLINK("https://klasma.github.io/Logging_0125/klagomål/A 7032-2020 FSC-klagomål.docx", "A 7032-2020")</f>
        <v/>
      </c>
      <c r="W345">
        <f>HYPERLINK("https://klasma.github.io/Logging_0125/klagomålsmail/A 7032-2020 FSC-klagomål mail.docx", "A 7032-2020")</f>
        <v/>
      </c>
      <c r="X345">
        <f>HYPERLINK("https://klasma.github.io/Logging_0125/tillsyn/A 7032-2020 tillsynsbegäran.docx", "A 7032-2020")</f>
        <v/>
      </c>
      <c r="Y345">
        <f>HYPERLINK("https://klasma.github.io/Logging_0125/tillsynsmail/A 7032-2020 tillsynsbegäran mail.docx", "A 7032-2020")</f>
        <v/>
      </c>
    </row>
    <row r="346" ht="15" customHeight="1">
      <c r="A346" t="inlineStr">
        <is>
          <t>A 7151-2020</t>
        </is>
      </c>
      <c r="B346" s="1" t="n">
        <v>43869</v>
      </c>
      <c r="C346" s="1" t="n">
        <v>45661</v>
      </c>
      <c r="D346" t="inlineStr">
        <is>
          <t>STOCKHOLMS LÄN</t>
        </is>
      </c>
      <c r="E346" t="inlineStr">
        <is>
          <t>NYNÄSHAMN</t>
        </is>
      </c>
      <c r="F346" t="inlineStr">
        <is>
          <t>Kommuner</t>
        </is>
      </c>
      <c r="G346" t="n">
        <v>3.6</v>
      </c>
      <c r="H346" t="n">
        <v>1</v>
      </c>
      <c r="I346" t="n">
        <v>0</v>
      </c>
      <c r="J346" t="n">
        <v>0</v>
      </c>
      <c r="K346" t="n">
        <v>0</v>
      </c>
      <c r="L346" t="n">
        <v>0</v>
      </c>
      <c r="M346" t="n">
        <v>0</v>
      </c>
      <c r="N346" t="n">
        <v>0</v>
      </c>
      <c r="O346" t="n">
        <v>0</v>
      </c>
      <c r="P346" t="n">
        <v>0</v>
      </c>
      <c r="Q346" t="n">
        <v>1</v>
      </c>
      <c r="R346" s="2" t="inlineStr">
        <is>
          <t>Blåsippa</t>
        </is>
      </c>
      <c r="S346">
        <f>HYPERLINK("https://klasma.github.io/Logging_0192/artfynd/A 7151-2020 artfynd.xlsx", "A 7151-2020")</f>
        <v/>
      </c>
      <c r="T346">
        <f>HYPERLINK("https://klasma.github.io/Logging_0192/kartor/A 7151-2020 karta.png", "A 7151-2020")</f>
        <v/>
      </c>
      <c r="V346">
        <f>HYPERLINK("https://klasma.github.io/Logging_0192/klagomål/A 7151-2020 FSC-klagomål.docx", "A 7151-2020")</f>
        <v/>
      </c>
      <c r="W346">
        <f>HYPERLINK("https://klasma.github.io/Logging_0192/klagomålsmail/A 7151-2020 FSC-klagomål mail.docx", "A 7151-2020")</f>
        <v/>
      </c>
      <c r="X346">
        <f>HYPERLINK("https://klasma.github.io/Logging_0192/tillsyn/A 7151-2020 tillsynsbegäran.docx", "A 7151-2020")</f>
        <v/>
      </c>
      <c r="Y346">
        <f>HYPERLINK("https://klasma.github.io/Logging_0192/tillsynsmail/A 7151-2020 tillsynsbegäran mail.docx", "A 7151-2020")</f>
        <v/>
      </c>
    </row>
    <row r="347" ht="15" customHeight="1">
      <c r="A347" t="inlineStr">
        <is>
          <t>A 9051-2020</t>
        </is>
      </c>
      <c r="B347" s="1" t="n">
        <v>43879</v>
      </c>
      <c r="C347" s="1" t="n">
        <v>45661</v>
      </c>
      <c r="D347" t="inlineStr">
        <is>
          <t>STOCKHOLMS LÄN</t>
        </is>
      </c>
      <c r="E347" t="inlineStr">
        <is>
          <t>NORRTÄLJE</t>
        </is>
      </c>
      <c r="G347" t="n">
        <v>12.5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9051-2020 artfynd.xlsx", "A 9051-2020")</f>
        <v/>
      </c>
      <c r="T347">
        <f>HYPERLINK("https://klasma.github.io/Logging_0188/kartor/A 9051-2020 karta.png", "A 9051-2020")</f>
        <v/>
      </c>
      <c r="V347">
        <f>HYPERLINK("https://klasma.github.io/Logging_0188/klagomål/A 9051-2020 FSC-klagomål.docx", "A 9051-2020")</f>
        <v/>
      </c>
      <c r="W347">
        <f>HYPERLINK("https://klasma.github.io/Logging_0188/klagomålsmail/A 9051-2020 FSC-klagomål mail.docx", "A 9051-2020")</f>
        <v/>
      </c>
      <c r="X347">
        <f>HYPERLINK("https://klasma.github.io/Logging_0188/tillsyn/A 9051-2020 tillsynsbegäran.docx", "A 9051-2020")</f>
        <v/>
      </c>
      <c r="Y347">
        <f>HYPERLINK("https://klasma.github.io/Logging_0188/tillsynsmail/A 9051-2020 tillsynsbegäran mail.docx", "A 9051-2020")</f>
        <v/>
      </c>
    </row>
    <row r="348" ht="15" customHeight="1">
      <c r="A348" t="inlineStr">
        <is>
          <t>A 13326-2020</t>
        </is>
      </c>
      <c r="B348" s="1" t="n">
        <v>43894</v>
      </c>
      <c r="C348" s="1" t="n">
        <v>45661</v>
      </c>
      <c r="D348" t="inlineStr">
        <is>
          <t>STOCKHOLMS LÄN</t>
        </is>
      </c>
      <c r="E348" t="inlineStr">
        <is>
          <t>HUDDINGE</t>
        </is>
      </c>
      <c r="F348" t="inlineStr">
        <is>
          <t>Kommuner</t>
        </is>
      </c>
      <c r="G348" t="n">
        <v>2</v>
      </c>
      <c r="H348" t="n">
        <v>0</v>
      </c>
      <c r="I348" t="n">
        <v>0</v>
      </c>
      <c r="J348" t="n">
        <v>1</v>
      </c>
      <c r="K348" t="n">
        <v>0</v>
      </c>
      <c r="L348" t="n">
        <v>0</v>
      </c>
      <c r="M348" t="n">
        <v>0</v>
      </c>
      <c r="N348" t="n">
        <v>0</v>
      </c>
      <c r="O348" t="n">
        <v>1</v>
      </c>
      <c r="P348" t="n">
        <v>0</v>
      </c>
      <c r="Q348" t="n">
        <v>1</v>
      </c>
      <c r="R348" s="2" t="inlineStr">
        <is>
          <t>Tallticka</t>
        </is>
      </c>
      <c r="S348">
        <f>HYPERLINK("https://klasma.github.io/Logging_0126/artfynd/A 13326-2020 artfynd.xlsx", "A 13326-2020")</f>
        <v/>
      </c>
      <c r="T348">
        <f>HYPERLINK("https://klasma.github.io/Logging_0126/kartor/A 13326-2020 karta.png", "A 13326-2020")</f>
        <v/>
      </c>
      <c r="V348">
        <f>HYPERLINK("https://klasma.github.io/Logging_0126/klagomål/A 13326-2020 FSC-klagomål.docx", "A 13326-2020")</f>
        <v/>
      </c>
      <c r="W348">
        <f>HYPERLINK("https://klasma.github.io/Logging_0126/klagomålsmail/A 13326-2020 FSC-klagomål mail.docx", "A 13326-2020")</f>
        <v/>
      </c>
      <c r="X348">
        <f>HYPERLINK("https://klasma.github.io/Logging_0126/tillsyn/A 13326-2020 tillsynsbegäran.docx", "A 13326-2020")</f>
        <v/>
      </c>
      <c r="Y348">
        <f>HYPERLINK("https://klasma.github.io/Logging_0126/tillsynsmail/A 13326-2020 tillsynsbegäran mail.docx", "A 13326-2020")</f>
        <v/>
      </c>
    </row>
    <row r="349" ht="15" customHeight="1">
      <c r="A349" t="inlineStr">
        <is>
          <t>A 12843-2020</t>
        </is>
      </c>
      <c r="B349" s="1" t="n">
        <v>43899</v>
      </c>
      <c r="C349" s="1" t="n">
        <v>45661</v>
      </c>
      <c r="D349" t="inlineStr">
        <is>
          <t>STOCKHOLMS LÄN</t>
        </is>
      </c>
      <c r="E349" t="inlineStr">
        <is>
          <t>NORRTÄLJE</t>
        </is>
      </c>
      <c r="G349" t="n">
        <v>7.5</v>
      </c>
      <c r="H349" t="n">
        <v>1</v>
      </c>
      <c r="I349" t="n">
        <v>0</v>
      </c>
      <c r="J349" t="n">
        <v>1</v>
      </c>
      <c r="K349" t="n">
        <v>0</v>
      </c>
      <c r="L349" t="n">
        <v>0</v>
      </c>
      <c r="M349" t="n">
        <v>0</v>
      </c>
      <c r="N349" t="n">
        <v>0</v>
      </c>
      <c r="O349" t="n">
        <v>1</v>
      </c>
      <c r="P349" t="n">
        <v>0</v>
      </c>
      <c r="Q349" t="n">
        <v>1</v>
      </c>
      <c r="R349" s="2" t="inlineStr">
        <is>
          <t>Talltita</t>
        </is>
      </c>
      <c r="S349">
        <f>HYPERLINK("https://klasma.github.io/Logging_0188/artfynd/A 12843-2020 artfynd.xlsx", "A 12843-2020")</f>
        <v/>
      </c>
      <c r="T349">
        <f>HYPERLINK("https://klasma.github.io/Logging_0188/kartor/A 12843-2020 karta.png", "A 12843-2020")</f>
        <v/>
      </c>
      <c r="V349">
        <f>HYPERLINK("https://klasma.github.io/Logging_0188/klagomål/A 12843-2020 FSC-klagomål.docx", "A 12843-2020")</f>
        <v/>
      </c>
      <c r="W349">
        <f>HYPERLINK("https://klasma.github.io/Logging_0188/klagomålsmail/A 12843-2020 FSC-klagomål mail.docx", "A 12843-2020")</f>
        <v/>
      </c>
      <c r="X349">
        <f>HYPERLINK("https://klasma.github.io/Logging_0188/tillsyn/A 12843-2020 tillsynsbegäran.docx", "A 12843-2020")</f>
        <v/>
      </c>
      <c r="Y349">
        <f>HYPERLINK("https://klasma.github.io/Logging_0188/tillsynsmail/A 12843-2020 tillsynsbegäran mail.docx", "A 12843-2020")</f>
        <v/>
      </c>
      <c r="Z349">
        <f>HYPERLINK("https://klasma.github.io/Logging_0188/fåglar/A 12843-2020 prioriterade fågelarter.docx", "A 12843-2020")</f>
        <v/>
      </c>
    </row>
    <row r="350" ht="15" customHeight="1">
      <c r="A350" t="inlineStr">
        <is>
          <t>A 12832-2020</t>
        </is>
      </c>
      <c r="B350" s="1" t="n">
        <v>43899</v>
      </c>
      <c r="C350" s="1" t="n">
        <v>45661</v>
      </c>
      <c r="D350" t="inlineStr">
        <is>
          <t>STOCKHOLMS LÄN</t>
        </is>
      </c>
      <c r="E350" t="inlineStr">
        <is>
          <t>SÖDERTÄLJE</t>
        </is>
      </c>
      <c r="G350" t="n">
        <v>3.8</v>
      </c>
      <c r="H350" t="n">
        <v>0</v>
      </c>
      <c r="I350" t="n">
        <v>0</v>
      </c>
      <c r="J350" t="n">
        <v>1</v>
      </c>
      <c r="K350" t="n">
        <v>0</v>
      </c>
      <c r="L350" t="n">
        <v>0</v>
      </c>
      <c r="M350" t="n">
        <v>0</v>
      </c>
      <c r="N350" t="n">
        <v>0</v>
      </c>
      <c r="O350" t="n">
        <v>1</v>
      </c>
      <c r="P350" t="n">
        <v>0</v>
      </c>
      <c r="Q350" t="n">
        <v>1</v>
      </c>
      <c r="R350" s="2" t="inlineStr">
        <is>
          <t>Ängsskära</t>
        </is>
      </c>
      <c r="S350">
        <f>HYPERLINK("https://klasma.github.io/Logging_0181/artfynd/A 12832-2020 artfynd.xlsx", "A 12832-2020")</f>
        <v/>
      </c>
      <c r="T350">
        <f>HYPERLINK("https://klasma.github.io/Logging_0181/kartor/A 12832-2020 karta.png", "A 12832-2020")</f>
        <v/>
      </c>
      <c r="V350">
        <f>HYPERLINK("https://klasma.github.io/Logging_0181/klagomål/A 12832-2020 FSC-klagomål.docx", "A 12832-2020")</f>
        <v/>
      </c>
      <c r="W350">
        <f>HYPERLINK("https://klasma.github.io/Logging_0181/klagomålsmail/A 12832-2020 FSC-klagomål mail.docx", "A 12832-2020")</f>
        <v/>
      </c>
      <c r="X350">
        <f>HYPERLINK("https://klasma.github.io/Logging_0181/tillsyn/A 12832-2020 tillsynsbegäran.docx", "A 12832-2020")</f>
        <v/>
      </c>
      <c r="Y350">
        <f>HYPERLINK("https://klasma.github.io/Logging_0181/tillsynsmail/A 12832-2020 tillsynsbegäran mail.docx", "A 12832-2020")</f>
        <v/>
      </c>
    </row>
    <row r="351" ht="15" customHeight="1">
      <c r="A351" t="inlineStr">
        <is>
          <t>A 13922-2020</t>
        </is>
      </c>
      <c r="B351" s="1" t="n">
        <v>43906</v>
      </c>
      <c r="C351" s="1" t="n">
        <v>45661</v>
      </c>
      <c r="D351" t="inlineStr">
        <is>
          <t>STOCKHOLMS LÄN</t>
        </is>
      </c>
      <c r="E351" t="inlineStr">
        <is>
          <t>NYKVARN</t>
        </is>
      </c>
      <c r="G351" t="n">
        <v>19.8</v>
      </c>
      <c r="H351" t="n">
        <v>0</v>
      </c>
      <c r="I351" t="n">
        <v>0</v>
      </c>
      <c r="J351" t="n">
        <v>1</v>
      </c>
      <c r="K351" t="n">
        <v>0</v>
      </c>
      <c r="L351" t="n">
        <v>0</v>
      </c>
      <c r="M351" t="n">
        <v>0</v>
      </c>
      <c r="N351" t="n">
        <v>0</v>
      </c>
      <c r="O351" t="n">
        <v>1</v>
      </c>
      <c r="P351" t="n">
        <v>0</v>
      </c>
      <c r="Q351" t="n">
        <v>1</v>
      </c>
      <c r="R351" s="2" t="inlineStr">
        <is>
          <t>Svedjenäva</t>
        </is>
      </c>
      <c r="S351">
        <f>HYPERLINK("https://klasma.github.io/Logging_0140/artfynd/A 13922-2020 artfynd.xlsx", "A 13922-2020")</f>
        <v/>
      </c>
      <c r="T351">
        <f>HYPERLINK("https://klasma.github.io/Logging_0140/kartor/A 13922-2020 karta.png", "A 13922-2020")</f>
        <v/>
      </c>
      <c r="V351">
        <f>HYPERLINK("https://klasma.github.io/Logging_0140/klagomål/A 13922-2020 FSC-klagomål.docx", "A 13922-2020")</f>
        <v/>
      </c>
      <c r="W351">
        <f>HYPERLINK("https://klasma.github.io/Logging_0140/klagomålsmail/A 13922-2020 FSC-klagomål mail.docx", "A 13922-2020")</f>
        <v/>
      </c>
      <c r="X351">
        <f>HYPERLINK("https://klasma.github.io/Logging_0140/tillsyn/A 13922-2020 tillsynsbegäran.docx", "A 13922-2020")</f>
        <v/>
      </c>
      <c r="Y351">
        <f>HYPERLINK("https://klasma.github.io/Logging_0140/tillsynsmail/A 13922-2020 tillsynsbegäran mail.docx", "A 13922-2020")</f>
        <v/>
      </c>
    </row>
    <row r="352" ht="15" customHeight="1">
      <c r="A352" t="inlineStr">
        <is>
          <t>A 15312-2020</t>
        </is>
      </c>
      <c r="B352" s="1" t="n">
        <v>43913</v>
      </c>
      <c r="C352" s="1" t="n">
        <v>45661</v>
      </c>
      <c r="D352" t="inlineStr">
        <is>
          <t>STOCKHOLMS LÄN</t>
        </is>
      </c>
      <c r="E352" t="inlineStr">
        <is>
          <t>HANINGE</t>
        </is>
      </c>
      <c r="F352" t="inlineStr">
        <is>
          <t>Övriga statliga verk och myndigheter</t>
        </is>
      </c>
      <c r="G352" t="n">
        <v>2.4</v>
      </c>
      <c r="H352" t="n">
        <v>0</v>
      </c>
      <c r="I352" t="n">
        <v>0</v>
      </c>
      <c r="J352" t="n">
        <v>1</v>
      </c>
      <c r="K352" t="n">
        <v>0</v>
      </c>
      <c r="L352" t="n">
        <v>0</v>
      </c>
      <c r="M352" t="n">
        <v>0</v>
      </c>
      <c r="N352" t="n">
        <v>0</v>
      </c>
      <c r="O352" t="n">
        <v>1</v>
      </c>
      <c r="P352" t="n">
        <v>0</v>
      </c>
      <c r="Q352" t="n">
        <v>1</v>
      </c>
      <c r="R352" s="2" t="inlineStr">
        <is>
          <t>Tallticka</t>
        </is>
      </c>
      <c r="S352">
        <f>HYPERLINK("https://klasma.github.io/Logging_0136/artfynd/A 15312-2020 artfynd.xlsx", "A 15312-2020")</f>
        <v/>
      </c>
      <c r="T352">
        <f>HYPERLINK("https://klasma.github.io/Logging_0136/kartor/A 15312-2020 karta.png", "A 15312-2020")</f>
        <v/>
      </c>
      <c r="V352">
        <f>HYPERLINK("https://klasma.github.io/Logging_0136/klagomål/A 15312-2020 FSC-klagomål.docx", "A 15312-2020")</f>
        <v/>
      </c>
      <c r="W352">
        <f>HYPERLINK("https://klasma.github.io/Logging_0136/klagomålsmail/A 15312-2020 FSC-klagomål mail.docx", "A 15312-2020")</f>
        <v/>
      </c>
      <c r="X352">
        <f>HYPERLINK("https://klasma.github.io/Logging_0136/tillsyn/A 15312-2020 tillsynsbegäran.docx", "A 15312-2020")</f>
        <v/>
      </c>
      <c r="Y352">
        <f>HYPERLINK("https://klasma.github.io/Logging_0136/tillsynsmail/A 15312-2020 tillsynsbegäran mail.docx", "A 15312-2020")</f>
        <v/>
      </c>
    </row>
    <row r="353" ht="15" customHeight="1">
      <c r="A353" t="inlineStr">
        <is>
          <t>A 16236-2020</t>
        </is>
      </c>
      <c r="B353" s="1" t="n">
        <v>43917</v>
      </c>
      <c r="C353" s="1" t="n">
        <v>45661</v>
      </c>
      <c r="D353" t="inlineStr">
        <is>
          <t>STOCKHOLMS LÄN</t>
        </is>
      </c>
      <c r="E353" t="inlineStr">
        <is>
          <t>BOTKYRKA</t>
        </is>
      </c>
      <c r="G353" t="n">
        <v>2.5</v>
      </c>
      <c r="H353" t="n">
        <v>0</v>
      </c>
      <c r="I353" t="n">
        <v>1</v>
      </c>
      <c r="J353" t="n">
        <v>0</v>
      </c>
      <c r="K353" t="n">
        <v>0</v>
      </c>
      <c r="L353" t="n">
        <v>0</v>
      </c>
      <c r="M353" t="n">
        <v>0</v>
      </c>
      <c r="N353" t="n">
        <v>0</v>
      </c>
      <c r="O353" t="n">
        <v>0</v>
      </c>
      <c r="P353" t="n">
        <v>0</v>
      </c>
      <c r="Q353" t="n">
        <v>1</v>
      </c>
      <c r="R353" s="2" t="inlineStr">
        <is>
          <t>Granbarkgnagare</t>
        </is>
      </c>
      <c r="S353">
        <f>HYPERLINK("https://klasma.github.io/Logging_0127/artfynd/A 16236-2020 artfynd.xlsx", "A 16236-2020")</f>
        <v/>
      </c>
      <c r="T353">
        <f>HYPERLINK("https://klasma.github.io/Logging_0127/kartor/A 16236-2020 karta.png", "A 16236-2020")</f>
        <v/>
      </c>
      <c r="V353">
        <f>HYPERLINK("https://klasma.github.io/Logging_0127/klagomål/A 16236-2020 FSC-klagomål.docx", "A 16236-2020")</f>
        <v/>
      </c>
      <c r="W353">
        <f>HYPERLINK("https://klasma.github.io/Logging_0127/klagomålsmail/A 16236-2020 FSC-klagomål mail.docx", "A 16236-2020")</f>
        <v/>
      </c>
      <c r="X353">
        <f>HYPERLINK("https://klasma.github.io/Logging_0127/tillsyn/A 16236-2020 tillsynsbegäran.docx", "A 16236-2020")</f>
        <v/>
      </c>
      <c r="Y353">
        <f>HYPERLINK("https://klasma.github.io/Logging_0127/tillsynsmail/A 16236-2020 tillsynsbegäran mail.docx", "A 16236-2020")</f>
        <v/>
      </c>
    </row>
    <row r="354" ht="15" customHeight="1">
      <c r="A354" t="inlineStr">
        <is>
          <t>A 16917-2020</t>
        </is>
      </c>
      <c r="B354" s="1" t="n">
        <v>43921</v>
      </c>
      <c r="C354" s="1" t="n">
        <v>45661</v>
      </c>
      <c r="D354" t="inlineStr">
        <is>
          <t>STOCKHOLMS LÄN</t>
        </is>
      </c>
      <c r="E354" t="inlineStr">
        <is>
          <t>SALEM</t>
        </is>
      </c>
      <c r="G354" t="n">
        <v>23.8</v>
      </c>
      <c r="H354" t="n">
        <v>1</v>
      </c>
      <c r="I354" t="n">
        <v>0</v>
      </c>
      <c r="J354" t="n">
        <v>1</v>
      </c>
      <c r="K354" t="n">
        <v>0</v>
      </c>
      <c r="L354" t="n">
        <v>0</v>
      </c>
      <c r="M354" t="n">
        <v>0</v>
      </c>
      <c r="N354" t="n">
        <v>0</v>
      </c>
      <c r="O354" t="n">
        <v>1</v>
      </c>
      <c r="P354" t="n">
        <v>0</v>
      </c>
      <c r="Q354" t="n">
        <v>1</v>
      </c>
      <c r="R354" s="2" t="inlineStr">
        <is>
          <t>Talltita</t>
        </is>
      </c>
      <c r="S354">
        <f>HYPERLINK("https://klasma.github.io/Logging_0128/artfynd/A 16917-2020 artfynd.xlsx", "A 16917-2020")</f>
        <v/>
      </c>
      <c r="T354">
        <f>HYPERLINK("https://klasma.github.io/Logging_0128/kartor/A 16917-2020 karta.png", "A 16917-2020")</f>
        <v/>
      </c>
      <c r="V354">
        <f>HYPERLINK("https://klasma.github.io/Logging_0128/klagomål/A 16917-2020 FSC-klagomål.docx", "A 16917-2020")</f>
        <v/>
      </c>
      <c r="W354">
        <f>HYPERLINK("https://klasma.github.io/Logging_0128/klagomålsmail/A 16917-2020 FSC-klagomål mail.docx", "A 16917-2020")</f>
        <v/>
      </c>
      <c r="X354">
        <f>HYPERLINK("https://klasma.github.io/Logging_0128/tillsyn/A 16917-2020 tillsynsbegäran.docx", "A 16917-2020")</f>
        <v/>
      </c>
      <c r="Y354">
        <f>HYPERLINK("https://klasma.github.io/Logging_0128/tillsynsmail/A 16917-2020 tillsynsbegäran mail.docx", "A 16917-2020")</f>
        <v/>
      </c>
      <c r="Z354">
        <f>HYPERLINK("https://klasma.github.io/Logging_0128/fåglar/A 16917-2020 prioriterade fågelarter.docx", "A 16917-2020")</f>
        <v/>
      </c>
    </row>
    <row r="355" ht="15" customHeight="1">
      <c r="A355" t="inlineStr">
        <is>
          <t>A 18965-2020</t>
        </is>
      </c>
      <c r="B355" s="1" t="n">
        <v>43935</v>
      </c>
      <c r="C355" s="1" t="n">
        <v>45661</v>
      </c>
      <c r="D355" t="inlineStr">
        <is>
          <t>STOCKHOLMS LÄN</t>
        </is>
      </c>
      <c r="E355" t="inlineStr">
        <is>
          <t>NYNÄSHAMN</t>
        </is>
      </c>
      <c r="F355" t="inlineStr">
        <is>
          <t>Kommuner</t>
        </is>
      </c>
      <c r="G355" t="n">
        <v>14.3</v>
      </c>
      <c r="H355" t="n">
        <v>1</v>
      </c>
      <c r="I355" t="n">
        <v>0</v>
      </c>
      <c r="J355" t="n">
        <v>0</v>
      </c>
      <c r="K355" t="n">
        <v>1</v>
      </c>
      <c r="L355" t="n">
        <v>0</v>
      </c>
      <c r="M355" t="n">
        <v>0</v>
      </c>
      <c r="N355" t="n">
        <v>0</v>
      </c>
      <c r="O355" t="n">
        <v>1</v>
      </c>
      <c r="P355" t="n">
        <v>1</v>
      </c>
      <c r="Q355" t="n">
        <v>1</v>
      </c>
      <c r="R355" s="2" t="inlineStr">
        <is>
          <t>Hasselsnok</t>
        </is>
      </c>
      <c r="S355">
        <f>HYPERLINK("https://klasma.github.io/Logging_0192/artfynd/A 18965-2020 artfynd.xlsx", "A 18965-2020")</f>
        <v/>
      </c>
      <c r="T355">
        <f>HYPERLINK("https://klasma.github.io/Logging_0192/kartor/A 18965-2020 karta.png", "A 18965-2020")</f>
        <v/>
      </c>
      <c r="V355">
        <f>HYPERLINK("https://klasma.github.io/Logging_0192/klagomål/A 18965-2020 FSC-klagomål.docx", "A 18965-2020")</f>
        <v/>
      </c>
      <c r="W355">
        <f>HYPERLINK("https://klasma.github.io/Logging_0192/klagomålsmail/A 18965-2020 FSC-klagomål mail.docx", "A 18965-2020")</f>
        <v/>
      </c>
      <c r="X355">
        <f>HYPERLINK("https://klasma.github.io/Logging_0192/tillsyn/A 18965-2020 tillsynsbegäran.docx", "A 18965-2020")</f>
        <v/>
      </c>
      <c r="Y355">
        <f>HYPERLINK("https://klasma.github.io/Logging_0192/tillsynsmail/A 18965-2020 tillsynsbegäran mail.docx", "A 18965-2020")</f>
        <v/>
      </c>
    </row>
    <row r="356" ht="15" customHeight="1">
      <c r="A356" t="inlineStr">
        <is>
          <t>A 21628-2020</t>
        </is>
      </c>
      <c r="B356" s="1" t="n">
        <v>43956</v>
      </c>
      <c r="C356" s="1" t="n">
        <v>45661</v>
      </c>
      <c r="D356" t="inlineStr">
        <is>
          <t>STOCKHOLMS LÄN</t>
        </is>
      </c>
      <c r="E356" t="inlineStr">
        <is>
          <t>NYKVARN</t>
        </is>
      </c>
      <c r="G356" t="n">
        <v>1.5</v>
      </c>
      <c r="H356" t="n">
        <v>0</v>
      </c>
      <c r="I356" t="n">
        <v>0</v>
      </c>
      <c r="J356" t="n">
        <v>1</v>
      </c>
      <c r="K356" t="n">
        <v>0</v>
      </c>
      <c r="L356" t="n">
        <v>0</v>
      </c>
      <c r="M356" t="n">
        <v>0</v>
      </c>
      <c r="N356" t="n">
        <v>0</v>
      </c>
      <c r="O356" t="n">
        <v>1</v>
      </c>
      <c r="P356" t="n">
        <v>0</v>
      </c>
      <c r="Q356" t="n">
        <v>1</v>
      </c>
      <c r="R356" s="2" t="inlineStr">
        <is>
          <t>Igelkott</t>
        </is>
      </c>
      <c r="S356">
        <f>HYPERLINK("https://klasma.github.io/Logging_0140/artfynd/A 21628-2020 artfynd.xlsx", "A 21628-2020")</f>
        <v/>
      </c>
      <c r="T356">
        <f>HYPERLINK("https://klasma.github.io/Logging_0140/kartor/A 21628-2020 karta.png", "A 21628-2020")</f>
        <v/>
      </c>
      <c r="V356">
        <f>HYPERLINK("https://klasma.github.io/Logging_0140/klagomål/A 21628-2020 FSC-klagomål.docx", "A 21628-2020")</f>
        <v/>
      </c>
      <c r="W356">
        <f>HYPERLINK("https://klasma.github.io/Logging_0140/klagomålsmail/A 21628-2020 FSC-klagomål mail.docx", "A 21628-2020")</f>
        <v/>
      </c>
      <c r="X356">
        <f>HYPERLINK("https://klasma.github.io/Logging_0140/tillsyn/A 21628-2020 tillsynsbegäran.docx", "A 21628-2020")</f>
        <v/>
      </c>
      <c r="Y356">
        <f>HYPERLINK("https://klasma.github.io/Logging_0140/tillsynsmail/A 21628-2020 tillsynsbegäran mail.docx", "A 21628-2020")</f>
        <v/>
      </c>
    </row>
    <row r="357" ht="15" customHeight="1">
      <c r="A357" t="inlineStr">
        <is>
          <t>A 28380-2020</t>
        </is>
      </c>
      <c r="B357" s="1" t="n">
        <v>43998</v>
      </c>
      <c r="C357" s="1" t="n">
        <v>45661</v>
      </c>
      <c r="D357" t="inlineStr">
        <is>
          <t>STOCKHOLMS LÄN</t>
        </is>
      </c>
      <c r="E357" t="inlineStr">
        <is>
          <t>NORRTÄLJE</t>
        </is>
      </c>
      <c r="G357" t="n">
        <v>43</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28380-2020 artfynd.xlsx", "A 28380-2020")</f>
        <v/>
      </c>
      <c r="T357">
        <f>HYPERLINK("https://klasma.github.io/Logging_0188/kartor/A 28380-2020 karta.png", "A 28380-2020")</f>
        <v/>
      </c>
      <c r="V357">
        <f>HYPERLINK("https://klasma.github.io/Logging_0188/klagomål/A 28380-2020 FSC-klagomål.docx", "A 28380-2020")</f>
        <v/>
      </c>
      <c r="W357">
        <f>HYPERLINK("https://klasma.github.io/Logging_0188/klagomålsmail/A 28380-2020 FSC-klagomål mail.docx", "A 28380-2020")</f>
        <v/>
      </c>
      <c r="X357">
        <f>HYPERLINK("https://klasma.github.io/Logging_0188/tillsyn/A 28380-2020 tillsynsbegäran.docx", "A 28380-2020")</f>
        <v/>
      </c>
      <c r="Y357">
        <f>HYPERLINK("https://klasma.github.io/Logging_0188/tillsynsmail/A 28380-2020 tillsynsbegäran mail.docx", "A 28380-2020")</f>
        <v/>
      </c>
    </row>
    <row r="358" ht="15" customHeight="1">
      <c r="A358" t="inlineStr">
        <is>
          <t>A 32525-2020</t>
        </is>
      </c>
      <c r="B358" s="1" t="n">
        <v>44018</v>
      </c>
      <c r="C358" s="1" t="n">
        <v>45661</v>
      </c>
      <c r="D358" t="inlineStr">
        <is>
          <t>STOCKHOLMS LÄN</t>
        </is>
      </c>
      <c r="E358" t="inlineStr">
        <is>
          <t>HANINGE</t>
        </is>
      </c>
      <c r="F358" t="inlineStr">
        <is>
          <t>Kommuner</t>
        </is>
      </c>
      <c r="G358" t="n">
        <v>2.3</v>
      </c>
      <c r="H358" t="n">
        <v>0</v>
      </c>
      <c r="I358" t="n">
        <v>1</v>
      </c>
      <c r="J358" t="n">
        <v>0</v>
      </c>
      <c r="K358" t="n">
        <v>0</v>
      </c>
      <c r="L358" t="n">
        <v>0</v>
      </c>
      <c r="M358" t="n">
        <v>0</v>
      </c>
      <c r="N358" t="n">
        <v>0</v>
      </c>
      <c r="O358" t="n">
        <v>0</v>
      </c>
      <c r="P358" t="n">
        <v>0</v>
      </c>
      <c r="Q358" t="n">
        <v>1</v>
      </c>
      <c r="R358" s="2" t="inlineStr">
        <is>
          <t>Vedticka</t>
        </is>
      </c>
      <c r="S358">
        <f>HYPERLINK("https://klasma.github.io/Logging_0136/artfynd/A 32525-2020 artfynd.xlsx", "A 32525-2020")</f>
        <v/>
      </c>
      <c r="T358">
        <f>HYPERLINK("https://klasma.github.io/Logging_0136/kartor/A 32525-2020 karta.png", "A 32525-2020")</f>
        <v/>
      </c>
      <c r="V358">
        <f>HYPERLINK("https://klasma.github.io/Logging_0136/klagomål/A 32525-2020 FSC-klagomål.docx", "A 32525-2020")</f>
        <v/>
      </c>
      <c r="W358">
        <f>HYPERLINK("https://klasma.github.io/Logging_0136/klagomålsmail/A 32525-2020 FSC-klagomål mail.docx", "A 32525-2020")</f>
        <v/>
      </c>
      <c r="X358">
        <f>HYPERLINK("https://klasma.github.io/Logging_0136/tillsyn/A 32525-2020 tillsynsbegäran.docx", "A 32525-2020")</f>
        <v/>
      </c>
      <c r="Y358">
        <f>HYPERLINK("https://klasma.github.io/Logging_0136/tillsynsmail/A 32525-2020 tillsynsbegäran mail.docx", "A 32525-2020")</f>
        <v/>
      </c>
    </row>
    <row r="359" ht="15" customHeight="1">
      <c r="A359" t="inlineStr">
        <is>
          <t>A 34971-2020</t>
        </is>
      </c>
      <c r="B359" s="1" t="n">
        <v>44039</v>
      </c>
      <c r="C359" s="1" t="n">
        <v>45661</v>
      </c>
      <c r="D359" t="inlineStr">
        <is>
          <t>STOCKHOLMS LÄN</t>
        </is>
      </c>
      <c r="E359" t="inlineStr">
        <is>
          <t>BOTKYRKA</t>
        </is>
      </c>
      <c r="G359" t="n">
        <v>4.2</v>
      </c>
      <c r="H359" t="n">
        <v>0</v>
      </c>
      <c r="I359" t="n">
        <v>1</v>
      </c>
      <c r="J359" t="n">
        <v>0</v>
      </c>
      <c r="K359" t="n">
        <v>0</v>
      </c>
      <c r="L359" t="n">
        <v>0</v>
      </c>
      <c r="M359" t="n">
        <v>0</v>
      </c>
      <c r="N359" t="n">
        <v>0</v>
      </c>
      <c r="O359" t="n">
        <v>0</v>
      </c>
      <c r="P359" t="n">
        <v>0</v>
      </c>
      <c r="Q359" t="n">
        <v>1</v>
      </c>
      <c r="R359" s="2" t="inlineStr">
        <is>
          <t>Tibast</t>
        </is>
      </c>
      <c r="S359">
        <f>HYPERLINK("https://klasma.github.io/Logging_0127/artfynd/A 34971-2020 artfynd.xlsx", "A 34971-2020")</f>
        <v/>
      </c>
      <c r="T359">
        <f>HYPERLINK("https://klasma.github.io/Logging_0127/kartor/A 34971-2020 karta.png", "A 34971-2020")</f>
        <v/>
      </c>
      <c r="V359">
        <f>HYPERLINK("https://klasma.github.io/Logging_0127/klagomål/A 34971-2020 FSC-klagomål.docx", "A 34971-2020")</f>
        <v/>
      </c>
      <c r="W359">
        <f>HYPERLINK("https://klasma.github.io/Logging_0127/klagomålsmail/A 34971-2020 FSC-klagomål mail.docx", "A 34971-2020")</f>
        <v/>
      </c>
      <c r="X359">
        <f>HYPERLINK("https://klasma.github.io/Logging_0127/tillsyn/A 34971-2020 tillsynsbegäran.docx", "A 34971-2020")</f>
        <v/>
      </c>
      <c r="Y359">
        <f>HYPERLINK("https://klasma.github.io/Logging_0127/tillsynsmail/A 34971-2020 tillsynsbegäran mail.docx", "A 34971-2020")</f>
        <v/>
      </c>
    </row>
    <row r="360" ht="15" customHeight="1">
      <c r="A360" t="inlineStr">
        <is>
          <t>A 41774-2020</t>
        </is>
      </c>
      <c r="B360" s="1" t="n">
        <v>44074</v>
      </c>
      <c r="C360" s="1" t="n">
        <v>45661</v>
      </c>
      <c r="D360" t="inlineStr">
        <is>
          <t>STOCKHOLMS LÄN</t>
        </is>
      </c>
      <c r="E360" t="inlineStr">
        <is>
          <t>SALEM</t>
        </is>
      </c>
      <c r="F360" t="inlineStr">
        <is>
          <t>Kommuner</t>
        </is>
      </c>
      <c r="G360" t="n">
        <v>3.1</v>
      </c>
      <c r="H360" t="n">
        <v>0</v>
      </c>
      <c r="I360" t="n">
        <v>0</v>
      </c>
      <c r="J360" t="n">
        <v>1</v>
      </c>
      <c r="K360" t="n">
        <v>0</v>
      </c>
      <c r="L360" t="n">
        <v>0</v>
      </c>
      <c r="M360" t="n">
        <v>0</v>
      </c>
      <c r="N360" t="n">
        <v>0</v>
      </c>
      <c r="O360" t="n">
        <v>1</v>
      </c>
      <c r="P360" t="n">
        <v>0</v>
      </c>
      <c r="Q360" t="n">
        <v>1</v>
      </c>
      <c r="R360" s="2" t="inlineStr">
        <is>
          <t>Tallticka</t>
        </is>
      </c>
      <c r="S360">
        <f>HYPERLINK("https://klasma.github.io/Logging_0128/artfynd/A 41774-2020 artfynd.xlsx", "A 41774-2020")</f>
        <v/>
      </c>
      <c r="T360">
        <f>HYPERLINK("https://klasma.github.io/Logging_0128/kartor/A 41774-2020 karta.png", "A 41774-2020")</f>
        <v/>
      </c>
      <c r="V360">
        <f>HYPERLINK("https://klasma.github.io/Logging_0128/klagomål/A 41774-2020 FSC-klagomål.docx", "A 41774-2020")</f>
        <v/>
      </c>
      <c r="W360">
        <f>HYPERLINK("https://klasma.github.io/Logging_0128/klagomålsmail/A 41774-2020 FSC-klagomål mail.docx", "A 41774-2020")</f>
        <v/>
      </c>
      <c r="X360">
        <f>HYPERLINK("https://klasma.github.io/Logging_0128/tillsyn/A 41774-2020 tillsynsbegäran.docx", "A 41774-2020")</f>
        <v/>
      </c>
      <c r="Y360">
        <f>HYPERLINK("https://klasma.github.io/Logging_0128/tillsynsmail/A 41774-2020 tillsynsbegäran mail.docx", "A 41774-2020")</f>
        <v/>
      </c>
    </row>
    <row r="361" ht="15" customHeight="1">
      <c r="A361" t="inlineStr">
        <is>
          <t>A 45158-2020</t>
        </is>
      </c>
      <c r="B361" s="1" t="n">
        <v>44088</v>
      </c>
      <c r="C361" s="1" t="n">
        <v>45661</v>
      </c>
      <c r="D361" t="inlineStr">
        <is>
          <t>STOCKHOLMS LÄN</t>
        </is>
      </c>
      <c r="E361" t="inlineStr">
        <is>
          <t>SALEM</t>
        </is>
      </c>
      <c r="F361" t="inlineStr">
        <is>
          <t>Kommuner</t>
        </is>
      </c>
      <c r="G361" t="n">
        <v>1.5</v>
      </c>
      <c r="H361" t="n">
        <v>1</v>
      </c>
      <c r="I361" t="n">
        <v>0</v>
      </c>
      <c r="J361" t="n">
        <v>1</v>
      </c>
      <c r="K361" t="n">
        <v>0</v>
      </c>
      <c r="L361" t="n">
        <v>0</v>
      </c>
      <c r="M361" t="n">
        <v>0</v>
      </c>
      <c r="N361" t="n">
        <v>0</v>
      </c>
      <c r="O361" t="n">
        <v>1</v>
      </c>
      <c r="P361" t="n">
        <v>0</v>
      </c>
      <c r="Q361" t="n">
        <v>1</v>
      </c>
      <c r="R361" s="2" t="inlineStr">
        <is>
          <t>Spillkråka</t>
        </is>
      </c>
      <c r="S361">
        <f>HYPERLINK("https://klasma.github.io/Logging_0128/artfynd/A 45158-2020 artfynd.xlsx", "A 45158-2020")</f>
        <v/>
      </c>
      <c r="T361">
        <f>HYPERLINK("https://klasma.github.io/Logging_0128/kartor/A 45158-2020 karta.png", "A 45158-2020")</f>
        <v/>
      </c>
      <c r="V361">
        <f>HYPERLINK("https://klasma.github.io/Logging_0128/klagomål/A 45158-2020 FSC-klagomål.docx", "A 45158-2020")</f>
        <v/>
      </c>
      <c r="W361">
        <f>HYPERLINK("https://klasma.github.io/Logging_0128/klagomålsmail/A 45158-2020 FSC-klagomål mail.docx", "A 45158-2020")</f>
        <v/>
      </c>
      <c r="X361">
        <f>HYPERLINK("https://klasma.github.io/Logging_0128/tillsyn/A 45158-2020 tillsynsbegäran.docx", "A 45158-2020")</f>
        <v/>
      </c>
      <c r="Y361">
        <f>HYPERLINK("https://klasma.github.io/Logging_0128/tillsynsmail/A 45158-2020 tillsynsbegäran mail.docx", "A 45158-2020")</f>
        <v/>
      </c>
      <c r="Z361">
        <f>HYPERLINK("https://klasma.github.io/Logging_0128/fåglar/A 45158-2020 prioriterade fågelarter.docx", "A 45158-2020")</f>
        <v/>
      </c>
    </row>
    <row r="362" ht="15" customHeight="1">
      <c r="A362" t="inlineStr">
        <is>
          <t>A 47329-2020</t>
        </is>
      </c>
      <c r="B362" s="1" t="n">
        <v>44097</v>
      </c>
      <c r="C362" s="1" t="n">
        <v>45661</v>
      </c>
      <c r="D362" t="inlineStr">
        <is>
          <t>STOCKHOLMS LÄN</t>
        </is>
      </c>
      <c r="E362" t="inlineStr">
        <is>
          <t>UPPLANDS-BRO</t>
        </is>
      </c>
      <c r="G362" t="n">
        <v>1.6</v>
      </c>
      <c r="H362" t="n">
        <v>1</v>
      </c>
      <c r="I362" t="n">
        <v>0</v>
      </c>
      <c r="J362" t="n">
        <v>0</v>
      </c>
      <c r="K362" t="n">
        <v>1</v>
      </c>
      <c r="L362" t="n">
        <v>0</v>
      </c>
      <c r="M362" t="n">
        <v>0</v>
      </c>
      <c r="N362" t="n">
        <v>0</v>
      </c>
      <c r="O362" t="n">
        <v>1</v>
      </c>
      <c r="P362" t="n">
        <v>1</v>
      </c>
      <c r="Q362" t="n">
        <v>1</v>
      </c>
      <c r="R362" s="2" t="inlineStr">
        <is>
          <t>Bombmurkla</t>
        </is>
      </c>
      <c r="S362">
        <f>HYPERLINK("https://klasma.github.io/Logging_0139/artfynd/A 47329-2020 artfynd.xlsx", "A 47329-2020")</f>
        <v/>
      </c>
      <c r="T362">
        <f>HYPERLINK("https://klasma.github.io/Logging_0139/kartor/A 47329-2020 karta.png", "A 47329-2020")</f>
        <v/>
      </c>
      <c r="V362">
        <f>HYPERLINK("https://klasma.github.io/Logging_0139/klagomål/A 47329-2020 FSC-klagomål.docx", "A 47329-2020")</f>
        <v/>
      </c>
      <c r="W362">
        <f>HYPERLINK("https://klasma.github.io/Logging_0139/klagomålsmail/A 47329-2020 FSC-klagomål mail.docx", "A 47329-2020")</f>
        <v/>
      </c>
      <c r="X362">
        <f>HYPERLINK("https://klasma.github.io/Logging_0139/tillsyn/A 47329-2020 tillsynsbegäran.docx", "A 47329-2020")</f>
        <v/>
      </c>
      <c r="Y362">
        <f>HYPERLINK("https://klasma.github.io/Logging_0139/tillsynsmail/A 47329-2020 tillsynsbegäran mail.docx", "A 47329-2020")</f>
        <v/>
      </c>
    </row>
    <row r="363" ht="15" customHeight="1">
      <c r="A363" t="inlineStr">
        <is>
          <t>A 48288-2020</t>
        </is>
      </c>
      <c r="B363" s="1" t="n">
        <v>44102</v>
      </c>
      <c r="C363" s="1" t="n">
        <v>45661</v>
      </c>
      <c r="D363" t="inlineStr">
        <is>
          <t>STOCKHOLMS LÄN</t>
        </is>
      </c>
      <c r="E363" t="inlineStr">
        <is>
          <t>NORRTÄLJE</t>
        </is>
      </c>
      <c r="F363" t="inlineStr">
        <is>
          <t>Holmen skog AB</t>
        </is>
      </c>
      <c r="G363" t="n">
        <v>2.9</v>
      </c>
      <c r="H363" t="n">
        <v>1</v>
      </c>
      <c r="I363" t="n">
        <v>0</v>
      </c>
      <c r="J363" t="n">
        <v>0</v>
      </c>
      <c r="K363" t="n">
        <v>0</v>
      </c>
      <c r="L363" t="n">
        <v>1</v>
      </c>
      <c r="M363" t="n">
        <v>0</v>
      </c>
      <c r="N363" t="n">
        <v>0</v>
      </c>
      <c r="O363" t="n">
        <v>1</v>
      </c>
      <c r="P363" t="n">
        <v>1</v>
      </c>
      <c r="Q363" t="n">
        <v>1</v>
      </c>
      <c r="R363" s="2" t="inlineStr">
        <is>
          <t>Asknätfjäril</t>
        </is>
      </c>
      <c r="S363">
        <f>HYPERLINK("https://klasma.github.io/Logging_0188/artfynd/A 48288-2020 artfynd.xlsx", "A 48288-2020")</f>
        <v/>
      </c>
      <c r="T363">
        <f>HYPERLINK("https://klasma.github.io/Logging_0188/kartor/A 48288-2020 karta.png", "A 48288-2020")</f>
        <v/>
      </c>
      <c r="V363">
        <f>HYPERLINK("https://klasma.github.io/Logging_0188/klagomål/A 48288-2020 FSC-klagomål.docx", "A 48288-2020")</f>
        <v/>
      </c>
      <c r="W363">
        <f>HYPERLINK("https://klasma.github.io/Logging_0188/klagomålsmail/A 48288-2020 FSC-klagomål mail.docx", "A 48288-2020")</f>
        <v/>
      </c>
      <c r="X363">
        <f>HYPERLINK("https://klasma.github.io/Logging_0188/tillsyn/A 48288-2020 tillsynsbegäran.docx", "A 48288-2020")</f>
        <v/>
      </c>
      <c r="Y363">
        <f>HYPERLINK("https://klasma.github.io/Logging_0188/tillsynsmail/A 48288-2020 tillsynsbegäran mail.docx", "A 48288-2020")</f>
        <v/>
      </c>
    </row>
    <row r="364" ht="15" customHeight="1">
      <c r="A364" t="inlineStr">
        <is>
          <t>A 62846-2020</t>
        </is>
      </c>
      <c r="B364" s="1" t="n">
        <v>44161</v>
      </c>
      <c r="C364" s="1" t="n">
        <v>45661</v>
      </c>
      <c r="D364" t="inlineStr">
        <is>
          <t>STOCKHOLMS LÄN</t>
        </is>
      </c>
      <c r="E364" t="inlineStr">
        <is>
          <t>NORRTÄLJE</t>
        </is>
      </c>
      <c r="G364" t="n">
        <v>1.4</v>
      </c>
      <c r="H364" t="n">
        <v>1</v>
      </c>
      <c r="I364" t="n">
        <v>0</v>
      </c>
      <c r="J364" t="n">
        <v>0</v>
      </c>
      <c r="K364" t="n">
        <v>0</v>
      </c>
      <c r="L364" t="n">
        <v>0</v>
      </c>
      <c r="M364" t="n">
        <v>0</v>
      </c>
      <c r="N364" t="n">
        <v>0</v>
      </c>
      <c r="O364" t="n">
        <v>0</v>
      </c>
      <c r="P364" t="n">
        <v>0</v>
      </c>
      <c r="Q364" t="n">
        <v>1</v>
      </c>
      <c r="R364" s="2" t="inlineStr">
        <is>
          <t>Fläcknycklar</t>
        </is>
      </c>
      <c r="S364">
        <f>HYPERLINK("https://klasma.github.io/Logging_0188/artfynd/A 62846-2020 artfynd.xlsx", "A 62846-2020")</f>
        <v/>
      </c>
      <c r="T364">
        <f>HYPERLINK("https://klasma.github.io/Logging_0188/kartor/A 62846-2020 karta.png", "A 62846-2020")</f>
        <v/>
      </c>
      <c r="V364">
        <f>HYPERLINK("https://klasma.github.io/Logging_0188/klagomål/A 62846-2020 FSC-klagomål.docx", "A 62846-2020")</f>
        <v/>
      </c>
      <c r="W364">
        <f>HYPERLINK("https://klasma.github.io/Logging_0188/klagomålsmail/A 62846-2020 FSC-klagomål mail.docx", "A 62846-2020")</f>
        <v/>
      </c>
      <c r="X364">
        <f>HYPERLINK("https://klasma.github.io/Logging_0188/tillsyn/A 62846-2020 tillsynsbegäran.docx", "A 62846-2020")</f>
        <v/>
      </c>
      <c r="Y364">
        <f>HYPERLINK("https://klasma.github.io/Logging_0188/tillsynsmail/A 62846-2020 tillsynsbegäran mail.docx", "A 62846-2020")</f>
        <v/>
      </c>
    </row>
    <row r="365" ht="15" customHeight="1">
      <c r="A365" t="inlineStr">
        <is>
          <t>A 1162-2021</t>
        </is>
      </c>
      <c r="B365" s="1" t="n">
        <v>44207</v>
      </c>
      <c r="C365" s="1" t="n">
        <v>45661</v>
      </c>
      <c r="D365" t="inlineStr">
        <is>
          <t>STOCKHOLMS LÄN</t>
        </is>
      </c>
      <c r="E365" t="inlineStr">
        <is>
          <t>NORRTÄLJE</t>
        </is>
      </c>
      <c r="G365" t="n">
        <v>2.2</v>
      </c>
      <c r="H365" t="n">
        <v>1</v>
      </c>
      <c r="I365" t="n">
        <v>0</v>
      </c>
      <c r="J365" t="n">
        <v>0</v>
      </c>
      <c r="K365" t="n">
        <v>1</v>
      </c>
      <c r="L365" t="n">
        <v>0</v>
      </c>
      <c r="M365" t="n">
        <v>0</v>
      </c>
      <c r="N365" t="n">
        <v>0</v>
      </c>
      <c r="O365" t="n">
        <v>1</v>
      </c>
      <c r="P365" t="n">
        <v>1</v>
      </c>
      <c r="Q365" t="n">
        <v>1</v>
      </c>
      <c r="R365" s="2" t="inlineStr">
        <is>
          <t>Hällebräcka</t>
        </is>
      </c>
      <c r="S365">
        <f>HYPERLINK("https://klasma.github.io/Logging_0188/artfynd/A 1162-2021 artfynd.xlsx", "A 1162-2021")</f>
        <v/>
      </c>
      <c r="T365">
        <f>HYPERLINK("https://klasma.github.io/Logging_0188/kartor/A 1162-2021 karta.png", "A 1162-2021")</f>
        <v/>
      </c>
      <c r="V365">
        <f>HYPERLINK("https://klasma.github.io/Logging_0188/klagomål/A 1162-2021 FSC-klagomål.docx", "A 1162-2021")</f>
        <v/>
      </c>
      <c r="W365">
        <f>HYPERLINK("https://klasma.github.io/Logging_0188/klagomålsmail/A 1162-2021 FSC-klagomål mail.docx", "A 1162-2021")</f>
        <v/>
      </c>
      <c r="X365">
        <f>HYPERLINK("https://klasma.github.io/Logging_0188/tillsyn/A 1162-2021 tillsynsbegäran.docx", "A 1162-2021")</f>
        <v/>
      </c>
      <c r="Y365">
        <f>HYPERLINK("https://klasma.github.io/Logging_0188/tillsynsmail/A 1162-2021 tillsynsbegäran mail.docx", "A 1162-2021")</f>
        <v/>
      </c>
    </row>
    <row r="366" ht="15" customHeight="1">
      <c r="A366" t="inlineStr">
        <is>
          <t>A 1424-2021</t>
        </is>
      </c>
      <c r="B366" s="1" t="n">
        <v>44208</v>
      </c>
      <c r="C366" s="1" t="n">
        <v>45661</v>
      </c>
      <c r="D366" t="inlineStr">
        <is>
          <t>STOCKHOLMS LÄN</t>
        </is>
      </c>
      <c r="E366" t="inlineStr">
        <is>
          <t>HANINGE</t>
        </is>
      </c>
      <c r="G366" t="n">
        <v>1.7</v>
      </c>
      <c r="H366" t="n">
        <v>1</v>
      </c>
      <c r="I366" t="n">
        <v>1</v>
      </c>
      <c r="J366" t="n">
        <v>0</v>
      </c>
      <c r="K366" t="n">
        <v>0</v>
      </c>
      <c r="L366" t="n">
        <v>0</v>
      </c>
      <c r="M366" t="n">
        <v>0</v>
      </c>
      <c r="N366" t="n">
        <v>0</v>
      </c>
      <c r="O366" t="n">
        <v>0</v>
      </c>
      <c r="P366" t="n">
        <v>0</v>
      </c>
      <c r="Q366" t="n">
        <v>1</v>
      </c>
      <c r="R366" s="2" t="inlineStr">
        <is>
          <t>Tvåblad</t>
        </is>
      </c>
      <c r="S366">
        <f>HYPERLINK("https://klasma.github.io/Logging_0136/artfynd/A 1424-2021 artfynd.xlsx", "A 1424-2021")</f>
        <v/>
      </c>
      <c r="T366">
        <f>HYPERLINK("https://klasma.github.io/Logging_0136/kartor/A 1424-2021 karta.png", "A 1424-2021")</f>
        <v/>
      </c>
      <c r="U366">
        <f>HYPERLINK("https://klasma.github.io/Logging_0136/knärot/A 1424-2021 karta knärot.png", "A 1424-2021")</f>
        <v/>
      </c>
      <c r="V366">
        <f>HYPERLINK("https://klasma.github.io/Logging_0136/klagomål/A 1424-2021 FSC-klagomål.docx", "A 1424-2021")</f>
        <v/>
      </c>
      <c r="W366">
        <f>HYPERLINK("https://klasma.github.io/Logging_0136/klagomålsmail/A 1424-2021 FSC-klagomål mail.docx", "A 1424-2021")</f>
        <v/>
      </c>
      <c r="X366">
        <f>HYPERLINK("https://klasma.github.io/Logging_0136/tillsyn/A 1424-2021 tillsynsbegäran.docx", "A 1424-2021")</f>
        <v/>
      </c>
      <c r="Y366">
        <f>HYPERLINK("https://klasma.github.io/Logging_0136/tillsynsmail/A 1424-2021 tillsynsbegäran mail.docx", "A 1424-2021")</f>
        <v/>
      </c>
    </row>
    <row r="367" ht="15" customHeight="1">
      <c r="A367" t="inlineStr">
        <is>
          <t>A 12989-2021</t>
        </is>
      </c>
      <c r="B367" s="1" t="n">
        <v>44271</v>
      </c>
      <c r="C367" s="1" t="n">
        <v>45661</v>
      </c>
      <c r="D367" t="inlineStr">
        <is>
          <t>STOCKHOLMS LÄN</t>
        </is>
      </c>
      <c r="E367" t="inlineStr">
        <is>
          <t>NYNÄSHAMN</t>
        </is>
      </c>
      <c r="F367" t="inlineStr">
        <is>
          <t>Kommuner</t>
        </is>
      </c>
      <c r="G367" t="n">
        <v>6.6</v>
      </c>
      <c r="H367" t="n">
        <v>1</v>
      </c>
      <c r="I367" t="n">
        <v>0</v>
      </c>
      <c r="J367" t="n">
        <v>0</v>
      </c>
      <c r="K367" t="n">
        <v>1</v>
      </c>
      <c r="L367" t="n">
        <v>0</v>
      </c>
      <c r="M367" t="n">
        <v>0</v>
      </c>
      <c r="N367" t="n">
        <v>0</v>
      </c>
      <c r="O367" t="n">
        <v>1</v>
      </c>
      <c r="P367" t="n">
        <v>1</v>
      </c>
      <c r="Q367" t="n">
        <v>1</v>
      </c>
      <c r="R367" s="2" t="inlineStr">
        <is>
          <t>Hasselsnok</t>
        </is>
      </c>
      <c r="S367">
        <f>HYPERLINK("https://klasma.github.io/Logging_0192/artfynd/A 12989-2021 artfynd.xlsx", "A 12989-2021")</f>
        <v/>
      </c>
      <c r="T367">
        <f>HYPERLINK("https://klasma.github.io/Logging_0192/kartor/A 12989-2021 karta.png", "A 12989-2021")</f>
        <v/>
      </c>
      <c r="V367">
        <f>HYPERLINK("https://klasma.github.io/Logging_0192/klagomål/A 12989-2021 FSC-klagomål.docx", "A 12989-2021")</f>
        <v/>
      </c>
      <c r="W367">
        <f>HYPERLINK("https://klasma.github.io/Logging_0192/klagomålsmail/A 12989-2021 FSC-klagomål mail.docx", "A 12989-2021")</f>
        <v/>
      </c>
      <c r="X367">
        <f>HYPERLINK("https://klasma.github.io/Logging_0192/tillsyn/A 12989-2021 tillsynsbegäran.docx", "A 12989-2021")</f>
        <v/>
      </c>
      <c r="Y367">
        <f>HYPERLINK("https://klasma.github.io/Logging_0192/tillsynsmail/A 12989-2021 tillsynsbegäran mail.docx", "A 12989-2021")</f>
        <v/>
      </c>
    </row>
    <row r="368" ht="15" customHeight="1">
      <c r="A368" t="inlineStr">
        <is>
          <t>A 13942-2021</t>
        </is>
      </c>
      <c r="B368" s="1" t="n">
        <v>44277</v>
      </c>
      <c r="C368" s="1" t="n">
        <v>45661</v>
      </c>
      <c r="D368" t="inlineStr">
        <is>
          <t>STOCKHOLMS LÄN</t>
        </is>
      </c>
      <c r="E368" t="inlineStr">
        <is>
          <t>ÖSTERÅKER</t>
        </is>
      </c>
      <c r="G368" t="n">
        <v>5.2</v>
      </c>
      <c r="H368" t="n">
        <v>0</v>
      </c>
      <c r="I368" t="n">
        <v>1</v>
      </c>
      <c r="J368" t="n">
        <v>0</v>
      </c>
      <c r="K368" t="n">
        <v>0</v>
      </c>
      <c r="L368" t="n">
        <v>0</v>
      </c>
      <c r="M368" t="n">
        <v>0</v>
      </c>
      <c r="N368" t="n">
        <v>0</v>
      </c>
      <c r="O368" t="n">
        <v>0</v>
      </c>
      <c r="P368" t="n">
        <v>0</v>
      </c>
      <c r="Q368" t="n">
        <v>1</v>
      </c>
      <c r="R368" s="2" t="inlineStr">
        <is>
          <t>Skogsbräsma</t>
        </is>
      </c>
      <c r="S368">
        <f>HYPERLINK("https://klasma.github.io/Logging_0117/artfynd/A 13942-2021 artfynd.xlsx", "A 13942-2021")</f>
        <v/>
      </c>
      <c r="T368">
        <f>HYPERLINK("https://klasma.github.io/Logging_0117/kartor/A 13942-2021 karta.png", "A 13942-2021")</f>
        <v/>
      </c>
      <c r="V368">
        <f>HYPERLINK("https://klasma.github.io/Logging_0117/klagomål/A 13942-2021 FSC-klagomål.docx", "A 13942-2021")</f>
        <v/>
      </c>
      <c r="W368">
        <f>HYPERLINK("https://klasma.github.io/Logging_0117/klagomålsmail/A 13942-2021 FSC-klagomål mail.docx", "A 13942-2021")</f>
        <v/>
      </c>
      <c r="X368">
        <f>HYPERLINK("https://klasma.github.io/Logging_0117/tillsyn/A 13942-2021 tillsynsbegäran.docx", "A 13942-2021")</f>
        <v/>
      </c>
      <c r="Y368">
        <f>HYPERLINK("https://klasma.github.io/Logging_0117/tillsynsmail/A 13942-2021 tillsynsbegäran mail.docx", "A 13942-2021")</f>
        <v/>
      </c>
    </row>
    <row r="369" ht="15" customHeight="1">
      <c r="A369" t="inlineStr">
        <is>
          <t>A 16461-2021</t>
        </is>
      </c>
      <c r="B369" s="1" t="n">
        <v>44293</v>
      </c>
      <c r="C369" s="1" t="n">
        <v>45661</v>
      </c>
      <c r="D369" t="inlineStr">
        <is>
          <t>STOCKHOLMS LÄN</t>
        </is>
      </c>
      <c r="E369" t="inlineStr">
        <is>
          <t>SIGTUNA</t>
        </is>
      </c>
      <c r="G369" t="n">
        <v>8</v>
      </c>
      <c r="H369" t="n">
        <v>1</v>
      </c>
      <c r="I369" t="n">
        <v>0</v>
      </c>
      <c r="J369" t="n">
        <v>0</v>
      </c>
      <c r="K369" t="n">
        <v>0</v>
      </c>
      <c r="L369" t="n">
        <v>0</v>
      </c>
      <c r="M369" t="n">
        <v>0</v>
      </c>
      <c r="N369" t="n">
        <v>0</v>
      </c>
      <c r="O369" t="n">
        <v>0</v>
      </c>
      <c r="P369" t="n">
        <v>0</v>
      </c>
      <c r="Q369" t="n">
        <v>1</v>
      </c>
      <c r="R369" s="2" t="inlineStr">
        <is>
          <t>Större vattensalamander</t>
        </is>
      </c>
      <c r="S369">
        <f>HYPERLINK("https://klasma.github.io/Logging_0191/artfynd/A 16461-2021 artfynd.xlsx", "A 16461-2021")</f>
        <v/>
      </c>
      <c r="T369">
        <f>HYPERLINK("https://klasma.github.io/Logging_0191/kartor/A 16461-2021 karta.png", "A 16461-2021")</f>
        <v/>
      </c>
      <c r="V369">
        <f>HYPERLINK("https://klasma.github.io/Logging_0191/klagomål/A 16461-2021 FSC-klagomål.docx", "A 16461-2021")</f>
        <v/>
      </c>
      <c r="W369">
        <f>HYPERLINK("https://klasma.github.io/Logging_0191/klagomålsmail/A 16461-2021 FSC-klagomål mail.docx", "A 16461-2021")</f>
        <v/>
      </c>
      <c r="X369">
        <f>HYPERLINK("https://klasma.github.io/Logging_0191/tillsyn/A 16461-2021 tillsynsbegäran.docx", "A 16461-2021")</f>
        <v/>
      </c>
      <c r="Y369">
        <f>HYPERLINK("https://klasma.github.io/Logging_0191/tillsynsmail/A 16461-2021 tillsynsbegäran mail.docx", "A 16461-2021")</f>
        <v/>
      </c>
    </row>
    <row r="370" ht="15" customHeight="1">
      <c r="A370" t="inlineStr">
        <is>
          <t>A 18280-2021</t>
        </is>
      </c>
      <c r="B370" s="1" t="n">
        <v>44298</v>
      </c>
      <c r="C370" s="1" t="n">
        <v>45661</v>
      </c>
      <c r="D370" t="inlineStr">
        <is>
          <t>STOCKHOLMS LÄN</t>
        </is>
      </c>
      <c r="E370" t="inlineStr">
        <is>
          <t>NACKA</t>
        </is>
      </c>
      <c r="G370" t="n">
        <v>4.4</v>
      </c>
      <c r="H370" t="n">
        <v>1</v>
      </c>
      <c r="I370" t="n">
        <v>0</v>
      </c>
      <c r="J370" t="n">
        <v>1</v>
      </c>
      <c r="K370" t="n">
        <v>0</v>
      </c>
      <c r="L370" t="n">
        <v>0</v>
      </c>
      <c r="M370" t="n">
        <v>0</v>
      </c>
      <c r="N370" t="n">
        <v>0</v>
      </c>
      <c r="O370" t="n">
        <v>1</v>
      </c>
      <c r="P370" t="n">
        <v>0</v>
      </c>
      <c r="Q370" t="n">
        <v>1</v>
      </c>
      <c r="R370" s="2" t="inlineStr">
        <is>
          <t>Duvhök</t>
        </is>
      </c>
      <c r="S370">
        <f>HYPERLINK("https://klasma.github.io/Logging_0182/artfynd/A 18280-2021 artfynd.xlsx", "A 18280-2021")</f>
        <v/>
      </c>
      <c r="T370">
        <f>HYPERLINK("https://klasma.github.io/Logging_0182/kartor/A 18280-2021 karta.png", "A 18280-2021")</f>
        <v/>
      </c>
      <c r="V370">
        <f>HYPERLINK("https://klasma.github.io/Logging_0182/klagomål/A 18280-2021 FSC-klagomål.docx", "A 18280-2021")</f>
        <v/>
      </c>
      <c r="W370">
        <f>HYPERLINK("https://klasma.github.io/Logging_0182/klagomålsmail/A 18280-2021 FSC-klagomål mail.docx", "A 18280-2021")</f>
        <v/>
      </c>
      <c r="X370">
        <f>HYPERLINK("https://klasma.github.io/Logging_0182/tillsyn/A 18280-2021 tillsynsbegäran.docx", "A 18280-2021")</f>
        <v/>
      </c>
      <c r="Y370">
        <f>HYPERLINK("https://klasma.github.io/Logging_0182/tillsynsmail/A 18280-2021 tillsynsbegäran mail.docx", "A 18280-2021")</f>
        <v/>
      </c>
      <c r="Z370">
        <f>HYPERLINK("https://klasma.github.io/Logging_0182/fåglar/A 18280-2021 prioriterade fågelarter.docx", "A 18280-2021")</f>
        <v/>
      </c>
    </row>
    <row r="371" ht="15" customHeight="1">
      <c r="A371" t="inlineStr">
        <is>
          <t>A 27757-2021</t>
        </is>
      </c>
      <c r="B371" s="1" t="n">
        <v>44354</v>
      </c>
      <c r="C371" s="1" t="n">
        <v>45661</v>
      </c>
      <c r="D371" t="inlineStr">
        <is>
          <t>STOCKHOLMS LÄN</t>
        </is>
      </c>
      <c r="E371" t="inlineStr">
        <is>
          <t>SÖDERTÄLJE</t>
        </is>
      </c>
      <c r="F371" t="inlineStr">
        <is>
          <t>Sveaskog</t>
        </is>
      </c>
      <c r="G371" t="n">
        <v>1.7</v>
      </c>
      <c r="H371" t="n">
        <v>0</v>
      </c>
      <c r="I371" t="n">
        <v>0</v>
      </c>
      <c r="J371" t="n">
        <v>0</v>
      </c>
      <c r="K371" t="n">
        <v>0</v>
      </c>
      <c r="L371" t="n">
        <v>1</v>
      </c>
      <c r="M371" t="n">
        <v>0</v>
      </c>
      <c r="N371" t="n">
        <v>0</v>
      </c>
      <c r="O371" t="n">
        <v>1</v>
      </c>
      <c r="P371" t="n">
        <v>1</v>
      </c>
      <c r="Q371" t="n">
        <v>1</v>
      </c>
      <c r="R371" s="2" t="inlineStr">
        <is>
          <t>Ryl</t>
        </is>
      </c>
      <c r="S371">
        <f>HYPERLINK("https://klasma.github.io/Logging_0181/artfynd/A 27757-2021 artfynd.xlsx", "A 27757-2021")</f>
        <v/>
      </c>
      <c r="T371">
        <f>HYPERLINK("https://klasma.github.io/Logging_0181/kartor/A 27757-2021 karta.png", "A 27757-2021")</f>
        <v/>
      </c>
      <c r="V371">
        <f>HYPERLINK("https://klasma.github.io/Logging_0181/klagomål/A 27757-2021 FSC-klagomål.docx", "A 27757-2021")</f>
        <v/>
      </c>
      <c r="W371">
        <f>HYPERLINK("https://klasma.github.io/Logging_0181/klagomålsmail/A 27757-2021 FSC-klagomål mail.docx", "A 27757-2021")</f>
        <v/>
      </c>
      <c r="X371">
        <f>HYPERLINK("https://klasma.github.io/Logging_0181/tillsyn/A 27757-2021 tillsynsbegäran.docx", "A 27757-2021")</f>
        <v/>
      </c>
      <c r="Y371">
        <f>HYPERLINK("https://klasma.github.io/Logging_0181/tillsynsmail/A 27757-2021 tillsynsbegäran mail.docx", "A 27757-2021")</f>
        <v/>
      </c>
    </row>
    <row r="372" ht="15" customHeight="1">
      <c r="A372" t="inlineStr">
        <is>
          <t>A 30138-2021</t>
        </is>
      </c>
      <c r="B372" s="1" t="n">
        <v>44363</v>
      </c>
      <c r="C372" s="1" t="n">
        <v>45661</v>
      </c>
      <c r="D372" t="inlineStr">
        <is>
          <t>STOCKHOLMS LÄN</t>
        </is>
      </c>
      <c r="E372" t="inlineStr">
        <is>
          <t>NORRTÄLJE</t>
        </is>
      </c>
      <c r="G372" t="n">
        <v>4.5</v>
      </c>
      <c r="H372" t="n">
        <v>0</v>
      </c>
      <c r="I372" t="n">
        <v>1</v>
      </c>
      <c r="J372" t="n">
        <v>0</v>
      </c>
      <c r="K372" t="n">
        <v>0</v>
      </c>
      <c r="L372" t="n">
        <v>0</v>
      </c>
      <c r="M372" t="n">
        <v>0</v>
      </c>
      <c r="N372" t="n">
        <v>0</v>
      </c>
      <c r="O372" t="n">
        <v>0</v>
      </c>
      <c r="P372" t="n">
        <v>0</v>
      </c>
      <c r="Q372" t="n">
        <v>1</v>
      </c>
      <c r="R372" s="2" t="inlineStr">
        <is>
          <t>Vårärt</t>
        </is>
      </c>
      <c r="S372">
        <f>HYPERLINK("https://klasma.github.io/Logging_0188/artfynd/A 30138-2021 artfynd.xlsx", "A 30138-2021")</f>
        <v/>
      </c>
      <c r="T372">
        <f>HYPERLINK("https://klasma.github.io/Logging_0188/kartor/A 30138-2021 karta.png", "A 30138-2021")</f>
        <v/>
      </c>
      <c r="V372">
        <f>HYPERLINK("https://klasma.github.io/Logging_0188/klagomål/A 30138-2021 FSC-klagomål.docx", "A 30138-2021")</f>
        <v/>
      </c>
      <c r="W372">
        <f>HYPERLINK("https://klasma.github.io/Logging_0188/klagomålsmail/A 30138-2021 FSC-klagomål mail.docx", "A 30138-2021")</f>
        <v/>
      </c>
      <c r="X372">
        <f>HYPERLINK("https://klasma.github.io/Logging_0188/tillsyn/A 30138-2021 tillsynsbegäran.docx", "A 30138-2021")</f>
        <v/>
      </c>
      <c r="Y372">
        <f>HYPERLINK("https://klasma.github.io/Logging_0188/tillsynsmail/A 30138-2021 tillsynsbegäran mail.docx", "A 30138-2021")</f>
        <v/>
      </c>
    </row>
    <row r="373" ht="15" customHeight="1">
      <c r="A373" t="inlineStr">
        <is>
          <t>A 31980-2021</t>
        </is>
      </c>
      <c r="B373" s="1" t="n">
        <v>44370</v>
      </c>
      <c r="C373" s="1" t="n">
        <v>45661</v>
      </c>
      <c r="D373" t="inlineStr">
        <is>
          <t>STOCKHOLMS LÄN</t>
        </is>
      </c>
      <c r="E373" t="inlineStr">
        <is>
          <t>NYNÄSHAMN</t>
        </is>
      </c>
      <c r="G373" t="n">
        <v>3.3</v>
      </c>
      <c r="H373" t="n">
        <v>0</v>
      </c>
      <c r="I373" t="n">
        <v>0</v>
      </c>
      <c r="J373" t="n">
        <v>1</v>
      </c>
      <c r="K373" t="n">
        <v>0</v>
      </c>
      <c r="L373" t="n">
        <v>0</v>
      </c>
      <c r="M373" t="n">
        <v>0</v>
      </c>
      <c r="N373" t="n">
        <v>0</v>
      </c>
      <c r="O373" t="n">
        <v>1</v>
      </c>
      <c r="P373" t="n">
        <v>0</v>
      </c>
      <c r="Q373" t="n">
        <v>1</v>
      </c>
      <c r="R373" s="2" t="inlineStr">
        <is>
          <t>Liten ekkremla</t>
        </is>
      </c>
      <c r="S373">
        <f>HYPERLINK("https://klasma.github.io/Logging_0192/artfynd/A 31980-2021 artfynd.xlsx", "A 31980-2021")</f>
        <v/>
      </c>
      <c r="T373">
        <f>HYPERLINK("https://klasma.github.io/Logging_0192/kartor/A 31980-2021 karta.png", "A 31980-2021")</f>
        <v/>
      </c>
      <c r="V373">
        <f>HYPERLINK("https://klasma.github.io/Logging_0192/klagomål/A 31980-2021 FSC-klagomål.docx", "A 31980-2021")</f>
        <v/>
      </c>
      <c r="W373">
        <f>HYPERLINK("https://klasma.github.io/Logging_0192/klagomålsmail/A 31980-2021 FSC-klagomål mail.docx", "A 31980-2021")</f>
        <v/>
      </c>
      <c r="X373">
        <f>HYPERLINK("https://klasma.github.io/Logging_0192/tillsyn/A 31980-2021 tillsynsbegäran.docx", "A 31980-2021")</f>
        <v/>
      </c>
      <c r="Y373">
        <f>HYPERLINK("https://klasma.github.io/Logging_0192/tillsynsmail/A 31980-2021 tillsynsbegäran mail.docx", "A 31980-2021")</f>
        <v/>
      </c>
    </row>
    <row r="374" ht="15" customHeight="1">
      <c r="A374" t="inlineStr">
        <is>
          <t>A 33302-2021</t>
        </is>
      </c>
      <c r="B374" s="1" t="n">
        <v>44377</v>
      </c>
      <c r="C374" s="1" t="n">
        <v>45661</v>
      </c>
      <c r="D374" t="inlineStr">
        <is>
          <t>STOCKHOLMS LÄN</t>
        </is>
      </c>
      <c r="E374" t="inlineStr">
        <is>
          <t>NORRTÄLJE</t>
        </is>
      </c>
      <c r="G374" t="n">
        <v>12.5</v>
      </c>
      <c r="H374" t="n">
        <v>1</v>
      </c>
      <c r="I374" t="n">
        <v>0</v>
      </c>
      <c r="J374" t="n">
        <v>1</v>
      </c>
      <c r="K374" t="n">
        <v>0</v>
      </c>
      <c r="L374" t="n">
        <v>0</v>
      </c>
      <c r="M374" t="n">
        <v>0</v>
      </c>
      <c r="N374" t="n">
        <v>0</v>
      </c>
      <c r="O374" t="n">
        <v>1</v>
      </c>
      <c r="P374" t="n">
        <v>0</v>
      </c>
      <c r="Q374" t="n">
        <v>1</v>
      </c>
      <c r="R374" s="2" t="inlineStr">
        <is>
          <t>Spillkråka</t>
        </is>
      </c>
      <c r="S374">
        <f>HYPERLINK("https://klasma.github.io/Logging_0188/artfynd/A 33302-2021 artfynd.xlsx", "A 33302-2021")</f>
        <v/>
      </c>
      <c r="T374">
        <f>HYPERLINK("https://klasma.github.io/Logging_0188/kartor/A 33302-2021 karta.png", "A 33302-2021")</f>
        <v/>
      </c>
      <c r="V374">
        <f>HYPERLINK("https://klasma.github.io/Logging_0188/klagomål/A 33302-2021 FSC-klagomål.docx", "A 33302-2021")</f>
        <v/>
      </c>
      <c r="W374">
        <f>HYPERLINK("https://klasma.github.io/Logging_0188/klagomålsmail/A 33302-2021 FSC-klagomål mail.docx", "A 33302-2021")</f>
        <v/>
      </c>
      <c r="X374">
        <f>HYPERLINK("https://klasma.github.io/Logging_0188/tillsyn/A 33302-2021 tillsynsbegäran.docx", "A 33302-2021")</f>
        <v/>
      </c>
      <c r="Y374">
        <f>HYPERLINK("https://klasma.github.io/Logging_0188/tillsynsmail/A 33302-2021 tillsynsbegäran mail.docx", "A 33302-2021")</f>
        <v/>
      </c>
      <c r="Z374">
        <f>HYPERLINK("https://klasma.github.io/Logging_0188/fåglar/A 33302-2021 prioriterade fågelarter.docx", "A 33302-2021")</f>
        <v/>
      </c>
    </row>
    <row r="375" ht="15" customHeight="1">
      <c r="A375" t="inlineStr">
        <is>
          <t>A 37100-2021</t>
        </is>
      </c>
      <c r="B375" s="1" t="n">
        <v>44396</v>
      </c>
      <c r="C375" s="1" t="n">
        <v>45661</v>
      </c>
      <c r="D375" t="inlineStr">
        <is>
          <t>STOCKHOLMS LÄN</t>
        </is>
      </c>
      <c r="E375" t="inlineStr">
        <is>
          <t>NYNÄSHAMN</t>
        </is>
      </c>
      <c r="G375" t="n">
        <v>1.4</v>
      </c>
      <c r="H375" t="n">
        <v>1</v>
      </c>
      <c r="I375" t="n">
        <v>1</v>
      </c>
      <c r="J375" t="n">
        <v>0</v>
      </c>
      <c r="K375" t="n">
        <v>0</v>
      </c>
      <c r="L375" t="n">
        <v>0</v>
      </c>
      <c r="M375" t="n">
        <v>0</v>
      </c>
      <c r="N375" t="n">
        <v>0</v>
      </c>
      <c r="O375" t="n">
        <v>0</v>
      </c>
      <c r="P375" t="n">
        <v>0</v>
      </c>
      <c r="Q375" t="n">
        <v>1</v>
      </c>
      <c r="R375" s="2" t="inlineStr">
        <is>
          <t>Grön sköldmossa</t>
        </is>
      </c>
      <c r="S375">
        <f>HYPERLINK("https://klasma.github.io/Logging_0192/artfynd/A 37100-2021 artfynd.xlsx", "A 37100-2021")</f>
        <v/>
      </c>
      <c r="T375">
        <f>HYPERLINK("https://klasma.github.io/Logging_0192/kartor/A 37100-2021 karta.png", "A 37100-2021")</f>
        <v/>
      </c>
      <c r="V375">
        <f>HYPERLINK("https://klasma.github.io/Logging_0192/klagomål/A 37100-2021 FSC-klagomål.docx", "A 37100-2021")</f>
        <v/>
      </c>
      <c r="W375">
        <f>HYPERLINK("https://klasma.github.io/Logging_0192/klagomålsmail/A 37100-2021 FSC-klagomål mail.docx", "A 37100-2021")</f>
        <v/>
      </c>
      <c r="X375">
        <f>HYPERLINK("https://klasma.github.io/Logging_0192/tillsyn/A 37100-2021 tillsynsbegäran.docx", "A 37100-2021")</f>
        <v/>
      </c>
      <c r="Y375">
        <f>HYPERLINK("https://klasma.github.io/Logging_0192/tillsynsmail/A 37100-2021 tillsynsbegäran mail.docx", "A 37100-2021")</f>
        <v/>
      </c>
    </row>
    <row r="376" ht="15" customHeight="1">
      <c r="A376" t="inlineStr">
        <is>
          <t>A 37678-2021</t>
        </is>
      </c>
      <c r="B376" s="1" t="n">
        <v>44400</v>
      </c>
      <c r="C376" s="1" t="n">
        <v>45661</v>
      </c>
      <c r="D376" t="inlineStr">
        <is>
          <t>STOCKHOLMS LÄN</t>
        </is>
      </c>
      <c r="E376" t="inlineStr">
        <is>
          <t>SÖDERTÄLJE</t>
        </is>
      </c>
      <c r="F376" t="inlineStr">
        <is>
          <t>Sveaskog</t>
        </is>
      </c>
      <c r="G376" t="n">
        <v>0.8</v>
      </c>
      <c r="H376" t="n">
        <v>0</v>
      </c>
      <c r="I376" t="n">
        <v>0</v>
      </c>
      <c r="J376" t="n">
        <v>1</v>
      </c>
      <c r="K376" t="n">
        <v>0</v>
      </c>
      <c r="L376" t="n">
        <v>0</v>
      </c>
      <c r="M376" t="n">
        <v>0</v>
      </c>
      <c r="N376" t="n">
        <v>0</v>
      </c>
      <c r="O376" t="n">
        <v>1</v>
      </c>
      <c r="P376" t="n">
        <v>0</v>
      </c>
      <c r="Q376" t="n">
        <v>1</v>
      </c>
      <c r="R376" s="2" t="inlineStr">
        <is>
          <t>Motaggsvamp</t>
        </is>
      </c>
      <c r="S376">
        <f>HYPERLINK("https://klasma.github.io/Logging_0181/artfynd/A 37678-2021 artfynd.xlsx", "A 37678-2021")</f>
        <v/>
      </c>
      <c r="T376">
        <f>HYPERLINK("https://klasma.github.io/Logging_0181/kartor/A 37678-2021 karta.png", "A 37678-2021")</f>
        <v/>
      </c>
      <c r="V376">
        <f>HYPERLINK("https://klasma.github.io/Logging_0181/klagomål/A 37678-2021 FSC-klagomål.docx", "A 37678-2021")</f>
        <v/>
      </c>
      <c r="W376">
        <f>HYPERLINK("https://klasma.github.io/Logging_0181/klagomålsmail/A 37678-2021 FSC-klagomål mail.docx", "A 37678-2021")</f>
        <v/>
      </c>
      <c r="X376">
        <f>HYPERLINK("https://klasma.github.io/Logging_0181/tillsyn/A 37678-2021 tillsynsbegäran.docx", "A 37678-2021")</f>
        <v/>
      </c>
      <c r="Y376">
        <f>HYPERLINK("https://klasma.github.io/Logging_0181/tillsynsmail/A 37678-2021 tillsynsbegäran mail.docx", "A 37678-2021")</f>
        <v/>
      </c>
    </row>
    <row r="377" ht="15" customHeight="1">
      <c r="A377" t="inlineStr">
        <is>
          <t>A 41934-2021</t>
        </is>
      </c>
      <c r="B377" s="1" t="n">
        <v>44425</v>
      </c>
      <c r="C377" s="1" t="n">
        <v>45661</v>
      </c>
      <c r="D377" t="inlineStr">
        <is>
          <t>STOCKHOLMS LÄN</t>
        </is>
      </c>
      <c r="E377" t="inlineStr">
        <is>
          <t>VALLENTUNA</t>
        </is>
      </c>
      <c r="F377" t="inlineStr">
        <is>
          <t>Övriga Aktiebolag</t>
        </is>
      </c>
      <c r="G377" t="n">
        <v>7.1</v>
      </c>
      <c r="H377" t="n">
        <v>0</v>
      </c>
      <c r="I377" t="n">
        <v>0</v>
      </c>
      <c r="J377" t="n">
        <v>1</v>
      </c>
      <c r="K377" t="n">
        <v>0</v>
      </c>
      <c r="L377" t="n">
        <v>0</v>
      </c>
      <c r="M377" t="n">
        <v>0</v>
      </c>
      <c r="N377" t="n">
        <v>0</v>
      </c>
      <c r="O377" t="n">
        <v>1</v>
      </c>
      <c r="P377" t="n">
        <v>0</v>
      </c>
      <c r="Q377" t="n">
        <v>1</v>
      </c>
      <c r="R377" s="2" t="inlineStr">
        <is>
          <t>Skogsklocka</t>
        </is>
      </c>
      <c r="S377">
        <f>HYPERLINK("https://klasma.github.io/Logging_0115/artfynd/A 41934-2021 artfynd.xlsx", "A 41934-2021")</f>
        <v/>
      </c>
      <c r="T377">
        <f>HYPERLINK("https://klasma.github.io/Logging_0115/kartor/A 41934-2021 karta.png", "A 41934-2021")</f>
        <v/>
      </c>
      <c r="V377">
        <f>HYPERLINK("https://klasma.github.io/Logging_0115/klagomål/A 41934-2021 FSC-klagomål.docx", "A 41934-2021")</f>
        <v/>
      </c>
      <c r="W377">
        <f>HYPERLINK("https://klasma.github.io/Logging_0115/klagomålsmail/A 41934-2021 FSC-klagomål mail.docx", "A 41934-2021")</f>
        <v/>
      </c>
      <c r="X377">
        <f>HYPERLINK("https://klasma.github.io/Logging_0115/tillsyn/A 41934-2021 tillsynsbegäran.docx", "A 41934-2021")</f>
        <v/>
      </c>
      <c r="Y377">
        <f>HYPERLINK("https://klasma.github.io/Logging_0115/tillsynsmail/A 41934-2021 tillsynsbegäran mail.docx", "A 41934-2021")</f>
        <v/>
      </c>
    </row>
    <row r="378" ht="15" customHeight="1">
      <c r="A378" t="inlineStr">
        <is>
          <t>A 42050-2021</t>
        </is>
      </c>
      <c r="B378" s="1" t="n">
        <v>44426</v>
      </c>
      <c r="C378" s="1" t="n">
        <v>45661</v>
      </c>
      <c r="D378" t="inlineStr">
        <is>
          <t>STOCKHOLMS LÄN</t>
        </is>
      </c>
      <c r="E378" t="inlineStr">
        <is>
          <t>NYNÄSHAMN</t>
        </is>
      </c>
      <c r="G378" t="n">
        <v>2</v>
      </c>
      <c r="H378" t="n">
        <v>0</v>
      </c>
      <c r="I378" t="n">
        <v>0</v>
      </c>
      <c r="J378" t="n">
        <v>1</v>
      </c>
      <c r="K378" t="n">
        <v>0</v>
      </c>
      <c r="L378" t="n">
        <v>0</v>
      </c>
      <c r="M378" t="n">
        <v>0</v>
      </c>
      <c r="N378" t="n">
        <v>0</v>
      </c>
      <c r="O378" t="n">
        <v>1</v>
      </c>
      <c r="P378" t="n">
        <v>0</v>
      </c>
      <c r="Q378" t="n">
        <v>1</v>
      </c>
      <c r="R378" s="2" t="inlineStr">
        <is>
          <t>Kandelabersvamp</t>
        </is>
      </c>
      <c r="S378">
        <f>HYPERLINK("https://klasma.github.io/Logging_0192/artfynd/A 42050-2021 artfynd.xlsx", "A 42050-2021")</f>
        <v/>
      </c>
      <c r="T378">
        <f>HYPERLINK("https://klasma.github.io/Logging_0192/kartor/A 42050-2021 karta.png", "A 42050-2021")</f>
        <v/>
      </c>
      <c r="V378">
        <f>HYPERLINK("https://klasma.github.io/Logging_0192/klagomål/A 42050-2021 FSC-klagomål.docx", "A 42050-2021")</f>
        <v/>
      </c>
      <c r="W378">
        <f>HYPERLINK("https://klasma.github.io/Logging_0192/klagomålsmail/A 42050-2021 FSC-klagomål mail.docx", "A 42050-2021")</f>
        <v/>
      </c>
      <c r="X378">
        <f>HYPERLINK("https://klasma.github.io/Logging_0192/tillsyn/A 42050-2021 tillsynsbegäran.docx", "A 42050-2021")</f>
        <v/>
      </c>
      <c r="Y378">
        <f>HYPERLINK("https://klasma.github.io/Logging_0192/tillsynsmail/A 42050-2021 tillsynsbegäran mail.docx", "A 42050-2021")</f>
        <v/>
      </c>
    </row>
    <row r="379" ht="15" customHeight="1">
      <c r="A379" t="inlineStr">
        <is>
          <t>A 55263-2021</t>
        </is>
      </c>
      <c r="B379" s="1" t="n">
        <v>44475</v>
      </c>
      <c r="C379" s="1" t="n">
        <v>45661</v>
      </c>
      <c r="D379" t="inlineStr">
        <is>
          <t>STOCKHOLMS LÄN</t>
        </is>
      </c>
      <c r="E379" t="inlineStr">
        <is>
          <t>SÖDERTÄLJE</t>
        </is>
      </c>
      <c r="G379" t="n">
        <v>2.3</v>
      </c>
      <c r="H379" t="n">
        <v>0</v>
      </c>
      <c r="I379" t="n">
        <v>0</v>
      </c>
      <c r="J379" t="n">
        <v>1</v>
      </c>
      <c r="K379" t="n">
        <v>0</v>
      </c>
      <c r="L379" t="n">
        <v>0</v>
      </c>
      <c r="M379" t="n">
        <v>0</v>
      </c>
      <c r="N379" t="n">
        <v>0</v>
      </c>
      <c r="O379" t="n">
        <v>1</v>
      </c>
      <c r="P379" t="n">
        <v>0</v>
      </c>
      <c r="Q379" t="n">
        <v>1</v>
      </c>
      <c r="R379" s="2" t="inlineStr">
        <is>
          <t>Backklöver</t>
        </is>
      </c>
      <c r="S379">
        <f>HYPERLINK("https://klasma.github.io/Logging_0181/artfynd/A 55263-2021 artfynd.xlsx", "A 55263-2021")</f>
        <v/>
      </c>
      <c r="T379">
        <f>HYPERLINK("https://klasma.github.io/Logging_0181/kartor/A 55263-2021 karta.png", "A 55263-2021")</f>
        <v/>
      </c>
      <c r="V379">
        <f>HYPERLINK("https://klasma.github.io/Logging_0181/klagomål/A 55263-2021 FSC-klagomål.docx", "A 55263-2021")</f>
        <v/>
      </c>
      <c r="W379">
        <f>HYPERLINK("https://klasma.github.io/Logging_0181/klagomålsmail/A 55263-2021 FSC-klagomål mail.docx", "A 55263-2021")</f>
        <v/>
      </c>
      <c r="X379">
        <f>HYPERLINK("https://klasma.github.io/Logging_0181/tillsyn/A 55263-2021 tillsynsbegäran.docx", "A 55263-2021")</f>
        <v/>
      </c>
      <c r="Y379">
        <f>HYPERLINK("https://klasma.github.io/Logging_0181/tillsynsmail/A 55263-2021 tillsynsbegäran mail.docx", "A 55263-2021")</f>
        <v/>
      </c>
    </row>
    <row r="380" ht="15" customHeight="1">
      <c r="A380" t="inlineStr">
        <is>
          <t>A 58888-2021</t>
        </is>
      </c>
      <c r="B380" s="1" t="n">
        <v>44489</v>
      </c>
      <c r="C380" s="1" t="n">
        <v>45661</v>
      </c>
      <c r="D380" t="inlineStr">
        <is>
          <t>STOCKHOLMS LÄN</t>
        </is>
      </c>
      <c r="E380" t="inlineStr">
        <is>
          <t>NORRTÄLJE</t>
        </is>
      </c>
      <c r="F380" t="inlineStr">
        <is>
          <t>Holmen skog AB</t>
        </is>
      </c>
      <c r="G380" t="n">
        <v>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58888-2021 artfynd.xlsx", "A 58888-2021")</f>
        <v/>
      </c>
      <c r="T380">
        <f>HYPERLINK("https://klasma.github.io/Logging_0188/kartor/A 58888-2021 karta.png", "A 58888-2021")</f>
        <v/>
      </c>
      <c r="V380">
        <f>HYPERLINK("https://klasma.github.io/Logging_0188/klagomål/A 58888-2021 FSC-klagomål.docx", "A 58888-2021")</f>
        <v/>
      </c>
      <c r="W380">
        <f>HYPERLINK("https://klasma.github.io/Logging_0188/klagomålsmail/A 58888-2021 FSC-klagomål mail.docx", "A 58888-2021")</f>
        <v/>
      </c>
      <c r="X380">
        <f>HYPERLINK("https://klasma.github.io/Logging_0188/tillsyn/A 58888-2021 tillsynsbegäran.docx", "A 58888-2021")</f>
        <v/>
      </c>
      <c r="Y380">
        <f>HYPERLINK("https://klasma.github.io/Logging_0188/tillsynsmail/A 58888-2021 tillsynsbegäran mail.docx", "A 58888-2021")</f>
        <v/>
      </c>
    </row>
    <row r="381" ht="15" customHeight="1">
      <c r="A381" t="inlineStr">
        <is>
          <t>A 67278-2021</t>
        </is>
      </c>
      <c r="B381" s="1" t="n">
        <v>44523</v>
      </c>
      <c r="C381" s="1" t="n">
        <v>45661</v>
      </c>
      <c r="D381" t="inlineStr">
        <is>
          <t>STOCKHOLMS LÄN</t>
        </is>
      </c>
      <c r="E381" t="inlineStr">
        <is>
          <t>ÖSTERÅKER</t>
        </is>
      </c>
      <c r="F381" t="inlineStr">
        <is>
          <t>Kommuner</t>
        </is>
      </c>
      <c r="G381" t="n">
        <v>3</v>
      </c>
      <c r="H381" t="n">
        <v>0</v>
      </c>
      <c r="I381" t="n">
        <v>0</v>
      </c>
      <c r="J381" t="n">
        <v>1</v>
      </c>
      <c r="K381" t="n">
        <v>0</v>
      </c>
      <c r="L381" t="n">
        <v>0</v>
      </c>
      <c r="M381" t="n">
        <v>0</v>
      </c>
      <c r="N381" t="n">
        <v>0</v>
      </c>
      <c r="O381" t="n">
        <v>1</v>
      </c>
      <c r="P381" t="n">
        <v>0</v>
      </c>
      <c r="Q381" t="n">
        <v>1</v>
      </c>
      <c r="R381" s="2" t="inlineStr">
        <is>
          <t>Veckticka</t>
        </is>
      </c>
      <c r="S381">
        <f>HYPERLINK("https://klasma.github.io/Logging_0117/artfynd/A 67278-2021 artfynd.xlsx", "A 67278-2021")</f>
        <v/>
      </c>
      <c r="T381">
        <f>HYPERLINK("https://klasma.github.io/Logging_0117/kartor/A 67278-2021 karta.png", "A 67278-2021")</f>
        <v/>
      </c>
      <c r="V381">
        <f>HYPERLINK("https://klasma.github.io/Logging_0117/klagomål/A 67278-2021 FSC-klagomål.docx", "A 67278-2021")</f>
        <v/>
      </c>
      <c r="W381">
        <f>HYPERLINK("https://klasma.github.io/Logging_0117/klagomålsmail/A 67278-2021 FSC-klagomål mail.docx", "A 67278-2021")</f>
        <v/>
      </c>
      <c r="X381">
        <f>HYPERLINK("https://klasma.github.io/Logging_0117/tillsyn/A 67278-2021 tillsynsbegäran.docx", "A 67278-2021")</f>
        <v/>
      </c>
      <c r="Y381">
        <f>HYPERLINK("https://klasma.github.io/Logging_0117/tillsynsmail/A 67278-2021 tillsynsbegäran mail.docx", "A 67278-2021")</f>
        <v/>
      </c>
    </row>
    <row r="382" ht="15" customHeight="1">
      <c r="A382" t="inlineStr">
        <is>
          <t>A 68883-2021</t>
        </is>
      </c>
      <c r="B382" s="1" t="n">
        <v>44526</v>
      </c>
      <c r="C382" s="1" t="n">
        <v>45661</v>
      </c>
      <c r="D382" t="inlineStr">
        <is>
          <t>STOCKHOLMS LÄN</t>
        </is>
      </c>
      <c r="E382" t="inlineStr">
        <is>
          <t>HANINGE</t>
        </is>
      </c>
      <c r="G382" t="n">
        <v>2.5</v>
      </c>
      <c r="H382" t="n">
        <v>1</v>
      </c>
      <c r="I382" t="n">
        <v>0</v>
      </c>
      <c r="J382" t="n">
        <v>0</v>
      </c>
      <c r="K382" t="n">
        <v>0</v>
      </c>
      <c r="L382" t="n">
        <v>0</v>
      </c>
      <c r="M382" t="n">
        <v>0</v>
      </c>
      <c r="N382" t="n">
        <v>0</v>
      </c>
      <c r="O382" t="n">
        <v>0</v>
      </c>
      <c r="P382" t="n">
        <v>0</v>
      </c>
      <c r="Q382" t="n">
        <v>1</v>
      </c>
      <c r="R382" s="2" t="inlineStr">
        <is>
          <t>Nattviol</t>
        </is>
      </c>
      <c r="S382">
        <f>HYPERLINK("https://klasma.github.io/Logging_0136/artfynd/A 68883-2021 artfynd.xlsx", "A 68883-2021")</f>
        <v/>
      </c>
      <c r="T382">
        <f>HYPERLINK("https://klasma.github.io/Logging_0136/kartor/A 68883-2021 karta.png", "A 68883-2021")</f>
        <v/>
      </c>
      <c r="V382">
        <f>HYPERLINK("https://klasma.github.io/Logging_0136/klagomål/A 68883-2021 FSC-klagomål.docx", "A 68883-2021")</f>
        <v/>
      </c>
      <c r="W382">
        <f>HYPERLINK("https://klasma.github.io/Logging_0136/klagomålsmail/A 68883-2021 FSC-klagomål mail.docx", "A 68883-2021")</f>
        <v/>
      </c>
      <c r="X382">
        <f>HYPERLINK("https://klasma.github.io/Logging_0136/tillsyn/A 68883-2021 tillsynsbegäran.docx", "A 68883-2021")</f>
        <v/>
      </c>
      <c r="Y382">
        <f>HYPERLINK("https://klasma.github.io/Logging_0136/tillsynsmail/A 68883-2021 tillsynsbegäran mail.docx", "A 68883-2021")</f>
        <v/>
      </c>
    </row>
    <row r="383" ht="15" customHeight="1">
      <c r="A383" t="inlineStr">
        <is>
          <t>A 68692-2021</t>
        </is>
      </c>
      <c r="B383" s="1" t="n">
        <v>44529</v>
      </c>
      <c r="C383" s="1" t="n">
        <v>45661</v>
      </c>
      <c r="D383" t="inlineStr">
        <is>
          <t>STOCKHOLMS LÄN</t>
        </is>
      </c>
      <c r="E383" t="inlineStr">
        <is>
          <t>NORRTÄLJE</t>
        </is>
      </c>
      <c r="F383" t="inlineStr">
        <is>
          <t>Holmen skog AB</t>
        </is>
      </c>
      <c r="G383" t="n">
        <v>0.7</v>
      </c>
      <c r="H383" t="n">
        <v>1</v>
      </c>
      <c r="I383" t="n">
        <v>0</v>
      </c>
      <c r="J383" t="n">
        <v>0</v>
      </c>
      <c r="K383" t="n">
        <v>0</v>
      </c>
      <c r="L383" t="n">
        <v>1</v>
      </c>
      <c r="M383" t="n">
        <v>0</v>
      </c>
      <c r="N383" t="n">
        <v>0</v>
      </c>
      <c r="O383" t="n">
        <v>1</v>
      </c>
      <c r="P383" t="n">
        <v>1</v>
      </c>
      <c r="Q383" t="n">
        <v>1</v>
      </c>
      <c r="R383" s="2" t="inlineStr">
        <is>
          <t>Asknätfjäril</t>
        </is>
      </c>
      <c r="S383">
        <f>HYPERLINK("https://klasma.github.io/Logging_0188/artfynd/A 68692-2021 artfynd.xlsx", "A 68692-2021")</f>
        <v/>
      </c>
      <c r="T383">
        <f>HYPERLINK("https://klasma.github.io/Logging_0188/kartor/A 68692-2021 karta.png", "A 68692-2021")</f>
        <v/>
      </c>
      <c r="V383">
        <f>HYPERLINK("https://klasma.github.io/Logging_0188/klagomål/A 68692-2021 FSC-klagomål.docx", "A 68692-2021")</f>
        <v/>
      </c>
      <c r="W383">
        <f>HYPERLINK("https://klasma.github.io/Logging_0188/klagomålsmail/A 68692-2021 FSC-klagomål mail.docx", "A 68692-2021")</f>
        <v/>
      </c>
      <c r="X383">
        <f>HYPERLINK("https://klasma.github.io/Logging_0188/tillsyn/A 68692-2021 tillsynsbegäran.docx", "A 68692-2021")</f>
        <v/>
      </c>
      <c r="Y383">
        <f>HYPERLINK("https://klasma.github.io/Logging_0188/tillsynsmail/A 68692-2021 tillsynsbegäran mail.docx", "A 68692-2021")</f>
        <v/>
      </c>
    </row>
    <row r="384" ht="15" customHeight="1">
      <c r="A384" t="inlineStr">
        <is>
          <t>A 71315-2021</t>
        </is>
      </c>
      <c r="B384" s="1" t="n">
        <v>44539</v>
      </c>
      <c r="C384" s="1" t="n">
        <v>45661</v>
      </c>
      <c r="D384" t="inlineStr">
        <is>
          <t>STOCKHOLMS LÄN</t>
        </is>
      </c>
      <c r="E384" t="inlineStr">
        <is>
          <t>VÄRMDÖ</t>
        </is>
      </c>
      <c r="F384" t="inlineStr">
        <is>
          <t>Övriga Aktiebolag</t>
        </is>
      </c>
      <c r="G384" t="n">
        <v>5.3</v>
      </c>
      <c r="H384" t="n">
        <v>0</v>
      </c>
      <c r="I384" t="n">
        <v>1</v>
      </c>
      <c r="J384" t="n">
        <v>0</v>
      </c>
      <c r="K384" t="n">
        <v>0</v>
      </c>
      <c r="L384" t="n">
        <v>0</v>
      </c>
      <c r="M384" t="n">
        <v>0</v>
      </c>
      <c r="N384" t="n">
        <v>0</v>
      </c>
      <c r="O384" t="n">
        <v>0</v>
      </c>
      <c r="P384" t="n">
        <v>0</v>
      </c>
      <c r="Q384" t="n">
        <v>1</v>
      </c>
      <c r="R384" s="2" t="inlineStr">
        <is>
          <t>Sårläka</t>
        </is>
      </c>
      <c r="S384">
        <f>HYPERLINK("https://klasma.github.io/Logging_0120/artfynd/A 71315-2021 artfynd.xlsx", "A 71315-2021")</f>
        <v/>
      </c>
      <c r="T384">
        <f>HYPERLINK("https://klasma.github.io/Logging_0120/kartor/A 71315-2021 karta.png", "A 71315-2021")</f>
        <v/>
      </c>
      <c r="V384">
        <f>HYPERLINK("https://klasma.github.io/Logging_0120/klagomål/A 71315-2021 FSC-klagomål.docx", "A 71315-2021")</f>
        <v/>
      </c>
      <c r="W384">
        <f>HYPERLINK("https://klasma.github.io/Logging_0120/klagomålsmail/A 71315-2021 FSC-klagomål mail.docx", "A 71315-2021")</f>
        <v/>
      </c>
      <c r="X384">
        <f>HYPERLINK("https://klasma.github.io/Logging_0120/tillsyn/A 71315-2021 tillsynsbegäran.docx", "A 71315-2021")</f>
        <v/>
      </c>
      <c r="Y384">
        <f>HYPERLINK("https://klasma.github.io/Logging_0120/tillsynsmail/A 71315-2021 tillsynsbegäran mail.docx", "A 71315-2021")</f>
        <v/>
      </c>
    </row>
    <row r="385" ht="15" customHeight="1">
      <c r="A385" t="inlineStr">
        <is>
          <t>A 73773-2021</t>
        </is>
      </c>
      <c r="B385" s="1" t="n">
        <v>44552</v>
      </c>
      <c r="C385" s="1" t="n">
        <v>45661</v>
      </c>
      <c r="D385" t="inlineStr">
        <is>
          <t>STOCKHOLMS LÄN</t>
        </is>
      </c>
      <c r="E385" t="inlineStr">
        <is>
          <t>UPPLANDS-BRO</t>
        </is>
      </c>
      <c r="G385" t="n">
        <v>1.9</v>
      </c>
      <c r="H385" t="n">
        <v>1</v>
      </c>
      <c r="I385" t="n">
        <v>0</v>
      </c>
      <c r="J385" t="n">
        <v>0</v>
      </c>
      <c r="K385" t="n">
        <v>0</v>
      </c>
      <c r="L385" t="n">
        <v>0</v>
      </c>
      <c r="M385" t="n">
        <v>0</v>
      </c>
      <c r="N385" t="n">
        <v>0</v>
      </c>
      <c r="O385" t="n">
        <v>0</v>
      </c>
      <c r="P385" t="n">
        <v>0</v>
      </c>
      <c r="Q385" t="n">
        <v>1</v>
      </c>
      <c r="R385" s="2" t="inlineStr">
        <is>
          <t>Kopparödla</t>
        </is>
      </c>
      <c r="S385">
        <f>HYPERLINK("https://klasma.github.io/Logging_0139/artfynd/A 73773-2021 artfynd.xlsx", "A 73773-2021")</f>
        <v/>
      </c>
      <c r="T385">
        <f>HYPERLINK("https://klasma.github.io/Logging_0139/kartor/A 73773-2021 karta.png", "A 73773-2021")</f>
        <v/>
      </c>
      <c r="V385">
        <f>HYPERLINK("https://klasma.github.io/Logging_0139/klagomål/A 73773-2021 FSC-klagomål.docx", "A 73773-2021")</f>
        <v/>
      </c>
      <c r="W385">
        <f>HYPERLINK("https://klasma.github.io/Logging_0139/klagomålsmail/A 73773-2021 FSC-klagomål mail.docx", "A 73773-2021")</f>
        <v/>
      </c>
      <c r="X385">
        <f>HYPERLINK("https://klasma.github.io/Logging_0139/tillsyn/A 73773-2021 tillsynsbegäran.docx", "A 73773-2021")</f>
        <v/>
      </c>
      <c r="Y385">
        <f>HYPERLINK("https://klasma.github.io/Logging_0139/tillsynsmail/A 73773-2021 tillsynsbegäran mail.docx", "A 73773-2021")</f>
        <v/>
      </c>
    </row>
    <row r="386" ht="15" customHeight="1">
      <c r="A386" t="inlineStr">
        <is>
          <t>A 73787-2021</t>
        </is>
      </c>
      <c r="B386" s="1" t="n">
        <v>44552</v>
      </c>
      <c r="C386" s="1" t="n">
        <v>45661</v>
      </c>
      <c r="D386" t="inlineStr">
        <is>
          <t>STOCKHOLMS LÄN</t>
        </is>
      </c>
      <c r="E386" t="inlineStr">
        <is>
          <t>UPPLANDS-BRO</t>
        </is>
      </c>
      <c r="G386" t="n">
        <v>4.6</v>
      </c>
      <c r="H386" t="n">
        <v>0</v>
      </c>
      <c r="I386" t="n">
        <v>0</v>
      </c>
      <c r="J386" t="n">
        <v>1</v>
      </c>
      <c r="K386" t="n">
        <v>0</v>
      </c>
      <c r="L386" t="n">
        <v>0</v>
      </c>
      <c r="M386" t="n">
        <v>0</v>
      </c>
      <c r="N386" t="n">
        <v>0</v>
      </c>
      <c r="O386" t="n">
        <v>1</v>
      </c>
      <c r="P386" t="n">
        <v>0</v>
      </c>
      <c r="Q386" t="n">
        <v>1</v>
      </c>
      <c r="R386" s="2" t="inlineStr">
        <is>
          <t>Dofttaggsvamp</t>
        </is>
      </c>
      <c r="S386">
        <f>HYPERLINK("https://klasma.github.io/Logging_0139/artfynd/A 73787-2021 artfynd.xlsx", "A 73787-2021")</f>
        <v/>
      </c>
      <c r="T386">
        <f>HYPERLINK("https://klasma.github.io/Logging_0139/kartor/A 73787-2021 karta.png", "A 73787-2021")</f>
        <v/>
      </c>
      <c r="V386">
        <f>HYPERLINK("https://klasma.github.io/Logging_0139/klagomål/A 73787-2021 FSC-klagomål.docx", "A 73787-2021")</f>
        <v/>
      </c>
      <c r="W386">
        <f>HYPERLINK("https://klasma.github.io/Logging_0139/klagomålsmail/A 73787-2021 FSC-klagomål mail.docx", "A 73787-2021")</f>
        <v/>
      </c>
      <c r="X386">
        <f>HYPERLINK("https://klasma.github.io/Logging_0139/tillsyn/A 73787-2021 tillsynsbegäran.docx", "A 73787-2021")</f>
        <v/>
      </c>
      <c r="Y386">
        <f>HYPERLINK("https://klasma.github.io/Logging_0139/tillsynsmail/A 73787-2021 tillsynsbegäran mail.docx", "A 73787-2021")</f>
        <v/>
      </c>
    </row>
    <row r="387" ht="15" customHeight="1">
      <c r="A387" t="inlineStr">
        <is>
          <t>A 131-2022</t>
        </is>
      </c>
      <c r="B387" s="1" t="n">
        <v>44560</v>
      </c>
      <c r="C387" s="1" t="n">
        <v>45661</v>
      </c>
      <c r="D387" t="inlineStr">
        <is>
          <t>STOCKHOLMS LÄN</t>
        </is>
      </c>
      <c r="E387" t="inlineStr">
        <is>
          <t>VALLENTUNA</t>
        </is>
      </c>
      <c r="F387" t="inlineStr">
        <is>
          <t>Övriga Aktiebolag</t>
        </is>
      </c>
      <c r="G387" t="n">
        <v>4.6</v>
      </c>
      <c r="H387" t="n">
        <v>0</v>
      </c>
      <c r="I387" t="n">
        <v>1</v>
      </c>
      <c r="J387" t="n">
        <v>0</v>
      </c>
      <c r="K387" t="n">
        <v>0</v>
      </c>
      <c r="L387" t="n">
        <v>0</v>
      </c>
      <c r="M387" t="n">
        <v>0</v>
      </c>
      <c r="N387" t="n">
        <v>0</v>
      </c>
      <c r="O387" t="n">
        <v>0</v>
      </c>
      <c r="P387" t="n">
        <v>0</v>
      </c>
      <c r="Q387" t="n">
        <v>1</v>
      </c>
      <c r="R387" s="2" t="inlineStr">
        <is>
          <t>Tjockfotad fingersvamp</t>
        </is>
      </c>
      <c r="S387">
        <f>HYPERLINK("https://klasma.github.io/Logging_0115/artfynd/A 131-2022 artfynd.xlsx", "A 131-2022")</f>
        <v/>
      </c>
      <c r="T387">
        <f>HYPERLINK("https://klasma.github.io/Logging_0115/kartor/A 131-2022 karta.png", "A 131-2022")</f>
        <v/>
      </c>
      <c r="V387">
        <f>HYPERLINK("https://klasma.github.io/Logging_0115/klagomål/A 131-2022 FSC-klagomål.docx", "A 131-2022")</f>
        <v/>
      </c>
      <c r="W387">
        <f>HYPERLINK("https://klasma.github.io/Logging_0115/klagomålsmail/A 131-2022 FSC-klagomål mail.docx", "A 131-2022")</f>
        <v/>
      </c>
      <c r="X387">
        <f>HYPERLINK("https://klasma.github.io/Logging_0115/tillsyn/A 131-2022 tillsynsbegäran.docx", "A 131-2022")</f>
        <v/>
      </c>
      <c r="Y387">
        <f>HYPERLINK("https://klasma.github.io/Logging_0115/tillsynsmail/A 131-2022 tillsynsbegäran mail.docx", "A 131-2022")</f>
        <v/>
      </c>
    </row>
    <row r="388" ht="15" customHeight="1">
      <c r="A388" t="inlineStr">
        <is>
          <t>A 21-2022</t>
        </is>
      </c>
      <c r="B388" s="1" t="n">
        <v>44560</v>
      </c>
      <c r="C388" s="1" t="n">
        <v>45661</v>
      </c>
      <c r="D388" t="inlineStr">
        <is>
          <t>STOCKHOLMS LÄN</t>
        </is>
      </c>
      <c r="E388" t="inlineStr">
        <is>
          <t>VALLENTUNA</t>
        </is>
      </c>
      <c r="F388" t="inlineStr">
        <is>
          <t>Övriga Aktiebolag</t>
        </is>
      </c>
      <c r="G388" t="n">
        <v>3.5</v>
      </c>
      <c r="H388" t="n">
        <v>1</v>
      </c>
      <c r="I388" t="n">
        <v>0</v>
      </c>
      <c r="J388" t="n">
        <v>0</v>
      </c>
      <c r="K388" t="n">
        <v>0</v>
      </c>
      <c r="L388" t="n">
        <v>0</v>
      </c>
      <c r="M388" t="n">
        <v>0</v>
      </c>
      <c r="N388" t="n">
        <v>0</v>
      </c>
      <c r="O388" t="n">
        <v>0</v>
      </c>
      <c r="P388" t="n">
        <v>0</v>
      </c>
      <c r="Q388" t="n">
        <v>1</v>
      </c>
      <c r="R388" s="2" t="inlineStr">
        <is>
          <t>Nattviol</t>
        </is>
      </c>
      <c r="S388">
        <f>HYPERLINK("https://klasma.github.io/Logging_0115/artfynd/A 21-2022 artfynd.xlsx", "A 21-2022")</f>
        <v/>
      </c>
      <c r="T388">
        <f>HYPERLINK("https://klasma.github.io/Logging_0115/kartor/A 21-2022 karta.png", "A 21-2022")</f>
        <v/>
      </c>
      <c r="V388">
        <f>HYPERLINK("https://klasma.github.io/Logging_0115/klagomål/A 21-2022 FSC-klagomål.docx", "A 21-2022")</f>
        <v/>
      </c>
      <c r="W388">
        <f>HYPERLINK("https://klasma.github.io/Logging_0115/klagomålsmail/A 21-2022 FSC-klagomål mail.docx", "A 21-2022")</f>
        <v/>
      </c>
      <c r="X388">
        <f>HYPERLINK("https://klasma.github.io/Logging_0115/tillsyn/A 21-2022 tillsynsbegäran.docx", "A 21-2022")</f>
        <v/>
      </c>
      <c r="Y388">
        <f>HYPERLINK("https://klasma.github.io/Logging_0115/tillsynsmail/A 21-2022 tillsynsbegäran mail.docx", "A 21-2022")</f>
        <v/>
      </c>
    </row>
    <row r="389" ht="15" customHeight="1">
      <c r="A389" t="inlineStr">
        <is>
          <t>A 188-2022</t>
        </is>
      </c>
      <c r="B389" s="1" t="n">
        <v>44564</v>
      </c>
      <c r="C389" s="1" t="n">
        <v>45661</v>
      </c>
      <c r="D389" t="inlineStr">
        <is>
          <t>STOCKHOLMS LÄN</t>
        </is>
      </c>
      <c r="E389" t="inlineStr">
        <is>
          <t>NORRTÄLJE</t>
        </is>
      </c>
      <c r="G389" t="n">
        <v>4.1</v>
      </c>
      <c r="H389" t="n">
        <v>0</v>
      </c>
      <c r="I389" t="n">
        <v>1</v>
      </c>
      <c r="J389" t="n">
        <v>0</v>
      </c>
      <c r="K389" t="n">
        <v>0</v>
      </c>
      <c r="L389" t="n">
        <v>0</v>
      </c>
      <c r="M389" t="n">
        <v>0</v>
      </c>
      <c r="N389" t="n">
        <v>0</v>
      </c>
      <c r="O389" t="n">
        <v>0</v>
      </c>
      <c r="P389" t="n">
        <v>0</v>
      </c>
      <c r="Q389" t="n">
        <v>1</v>
      </c>
      <c r="R389" s="2" t="inlineStr">
        <is>
          <t>Svart trolldruva</t>
        </is>
      </c>
      <c r="S389">
        <f>HYPERLINK("https://klasma.github.io/Logging_0188/artfynd/A 188-2022 artfynd.xlsx", "A 188-2022")</f>
        <v/>
      </c>
      <c r="T389">
        <f>HYPERLINK("https://klasma.github.io/Logging_0188/kartor/A 188-2022 karta.png", "A 188-2022")</f>
        <v/>
      </c>
      <c r="V389">
        <f>HYPERLINK("https://klasma.github.io/Logging_0188/klagomål/A 188-2022 FSC-klagomål.docx", "A 188-2022")</f>
        <v/>
      </c>
      <c r="W389">
        <f>HYPERLINK("https://klasma.github.io/Logging_0188/klagomålsmail/A 188-2022 FSC-klagomål mail.docx", "A 188-2022")</f>
        <v/>
      </c>
      <c r="X389">
        <f>HYPERLINK("https://klasma.github.io/Logging_0188/tillsyn/A 188-2022 tillsynsbegäran.docx", "A 188-2022")</f>
        <v/>
      </c>
      <c r="Y389">
        <f>HYPERLINK("https://klasma.github.io/Logging_0188/tillsynsmail/A 188-2022 tillsynsbegäran mail.docx", "A 188-2022")</f>
        <v/>
      </c>
    </row>
    <row r="390" ht="15" customHeight="1">
      <c r="A390" t="inlineStr">
        <is>
          <t>A 1547-2022</t>
        </is>
      </c>
      <c r="B390" s="1" t="n">
        <v>44573</v>
      </c>
      <c r="C390" s="1" t="n">
        <v>45661</v>
      </c>
      <c r="D390" t="inlineStr">
        <is>
          <t>STOCKHOLMS LÄN</t>
        </is>
      </c>
      <c r="E390" t="inlineStr">
        <is>
          <t>NORRTÄLJE</t>
        </is>
      </c>
      <c r="G390" t="n">
        <v>1.8</v>
      </c>
      <c r="H390" t="n">
        <v>1</v>
      </c>
      <c r="I390" t="n">
        <v>0</v>
      </c>
      <c r="J390" t="n">
        <v>0</v>
      </c>
      <c r="K390" t="n">
        <v>1</v>
      </c>
      <c r="L390" t="n">
        <v>0</v>
      </c>
      <c r="M390" t="n">
        <v>0</v>
      </c>
      <c r="N390" t="n">
        <v>0</v>
      </c>
      <c r="O390" t="n">
        <v>1</v>
      </c>
      <c r="P390" t="n">
        <v>1</v>
      </c>
      <c r="Q390" t="n">
        <v>1</v>
      </c>
      <c r="R390" s="2" t="inlineStr">
        <is>
          <t>Hällebräcka</t>
        </is>
      </c>
      <c r="S390">
        <f>HYPERLINK("https://klasma.github.io/Logging_0188/artfynd/A 1547-2022 artfynd.xlsx", "A 1547-2022")</f>
        <v/>
      </c>
      <c r="T390">
        <f>HYPERLINK("https://klasma.github.io/Logging_0188/kartor/A 1547-2022 karta.png", "A 1547-2022")</f>
        <v/>
      </c>
      <c r="V390">
        <f>HYPERLINK("https://klasma.github.io/Logging_0188/klagomål/A 1547-2022 FSC-klagomål.docx", "A 1547-2022")</f>
        <v/>
      </c>
      <c r="W390">
        <f>HYPERLINK("https://klasma.github.io/Logging_0188/klagomålsmail/A 1547-2022 FSC-klagomål mail.docx", "A 1547-2022")</f>
        <v/>
      </c>
      <c r="X390">
        <f>HYPERLINK("https://klasma.github.io/Logging_0188/tillsyn/A 1547-2022 tillsynsbegäran.docx", "A 1547-2022")</f>
        <v/>
      </c>
      <c r="Y390">
        <f>HYPERLINK("https://klasma.github.io/Logging_0188/tillsynsmail/A 1547-2022 tillsynsbegäran mail.docx", "A 1547-2022")</f>
        <v/>
      </c>
    </row>
    <row r="391" ht="15" customHeight="1">
      <c r="A391" t="inlineStr">
        <is>
          <t>A 1946-2022</t>
        </is>
      </c>
      <c r="B391" s="1" t="n">
        <v>44575</v>
      </c>
      <c r="C391" s="1" t="n">
        <v>45661</v>
      </c>
      <c r="D391" t="inlineStr">
        <is>
          <t>STOCKHOLMS LÄN</t>
        </is>
      </c>
      <c r="E391" t="inlineStr">
        <is>
          <t>SÖDERTÄLJE</t>
        </is>
      </c>
      <c r="G391" t="n">
        <v>6.7</v>
      </c>
      <c r="H391" t="n">
        <v>1</v>
      </c>
      <c r="I391" t="n">
        <v>0</v>
      </c>
      <c r="J391" t="n">
        <v>0</v>
      </c>
      <c r="K391" t="n">
        <v>0</v>
      </c>
      <c r="L391" t="n">
        <v>0</v>
      </c>
      <c r="M391" t="n">
        <v>0</v>
      </c>
      <c r="N391" t="n">
        <v>0</v>
      </c>
      <c r="O391" t="n">
        <v>0</v>
      </c>
      <c r="P391" t="n">
        <v>0</v>
      </c>
      <c r="Q391" t="n">
        <v>1</v>
      </c>
      <c r="R391" s="2" t="inlineStr">
        <is>
          <t>Större vattensalamander</t>
        </is>
      </c>
      <c r="S391">
        <f>HYPERLINK("https://klasma.github.io/Logging_0181/artfynd/A 1946-2022 artfynd.xlsx", "A 1946-2022")</f>
        <v/>
      </c>
      <c r="T391">
        <f>HYPERLINK("https://klasma.github.io/Logging_0181/kartor/A 1946-2022 karta.png", "A 1946-2022")</f>
        <v/>
      </c>
      <c r="V391">
        <f>HYPERLINK("https://klasma.github.io/Logging_0181/klagomål/A 1946-2022 FSC-klagomål.docx", "A 1946-2022")</f>
        <v/>
      </c>
      <c r="W391">
        <f>HYPERLINK("https://klasma.github.io/Logging_0181/klagomålsmail/A 1946-2022 FSC-klagomål mail.docx", "A 1946-2022")</f>
        <v/>
      </c>
      <c r="X391">
        <f>HYPERLINK("https://klasma.github.io/Logging_0181/tillsyn/A 1946-2022 tillsynsbegäran.docx", "A 1946-2022")</f>
        <v/>
      </c>
      <c r="Y391">
        <f>HYPERLINK("https://klasma.github.io/Logging_0181/tillsynsmail/A 1946-2022 tillsynsbegäran mail.docx", "A 1946-2022")</f>
        <v/>
      </c>
    </row>
    <row r="392" ht="15" customHeight="1">
      <c r="A392" t="inlineStr">
        <is>
          <t>A 2722-2022</t>
        </is>
      </c>
      <c r="B392" s="1" t="n">
        <v>44580</v>
      </c>
      <c r="C392" s="1" t="n">
        <v>45661</v>
      </c>
      <c r="D392" t="inlineStr">
        <is>
          <t>STOCKHOLMS LÄN</t>
        </is>
      </c>
      <c r="E392" t="inlineStr">
        <is>
          <t>HANINGE</t>
        </is>
      </c>
      <c r="G392" t="n">
        <v>1.5</v>
      </c>
      <c r="H392" t="n">
        <v>1</v>
      </c>
      <c r="I392" t="n">
        <v>1</v>
      </c>
      <c r="J392" t="n">
        <v>0</v>
      </c>
      <c r="K392" t="n">
        <v>0</v>
      </c>
      <c r="L392" t="n">
        <v>0</v>
      </c>
      <c r="M392" t="n">
        <v>0</v>
      </c>
      <c r="N392" t="n">
        <v>0</v>
      </c>
      <c r="O392" t="n">
        <v>0</v>
      </c>
      <c r="P392" t="n">
        <v>0</v>
      </c>
      <c r="Q392" t="n">
        <v>1</v>
      </c>
      <c r="R392" s="2" t="inlineStr">
        <is>
          <t>Grön sköldmossa</t>
        </is>
      </c>
      <c r="S392">
        <f>HYPERLINK("https://klasma.github.io/Logging_0136/artfynd/A 2722-2022 artfynd.xlsx", "A 2722-2022")</f>
        <v/>
      </c>
      <c r="T392">
        <f>HYPERLINK("https://klasma.github.io/Logging_0136/kartor/A 2722-2022 karta.png", "A 2722-2022")</f>
        <v/>
      </c>
      <c r="V392">
        <f>HYPERLINK("https://klasma.github.io/Logging_0136/klagomål/A 2722-2022 FSC-klagomål.docx", "A 2722-2022")</f>
        <v/>
      </c>
      <c r="W392">
        <f>HYPERLINK("https://klasma.github.io/Logging_0136/klagomålsmail/A 2722-2022 FSC-klagomål mail.docx", "A 2722-2022")</f>
        <v/>
      </c>
      <c r="X392">
        <f>HYPERLINK("https://klasma.github.io/Logging_0136/tillsyn/A 2722-2022 tillsynsbegäran.docx", "A 2722-2022")</f>
        <v/>
      </c>
      <c r="Y392">
        <f>HYPERLINK("https://klasma.github.io/Logging_0136/tillsynsmail/A 2722-2022 tillsynsbegäran mail.docx", "A 2722-2022")</f>
        <v/>
      </c>
    </row>
    <row r="393" ht="15" customHeight="1">
      <c r="A393" t="inlineStr">
        <is>
          <t>A 3218-2022</t>
        </is>
      </c>
      <c r="B393" s="1" t="n">
        <v>44582</v>
      </c>
      <c r="C393" s="1" t="n">
        <v>45661</v>
      </c>
      <c r="D393" t="inlineStr">
        <is>
          <t>STOCKHOLMS LÄN</t>
        </is>
      </c>
      <c r="E393" t="inlineStr">
        <is>
          <t>EKERÖ</t>
        </is>
      </c>
      <c r="G393" t="n">
        <v>1.2</v>
      </c>
      <c r="H393" t="n">
        <v>0</v>
      </c>
      <c r="I393" t="n">
        <v>0</v>
      </c>
      <c r="J393" t="n">
        <v>0</v>
      </c>
      <c r="K393" t="n">
        <v>1</v>
      </c>
      <c r="L393" t="n">
        <v>0</v>
      </c>
      <c r="M393" t="n">
        <v>0</v>
      </c>
      <c r="N393" t="n">
        <v>0</v>
      </c>
      <c r="O393" t="n">
        <v>1</v>
      </c>
      <c r="P393" t="n">
        <v>1</v>
      </c>
      <c r="Q393" t="n">
        <v>1</v>
      </c>
      <c r="R393" s="2" t="inlineStr">
        <is>
          <t>Gul lammticka</t>
        </is>
      </c>
      <c r="S393">
        <f>HYPERLINK("https://klasma.github.io/Logging_0125/artfynd/A 3218-2022 artfynd.xlsx", "A 3218-2022")</f>
        <v/>
      </c>
      <c r="T393">
        <f>HYPERLINK("https://klasma.github.io/Logging_0125/kartor/A 3218-2022 karta.png", "A 3218-2022")</f>
        <v/>
      </c>
      <c r="V393">
        <f>HYPERLINK("https://klasma.github.io/Logging_0125/klagomål/A 3218-2022 FSC-klagomål.docx", "A 3218-2022")</f>
        <v/>
      </c>
      <c r="W393">
        <f>HYPERLINK("https://klasma.github.io/Logging_0125/klagomålsmail/A 3218-2022 FSC-klagomål mail.docx", "A 3218-2022")</f>
        <v/>
      </c>
      <c r="X393">
        <f>HYPERLINK("https://klasma.github.io/Logging_0125/tillsyn/A 3218-2022 tillsynsbegäran.docx", "A 3218-2022")</f>
        <v/>
      </c>
      <c r="Y393">
        <f>HYPERLINK("https://klasma.github.io/Logging_0125/tillsynsmail/A 3218-2022 tillsynsbegäran mail.docx", "A 3218-2022")</f>
        <v/>
      </c>
    </row>
    <row r="394" ht="15" customHeight="1">
      <c r="A394" t="inlineStr">
        <is>
          <t>A 7172-2022</t>
        </is>
      </c>
      <c r="B394" s="1" t="n">
        <v>44604</v>
      </c>
      <c r="C394" s="1" t="n">
        <v>45661</v>
      </c>
      <c r="D394" t="inlineStr">
        <is>
          <t>STOCKHOLMS LÄN</t>
        </is>
      </c>
      <c r="E394" t="inlineStr">
        <is>
          <t>NORRTÄLJE</t>
        </is>
      </c>
      <c r="G394" t="n">
        <v>4.8</v>
      </c>
      <c r="H394" t="n">
        <v>0</v>
      </c>
      <c r="I394" t="n">
        <v>1</v>
      </c>
      <c r="J394" t="n">
        <v>0</v>
      </c>
      <c r="K394" t="n">
        <v>0</v>
      </c>
      <c r="L394" t="n">
        <v>0</v>
      </c>
      <c r="M394" t="n">
        <v>0</v>
      </c>
      <c r="N394" t="n">
        <v>0</v>
      </c>
      <c r="O394" t="n">
        <v>0</v>
      </c>
      <c r="P394" t="n">
        <v>0</v>
      </c>
      <c r="Q394" t="n">
        <v>1</v>
      </c>
      <c r="R394" s="2" t="inlineStr">
        <is>
          <t>Trådticka</t>
        </is>
      </c>
      <c r="S394">
        <f>HYPERLINK("https://klasma.github.io/Logging_0188/artfynd/A 7172-2022 artfynd.xlsx", "A 7172-2022")</f>
        <v/>
      </c>
      <c r="T394">
        <f>HYPERLINK("https://klasma.github.io/Logging_0188/kartor/A 7172-2022 karta.png", "A 7172-2022")</f>
        <v/>
      </c>
      <c r="U394">
        <f>HYPERLINK("https://klasma.github.io/Logging_0188/knärot/A 7172-2022 karta knärot.png", "A 7172-2022")</f>
        <v/>
      </c>
      <c r="V394">
        <f>HYPERLINK("https://klasma.github.io/Logging_0188/klagomål/A 7172-2022 FSC-klagomål.docx", "A 7172-2022")</f>
        <v/>
      </c>
      <c r="W394">
        <f>HYPERLINK("https://klasma.github.io/Logging_0188/klagomålsmail/A 7172-2022 FSC-klagomål mail.docx", "A 7172-2022")</f>
        <v/>
      </c>
      <c r="X394">
        <f>HYPERLINK("https://klasma.github.io/Logging_0188/tillsyn/A 7172-2022 tillsynsbegäran.docx", "A 7172-2022")</f>
        <v/>
      </c>
      <c r="Y394">
        <f>HYPERLINK("https://klasma.github.io/Logging_0188/tillsynsmail/A 7172-2022 tillsynsbegäran mail.docx", "A 7172-2022")</f>
        <v/>
      </c>
    </row>
    <row r="395" ht="15" customHeight="1">
      <c r="A395" t="inlineStr">
        <is>
          <t>A 7285-2022</t>
        </is>
      </c>
      <c r="B395" s="1" t="n">
        <v>44606</v>
      </c>
      <c r="C395" s="1" t="n">
        <v>45661</v>
      </c>
      <c r="D395" t="inlineStr">
        <is>
          <t>STOCKHOLMS LÄN</t>
        </is>
      </c>
      <c r="E395" t="inlineStr">
        <is>
          <t>UPPLANDS-BRO</t>
        </is>
      </c>
      <c r="F395" t="inlineStr">
        <is>
          <t>Övriga statliga verk och myndigheter</t>
        </is>
      </c>
      <c r="G395" t="n">
        <v>22.6</v>
      </c>
      <c r="H395" t="n">
        <v>0</v>
      </c>
      <c r="I395" t="n">
        <v>0</v>
      </c>
      <c r="J395" t="n">
        <v>0</v>
      </c>
      <c r="K395" t="n">
        <v>1</v>
      </c>
      <c r="L395" t="n">
        <v>0</v>
      </c>
      <c r="M395" t="n">
        <v>0</v>
      </c>
      <c r="N395" t="n">
        <v>0</v>
      </c>
      <c r="O395" t="n">
        <v>1</v>
      </c>
      <c r="P395" t="n">
        <v>1</v>
      </c>
      <c r="Q395" t="n">
        <v>1</v>
      </c>
      <c r="R395" s="2" t="inlineStr">
        <is>
          <t>Koppartaggsvamp</t>
        </is>
      </c>
      <c r="S395">
        <f>HYPERLINK("https://klasma.github.io/Logging_0139/artfynd/A 7285-2022 artfynd.xlsx", "A 7285-2022")</f>
        <v/>
      </c>
      <c r="T395">
        <f>HYPERLINK("https://klasma.github.io/Logging_0139/kartor/A 7285-2022 karta.png", "A 7285-2022")</f>
        <v/>
      </c>
      <c r="V395">
        <f>HYPERLINK("https://klasma.github.io/Logging_0139/klagomål/A 7285-2022 FSC-klagomål.docx", "A 7285-2022")</f>
        <v/>
      </c>
      <c r="W395">
        <f>HYPERLINK("https://klasma.github.io/Logging_0139/klagomålsmail/A 7285-2022 FSC-klagomål mail.docx", "A 7285-2022")</f>
        <v/>
      </c>
      <c r="X395">
        <f>HYPERLINK("https://klasma.github.io/Logging_0139/tillsyn/A 7285-2022 tillsynsbegäran.docx", "A 7285-2022")</f>
        <v/>
      </c>
      <c r="Y395">
        <f>HYPERLINK("https://klasma.github.io/Logging_0139/tillsynsmail/A 7285-2022 tillsynsbegäran mail.docx", "A 7285-2022")</f>
        <v/>
      </c>
    </row>
    <row r="396" ht="15" customHeight="1">
      <c r="A396" t="inlineStr">
        <is>
          <t>A 8285-2022</t>
        </is>
      </c>
      <c r="B396" s="1" t="n">
        <v>44610</v>
      </c>
      <c r="C396" s="1" t="n">
        <v>45661</v>
      </c>
      <c r="D396" t="inlineStr">
        <is>
          <t>STOCKHOLMS LÄN</t>
        </is>
      </c>
      <c r="E396" t="inlineStr">
        <is>
          <t>NYKVARN</t>
        </is>
      </c>
      <c r="G396" t="n">
        <v>5</v>
      </c>
      <c r="H396" t="n">
        <v>1</v>
      </c>
      <c r="I396" t="n">
        <v>0</v>
      </c>
      <c r="J396" t="n">
        <v>0</v>
      </c>
      <c r="K396" t="n">
        <v>0</v>
      </c>
      <c r="L396" t="n">
        <v>0</v>
      </c>
      <c r="M396" t="n">
        <v>0</v>
      </c>
      <c r="N396" t="n">
        <v>0</v>
      </c>
      <c r="O396" t="n">
        <v>0</v>
      </c>
      <c r="P396" t="n">
        <v>0</v>
      </c>
      <c r="Q396" t="n">
        <v>1</v>
      </c>
      <c r="R396" s="2" t="inlineStr">
        <is>
          <t>Blåsippa</t>
        </is>
      </c>
      <c r="S396">
        <f>HYPERLINK("https://klasma.github.io/Logging_0140/artfynd/A 8285-2022 artfynd.xlsx", "A 8285-2022")</f>
        <v/>
      </c>
      <c r="T396">
        <f>HYPERLINK("https://klasma.github.io/Logging_0140/kartor/A 8285-2022 karta.png", "A 8285-2022")</f>
        <v/>
      </c>
      <c r="V396">
        <f>HYPERLINK("https://klasma.github.io/Logging_0140/klagomål/A 8285-2022 FSC-klagomål.docx", "A 8285-2022")</f>
        <v/>
      </c>
      <c r="W396">
        <f>HYPERLINK("https://klasma.github.io/Logging_0140/klagomålsmail/A 8285-2022 FSC-klagomål mail.docx", "A 8285-2022")</f>
        <v/>
      </c>
      <c r="X396">
        <f>HYPERLINK("https://klasma.github.io/Logging_0140/tillsyn/A 8285-2022 tillsynsbegäran.docx", "A 8285-2022")</f>
        <v/>
      </c>
      <c r="Y396">
        <f>HYPERLINK("https://klasma.github.io/Logging_0140/tillsynsmail/A 8285-2022 tillsynsbegäran mail.docx", "A 8285-2022")</f>
        <v/>
      </c>
    </row>
    <row r="397" ht="15" customHeight="1">
      <c r="A397" t="inlineStr">
        <is>
          <t>A 9445-2022</t>
        </is>
      </c>
      <c r="B397" s="1" t="n">
        <v>44616</v>
      </c>
      <c r="C397" s="1" t="n">
        <v>45661</v>
      </c>
      <c r="D397" t="inlineStr">
        <is>
          <t>STOCKHOLMS LÄN</t>
        </is>
      </c>
      <c r="E397" t="inlineStr">
        <is>
          <t>VALLENTUNA</t>
        </is>
      </c>
      <c r="G397" t="n">
        <v>10.8</v>
      </c>
      <c r="H397" t="n">
        <v>0</v>
      </c>
      <c r="I397" t="n">
        <v>1</v>
      </c>
      <c r="J397" t="n">
        <v>0</v>
      </c>
      <c r="K397" t="n">
        <v>0</v>
      </c>
      <c r="L397" t="n">
        <v>0</v>
      </c>
      <c r="M397" t="n">
        <v>0</v>
      </c>
      <c r="N397" t="n">
        <v>0</v>
      </c>
      <c r="O397" t="n">
        <v>0</v>
      </c>
      <c r="P397" t="n">
        <v>0</v>
      </c>
      <c r="Q397" t="n">
        <v>1</v>
      </c>
      <c r="R397" s="2" t="inlineStr">
        <is>
          <t>Grönpyrola</t>
        </is>
      </c>
      <c r="S397">
        <f>HYPERLINK("https://klasma.github.io/Logging_0115/artfynd/A 9445-2022 artfynd.xlsx", "A 9445-2022")</f>
        <v/>
      </c>
      <c r="T397">
        <f>HYPERLINK("https://klasma.github.io/Logging_0115/kartor/A 9445-2022 karta.png", "A 9445-2022")</f>
        <v/>
      </c>
      <c r="V397">
        <f>HYPERLINK("https://klasma.github.io/Logging_0115/klagomål/A 9445-2022 FSC-klagomål.docx", "A 9445-2022")</f>
        <v/>
      </c>
      <c r="W397">
        <f>HYPERLINK("https://klasma.github.io/Logging_0115/klagomålsmail/A 9445-2022 FSC-klagomål mail.docx", "A 9445-2022")</f>
        <v/>
      </c>
      <c r="X397">
        <f>HYPERLINK("https://klasma.github.io/Logging_0115/tillsyn/A 9445-2022 tillsynsbegäran.docx", "A 9445-2022")</f>
        <v/>
      </c>
      <c r="Y397">
        <f>HYPERLINK("https://klasma.github.io/Logging_0115/tillsynsmail/A 9445-2022 tillsynsbegäran mail.docx", "A 9445-2022")</f>
        <v/>
      </c>
    </row>
    <row r="398" ht="15" customHeight="1">
      <c r="A398" t="inlineStr">
        <is>
          <t>A 9714-2022</t>
        </is>
      </c>
      <c r="B398" s="1" t="n">
        <v>44617</v>
      </c>
      <c r="C398" s="1" t="n">
        <v>45661</v>
      </c>
      <c r="D398" t="inlineStr">
        <is>
          <t>STOCKHOLMS LÄN</t>
        </is>
      </c>
      <c r="E398" t="inlineStr">
        <is>
          <t>NYKVARN</t>
        </is>
      </c>
      <c r="G398" t="n">
        <v>0.5</v>
      </c>
      <c r="H398" t="n">
        <v>0</v>
      </c>
      <c r="I398" t="n">
        <v>1</v>
      </c>
      <c r="J398" t="n">
        <v>0</v>
      </c>
      <c r="K398" t="n">
        <v>0</v>
      </c>
      <c r="L398" t="n">
        <v>0</v>
      </c>
      <c r="M398" t="n">
        <v>0</v>
      </c>
      <c r="N398" t="n">
        <v>0</v>
      </c>
      <c r="O398" t="n">
        <v>0</v>
      </c>
      <c r="P398" t="n">
        <v>0</v>
      </c>
      <c r="Q398" t="n">
        <v>1</v>
      </c>
      <c r="R398" s="2" t="inlineStr">
        <is>
          <t>Jättesvampmal</t>
        </is>
      </c>
      <c r="S398">
        <f>HYPERLINK("https://klasma.github.io/Logging_0140/artfynd/A 9714-2022 artfynd.xlsx", "A 9714-2022")</f>
        <v/>
      </c>
      <c r="T398">
        <f>HYPERLINK("https://klasma.github.io/Logging_0140/kartor/A 9714-2022 karta.png", "A 9714-2022")</f>
        <v/>
      </c>
      <c r="V398">
        <f>HYPERLINK("https://klasma.github.io/Logging_0140/klagomål/A 9714-2022 FSC-klagomål.docx", "A 9714-2022")</f>
        <v/>
      </c>
      <c r="W398">
        <f>HYPERLINK("https://klasma.github.io/Logging_0140/klagomålsmail/A 9714-2022 FSC-klagomål mail.docx", "A 9714-2022")</f>
        <v/>
      </c>
      <c r="X398">
        <f>HYPERLINK("https://klasma.github.io/Logging_0140/tillsyn/A 9714-2022 tillsynsbegäran.docx", "A 9714-2022")</f>
        <v/>
      </c>
      <c r="Y398">
        <f>HYPERLINK("https://klasma.github.io/Logging_0140/tillsynsmail/A 9714-2022 tillsynsbegäran mail.docx", "A 9714-2022")</f>
        <v/>
      </c>
    </row>
    <row r="399" ht="15" customHeight="1">
      <c r="A399" t="inlineStr">
        <is>
          <t>A 9747-2022</t>
        </is>
      </c>
      <c r="B399" s="1" t="n">
        <v>44618</v>
      </c>
      <c r="C399" s="1" t="n">
        <v>45661</v>
      </c>
      <c r="D399" t="inlineStr">
        <is>
          <t>STOCKHOLMS LÄN</t>
        </is>
      </c>
      <c r="E399" t="inlineStr">
        <is>
          <t>VALLENTUNA</t>
        </is>
      </c>
      <c r="G399" t="n">
        <v>5.7</v>
      </c>
      <c r="H399" t="n">
        <v>0</v>
      </c>
      <c r="I399" t="n">
        <v>0</v>
      </c>
      <c r="J399" t="n">
        <v>0</v>
      </c>
      <c r="K399" t="n">
        <v>1</v>
      </c>
      <c r="L399" t="n">
        <v>0</v>
      </c>
      <c r="M399" t="n">
        <v>0</v>
      </c>
      <c r="N399" t="n">
        <v>0</v>
      </c>
      <c r="O399" t="n">
        <v>1</v>
      </c>
      <c r="P399" t="n">
        <v>1</v>
      </c>
      <c r="Q399" t="n">
        <v>1</v>
      </c>
      <c r="R399" s="2" t="inlineStr">
        <is>
          <t>Violgubbe</t>
        </is>
      </c>
      <c r="S399">
        <f>HYPERLINK("https://klasma.github.io/Logging_0115/artfynd/A 9747-2022 artfynd.xlsx", "A 9747-2022")</f>
        <v/>
      </c>
      <c r="T399">
        <f>HYPERLINK("https://klasma.github.io/Logging_0115/kartor/A 9747-2022 karta.png", "A 9747-2022")</f>
        <v/>
      </c>
      <c r="V399">
        <f>HYPERLINK("https://klasma.github.io/Logging_0115/klagomål/A 9747-2022 FSC-klagomål.docx", "A 9747-2022")</f>
        <v/>
      </c>
      <c r="W399">
        <f>HYPERLINK("https://klasma.github.io/Logging_0115/klagomålsmail/A 9747-2022 FSC-klagomål mail.docx", "A 9747-2022")</f>
        <v/>
      </c>
      <c r="X399">
        <f>HYPERLINK("https://klasma.github.io/Logging_0115/tillsyn/A 9747-2022 tillsynsbegäran.docx", "A 9747-2022")</f>
        <v/>
      </c>
      <c r="Y399">
        <f>HYPERLINK("https://klasma.github.io/Logging_0115/tillsynsmail/A 9747-2022 tillsynsbegäran mail.docx", "A 9747-2022")</f>
        <v/>
      </c>
    </row>
    <row r="400" ht="15" customHeight="1">
      <c r="A400" t="inlineStr">
        <is>
          <t>A 9955-2022</t>
        </is>
      </c>
      <c r="B400" s="1" t="n">
        <v>44620</v>
      </c>
      <c r="C400" s="1" t="n">
        <v>45661</v>
      </c>
      <c r="D400" t="inlineStr">
        <is>
          <t>STOCKHOLMS LÄN</t>
        </is>
      </c>
      <c r="E400" t="inlineStr">
        <is>
          <t>NORRTÄLJE</t>
        </is>
      </c>
      <c r="G400" t="n">
        <v>7.8</v>
      </c>
      <c r="H400" t="n">
        <v>1</v>
      </c>
      <c r="I400" t="n">
        <v>0</v>
      </c>
      <c r="J400" t="n">
        <v>0</v>
      </c>
      <c r="K400" t="n">
        <v>0</v>
      </c>
      <c r="L400" t="n">
        <v>0</v>
      </c>
      <c r="M400" t="n">
        <v>0</v>
      </c>
      <c r="N400" t="n">
        <v>0</v>
      </c>
      <c r="O400" t="n">
        <v>0</v>
      </c>
      <c r="P400" t="n">
        <v>0</v>
      </c>
      <c r="Q400" t="n">
        <v>1</v>
      </c>
      <c r="R400" s="2" t="inlineStr">
        <is>
          <t>Åkergroda</t>
        </is>
      </c>
      <c r="S400">
        <f>HYPERLINK("https://klasma.github.io/Logging_0188/artfynd/A 9955-2022 artfynd.xlsx", "A 9955-2022")</f>
        <v/>
      </c>
      <c r="T400">
        <f>HYPERLINK("https://klasma.github.io/Logging_0188/kartor/A 9955-2022 karta.png", "A 9955-2022")</f>
        <v/>
      </c>
      <c r="V400">
        <f>HYPERLINK("https://klasma.github.io/Logging_0188/klagomål/A 9955-2022 FSC-klagomål.docx", "A 9955-2022")</f>
        <v/>
      </c>
      <c r="W400">
        <f>HYPERLINK("https://klasma.github.io/Logging_0188/klagomålsmail/A 9955-2022 FSC-klagomål mail.docx", "A 9955-2022")</f>
        <v/>
      </c>
      <c r="X400">
        <f>HYPERLINK("https://klasma.github.io/Logging_0188/tillsyn/A 9955-2022 tillsynsbegäran.docx", "A 9955-2022")</f>
        <v/>
      </c>
      <c r="Y400">
        <f>HYPERLINK("https://klasma.github.io/Logging_0188/tillsynsmail/A 9955-2022 tillsynsbegäran mail.docx", "A 9955-2022")</f>
        <v/>
      </c>
    </row>
    <row r="401" ht="15" customHeight="1">
      <c r="A401" t="inlineStr">
        <is>
          <t>A 10059-2022</t>
        </is>
      </c>
      <c r="B401" s="1" t="n">
        <v>44621</v>
      </c>
      <c r="C401" s="1" t="n">
        <v>45661</v>
      </c>
      <c r="D401" t="inlineStr">
        <is>
          <t>STOCKHOLMS LÄN</t>
        </is>
      </c>
      <c r="E401" t="inlineStr">
        <is>
          <t>NYNÄSHAMN</t>
        </is>
      </c>
      <c r="G401" t="n">
        <v>17</v>
      </c>
      <c r="H401" t="n">
        <v>0</v>
      </c>
      <c r="I401" t="n">
        <v>1</v>
      </c>
      <c r="J401" t="n">
        <v>0</v>
      </c>
      <c r="K401" t="n">
        <v>0</v>
      </c>
      <c r="L401" t="n">
        <v>0</v>
      </c>
      <c r="M401" t="n">
        <v>0</v>
      </c>
      <c r="N401" t="n">
        <v>0</v>
      </c>
      <c r="O401" t="n">
        <v>0</v>
      </c>
      <c r="P401" t="n">
        <v>0</v>
      </c>
      <c r="Q401" t="n">
        <v>1</v>
      </c>
      <c r="R401" s="2" t="inlineStr">
        <is>
          <t>Bollvitmossa</t>
        </is>
      </c>
      <c r="S401">
        <f>HYPERLINK("https://klasma.github.io/Logging_0192/artfynd/A 10059-2022 artfynd.xlsx", "A 10059-2022")</f>
        <v/>
      </c>
      <c r="T401">
        <f>HYPERLINK("https://klasma.github.io/Logging_0192/kartor/A 10059-2022 karta.png", "A 10059-2022")</f>
        <v/>
      </c>
      <c r="V401">
        <f>HYPERLINK("https://klasma.github.io/Logging_0192/klagomål/A 10059-2022 FSC-klagomål.docx", "A 10059-2022")</f>
        <v/>
      </c>
      <c r="W401">
        <f>HYPERLINK("https://klasma.github.io/Logging_0192/klagomålsmail/A 10059-2022 FSC-klagomål mail.docx", "A 10059-2022")</f>
        <v/>
      </c>
      <c r="X401">
        <f>HYPERLINK("https://klasma.github.io/Logging_0192/tillsyn/A 10059-2022 tillsynsbegäran.docx", "A 10059-2022")</f>
        <v/>
      </c>
      <c r="Y401">
        <f>HYPERLINK("https://klasma.github.io/Logging_0192/tillsynsmail/A 10059-2022 tillsynsbegäran mail.docx", "A 10059-2022")</f>
        <v/>
      </c>
    </row>
    <row r="402" ht="15" customHeight="1">
      <c r="A402" t="inlineStr">
        <is>
          <t>A 10469-2022</t>
        </is>
      </c>
      <c r="B402" s="1" t="n">
        <v>44623</v>
      </c>
      <c r="C402" s="1" t="n">
        <v>45661</v>
      </c>
      <c r="D402" t="inlineStr">
        <is>
          <t>STOCKHOLMS LÄN</t>
        </is>
      </c>
      <c r="E402" t="inlineStr">
        <is>
          <t>BOTKYRKA</t>
        </is>
      </c>
      <c r="G402" t="n">
        <v>2.4</v>
      </c>
      <c r="H402" t="n">
        <v>0</v>
      </c>
      <c r="I402" t="n">
        <v>1</v>
      </c>
      <c r="J402" t="n">
        <v>0</v>
      </c>
      <c r="K402" t="n">
        <v>0</v>
      </c>
      <c r="L402" t="n">
        <v>0</v>
      </c>
      <c r="M402" t="n">
        <v>0</v>
      </c>
      <c r="N402" t="n">
        <v>0</v>
      </c>
      <c r="O402" t="n">
        <v>0</v>
      </c>
      <c r="P402" t="n">
        <v>0</v>
      </c>
      <c r="Q402" t="n">
        <v>1</v>
      </c>
      <c r="R402" s="2" t="inlineStr">
        <is>
          <t>Tibast</t>
        </is>
      </c>
      <c r="S402">
        <f>HYPERLINK("https://klasma.github.io/Logging_0127/artfynd/A 10469-2022 artfynd.xlsx", "A 10469-2022")</f>
        <v/>
      </c>
      <c r="T402">
        <f>HYPERLINK("https://klasma.github.io/Logging_0127/kartor/A 10469-2022 karta.png", "A 10469-2022")</f>
        <v/>
      </c>
      <c r="V402">
        <f>HYPERLINK("https://klasma.github.io/Logging_0127/klagomål/A 10469-2022 FSC-klagomål.docx", "A 10469-2022")</f>
        <v/>
      </c>
      <c r="W402">
        <f>HYPERLINK("https://klasma.github.io/Logging_0127/klagomålsmail/A 10469-2022 FSC-klagomål mail.docx", "A 10469-2022")</f>
        <v/>
      </c>
      <c r="X402">
        <f>HYPERLINK("https://klasma.github.io/Logging_0127/tillsyn/A 10469-2022 tillsynsbegäran.docx", "A 10469-2022")</f>
        <v/>
      </c>
      <c r="Y402">
        <f>HYPERLINK("https://klasma.github.io/Logging_0127/tillsynsmail/A 10469-2022 tillsynsbegäran mail.docx", "A 10469-2022")</f>
        <v/>
      </c>
    </row>
    <row r="403" ht="15" customHeight="1">
      <c r="A403" t="inlineStr">
        <is>
          <t>A 10712-2022</t>
        </is>
      </c>
      <c r="B403" s="1" t="n">
        <v>44626</v>
      </c>
      <c r="C403" s="1" t="n">
        <v>45661</v>
      </c>
      <c r="D403" t="inlineStr">
        <is>
          <t>STOCKHOLMS LÄN</t>
        </is>
      </c>
      <c r="E403" t="inlineStr">
        <is>
          <t>NORRTÄLJE</t>
        </is>
      </c>
      <c r="G403" t="n">
        <v>4.5</v>
      </c>
      <c r="H403" t="n">
        <v>1</v>
      </c>
      <c r="I403" t="n">
        <v>0</v>
      </c>
      <c r="J403" t="n">
        <v>0</v>
      </c>
      <c r="K403" t="n">
        <v>0</v>
      </c>
      <c r="L403" t="n">
        <v>0</v>
      </c>
      <c r="M403" t="n">
        <v>0</v>
      </c>
      <c r="N403" t="n">
        <v>0</v>
      </c>
      <c r="O403" t="n">
        <v>0</v>
      </c>
      <c r="P403" t="n">
        <v>0</v>
      </c>
      <c r="Q403" t="n">
        <v>1</v>
      </c>
      <c r="R403" s="2" t="inlineStr">
        <is>
          <t>Åkergroda</t>
        </is>
      </c>
      <c r="S403">
        <f>HYPERLINK("https://klasma.github.io/Logging_0188/artfynd/A 10712-2022 artfynd.xlsx", "A 10712-2022")</f>
        <v/>
      </c>
      <c r="T403">
        <f>HYPERLINK("https://klasma.github.io/Logging_0188/kartor/A 10712-2022 karta.png", "A 10712-2022")</f>
        <v/>
      </c>
      <c r="V403">
        <f>HYPERLINK("https://klasma.github.io/Logging_0188/klagomål/A 10712-2022 FSC-klagomål.docx", "A 10712-2022")</f>
        <v/>
      </c>
      <c r="W403">
        <f>HYPERLINK("https://klasma.github.io/Logging_0188/klagomålsmail/A 10712-2022 FSC-klagomål mail.docx", "A 10712-2022")</f>
        <v/>
      </c>
      <c r="X403">
        <f>HYPERLINK("https://klasma.github.io/Logging_0188/tillsyn/A 10712-2022 tillsynsbegäran.docx", "A 10712-2022")</f>
        <v/>
      </c>
      <c r="Y403">
        <f>HYPERLINK("https://klasma.github.io/Logging_0188/tillsynsmail/A 10712-2022 tillsynsbegäran mail.docx", "A 10712-2022")</f>
        <v/>
      </c>
    </row>
    <row r="404" ht="15" customHeight="1">
      <c r="A404" t="inlineStr">
        <is>
          <t>A 13891-2022</t>
        </is>
      </c>
      <c r="B404" s="1" t="n">
        <v>44646</v>
      </c>
      <c r="C404" s="1" t="n">
        <v>45661</v>
      </c>
      <c r="D404" t="inlineStr">
        <is>
          <t>STOCKHOLMS LÄN</t>
        </is>
      </c>
      <c r="E404" t="inlineStr">
        <is>
          <t>EKERÖ</t>
        </is>
      </c>
      <c r="G404" t="n">
        <v>2.3</v>
      </c>
      <c r="H404" t="n">
        <v>0</v>
      </c>
      <c r="I404" t="n">
        <v>1</v>
      </c>
      <c r="J404" t="n">
        <v>0</v>
      </c>
      <c r="K404" t="n">
        <v>0</v>
      </c>
      <c r="L404" t="n">
        <v>0</v>
      </c>
      <c r="M404" t="n">
        <v>0</v>
      </c>
      <c r="N404" t="n">
        <v>0</v>
      </c>
      <c r="O404" t="n">
        <v>0</v>
      </c>
      <c r="P404" t="n">
        <v>0</v>
      </c>
      <c r="Q404" t="n">
        <v>1</v>
      </c>
      <c r="R404" s="2" t="inlineStr">
        <is>
          <t>Granbarkgnagare</t>
        </is>
      </c>
      <c r="S404">
        <f>HYPERLINK("https://klasma.github.io/Logging_0125/artfynd/A 13891-2022 artfynd.xlsx", "A 13891-2022")</f>
        <v/>
      </c>
      <c r="T404">
        <f>HYPERLINK("https://klasma.github.io/Logging_0125/kartor/A 13891-2022 karta.png", "A 13891-2022")</f>
        <v/>
      </c>
      <c r="V404">
        <f>HYPERLINK("https://klasma.github.io/Logging_0125/klagomål/A 13891-2022 FSC-klagomål.docx", "A 13891-2022")</f>
        <v/>
      </c>
      <c r="W404">
        <f>HYPERLINK("https://klasma.github.io/Logging_0125/klagomålsmail/A 13891-2022 FSC-klagomål mail.docx", "A 13891-2022")</f>
        <v/>
      </c>
      <c r="X404">
        <f>HYPERLINK("https://klasma.github.io/Logging_0125/tillsyn/A 13891-2022 tillsynsbegäran.docx", "A 13891-2022")</f>
        <v/>
      </c>
      <c r="Y404">
        <f>HYPERLINK("https://klasma.github.io/Logging_0125/tillsynsmail/A 13891-2022 tillsynsbegäran mail.docx", "A 13891-2022")</f>
        <v/>
      </c>
    </row>
    <row r="405" ht="15" customHeight="1">
      <c r="A405" t="inlineStr">
        <is>
          <t>A 14720-2022</t>
        </is>
      </c>
      <c r="B405" s="1" t="n">
        <v>44656</v>
      </c>
      <c r="C405" s="1" t="n">
        <v>45661</v>
      </c>
      <c r="D405" t="inlineStr">
        <is>
          <t>STOCKHOLMS LÄN</t>
        </is>
      </c>
      <c r="E405" t="inlineStr">
        <is>
          <t>NORRTÄLJE</t>
        </is>
      </c>
      <c r="F405" t="inlineStr">
        <is>
          <t>Sveaskog</t>
        </is>
      </c>
      <c r="G405" t="n">
        <v>5.1</v>
      </c>
      <c r="H405" t="n">
        <v>0</v>
      </c>
      <c r="I405" t="n">
        <v>0</v>
      </c>
      <c r="J405" t="n">
        <v>1</v>
      </c>
      <c r="K405" t="n">
        <v>0</v>
      </c>
      <c r="L405" t="n">
        <v>0</v>
      </c>
      <c r="M405" t="n">
        <v>0</v>
      </c>
      <c r="N405" t="n">
        <v>0</v>
      </c>
      <c r="O405" t="n">
        <v>1</v>
      </c>
      <c r="P405" t="n">
        <v>0</v>
      </c>
      <c r="Q405" t="n">
        <v>1</v>
      </c>
      <c r="R405" s="2" t="inlineStr">
        <is>
          <t>Loppstarr</t>
        </is>
      </c>
      <c r="S405">
        <f>HYPERLINK("https://klasma.github.io/Logging_0188/artfynd/A 14720-2022 artfynd.xlsx", "A 14720-2022")</f>
        <v/>
      </c>
      <c r="T405">
        <f>HYPERLINK("https://klasma.github.io/Logging_0188/kartor/A 14720-2022 karta.png", "A 14720-2022")</f>
        <v/>
      </c>
      <c r="V405">
        <f>HYPERLINK("https://klasma.github.io/Logging_0188/klagomål/A 14720-2022 FSC-klagomål.docx", "A 14720-2022")</f>
        <v/>
      </c>
      <c r="W405">
        <f>HYPERLINK("https://klasma.github.io/Logging_0188/klagomålsmail/A 14720-2022 FSC-klagomål mail.docx", "A 14720-2022")</f>
        <v/>
      </c>
      <c r="X405">
        <f>HYPERLINK("https://klasma.github.io/Logging_0188/tillsyn/A 14720-2022 tillsynsbegäran.docx", "A 14720-2022")</f>
        <v/>
      </c>
      <c r="Y405">
        <f>HYPERLINK("https://klasma.github.io/Logging_0188/tillsynsmail/A 14720-2022 tillsynsbegäran mail.docx", "A 14720-2022")</f>
        <v/>
      </c>
    </row>
    <row r="406" ht="15" customHeight="1">
      <c r="A406" t="inlineStr">
        <is>
          <t>A 16309-2022</t>
        </is>
      </c>
      <c r="B406" s="1" t="n">
        <v>44670</v>
      </c>
      <c r="C406" s="1" t="n">
        <v>45661</v>
      </c>
      <c r="D406" t="inlineStr">
        <is>
          <t>STOCKHOLMS LÄN</t>
        </is>
      </c>
      <c r="E406" t="inlineStr">
        <is>
          <t>NYNÄSHAMN</t>
        </is>
      </c>
      <c r="G406" t="n">
        <v>7.7</v>
      </c>
      <c r="H406" t="n">
        <v>1</v>
      </c>
      <c r="I406" t="n">
        <v>0</v>
      </c>
      <c r="J406" t="n">
        <v>0</v>
      </c>
      <c r="K406" t="n">
        <v>0</v>
      </c>
      <c r="L406" t="n">
        <v>0</v>
      </c>
      <c r="M406" t="n">
        <v>0</v>
      </c>
      <c r="N406" t="n">
        <v>0</v>
      </c>
      <c r="O406" t="n">
        <v>0</v>
      </c>
      <c r="P406" t="n">
        <v>0</v>
      </c>
      <c r="Q406" t="n">
        <v>1</v>
      </c>
      <c r="R406" s="2" t="inlineStr">
        <is>
          <t>Blåsippa</t>
        </is>
      </c>
      <c r="S406">
        <f>HYPERLINK("https://klasma.github.io/Logging_0192/artfynd/A 16309-2022 artfynd.xlsx", "A 16309-2022")</f>
        <v/>
      </c>
      <c r="T406">
        <f>HYPERLINK("https://klasma.github.io/Logging_0192/kartor/A 16309-2022 karta.png", "A 16309-2022")</f>
        <v/>
      </c>
      <c r="V406">
        <f>HYPERLINK("https://klasma.github.io/Logging_0192/klagomål/A 16309-2022 FSC-klagomål.docx", "A 16309-2022")</f>
        <v/>
      </c>
      <c r="W406">
        <f>HYPERLINK("https://klasma.github.io/Logging_0192/klagomålsmail/A 16309-2022 FSC-klagomål mail.docx", "A 16309-2022")</f>
        <v/>
      </c>
      <c r="X406">
        <f>HYPERLINK("https://klasma.github.io/Logging_0192/tillsyn/A 16309-2022 tillsynsbegäran.docx", "A 16309-2022")</f>
        <v/>
      </c>
      <c r="Y406">
        <f>HYPERLINK("https://klasma.github.io/Logging_0192/tillsynsmail/A 16309-2022 tillsynsbegäran mail.docx", "A 16309-2022")</f>
        <v/>
      </c>
    </row>
    <row r="407" ht="15" customHeight="1">
      <c r="A407" t="inlineStr">
        <is>
          <t>A 16539-2022</t>
        </is>
      </c>
      <c r="B407" s="1" t="n">
        <v>44672</v>
      </c>
      <c r="C407" s="1" t="n">
        <v>45661</v>
      </c>
      <c r="D407" t="inlineStr">
        <is>
          <t>STOCKHOLMS LÄN</t>
        </is>
      </c>
      <c r="E407" t="inlineStr">
        <is>
          <t>NORRTÄLJE</t>
        </is>
      </c>
      <c r="G407" t="n">
        <v>8.6</v>
      </c>
      <c r="H407" t="n">
        <v>1</v>
      </c>
      <c r="I407" t="n">
        <v>1</v>
      </c>
      <c r="J407" t="n">
        <v>0</v>
      </c>
      <c r="K407" t="n">
        <v>0</v>
      </c>
      <c r="L407" t="n">
        <v>0</v>
      </c>
      <c r="M407" t="n">
        <v>0</v>
      </c>
      <c r="N407" t="n">
        <v>0</v>
      </c>
      <c r="O407" t="n">
        <v>0</v>
      </c>
      <c r="P407" t="n">
        <v>0</v>
      </c>
      <c r="Q407" t="n">
        <v>1</v>
      </c>
      <c r="R407" s="2" t="inlineStr">
        <is>
          <t>Nästrot</t>
        </is>
      </c>
      <c r="S407">
        <f>HYPERLINK("https://klasma.github.io/Logging_0188/artfynd/A 16539-2022 artfynd.xlsx", "A 16539-2022")</f>
        <v/>
      </c>
      <c r="T407">
        <f>HYPERLINK("https://klasma.github.io/Logging_0188/kartor/A 16539-2022 karta.png", "A 16539-2022")</f>
        <v/>
      </c>
      <c r="V407">
        <f>HYPERLINK("https://klasma.github.io/Logging_0188/klagomål/A 16539-2022 FSC-klagomål.docx", "A 16539-2022")</f>
        <v/>
      </c>
      <c r="W407">
        <f>HYPERLINK("https://klasma.github.io/Logging_0188/klagomålsmail/A 16539-2022 FSC-klagomål mail.docx", "A 16539-2022")</f>
        <v/>
      </c>
      <c r="X407">
        <f>HYPERLINK("https://klasma.github.io/Logging_0188/tillsyn/A 16539-2022 tillsynsbegäran.docx", "A 16539-2022")</f>
        <v/>
      </c>
      <c r="Y407">
        <f>HYPERLINK("https://klasma.github.io/Logging_0188/tillsynsmail/A 16539-2022 tillsynsbegäran mail.docx", "A 16539-2022")</f>
        <v/>
      </c>
    </row>
    <row r="408" ht="15" customHeight="1">
      <c r="A408" t="inlineStr">
        <is>
          <t>A 18100-2022</t>
        </is>
      </c>
      <c r="B408" s="1" t="n">
        <v>44684</v>
      </c>
      <c r="C408" s="1" t="n">
        <v>45661</v>
      </c>
      <c r="D408" t="inlineStr">
        <is>
          <t>STOCKHOLMS LÄN</t>
        </is>
      </c>
      <c r="E408" t="inlineStr">
        <is>
          <t>BOTKYRKA</t>
        </is>
      </c>
      <c r="G408" t="n">
        <v>3.1</v>
      </c>
      <c r="H408" t="n">
        <v>1</v>
      </c>
      <c r="I408" t="n">
        <v>0</v>
      </c>
      <c r="J408" t="n">
        <v>0</v>
      </c>
      <c r="K408" t="n">
        <v>0</v>
      </c>
      <c r="L408" t="n">
        <v>0</v>
      </c>
      <c r="M408" t="n">
        <v>0</v>
      </c>
      <c r="N408" t="n">
        <v>0</v>
      </c>
      <c r="O408" t="n">
        <v>0</v>
      </c>
      <c r="P408" t="n">
        <v>0</v>
      </c>
      <c r="Q408" t="n">
        <v>1</v>
      </c>
      <c r="R408" s="2" t="inlineStr">
        <is>
          <t>Gullviva</t>
        </is>
      </c>
      <c r="S408">
        <f>HYPERLINK("https://klasma.github.io/Logging_0127/artfynd/A 18100-2022 artfynd.xlsx", "A 18100-2022")</f>
        <v/>
      </c>
      <c r="T408">
        <f>HYPERLINK("https://klasma.github.io/Logging_0127/kartor/A 18100-2022 karta.png", "A 18100-2022")</f>
        <v/>
      </c>
      <c r="V408">
        <f>HYPERLINK("https://klasma.github.io/Logging_0127/klagomål/A 18100-2022 FSC-klagomål.docx", "A 18100-2022")</f>
        <v/>
      </c>
      <c r="W408">
        <f>HYPERLINK("https://klasma.github.io/Logging_0127/klagomålsmail/A 18100-2022 FSC-klagomål mail.docx", "A 18100-2022")</f>
        <v/>
      </c>
      <c r="X408">
        <f>HYPERLINK("https://klasma.github.io/Logging_0127/tillsyn/A 18100-2022 tillsynsbegäran.docx", "A 18100-2022")</f>
        <v/>
      </c>
      <c r="Y408">
        <f>HYPERLINK("https://klasma.github.io/Logging_0127/tillsynsmail/A 18100-2022 tillsynsbegäran mail.docx", "A 18100-2022")</f>
        <v/>
      </c>
    </row>
    <row r="409" ht="15" customHeight="1">
      <c r="A409" t="inlineStr">
        <is>
          <t>A 19829-2022</t>
        </is>
      </c>
      <c r="B409" s="1" t="n">
        <v>44695</v>
      </c>
      <c r="C409" s="1" t="n">
        <v>45661</v>
      </c>
      <c r="D409" t="inlineStr">
        <is>
          <t>STOCKHOLMS LÄN</t>
        </is>
      </c>
      <c r="E409" t="inlineStr">
        <is>
          <t>NORRTÄLJE</t>
        </is>
      </c>
      <c r="G409" t="n">
        <v>2</v>
      </c>
      <c r="H409" t="n">
        <v>1</v>
      </c>
      <c r="I409" t="n">
        <v>1</v>
      </c>
      <c r="J409" t="n">
        <v>0</v>
      </c>
      <c r="K409" t="n">
        <v>0</v>
      </c>
      <c r="L409" t="n">
        <v>0</v>
      </c>
      <c r="M409" t="n">
        <v>0</v>
      </c>
      <c r="N409" t="n">
        <v>0</v>
      </c>
      <c r="O409" t="n">
        <v>0</v>
      </c>
      <c r="P409" t="n">
        <v>0</v>
      </c>
      <c r="Q409" t="n">
        <v>1</v>
      </c>
      <c r="R409" s="2" t="inlineStr">
        <is>
          <t>Guckusko</t>
        </is>
      </c>
      <c r="S409">
        <f>HYPERLINK("https://klasma.github.io/Logging_0188/artfynd/A 19829-2022 artfynd.xlsx", "A 19829-2022")</f>
        <v/>
      </c>
      <c r="T409">
        <f>HYPERLINK("https://klasma.github.io/Logging_0188/kartor/A 19829-2022 karta.png", "A 19829-2022")</f>
        <v/>
      </c>
      <c r="V409">
        <f>HYPERLINK("https://klasma.github.io/Logging_0188/klagomål/A 19829-2022 FSC-klagomål.docx", "A 19829-2022")</f>
        <v/>
      </c>
      <c r="W409">
        <f>HYPERLINK("https://klasma.github.io/Logging_0188/klagomålsmail/A 19829-2022 FSC-klagomål mail.docx", "A 19829-2022")</f>
        <v/>
      </c>
      <c r="X409">
        <f>HYPERLINK("https://klasma.github.io/Logging_0188/tillsyn/A 19829-2022 tillsynsbegäran.docx", "A 19829-2022")</f>
        <v/>
      </c>
      <c r="Y409">
        <f>HYPERLINK("https://klasma.github.io/Logging_0188/tillsynsmail/A 19829-2022 tillsynsbegäran mail.docx", "A 19829-2022")</f>
        <v/>
      </c>
    </row>
    <row r="410" ht="15" customHeight="1">
      <c r="A410" t="inlineStr">
        <is>
          <t>A 20456-2022</t>
        </is>
      </c>
      <c r="B410" s="1" t="n">
        <v>44699</v>
      </c>
      <c r="C410" s="1" t="n">
        <v>45661</v>
      </c>
      <c r="D410" t="inlineStr">
        <is>
          <t>STOCKHOLMS LÄN</t>
        </is>
      </c>
      <c r="E410" t="inlineStr">
        <is>
          <t>NYKVARN</t>
        </is>
      </c>
      <c r="F410" t="inlineStr">
        <is>
          <t>Allmännings- och besparingsskogar</t>
        </is>
      </c>
      <c r="G410" t="n">
        <v>15.4</v>
      </c>
      <c r="H410" t="n">
        <v>0</v>
      </c>
      <c r="I410" t="n">
        <v>1</v>
      </c>
      <c r="J410" t="n">
        <v>0</v>
      </c>
      <c r="K410" t="n">
        <v>0</v>
      </c>
      <c r="L410" t="n">
        <v>0</v>
      </c>
      <c r="M410" t="n">
        <v>0</v>
      </c>
      <c r="N410" t="n">
        <v>0</v>
      </c>
      <c r="O410" t="n">
        <v>0</v>
      </c>
      <c r="P410" t="n">
        <v>0</v>
      </c>
      <c r="Q410" t="n">
        <v>1</v>
      </c>
      <c r="R410" s="2" t="inlineStr">
        <is>
          <t>Grönpyrola</t>
        </is>
      </c>
      <c r="S410">
        <f>HYPERLINK("https://klasma.github.io/Logging_0140/artfynd/A 20456-2022 artfynd.xlsx", "A 20456-2022")</f>
        <v/>
      </c>
      <c r="T410">
        <f>HYPERLINK("https://klasma.github.io/Logging_0140/kartor/A 20456-2022 karta.png", "A 20456-2022")</f>
        <v/>
      </c>
      <c r="V410">
        <f>HYPERLINK("https://klasma.github.io/Logging_0140/klagomål/A 20456-2022 FSC-klagomål.docx", "A 20456-2022")</f>
        <v/>
      </c>
      <c r="W410">
        <f>HYPERLINK("https://klasma.github.io/Logging_0140/klagomålsmail/A 20456-2022 FSC-klagomål mail.docx", "A 20456-2022")</f>
        <v/>
      </c>
      <c r="X410">
        <f>HYPERLINK("https://klasma.github.io/Logging_0140/tillsyn/A 20456-2022 tillsynsbegäran.docx", "A 20456-2022")</f>
        <v/>
      </c>
      <c r="Y410">
        <f>HYPERLINK("https://klasma.github.io/Logging_0140/tillsynsmail/A 20456-2022 tillsynsbegäran mail.docx", "A 20456-2022")</f>
        <v/>
      </c>
    </row>
    <row r="411" ht="15" customHeight="1">
      <c r="A411" t="inlineStr">
        <is>
          <t>A 21150-2022</t>
        </is>
      </c>
      <c r="B411" s="1" t="n">
        <v>44704</v>
      </c>
      <c r="C411" s="1" t="n">
        <v>45661</v>
      </c>
      <c r="D411" t="inlineStr">
        <is>
          <t>STOCKHOLMS LÄN</t>
        </is>
      </c>
      <c r="E411" t="inlineStr">
        <is>
          <t>NORRTÄLJE</t>
        </is>
      </c>
      <c r="G411" t="n">
        <v>12.5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21150-2022 artfynd.xlsx", "A 21150-2022")</f>
        <v/>
      </c>
      <c r="T411">
        <f>HYPERLINK("https://klasma.github.io/Logging_0188/kartor/A 21150-2022 karta.png", "A 21150-2022")</f>
        <v/>
      </c>
      <c r="V411">
        <f>HYPERLINK("https://klasma.github.io/Logging_0188/klagomål/A 21150-2022 FSC-klagomål.docx", "A 21150-2022")</f>
        <v/>
      </c>
      <c r="W411">
        <f>HYPERLINK("https://klasma.github.io/Logging_0188/klagomålsmail/A 21150-2022 FSC-klagomål mail.docx", "A 21150-2022")</f>
        <v/>
      </c>
      <c r="X411">
        <f>HYPERLINK("https://klasma.github.io/Logging_0188/tillsyn/A 21150-2022 tillsynsbegäran.docx", "A 21150-2022")</f>
        <v/>
      </c>
      <c r="Y411">
        <f>HYPERLINK("https://klasma.github.io/Logging_0188/tillsynsmail/A 21150-2022 tillsynsbegäran mail.docx", "A 21150-2022")</f>
        <v/>
      </c>
    </row>
    <row r="412" ht="15" customHeight="1">
      <c r="A412" t="inlineStr">
        <is>
          <t>A 22172-2022</t>
        </is>
      </c>
      <c r="B412" s="1" t="n">
        <v>44712</v>
      </c>
      <c r="C412" s="1" t="n">
        <v>45661</v>
      </c>
      <c r="D412" t="inlineStr">
        <is>
          <t>STOCKHOLMS LÄN</t>
        </is>
      </c>
      <c r="E412" t="inlineStr">
        <is>
          <t>ÖSTERÅKER</t>
        </is>
      </c>
      <c r="G412" t="n">
        <v>3.7</v>
      </c>
      <c r="H412" t="n">
        <v>1</v>
      </c>
      <c r="I412" t="n">
        <v>0</v>
      </c>
      <c r="J412" t="n">
        <v>1</v>
      </c>
      <c r="K412" t="n">
        <v>0</v>
      </c>
      <c r="L412" t="n">
        <v>0</v>
      </c>
      <c r="M412" t="n">
        <v>0</v>
      </c>
      <c r="N412" t="n">
        <v>0</v>
      </c>
      <c r="O412" t="n">
        <v>1</v>
      </c>
      <c r="P412" t="n">
        <v>0</v>
      </c>
      <c r="Q412" t="n">
        <v>1</v>
      </c>
      <c r="R412" s="2" t="inlineStr">
        <is>
          <t>Kråka</t>
        </is>
      </c>
      <c r="S412">
        <f>HYPERLINK("https://klasma.github.io/Logging_0117/artfynd/A 22172-2022 artfynd.xlsx", "A 22172-2022")</f>
        <v/>
      </c>
      <c r="T412">
        <f>HYPERLINK("https://klasma.github.io/Logging_0117/kartor/A 22172-2022 karta.png", "A 22172-2022")</f>
        <v/>
      </c>
      <c r="V412">
        <f>HYPERLINK("https://klasma.github.io/Logging_0117/klagomål/A 22172-2022 FSC-klagomål.docx", "A 22172-2022")</f>
        <v/>
      </c>
      <c r="W412">
        <f>HYPERLINK("https://klasma.github.io/Logging_0117/klagomålsmail/A 22172-2022 FSC-klagomål mail.docx", "A 22172-2022")</f>
        <v/>
      </c>
      <c r="X412">
        <f>HYPERLINK("https://klasma.github.io/Logging_0117/tillsyn/A 22172-2022 tillsynsbegäran.docx", "A 22172-2022")</f>
        <v/>
      </c>
      <c r="Y412">
        <f>HYPERLINK("https://klasma.github.io/Logging_0117/tillsynsmail/A 22172-2022 tillsynsbegäran mail.docx", "A 22172-2022")</f>
        <v/>
      </c>
      <c r="Z412">
        <f>HYPERLINK("https://klasma.github.io/Logging_0117/fåglar/A 22172-2022 prioriterade fågelarter.docx", "A 22172-2022")</f>
        <v/>
      </c>
    </row>
    <row r="413" ht="15" customHeight="1">
      <c r="A413" t="inlineStr">
        <is>
          <t>A 30154-2022</t>
        </is>
      </c>
      <c r="B413" s="1" t="n">
        <v>44757</v>
      </c>
      <c r="C413" s="1" t="n">
        <v>45661</v>
      </c>
      <c r="D413" t="inlineStr">
        <is>
          <t>STOCKHOLMS LÄN</t>
        </is>
      </c>
      <c r="E413" t="inlineStr">
        <is>
          <t>VÄRMDÖ</t>
        </is>
      </c>
      <c r="G413" t="n">
        <v>3.1</v>
      </c>
      <c r="H413" t="n">
        <v>0</v>
      </c>
      <c r="I413" t="n">
        <v>0</v>
      </c>
      <c r="J413" t="n">
        <v>1</v>
      </c>
      <c r="K413" t="n">
        <v>0</v>
      </c>
      <c r="L413" t="n">
        <v>0</v>
      </c>
      <c r="M413" t="n">
        <v>0</v>
      </c>
      <c r="N413" t="n">
        <v>0</v>
      </c>
      <c r="O413" t="n">
        <v>1</v>
      </c>
      <c r="P413" t="n">
        <v>0</v>
      </c>
      <c r="Q413" t="n">
        <v>1</v>
      </c>
      <c r="R413" s="2" t="inlineStr">
        <is>
          <t>Lunglav</t>
        </is>
      </c>
      <c r="S413">
        <f>HYPERLINK("https://klasma.github.io/Logging_0120/artfynd/A 30154-2022 artfynd.xlsx", "A 30154-2022")</f>
        <v/>
      </c>
      <c r="T413">
        <f>HYPERLINK("https://klasma.github.io/Logging_0120/kartor/A 30154-2022 karta.png", "A 30154-2022")</f>
        <v/>
      </c>
      <c r="V413">
        <f>HYPERLINK("https://klasma.github.io/Logging_0120/klagomål/A 30154-2022 FSC-klagomål.docx", "A 30154-2022")</f>
        <v/>
      </c>
      <c r="W413">
        <f>HYPERLINK("https://klasma.github.io/Logging_0120/klagomålsmail/A 30154-2022 FSC-klagomål mail.docx", "A 30154-2022")</f>
        <v/>
      </c>
      <c r="X413">
        <f>HYPERLINK("https://klasma.github.io/Logging_0120/tillsyn/A 30154-2022 tillsynsbegäran.docx", "A 30154-2022")</f>
        <v/>
      </c>
      <c r="Y413">
        <f>HYPERLINK("https://klasma.github.io/Logging_0120/tillsynsmail/A 30154-2022 tillsynsbegäran mail.docx", "A 30154-2022")</f>
        <v/>
      </c>
    </row>
    <row r="414" ht="15" customHeight="1">
      <c r="A414" t="inlineStr">
        <is>
          <t>A 31194-2022</t>
        </is>
      </c>
      <c r="B414" s="1" t="n">
        <v>44770</v>
      </c>
      <c r="C414" s="1" t="n">
        <v>45661</v>
      </c>
      <c r="D414" t="inlineStr">
        <is>
          <t>STOCKHOLMS LÄN</t>
        </is>
      </c>
      <c r="E414" t="inlineStr">
        <is>
          <t>NORRTÄLJE</t>
        </is>
      </c>
      <c r="G414" t="n">
        <v>2.7</v>
      </c>
      <c r="H414" t="n">
        <v>1</v>
      </c>
      <c r="I414" t="n">
        <v>0</v>
      </c>
      <c r="J414" t="n">
        <v>0</v>
      </c>
      <c r="K414" t="n">
        <v>0</v>
      </c>
      <c r="L414" t="n">
        <v>1</v>
      </c>
      <c r="M414" t="n">
        <v>0</v>
      </c>
      <c r="N414" t="n">
        <v>0</v>
      </c>
      <c r="O414" t="n">
        <v>1</v>
      </c>
      <c r="P414" t="n">
        <v>1</v>
      </c>
      <c r="Q414" t="n">
        <v>1</v>
      </c>
      <c r="R414" s="2" t="inlineStr">
        <is>
          <t>Asknätfjäril</t>
        </is>
      </c>
      <c r="S414">
        <f>HYPERLINK("https://klasma.github.io/Logging_0188/artfynd/A 31194-2022 artfynd.xlsx", "A 31194-2022")</f>
        <v/>
      </c>
      <c r="T414">
        <f>HYPERLINK("https://klasma.github.io/Logging_0188/kartor/A 31194-2022 karta.png", "A 31194-2022")</f>
        <v/>
      </c>
      <c r="V414">
        <f>HYPERLINK("https://klasma.github.io/Logging_0188/klagomål/A 31194-2022 FSC-klagomål.docx", "A 31194-2022")</f>
        <v/>
      </c>
      <c r="W414">
        <f>HYPERLINK("https://klasma.github.io/Logging_0188/klagomålsmail/A 31194-2022 FSC-klagomål mail.docx", "A 31194-2022")</f>
        <v/>
      </c>
      <c r="X414">
        <f>HYPERLINK("https://klasma.github.io/Logging_0188/tillsyn/A 31194-2022 tillsynsbegäran.docx", "A 31194-2022")</f>
        <v/>
      </c>
      <c r="Y414">
        <f>HYPERLINK("https://klasma.github.io/Logging_0188/tillsynsmail/A 31194-2022 tillsynsbegäran mail.docx", "A 31194-2022")</f>
        <v/>
      </c>
    </row>
    <row r="415" ht="15" customHeight="1">
      <c r="A415" t="inlineStr">
        <is>
          <t>A 33477-2022</t>
        </is>
      </c>
      <c r="B415" s="1" t="n">
        <v>44788</v>
      </c>
      <c r="C415" s="1" t="n">
        <v>45661</v>
      </c>
      <c r="D415" t="inlineStr">
        <is>
          <t>STOCKHOLMS LÄN</t>
        </is>
      </c>
      <c r="E415" t="inlineStr">
        <is>
          <t>NORRTÄLJE</t>
        </is>
      </c>
      <c r="G415" t="n">
        <v>5.7</v>
      </c>
      <c r="H415" t="n">
        <v>1</v>
      </c>
      <c r="I415" t="n">
        <v>1</v>
      </c>
      <c r="J415" t="n">
        <v>0</v>
      </c>
      <c r="K415" t="n">
        <v>0</v>
      </c>
      <c r="L415" t="n">
        <v>0</v>
      </c>
      <c r="M415" t="n">
        <v>0</v>
      </c>
      <c r="N415" t="n">
        <v>0</v>
      </c>
      <c r="O415" t="n">
        <v>0</v>
      </c>
      <c r="P415" t="n">
        <v>0</v>
      </c>
      <c r="Q415" t="n">
        <v>1</v>
      </c>
      <c r="R415" s="2" t="inlineStr">
        <is>
          <t>Nästrot</t>
        </is>
      </c>
      <c r="S415">
        <f>HYPERLINK("https://klasma.github.io/Logging_0188/artfynd/A 33477-2022 artfynd.xlsx", "A 33477-2022")</f>
        <v/>
      </c>
      <c r="T415">
        <f>HYPERLINK("https://klasma.github.io/Logging_0188/kartor/A 33477-2022 karta.png", "A 33477-2022")</f>
        <v/>
      </c>
      <c r="V415">
        <f>HYPERLINK("https://klasma.github.io/Logging_0188/klagomål/A 33477-2022 FSC-klagomål.docx", "A 33477-2022")</f>
        <v/>
      </c>
      <c r="W415">
        <f>HYPERLINK("https://klasma.github.io/Logging_0188/klagomålsmail/A 33477-2022 FSC-klagomål mail.docx", "A 33477-2022")</f>
        <v/>
      </c>
      <c r="X415">
        <f>HYPERLINK("https://klasma.github.io/Logging_0188/tillsyn/A 33477-2022 tillsynsbegäran.docx", "A 33477-2022")</f>
        <v/>
      </c>
      <c r="Y415">
        <f>HYPERLINK("https://klasma.github.io/Logging_0188/tillsynsmail/A 33477-2022 tillsynsbegäran mail.docx", "A 33477-2022")</f>
        <v/>
      </c>
    </row>
    <row r="416" ht="15" customHeight="1">
      <c r="A416" t="inlineStr">
        <is>
          <t>A 34823-2022</t>
        </is>
      </c>
      <c r="B416" s="1" t="n">
        <v>44796</v>
      </c>
      <c r="C416" s="1" t="n">
        <v>45661</v>
      </c>
      <c r="D416" t="inlineStr">
        <is>
          <t>STOCKHOLMS LÄN</t>
        </is>
      </c>
      <c r="E416" t="inlineStr">
        <is>
          <t>HANINGE</t>
        </is>
      </c>
      <c r="G416" t="n">
        <v>12</v>
      </c>
      <c r="H416" t="n">
        <v>0</v>
      </c>
      <c r="I416" t="n">
        <v>0</v>
      </c>
      <c r="J416" t="n">
        <v>0</v>
      </c>
      <c r="K416" t="n">
        <v>1</v>
      </c>
      <c r="L416" t="n">
        <v>0</v>
      </c>
      <c r="M416" t="n">
        <v>0</v>
      </c>
      <c r="N416" t="n">
        <v>0</v>
      </c>
      <c r="O416" t="n">
        <v>1</v>
      </c>
      <c r="P416" t="n">
        <v>1</v>
      </c>
      <c r="Q416" t="n">
        <v>1</v>
      </c>
      <c r="R416" s="2" t="inlineStr">
        <is>
          <t>Mörk kraterlav</t>
        </is>
      </c>
      <c r="S416">
        <f>HYPERLINK("https://klasma.github.io/Logging_0136/artfynd/A 34823-2022 artfynd.xlsx", "A 34823-2022")</f>
        <v/>
      </c>
      <c r="T416">
        <f>HYPERLINK("https://klasma.github.io/Logging_0136/kartor/A 34823-2022 karta.png", "A 34823-2022")</f>
        <v/>
      </c>
      <c r="V416">
        <f>HYPERLINK("https://klasma.github.io/Logging_0136/klagomål/A 34823-2022 FSC-klagomål.docx", "A 34823-2022")</f>
        <v/>
      </c>
      <c r="W416">
        <f>HYPERLINK("https://klasma.github.io/Logging_0136/klagomålsmail/A 34823-2022 FSC-klagomål mail.docx", "A 34823-2022")</f>
        <v/>
      </c>
      <c r="X416">
        <f>HYPERLINK("https://klasma.github.io/Logging_0136/tillsyn/A 34823-2022 tillsynsbegäran.docx", "A 34823-2022")</f>
        <v/>
      </c>
      <c r="Y416">
        <f>HYPERLINK("https://klasma.github.io/Logging_0136/tillsynsmail/A 34823-2022 tillsynsbegäran mail.docx", "A 34823-2022")</f>
        <v/>
      </c>
    </row>
    <row r="417" ht="15" customHeight="1">
      <c r="A417" t="inlineStr">
        <is>
          <t>A 37004-2022</t>
        </is>
      </c>
      <c r="B417" s="1" t="n">
        <v>44806</v>
      </c>
      <c r="C417" s="1" t="n">
        <v>45661</v>
      </c>
      <c r="D417" t="inlineStr">
        <is>
          <t>STOCKHOLMS LÄN</t>
        </is>
      </c>
      <c r="E417" t="inlineStr">
        <is>
          <t>HANINGE</t>
        </is>
      </c>
      <c r="F417" t="inlineStr">
        <is>
          <t>Övriga statliga verk och myndigheter</t>
        </is>
      </c>
      <c r="G417" t="n">
        <v>4.4</v>
      </c>
      <c r="H417" t="n">
        <v>1</v>
      </c>
      <c r="I417" t="n">
        <v>1</v>
      </c>
      <c r="J417" t="n">
        <v>0</v>
      </c>
      <c r="K417" t="n">
        <v>0</v>
      </c>
      <c r="L417" t="n">
        <v>0</v>
      </c>
      <c r="M417" t="n">
        <v>0</v>
      </c>
      <c r="N417" t="n">
        <v>0</v>
      </c>
      <c r="O417" t="n">
        <v>0</v>
      </c>
      <c r="P417" t="n">
        <v>0</v>
      </c>
      <c r="Q417" t="n">
        <v>1</v>
      </c>
      <c r="R417" s="2" t="inlineStr">
        <is>
          <t>Skogsknipprot</t>
        </is>
      </c>
      <c r="S417">
        <f>HYPERLINK("https://klasma.github.io/Logging_0136/artfynd/A 37004-2022 artfynd.xlsx", "A 37004-2022")</f>
        <v/>
      </c>
      <c r="T417">
        <f>HYPERLINK("https://klasma.github.io/Logging_0136/kartor/A 37004-2022 karta.png", "A 37004-2022")</f>
        <v/>
      </c>
      <c r="V417">
        <f>HYPERLINK("https://klasma.github.io/Logging_0136/klagomål/A 37004-2022 FSC-klagomål.docx", "A 37004-2022")</f>
        <v/>
      </c>
      <c r="W417">
        <f>HYPERLINK("https://klasma.github.io/Logging_0136/klagomålsmail/A 37004-2022 FSC-klagomål mail.docx", "A 37004-2022")</f>
        <v/>
      </c>
      <c r="X417">
        <f>HYPERLINK("https://klasma.github.io/Logging_0136/tillsyn/A 37004-2022 tillsynsbegäran.docx", "A 37004-2022")</f>
        <v/>
      </c>
      <c r="Y417">
        <f>HYPERLINK("https://klasma.github.io/Logging_0136/tillsynsmail/A 37004-2022 tillsynsbegäran mail.docx", "A 37004-2022")</f>
        <v/>
      </c>
    </row>
    <row r="418" ht="15" customHeight="1">
      <c r="A418" t="inlineStr">
        <is>
          <t>A 37522-2022</t>
        </is>
      </c>
      <c r="B418" s="1" t="n">
        <v>44809</v>
      </c>
      <c r="C418" s="1" t="n">
        <v>45661</v>
      </c>
      <c r="D418" t="inlineStr">
        <is>
          <t>STOCKHOLMS LÄN</t>
        </is>
      </c>
      <c r="E418" t="inlineStr">
        <is>
          <t>NORRTÄLJE</t>
        </is>
      </c>
      <c r="G418" t="n">
        <v>2.4</v>
      </c>
      <c r="H418" t="n">
        <v>1</v>
      </c>
      <c r="I418" t="n">
        <v>0</v>
      </c>
      <c r="J418" t="n">
        <v>0</v>
      </c>
      <c r="K418" t="n">
        <v>0</v>
      </c>
      <c r="L418" t="n">
        <v>0</v>
      </c>
      <c r="M418" t="n">
        <v>0</v>
      </c>
      <c r="N418" t="n">
        <v>0</v>
      </c>
      <c r="O418" t="n">
        <v>0</v>
      </c>
      <c r="P418" t="n">
        <v>0</v>
      </c>
      <c r="Q418" t="n">
        <v>1</v>
      </c>
      <c r="R418" s="2" t="inlineStr">
        <is>
          <t>Blåsippa</t>
        </is>
      </c>
      <c r="S418">
        <f>HYPERLINK("https://klasma.github.io/Logging_0188/artfynd/A 37522-2022 artfynd.xlsx", "A 37522-2022")</f>
        <v/>
      </c>
      <c r="T418">
        <f>HYPERLINK("https://klasma.github.io/Logging_0188/kartor/A 37522-2022 karta.png", "A 37522-2022")</f>
        <v/>
      </c>
      <c r="V418">
        <f>HYPERLINK("https://klasma.github.io/Logging_0188/klagomål/A 37522-2022 FSC-klagomål.docx", "A 37522-2022")</f>
        <v/>
      </c>
      <c r="W418">
        <f>HYPERLINK("https://klasma.github.io/Logging_0188/klagomålsmail/A 37522-2022 FSC-klagomål mail.docx", "A 37522-2022")</f>
        <v/>
      </c>
      <c r="X418">
        <f>HYPERLINK("https://klasma.github.io/Logging_0188/tillsyn/A 37522-2022 tillsynsbegäran.docx", "A 37522-2022")</f>
        <v/>
      </c>
      <c r="Y418">
        <f>HYPERLINK("https://klasma.github.io/Logging_0188/tillsynsmail/A 37522-2022 tillsynsbegäran mail.docx", "A 37522-2022")</f>
        <v/>
      </c>
    </row>
    <row r="419" ht="15" customHeight="1">
      <c r="A419" t="inlineStr">
        <is>
          <t>A 38452-2022</t>
        </is>
      </c>
      <c r="B419" s="1" t="n">
        <v>44813</v>
      </c>
      <c r="C419" s="1" t="n">
        <v>45661</v>
      </c>
      <c r="D419" t="inlineStr">
        <is>
          <t>STOCKHOLMS LÄN</t>
        </is>
      </c>
      <c r="E419" t="inlineStr">
        <is>
          <t>SÖDERTÄLJE</t>
        </is>
      </c>
      <c r="F419" t="inlineStr">
        <is>
          <t>Kommuner</t>
        </is>
      </c>
      <c r="G419" t="n">
        <v>25</v>
      </c>
      <c r="H419" t="n">
        <v>0</v>
      </c>
      <c r="I419" t="n">
        <v>1</v>
      </c>
      <c r="J419" t="n">
        <v>0</v>
      </c>
      <c r="K419" t="n">
        <v>0</v>
      </c>
      <c r="L419" t="n">
        <v>0</v>
      </c>
      <c r="M419" t="n">
        <v>0</v>
      </c>
      <c r="N419" t="n">
        <v>0</v>
      </c>
      <c r="O419" t="n">
        <v>0</v>
      </c>
      <c r="P419" t="n">
        <v>0</v>
      </c>
      <c r="Q419" t="n">
        <v>1</v>
      </c>
      <c r="R419" s="2" t="inlineStr">
        <is>
          <t>Rödgul trumpetsvamp</t>
        </is>
      </c>
      <c r="S419">
        <f>HYPERLINK("https://klasma.github.io/Logging_0181/artfynd/A 38452-2022 artfynd.xlsx", "A 38452-2022")</f>
        <v/>
      </c>
      <c r="T419">
        <f>HYPERLINK("https://klasma.github.io/Logging_0181/kartor/A 38452-2022 karta.png", "A 38452-2022")</f>
        <v/>
      </c>
      <c r="V419">
        <f>HYPERLINK("https://klasma.github.io/Logging_0181/klagomål/A 38452-2022 FSC-klagomål.docx", "A 38452-2022")</f>
        <v/>
      </c>
      <c r="W419">
        <f>HYPERLINK("https://klasma.github.io/Logging_0181/klagomålsmail/A 38452-2022 FSC-klagomål mail.docx", "A 38452-2022")</f>
        <v/>
      </c>
      <c r="X419">
        <f>HYPERLINK("https://klasma.github.io/Logging_0181/tillsyn/A 38452-2022 tillsynsbegäran.docx", "A 38452-2022")</f>
        <v/>
      </c>
      <c r="Y419">
        <f>HYPERLINK("https://klasma.github.io/Logging_0181/tillsynsmail/A 38452-2022 tillsynsbegäran mail.docx", "A 38452-2022")</f>
        <v/>
      </c>
    </row>
    <row r="420" ht="15" customHeight="1">
      <c r="A420" t="inlineStr">
        <is>
          <t>A 39318-2022</t>
        </is>
      </c>
      <c r="B420" s="1" t="n">
        <v>44817</v>
      </c>
      <c r="C420" s="1" t="n">
        <v>45661</v>
      </c>
      <c r="D420" t="inlineStr">
        <is>
          <t>STOCKHOLMS LÄN</t>
        </is>
      </c>
      <c r="E420" t="inlineStr">
        <is>
          <t>NORRTÄLJE</t>
        </is>
      </c>
      <c r="G420" t="n">
        <v>2.4</v>
      </c>
      <c r="H420" t="n">
        <v>1</v>
      </c>
      <c r="I420" t="n">
        <v>0</v>
      </c>
      <c r="J420" t="n">
        <v>0</v>
      </c>
      <c r="K420" t="n">
        <v>1</v>
      </c>
      <c r="L420" t="n">
        <v>0</v>
      </c>
      <c r="M420" t="n">
        <v>0</v>
      </c>
      <c r="N420" t="n">
        <v>0</v>
      </c>
      <c r="O420" t="n">
        <v>1</v>
      </c>
      <c r="P420" t="n">
        <v>1</v>
      </c>
      <c r="Q420" t="n">
        <v>1</v>
      </c>
      <c r="R420" s="2" t="inlineStr">
        <is>
          <t>Stare</t>
        </is>
      </c>
      <c r="S420">
        <f>HYPERLINK("https://klasma.github.io/Logging_0188/artfynd/A 39318-2022 artfynd.xlsx", "A 39318-2022")</f>
        <v/>
      </c>
      <c r="T420">
        <f>HYPERLINK("https://klasma.github.io/Logging_0188/kartor/A 39318-2022 karta.png", "A 39318-2022")</f>
        <v/>
      </c>
      <c r="V420">
        <f>HYPERLINK("https://klasma.github.io/Logging_0188/klagomål/A 39318-2022 FSC-klagomål.docx", "A 39318-2022")</f>
        <v/>
      </c>
      <c r="W420">
        <f>HYPERLINK("https://klasma.github.io/Logging_0188/klagomålsmail/A 39318-2022 FSC-klagomål mail.docx", "A 39318-2022")</f>
        <v/>
      </c>
      <c r="X420">
        <f>HYPERLINK("https://klasma.github.io/Logging_0188/tillsyn/A 39318-2022 tillsynsbegäran.docx", "A 39318-2022")</f>
        <v/>
      </c>
      <c r="Y420">
        <f>HYPERLINK("https://klasma.github.io/Logging_0188/tillsynsmail/A 39318-2022 tillsynsbegäran mail.docx", "A 39318-2022")</f>
        <v/>
      </c>
    </row>
    <row r="421" ht="15" customHeight="1">
      <c r="A421" t="inlineStr">
        <is>
          <t>A 39636-2022</t>
        </is>
      </c>
      <c r="B421" s="1" t="n">
        <v>44818</v>
      </c>
      <c r="C421" s="1" t="n">
        <v>45661</v>
      </c>
      <c r="D421" t="inlineStr">
        <is>
          <t>STOCKHOLMS LÄN</t>
        </is>
      </c>
      <c r="E421" t="inlineStr">
        <is>
          <t>HANINGE</t>
        </is>
      </c>
      <c r="G421" t="n">
        <v>2</v>
      </c>
      <c r="H421" t="n">
        <v>0</v>
      </c>
      <c r="I421" t="n">
        <v>0</v>
      </c>
      <c r="J421" t="n">
        <v>0</v>
      </c>
      <c r="K421" t="n">
        <v>1</v>
      </c>
      <c r="L421" t="n">
        <v>0</v>
      </c>
      <c r="M421" t="n">
        <v>0</v>
      </c>
      <c r="N421" t="n">
        <v>0</v>
      </c>
      <c r="O421" t="n">
        <v>1</v>
      </c>
      <c r="P421" t="n">
        <v>1</v>
      </c>
      <c r="Q421" t="n">
        <v>1</v>
      </c>
      <c r="R421" s="2" t="inlineStr">
        <is>
          <t>Koppartaggsvamp</t>
        </is>
      </c>
      <c r="S421">
        <f>HYPERLINK("https://klasma.github.io/Logging_0136/artfynd/A 39636-2022 artfynd.xlsx", "A 39636-2022")</f>
        <v/>
      </c>
      <c r="T421">
        <f>HYPERLINK("https://klasma.github.io/Logging_0136/kartor/A 39636-2022 karta.png", "A 39636-2022")</f>
        <v/>
      </c>
      <c r="V421">
        <f>HYPERLINK("https://klasma.github.io/Logging_0136/klagomål/A 39636-2022 FSC-klagomål.docx", "A 39636-2022")</f>
        <v/>
      </c>
      <c r="W421">
        <f>HYPERLINK("https://klasma.github.io/Logging_0136/klagomålsmail/A 39636-2022 FSC-klagomål mail.docx", "A 39636-2022")</f>
        <v/>
      </c>
      <c r="X421">
        <f>HYPERLINK("https://klasma.github.io/Logging_0136/tillsyn/A 39636-2022 tillsynsbegäran.docx", "A 39636-2022")</f>
        <v/>
      </c>
      <c r="Y421">
        <f>HYPERLINK("https://klasma.github.io/Logging_0136/tillsynsmail/A 39636-2022 tillsynsbegäran mail.docx", "A 39636-2022")</f>
        <v/>
      </c>
    </row>
    <row r="422" ht="15" customHeight="1">
      <c r="A422" t="inlineStr">
        <is>
          <t>A 40672-2022</t>
        </is>
      </c>
      <c r="B422" s="1" t="n">
        <v>44824</v>
      </c>
      <c r="C422" s="1" t="n">
        <v>45661</v>
      </c>
      <c r="D422" t="inlineStr">
        <is>
          <t>STOCKHOLMS LÄN</t>
        </is>
      </c>
      <c r="E422" t="inlineStr">
        <is>
          <t>NORRTÄLJE</t>
        </is>
      </c>
      <c r="F422" t="inlineStr">
        <is>
          <t>Övriga Aktiebolag</t>
        </is>
      </c>
      <c r="G422" t="n">
        <v>1.3</v>
      </c>
      <c r="H422" t="n">
        <v>0</v>
      </c>
      <c r="I422" t="n">
        <v>0</v>
      </c>
      <c r="J422" t="n">
        <v>1</v>
      </c>
      <c r="K422" t="n">
        <v>0</v>
      </c>
      <c r="L422" t="n">
        <v>0</v>
      </c>
      <c r="M422" t="n">
        <v>0</v>
      </c>
      <c r="N422" t="n">
        <v>0</v>
      </c>
      <c r="O422" t="n">
        <v>1</v>
      </c>
      <c r="P422" t="n">
        <v>0</v>
      </c>
      <c r="Q422" t="n">
        <v>1</v>
      </c>
      <c r="R422" s="2" t="inlineStr">
        <is>
          <t>Månlåsbräken</t>
        </is>
      </c>
      <c r="S422">
        <f>HYPERLINK("https://klasma.github.io/Logging_0188/artfynd/A 40672-2022 artfynd.xlsx", "A 40672-2022")</f>
        <v/>
      </c>
      <c r="T422">
        <f>HYPERLINK("https://klasma.github.io/Logging_0188/kartor/A 40672-2022 karta.png", "A 40672-2022")</f>
        <v/>
      </c>
      <c r="V422">
        <f>HYPERLINK("https://klasma.github.io/Logging_0188/klagomål/A 40672-2022 FSC-klagomål.docx", "A 40672-2022")</f>
        <v/>
      </c>
      <c r="W422">
        <f>HYPERLINK("https://klasma.github.io/Logging_0188/klagomålsmail/A 40672-2022 FSC-klagomål mail.docx", "A 40672-2022")</f>
        <v/>
      </c>
      <c r="X422">
        <f>HYPERLINK("https://klasma.github.io/Logging_0188/tillsyn/A 40672-2022 tillsynsbegäran.docx", "A 40672-2022")</f>
        <v/>
      </c>
      <c r="Y422">
        <f>HYPERLINK("https://klasma.github.io/Logging_0188/tillsynsmail/A 40672-2022 tillsynsbegäran mail.docx", "A 40672-2022")</f>
        <v/>
      </c>
    </row>
    <row r="423" ht="15" customHeight="1">
      <c r="A423" t="inlineStr">
        <is>
          <t>A 44709-2022</t>
        </is>
      </c>
      <c r="B423" s="1" t="n">
        <v>44839</v>
      </c>
      <c r="C423" s="1" t="n">
        <v>45661</v>
      </c>
      <c r="D423" t="inlineStr">
        <is>
          <t>STOCKHOLMS LÄN</t>
        </is>
      </c>
      <c r="E423" t="inlineStr">
        <is>
          <t>NORRTÄLJE</t>
        </is>
      </c>
      <c r="G423" t="n">
        <v>16.3</v>
      </c>
      <c r="H423" t="n">
        <v>0</v>
      </c>
      <c r="I423" t="n">
        <v>0</v>
      </c>
      <c r="J423" t="n">
        <v>1</v>
      </c>
      <c r="K423" t="n">
        <v>0</v>
      </c>
      <c r="L423" t="n">
        <v>0</v>
      </c>
      <c r="M423" t="n">
        <v>0</v>
      </c>
      <c r="N423" t="n">
        <v>0</v>
      </c>
      <c r="O423" t="n">
        <v>1</v>
      </c>
      <c r="P423" t="n">
        <v>0</v>
      </c>
      <c r="Q423" t="n">
        <v>1</v>
      </c>
      <c r="R423" s="2" t="inlineStr">
        <is>
          <t>Asppraktbagge</t>
        </is>
      </c>
      <c r="S423">
        <f>HYPERLINK("https://klasma.github.io/Logging_0188/artfynd/A 44709-2022 artfynd.xlsx", "A 44709-2022")</f>
        <v/>
      </c>
      <c r="T423">
        <f>HYPERLINK("https://klasma.github.io/Logging_0188/kartor/A 44709-2022 karta.png", "A 44709-2022")</f>
        <v/>
      </c>
      <c r="V423">
        <f>HYPERLINK("https://klasma.github.io/Logging_0188/klagomål/A 44709-2022 FSC-klagomål.docx", "A 44709-2022")</f>
        <v/>
      </c>
      <c r="W423">
        <f>HYPERLINK("https://klasma.github.io/Logging_0188/klagomålsmail/A 44709-2022 FSC-klagomål mail.docx", "A 44709-2022")</f>
        <v/>
      </c>
      <c r="X423">
        <f>HYPERLINK("https://klasma.github.io/Logging_0188/tillsyn/A 44709-2022 tillsynsbegäran.docx", "A 44709-2022")</f>
        <v/>
      </c>
      <c r="Y423">
        <f>HYPERLINK("https://klasma.github.io/Logging_0188/tillsynsmail/A 44709-2022 tillsynsbegäran mail.docx", "A 44709-2022")</f>
        <v/>
      </c>
    </row>
    <row r="424" ht="15" customHeight="1">
      <c r="A424" t="inlineStr">
        <is>
          <t>A 44958-2022</t>
        </is>
      </c>
      <c r="B424" s="1" t="n">
        <v>44841</v>
      </c>
      <c r="C424" s="1" t="n">
        <v>45661</v>
      </c>
      <c r="D424" t="inlineStr">
        <is>
          <t>STOCKHOLMS LÄN</t>
        </is>
      </c>
      <c r="E424" t="inlineStr">
        <is>
          <t>SÖDERTÄLJE</t>
        </is>
      </c>
      <c r="F424" t="inlineStr">
        <is>
          <t>Sveaskog</t>
        </is>
      </c>
      <c r="G424" t="n">
        <v>0.5</v>
      </c>
      <c r="H424" t="n">
        <v>0</v>
      </c>
      <c r="I424" t="n">
        <v>0</v>
      </c>
      <c r="J424" t="n">
        <v>1</v>
      </c>
      <c r="K424" t="n">
        <v>0</v>
      </c>
      <c r="L424" t="n">
        <v>0</v>
      </c>
      <c r="M424" t="n">
        <v>0</v>
      </c>
      <c r="N424" t="n">
        <v>0</v>
      </c>
      <c r="O424" t="n">
        <v>1</v>
      </c>
      <c r="P424" t="n">
        <v>0</v>
      </c>
      <c r="Q424" t="n">
        <v>1</v>
      </c>
      <c r="R424" s="2" t="inlineStr">
        <is>
          <t>Slåtterfibbla</t>
        </is>
      </c>
      <c r="S424">
        <f>HYPERLINK("https://klasma.github.io/Logging_0181/artfynd/A 44958-2022 artfynd.xlsx", "A 44958-2022")</f>
        <v/>
      </c>
      <c r="T424">
        <f>HYPERLINK("https://klasma.github.io/Logging_0181/kartor/A 44958-2022 karta.png", "A 44958-2022")</f>
        <v/>
      </c>
      <c r="V424">
        <f>HYPERLINK("https://klasma.github.io/Logging_0181/klagomål/A 44958-2022 FSC-klagomål.docx", "A 44958-2022")</f>
        <v/>
      </c>
      <c r="W424">
        <f>HYPERLINK("https://klasma.github.io/Logging_0181/klagomålsmail/A 44958-2022 FSC-klagomål mail.docx", "A 44958-2022")</f>
        <v/>
      </c>
      <c r="X424">
        <f>HYPERLINK("https://klasma.github.io/Logging_0181/tillsyn/A 44958-2022 tillsynsbegäran.docx", "A 44958-2022")</f>
        <v/>
      </c>
      <c r="Y424">
        <f>HYPERLINK("https://klasma.github.io/Logging_0181/tillsynsmail/A 44958-2022 tillsynsbegäran mail.docx", "A 44958-2022")</f>
        <v/>
      </c>
    </row>
    <row r="425" ht="15" customHeight="1">
      <c r="A425" t="inlineStr">
        <is>
          <t>A 47898-2022</t>
        </is>
      </c>
      <c r="B425" s="1" t="n">
        <v>44855</v>
      </c>
      <c r="C425" s="1" t="n">
        <v>45661</v>
      </c>
      <c r="D425" t="inlineStr">
        <is>
          <t>STOCKHOLMS LÄN</t>
        </is>
      </c>
      <c r="E425" t="inlineStr">
        <is>
          <t>NORRTÄLJE</t>
        </is>
      </c>
      <c r="G425" t="n">
        <v>6.7</v>
      </c>
      <c r="H425" t="n">
        <v>1</v>
      </c>
      <c r="I425" t="n">
        <v>1</v>
      </c>
      <c r="J425" t="n">
        <v>0</v>
      </c>
      <c r="K425" t="n">
        <v>0</v>
      </c>
      <c r="L425" t="n">
        <v>0</v>
      </c>
      <c r="M425" t="n">
        <v>0</v>
      </c>
      <c r="N425" t="n">
        <v>0</v>
      </c>
      <c r="O425" t="n">
        <v>0</v>
      </c>
      <c r="P425" t="n">
        <v>0</v>
      </c>
      <c r="Q425" t="n">
        <v>1</v>
      </c>
      <c r="R425" s="2" t="inlineStr">
        <is>
          <t>Guckusko</t>
        </is>
      </c>
      <c r="S425">
        <f>HYPERLINK("https://klasma.github.io/Logging_0188/artfynd/A 47898-2022 artfynd.xlsx", "A 47898-2022")</f>
        <v/>
      </c>
      <c r="T425">
        <f>HYPERLINK("https://klasma.github.io/Logging_0188/kartor/A 47898-2022 karta.png", "A 47898-2022")</f>
        <v/>
      </c>
      <c r="V425">
        <f>HYPERLINK("https://klasma.github.io/Logging_0188/klagomål/A 47898-2022 FSC-klagomål.docx", "A 47898-2022")</f>
        <v/>
      </c>
      <c r="W425">
        <f>HYPERLINK("https://klasma.github.io/Logging_0188/klagomålsmail/A 47898-2022 FSC-klagomål mail.docx", "A 47898-2022")</f>
        <v/>
      </c>
      <c r="X425">
        <f>HYPERLINK("https://klasma.github.io/Logging_0188/tillsyn/A 47898-2022 tillsynsbegäran.docx", "A 47898-2022")</f>
        <v/>
      </c>
      <c r="Y425">
        <f>HYPERLINK("https://klasma.github.io/Logging_0188/tillsynsmail/A 47898-2022 tillsynsbegäran mail.docx", "A 47898-2022")</f>
        <v/>
      </c>
    </row>
    <row r="426" ht="15" customHeight="1">
      <c r="A426" t="inlineStr">
        <is>
          <t>A 48658-2022</t>
        </is>
      </c>
      <c r="B426" s="1" t="n">
        <v>44859</v>
      </c>
      <c r="C426" s="1" t="n">
        <v>45661</v>
      </c>
      <c r="D426" t="inlineStr">
        <is>
          <t>STOCKHOLMS LÄN</t>
        </is>
      </c>
      <c r="E426" t="inlineStr">
        <is>
          <t>VÄRMDÖ</t>
        </is>
      </c>
      <c r="G426" t="n">
        <v>4.2</v>
      </c>
      <c r="H426" t="n">
        <v>0</v>
      </c>
      <c r="I426" t="n">
        <v>0</v>
      </c>
      <c r="J426" t="n">
        <v>1</v>
      </c>
      <c r="K426" t="n">
        <v>0</v>
      </c>
      <c r="L426" t="n">
        <v>0</v>
      </c>
      <c r="M426" t="n">
        <v>0</v>
      </c>
      <c r="N426" t="n">
        <v>0</v>
      </c>
      <c r="O426" t="n">
        <v>1</v>
      </c>
      <c r="P426" t="n">
        <v>0</v>
      </c>
      <c r="Q426" t="n">
        <v>1</v>
      </c>
      <c r="R426" s="2" t="inlineStr">
        <is>
          <t>Tallticka</t>
        </is>
      </c>
      <c r="S426">
        <f>HYPERLINK("https://klasma.github.io/Logging_0120/artfynd/A 48658-2022 artfynd.xlsx", "A 48658-2022")</f>
        <v/>
      </c>
      <c r="T426">
        <f>HYPERLINK("https://klasma.github.io/Logging_0120/kartor/A 48658-2022 karta.png", "A 48658-2022")</f>
        <v/>
      </c>
      <c r="V426">
        <f>HYPERLINK("https://klasma.github.io/Logging_0120/klagomål/A 48658-2022 FSC-klagomål.docx", "A 48658-2022")</f>
        <v/>
      </c>
      <c r="W426">
        <f>HYPERLINK("https://klasma.github.io/Logging_0120/klagomålsmail/A 48658-2022 FSC-klagomål mail.docx", "A 48658-2022")</f>
        <v/>
      </c>
      <c r="X426">
        <f>HYPERLINK("https://klasma.github.io/Logging_0120/tillsyn/A 48658-2022 tillsynsbegäran.docx", "A 48658-2022")</f>
        <v/>
      </c>
      <c r="Y426">
        <f>HYPERLINK("https://klasma.github.io/Logging_0120/tillsynsmail/A 48658-2022 tillsynsbegäran mail.docx", "A 48658-2022")</f>
        <v/>
      </c>
    </row>
    <row r="427" ht="15" customHeight="1">
      <c r="A427" t="inlineStr">
        <is>
          <t>A 50854-2022</t>
        </is>
      </c>
      <c r="B427" s="1" t="n">
        <v>44863</v>
      </c>
      <c r="C427" s="1" t="n">
        <v>45661</v>
      </c>
      <c r="D427" t="inlineStr">
        <is>
          <t>STOCKHOLMS LÄN</t>
        </is>
      </c>
      <c r="E427" t="inlineStr">
        <is>
          <t>NORRTÄLJE</t>
        </is>
      </c>
      <c r="G427" t="n">
        <v>2.9</v>
      </c>
      <c r="H427" t="n">
        <v>0</v>
      </c>
      <c r="I427" t="n">
        <v>1</v>
      </c>
      <c r="J427" t="n">
        <v>0</v>
      </c>
      <c r="K427" t="n">
        <v>0</v>
      </c>
      <c r="L427" t="n">
        <v>0</v>
      </c>
      <c r="M427" t="n">
        <v>0</v>
      </c>
      <c r="N427" t="n">
        <v>0</v>
      </c>
      <c r="O427" t="n">
        <v>0</v>
      </c>
      <c r="P427" t="n">
        <v>0</v>
      </c>
      <c r="Q427" t="n">
        <v>1</v>
      </c>
      <c r="R427" s="2" t="inlineStr">
        <is>
          <t>Tibast</t>
        </is>
      </c>
      <c r="S427">
        <f>HYPERLINK("https://klasma.github.io/Logging_0188/artfynd/A 50854-2022 artfynd.xlsx", "A 50854-2022")</f>
        <v/>
      </c>
      <c r="T427">
        <f>HYPERLINK("https://klasma.github.io/Logging_0188/kartor/A 50854-2022 karta.png", "A 50854-2022")</f>
        <v/>
      </c>
      <c r="V427">
        <f>HYPERLINK("https://klasma.github.io/Logging_0188/klagomål/A 50854-2022 FSC-klagomål.docx", "A 50854-2022")</f>
        <v/>
      </c>
      <c r="W427">
        <f>HYPERLINK("https://klasma.github.io/Logging_0188/klagomålsmail/A 50854-2022 FSC-klagomål mail.docx", "A 50854-2022")</f>
        <v/>
      </c>
      <c r="X427">
        <f>HYPERLINK("https://klasma.github.io/Logging_0188/tillsyn/A 50854-2022 tillsynsbegäran.docx", "A 50854-2022")</f>
        <v/>
      </c>
      <c r="Y427">
        <f>HYPERLINK("https://klasma.github.io/Logging_0188/tillsynsmail/A 50854-2022 tillsynsbegäran mail.docx", "A 50854-2022")</f>
        <v/>
      </c>
    </row>
    <row r="428" ht="15" customHeight="1">
      <c r="A428" t="inlineStr">
        <is>
          <t>A 51189-2022</t>
        </is>
      </c>
      <c r="B428" s="1" t="n">
        <v>44865</v>
      </c>
      <c r="C428" s="1" t="n">
        <v>45661</v>
      </c>
      <c r="D428" t="inlineStr">
        <is>
          <t>STOCKHOLMS LÄN</t>
        </is>
      </c>
      <c r="E428" t="inlineStr">
        <is>
          <t>SIGTUNA</t>
        </is>
      </c>
      <c r="G428" t="n">
        <v>32.8</v>
      </c>
      <c r="H428" t="n">
        <v>0</v>
      </c>
      <c r="I428" t="n">
        <v>0</v>
      </c>
      <c r="J428" t="n">
        <v>1</v>
      </c>
      <c r="K428" t="n">
        <v>0</v>
      </c>
      <c r="L428" t="n">
        <v>0</v>
      </c>
      <c r="M428" t="n">
        <v>0</v>
      </c>
      <c r="N428" t="n">
        <v>0</v>
      </c>
      <c r="O428" t="n">
        <v>1</v>
      </c>
      <c r="P428" t="n">
        <v>0</v>
      </c>
      <c r="Q428" t="n">
        <v>1</v>
      </c>
      <c r="R428" s="2" t="inlineStr">
        <is>
          <t>Vedskivlav</t>
        </is>
      </c>
      <c r="S428">
        <f>HYPERLINK("https://klasma.github.io/Logging_0191/artfynd/A 51189-2022 artfynd.xlsx", "A 51189-2022")</f>
        <v/>
      </c>
      <c r="T428">
        <f>HYPERLINK("https://klasma.github.io/Logging_0191/kartor/A 51189-2022 karta.png", "A 51189-2022")</f>
        <v/>
      </c>
      <c r="V428">
        <f>HYPERLINK("https://klasma.github.io/Logging_0191/klagomål/A 51189-2022 FSC-klagomål.docx", "A 51189-2022")</f>
        <v/>
      </c>
      <c r="W428">
        <f>HYPERLINK("https://klasma.github.io/Logging_0191/klagomålsmail/A 51189-2022 FSC-klagomål mail.docx", "A 51189-2022")</f>
        <v/>
      </c>
      <c r="X428">
        <f>HYPERLINK("https://klasma.github.io/Logging_0191/tillsyn/A 51189-2022 tillsynsbegäran.docx", "A 51189-2022")</f>
        <v/>
      </c>
      <c r="Y428">
        <f>HYPERLINK("https://klasma.github.io/Logging_0191/tillsynsmail/A 51189-2022 tillsynsbegäran mail.docx", "A 51189-2022")</f>
        <v/>
      </c>
    </row>
    <row r="429" ht="15" customHeight="1">
      <c r="A429" t="inlineStr">
        <is>
          <t>A 52130-2022</t>
        </is>
      </c>
      <c r="B429" s="1" t="n">
        <v>44868</v>
      </c>
      <c r="C429" s="1" t="n">
        <v>45661</v>
      </c>
      <c r="D429" t="inlineStr">
        <is>
          <t>STOCKHOLMS LÄN</t>
        </is>
      </c>
      <c r="E429" t="inlineStr">
        <is>
          <t>NORRTÄLJE</t>
        </is>
      </c>
      <c r="G429" t="n">
        <v>3.7</v>
      </c>
      <c r="H429" t="n">
        <v>0</v>
      </c>
      <c r="I429" t="n">
        <v>0</v>
      </c>
      <c r="J429" t="n">
        <v>1</v>
      </c>
      <c r="K429" t="n">
        <v>0</v>
      </c>
      <c r="L429" t="n">
        <v>0</v>
      </c>
      <c r="M429" t="n">
        <v>0</v>
      </c>
      <c r="N429" t="n">
        <v>0</v>
      </c>
      <c r="O429" t="n">
        <v>1</v>
      </c>
      <c r="P429" t="n">
        <v>0</v>
      </c>
      <c r="Q429" t="n">
        <v>1</v>
      </c>
      <c r="R429" s="2" t="inlineStr">
        <is>
          <t>Flattoppad klubbsvamp</t>
        </is>
      </c>
      <c r="S429">
        <f>HYPERLINK("https://klasma.github.io/Logging_0188/artfynd/A 52130-2022 artfynd.xlsx", "A 52130-2022")</f>
        <v/>
      </c>
      <c r="T429">
        <f>HYPERLINK("https://klasma.github.io/Logging_0188/kartor/A 52130-2022 karta.png", "A 52130-2022")</f>
        <v/>
      </c>
      <c r="V429">
        <f>HYPERLINK("https://klasma.github.io/Logging_0188/klagomål/A 52130-2022 FSC-klagomål.docx", "A 52130-2022")</f>
        <v/>
      </c>
      <c r="W429">
        <f>HYPERLINK("https://klasma.github.io/Logging_0188/klagomålsmail/A 52130-2022 FSC-klagomål mail.docx", "A 52130-2022")</f>
        <v/>
      </c>
      <c r="X429">
        <f>HYPERLINK("https://klasma.github.io/Logging_0188/tillsyn/A 52130-2022 tillsynsbegäran.docx", "A 52130-2022")</f>
        <v/>
      </c>
      <c r="Y429">
        <f>HYPERLINK("https://klasma.github.io/Logging_0188/tillsynsmail/A 52130-2022 tillsynsbegäran mail.docx", "A 52130-2022")</f>
        <v/>
      </c>
    </row>
    <row r="430" ht="15" customHeight="1">
      <c r="A430" t="inlineStr">
        <is>
          <t>A 61011-2022</t>
        </is>
      </c>
      <c r="B430" s="1" t="n">
        <v>44914</v>
      </c>
      <c r="C430" s="1" t="n">
        <v>45661</v>
      </c>
      <c r="D430" t="inlineStr">
        <is>
          <t>STOCKHOLMS LÄN</t>
        </is>
      </c>
      <c r="E430" t="inlineStr">
        <is>
          <t>NORRTÄLJE</t>
        </is>
      </c>
      <c r="G430" t="n">
        <v>2.2</v>
      </c>
      <c r="H430" t="n">
        <v>0</v>
      </c>
      <c r="I430" t="n">
        <v>0</v>
      </c>
      <c r="J430" t="n">
        <v>1</v>
      </c>
      <c r="K430" t="n">
        <v>0</v>
      </c>
      <c r="L430" t="n">
        <v>0</v>
      </c>
      <c r="M430" t="n">
        <v>0</v>
      </c>
      <c r="N430" t="n">
        <v>0</v>
      </c>
      <c r="O430" t="n">
        <v>1</v>
      </c>
      <c r="P430" t="n">
        <v>0</v>
      </c>
      <c r="Q430" t="n">
        <v>1</v>
      </c>
      <c r="R430" s="2" t="inlineStr">
        <is>
          <t>Orange taggsvamp</t>
        </is>
      </c>
      <c r="S430">
        <f>HYPERLINK("https://klasma.github.io/Logging_0188/artfynd/A 61011-2022 artfynd.xlsx", "A 61011-2022")</f>
        <v/>
      </c>
      <c r="T430">
        <f>HYPERLINK("https://klasma.github.io/Logging_0188/kartor/A 61011-2022 karta.png", "A 61011-2022")</f>
        <v/>
      </c>
      <c r="V430">
        <f>HYPERLINK("https://klasma.github.io/Logging_0188/klagomål/A 61011-2022 FSC-klagomål.docx", "A 61011-2022")</f>
        <v/>
      </c>
      <c r="W430">
        <f>HYPERLINK("https://klasma.github.io/Logging_0188/klagomålsmail/A 61011-2022 FSC-klagomål mail.docx", "A 61011-2022")</f>
        <v/>
      </c>
      <c r="X430">
        <f>HYPERLINK("https://klasma.github.io/Logging_0188/tillsyn/A 61011-2022 tillsynsbegäran.docx", "A 61011-2022")</f>
        <v/>
      </c>
      <c r="Y430">
        <f>HYPERLINK("https://klasma.github.io/Logging_0188/tillsynsmail/A 61011-2022 tillsynsbegäran mail.docx", "A 61011-2022")</f>
        <v/>
      </c>
    </row>
    <row r="431" ht="15" customHeight="1">
      <c r="A431" t="inlineStr">
        <is>
          <t>A 61372-2022</t>
        </is>
      </c>
      <c r="B431" s="1" t="n">
        <v>44915</v>
      </c>
      <c r="C431" s="1" t="n">
        <v>45661</v>
      </c>
      <c r="D431" t="inlineStr">
        <is>
          <t>STOCKHOLMS LÄN</t>
        </is>
      </c>
      <c r="E431" t="inlineStr">
        <is>
          <t>ÖSTERÅKER</t>
        </is>
      </c>
      <c r="G431" t="n">
        <v>4.3</v>
      </c>
      <c r="H431" t="n">
        <v>0</v>
      </c>
      <c r="I431" t="n">
        <v>1</v>
      </c>
      <c r="J431" t="n">
        <v>0</v>
      </c>
      <c r="K431" t="n">
        <v>0</v>
      </c>
      <c r="L431" t="n">
        <v>0</v>
      </c>
      <c r="M431" t="n">
        <v>0</v>
      </c>
      <c r="N431" t="n">
        <v>0</v>
      </c>
      <c r="O431" t="n">
        <v>0</v>
      </c>
      <c r="P431" t="n">
        <v>0</v>
      </c>
      <c r="Q431" t="n">
        <v>1</v>
      </c>
      <c r="R431" s="2" t="inlineStr">
        <is>
          <t>Mindre märgborre</t>
        </is>
      </c>
      <c r="S431">
        <f>HYPERLINK("https://klasma.github.io/Logging_0117/artfynd/A 61372-2022 artfynd.xlsx", "A 61372-2022")</f>
        <v/>
      </c>
      <c r="T431">
        <f>HYPERLINK("https://klasma.github.io/Logging_0117/kartor/A 61372-2022 karta.png", "A 61372-2022")</f>
        <v/>
      </c>
      <c r="V431">
        <f>HYPERLINK("https://klasma.github.io/Logging_0117/klagomål/A 61372-2022 FSC-klagomål.docx", "A 61372-2022")</f>
        <v/>
      </c>
      <c r="W431">
        <f>HYPERLINK("https://klasma.github.io/Logging_0117/klagomålsmail/A 61372-2022 FSC-klagomål mail.docx", "A 61372-2022")</f>
        <v/>
      </c>
      <c r="X431">
        <f>HYPERLINK("https://klasma.github.io/Logging_0117/tillsyn/A 61372-2022 tillsynsbegäran.docx", "A 61372-2022")</f>
        <v/>
      </c>
      <c r="Y431">
        <f>HYPERLINK("https://klasma.github.io/Logging_0117/tillsynsmail/A 61372-2022 tillsynsbegäran mail.docx", "A 61372-2022")</f>
        <v/>
      </c>
    </row>
    <row r="432" ht="15" customHeight="1">
      <c r="A432" t="inlineStr">
        <is>
          <t>A 61732-2022</t>
        </is>
      </c>
      <c r="B432" s="1" t="n">
        <v>44917</v>
      </c>
      <c r="C432" s="1" t="n">
        <v>45661</v>
      </c>
      <c r="D432" t="inlineStr">
        <is>
          <t>STOCKHOLMS LÄN</t>
        </is>
      </c>
      <c r="E432" t="inlineStr">
        <is>
          <t>ÖSTERÅKER</t>
        </is>
      </c>
      <c r="G432" t="n">
        <v>2.2</v>
      </c>
      <c r="H432" t="n">
        <v>0</v>
      </c>
      <c r="I432" t="n">
        <v>0</v>
      </c>
      <c r="J432" t="n">
        <v>1</v>
      </c>
      <c r="K432" t="n">
        <v>0</v>
      </c>
      <c r="L432" t="n">
        <v>0</v>
      </c>
      <c r="M432" t="n">
        <v>0</v>
      </c>
      <c r="N432" t="n">
        <v>0</v>
      </c>
      <c r="O432" t="n">
        <v>1</v>
      </c>
      <c r="P432" t="n">
        <v>0</v>
      </c>
      <c r="Q432" t="n">
        <v>1</v>
      </c>
      <c r="R432" s="2" t="inlineStr">
        <is>
          <t>Ullticka</t>
        </is>
      </c>
      <c r="S432">
        <f>HYPERLINK("https://klasma.github.io/Logging_0117/artfynd/A 61732-2022 artfynd.xlsx", "A 61732-2022")</f>
        <v/>
      </c>
      <c r="T432">
        <f>HYPERLINK("https://klasma.github.io/Logging_0117/kartor/A 61732-2022 karta.png", "A 61732-2022")</f>
        <v/>
      </c>
      <c r="V432">
        <f>HYPERLINK("https://klasma.github.io/Logging_0117/klagomål/A 61732-2022 FSC-klagomål.docx", "A 61732-2022")</f>
        <v/>
      </c>
      <c r="W432">
        <f>HYPERLINK("https://klasma.github.io/Logging_0117/klagomålsmail/A 61732-2022 FSC-klagomål mail.docx", "A 61732-2022")</f>
        <v/>
      </c>
      <c r="X432">
        <f>HYPERLINK("https://klasma.github.io/Logging_0117/tillsyn/A 61732-2022 tillsynsbegäran.docx", "A 61732-2022")</f>
        <v/>
      </c>
      <c r="Y432">
        <f>HYPERLINK("https://klasma.github.io/Logging_0117/tillsynsmail/A 61732-2022 tillsynsbegäran mail.docx", "A 61732-2022")</f>
        <v/>
      </c>
    </row>
    <row r="433" ht="15" customHeight="1">
      <c r="A433" t="inlineStr">
        <is>
          <t>A 847-2023</t>
        </is>
      </c>
      <c r="B433" s="1" t="n">
        <v>44931</v>
      </c>
      <c r="C433" s="1" t="n">
        <v>45661</v>
      </c>
      <c r="D433" t="inlineStr">
        <is>
          <t>STOCKHOLMS LÄN</t>
        </is>
      </c>
      <c r="E433" t="inlineStr">
        <is>
          <t>ÖSTERÅKER</t>
        </is>
      </c>
      <c r="G433" t="n">
        <v>3</v>
      </c>
      <c r="H433" t="n">
        <v>1</v>
      </c>
      <c r="I433" t="n">
        <v>0</v>
      </c>
      <c r="J433" t="n">
        <v>1</v>
      </c>
      <c r="K433" t="n">
        <v>0</v>
      </c>
      <c r="L433" t="n">
        <v>0</v>
      </c>
      <c r="M433" t="n">
        <v>0</v>
      </c>
      <c r="N433" t="n">
        <v>0</v>
      </c>
      <c r="O433" t="n">
        <v>1</v>
      </c>
      <c r="P433" t="n">
        <v>0</v>
      </c>
      <c r="Q433" t="n">
        <v>1</v>
      </c>
      <c r="R433" s="2" t="inlineStr">
        <is>
          <t>Talltita</t>
        </is>
      </c>
      <c r="S433">
        <f>HYPERLINK("https://klasma.github.io/Logging_0117/artfynd/A 847-2023 artfynd.xlsx", "A 847-2023")</f>
        <v/>
      </c>
      <c r="T433">
        <f>HYPERLINK("https://klasma.github.io/Logging_0117/kartor/A 847-2023 karta.png", "A 847-2023")</f>
        <v/>
      </c>
      <c r="V433">
        <f>HYPERLINK("https://klasma.github.io/Logging_0117/klagomål/A 847-2023 FSC-klagomål.docx", "A 847-2023")</f>
        <v/>
      </c>
      <c r="W433">
        <f>HYPERLINK("https://klasma.github.io/Logging_0117/klagomålsmail/A 847-2023 FSC-klagomål mail.docx", "A 847-2023")</f>
        <v/>
      </c>
      <c r="X433">
        <f>HYPERLINK("https://klasma.github.io/Logging_0117/tillsyn/A 847-2023 tillsynsbegäran.docx", "A 847-2023")</f>
        <v/>
      </c>
      <c r="Y433">
        <f>HYPERLINK("https://klasma.github.io/Logging_0117/tillsynsmail/A 847-2023 tillsynsbegäran mail.docx", "A 847-2023")</f>
        <v/>
      </c>
      <c r="Z433">
        <f>HYPERLINK("https://klasma.github.io/Logging_0117/fåglar/A 847-2023 prioriterade fågelarter.docx", "A 847-2023")</f>
        <v/>
      </c>
    </row>
    <row r="434" ht="15" customHeight="1">
      <c r="A434" t="inlineStr">
        <is>
          <t>A 1691-2023</t>
        </is>
      </c>
      <c r="B434" s="1" t="n">
        <v>44938</v>
      </c>
      <c r="C434" s="1" t="n">
        <v>45661</v>
      </c>
      <c r="D434" t="inlineStr">
        <is>
          <t>STOCKHOLMS LÄN</t>
        </is>
      </c>
      <c r="E434" t="inlineStr">
        <is>
          <t>BOTKYRKA</t>
        </is>
      </c>
      <c r="G434" t="n">
        <v>1.7</v>
      </c>
      <c r="H434" t="n">
        <v>0</v>
      </c>
      <c r="I434" t="n">
        <v>1</v>
      </c>
      <c r="J434" t="n">
        <v>0</v>
      </c>
      <c r="K434" t="n">
        <v>0</v>
      </c>
      <c r="L434" t="n">
        <v>0</v>
      </c>
      <c r="M434" t="n">
        <v>0</v>
      </c>
      <c r="N434" t="n">
        <v>0</v>
      </c>
      <c r="O434" t="n">
        <v>0</v>
      </c>
      <c r="P434" t="n">
        <v>0</v>
      </c>
      <c r="Q434" t="n">
        <v>1</v>
      </c>
      <c r="R434" s="2" t="inlineStr">
        <is>
          <t>Tibast</t>
        </is>
      </c>
      <c r="S434">
        <f>HYPERLINK("https://klasma.github.io/Logging_0127/artfynd/A 1691-2023 artfynd.xlsx", "A 1691-2023")</f>
        <v/>
      </c>
      <c r="T434">
        <f>HYPERLINK("https://klasma.github.io/Logging_0127/kartor/A 1691-2023 karta.png", "A 1691-2023")</f>
        <v/>
      </c>
      <c r="V434">
        <f>HYPERLINK("https://klasma.github.io/Logging_0127/klagomål/A 1691-2023 FSC-klagomål.docx", "A 1691-2023")</f>
        <v/>
      </c>
      <c r="W434">
        <f>HYPERLINK("https://klasma.github.io/Logging_0127/klagomålsmail/A 1691-2023 FSC-klagomål mail.docx", "A 1691-2023")</f>
        <v/>
      </c>
      <c r="X434">
        <f>HYPERLINK("https://klasma.github.io/Logging_0127/tillsyn/A 1691-2023 tillsynsbegäran.docx", "A 1691-2023")</f>
        <v/>
      </c>
      <c r="Y434">
        <f>HYPERLINK("https://klasma.github.io/Logging_0127/tillsynsmail/A 1691-2023 tillsynsbegäran mail.docx", "A 1691-2023")</f>
        <v/>
      </c>
    </row>
    <row r="435" ht="15" customHeight="1">
      <c r="A435" t="inlineStr">
        <is>
          <t>A 2987-2023</t>
        </is>
      </c>
      <c r="B435" s="1" t="n">
        <v>44945</v>
      </c>
      <c r="C435" s="1" t="n">
        <v>45661</v>
      </c>
      <c r="D435" t="inlineStr">
        <is>
          <t>STOCKHOLMS LÄN</t>
        </is>
      </c>
      <c r="E435" t="inlineStr">
        <is>
          <t>SALEM</t>
        </is>
      </c>
      <c r="F435" t="inlineStr">
        <is>
          <t>Kommuner</t>
        </is>
      </c>
      <c r="G435" t="n">
        <v>6.2</v>
      </c>
      <c r="H435" t="n">
        <v>0</v>
      </c>
      <c r="I435" t="n">
        <v>0</v>
      </c>
      <c r="J435" t="n">
        <v>1</v>
      </c>
      <c r="K435" t="n">
        <v>0</v>
      </c>
      <c r="L435" t="n">
        <v>0</v>
      </c>
      <c r="M435" t="n">
        <v>0</v>
      </c>
      <c r="N435" t="n">
        <v>0</v>
      </c>
      <c r="O435" t="n">
        <v>1</v>
      </c>
      <c r="P435" t="n">
        <v>0</v>
      </c>
      <c r="Q435" t="n">
        <v>1</v>
      </c>
      <c r="R435" s="2" t="inlineStr">
        <is>
          <t>Tallticka</t>
        </is>
      </c>
      <c r="S435">
        <f>HYPERLINK("https://klasma.github.io/Logging_0128/artfynd/A 2987-2023 artfynd.xlsx", "A 2987-2023")</f>
        <v/>
      </c>
      <c r="T435">
        <f>HYPERLINK("https://klasma.github.io/Logging_0128/kartor/A 2987-2023 karta.png", "A 2987-2023")</f>
        <v/>
      </c>
      <c r="V435">
        <f>HYPERLINK("https://klasma.github.io/Logging_0128/klagomål/A 2987-2023 FSC-klagomål.docx", "A 2987-2023")</f>
        <v/>
      </c>
      <c r="W435">
        <f>HYPERLINK("https://klasma.github.io/Logging_0128/klagomålsmail/A 2987-2023 FSC-klagomål mail.docx", "A 2987-2023")</f>
        <v/>
      </c>
      <c r="X435">
        <f>HYPERLINK("https://klasma.github.io/Logging_0128/tillsyn/A 2987-2023 tillsynsbegäran.docx", "A 2987-2023")</f>
        <v/>
      </c>
      <c r="Y435">
        <f>HYPERLINK("https://klasma.github.io/Logging_0128/tillsynsmail/A 2987-2023 tillsynsbegäran mail.docx", "A 2987-2023")</f>
        <v/>
      </c>
    </row>
    <row r="436" ht="15" customHeight="1">
      <c r="A436" t="inlineStr">
        <is>
          <t>A 3919-2023</t>
        </is>
      </c>
      <c r="B436" s="1" t="n">
        <v>44952</v>
      </c>
      <c r="C436" s="1" t="n">
        <v>45661</v>
      </c>
      <c r="D436" t="inlineStr">
        <is>
          <t>STOCKHOLMS LÄN</t>
        </is>
      </c>
      <c r="E436" t="inlineStr">
        <is>
          <t>ÖSTERÅKER</t>
        </is>
      </c>
      <c r="F436" t="inlineStr">
        <is>
          <t>Kommuner</t>
        </is>
      </c>
      <c r="G436" t="n">
        <v>4.9</v>
      </c>
      <c r="H436" t="n">
        <v>0</v>
      </c>
      <c r="I436" t="n">
        <v>0</v>
      </c>
      <c r="J436" t="n">
        <v>1</v>
      </c>
      <c r="K436" t="n">
        <v>0</v>
      </c>
      <c r="L436" t="n">
        <v>0</v>
      </c>
      <c r="M436" t="n">
        <v>0</v>
      </c>
      <c r="N436" t="n">
        <v>0</v>
      </c>
      <c r="O436" t="n">
        <v>1</v>
      </c>
      <c r="P436" t="n">
        <v>0</v>
      </c>
      <c r="Q436" t="n">
        <v>1</v>
      </c>
      <c r="R436" s="2" t="inlineStr">
        <is>
          <t>Tallticka</t>
        </is>
      </c>
      <c r="S436">
        <f>HYPERLINK("https://klasma.github.io/Logging_0117/artfynd/A 3919-2023 artfynd.xlsx", "A 3919-2023")</f>
        <v/>
      </c>
      <c r="T436">
        <f>HYPERLINK("https://klasma.github.io/Logging_0117/kartor/A 3919-2023 karta.png", "A 3919-2023")</f>
        <v/>
      </c>
      <c r="V436">
        <f>HYPERLINK("https://klasma.github.io/Logging_0117/klagomål/A 3919-2023 FSC-klagomål.docx", "A 3919-2023")</f>
        <v/>
      </c>
      <c r="W436">
        <f>HYPERLINK("https://klasma.github.io/Logging_0117/klagomålsmail/A 3919-2023 FSC-klagomål mail.docx", "A 3919-2023")</f>
        <v/>
      </c>
      <c r="X436">
        <f>HYPERLINK("https://klasma.github.io/Logging_0117/tillsyn/A 3919-2023 tillsynsbegäran.docx", "A 3919-2023")</f>
        <v/>
      </c>
      <c r="Y436">
        <f>HYPERLINK("https://klasma.github.io/Logging_0117/tillsynsmail/A 3919-2023 tillsynsbegäran mail.docx", "A 3919-2023")</f>
        <v/>
      </c>
    </row>
    <row r="437" ht="15" customHeight="1">
      <c r="A437" t="inlineStr">
        <is>
          <t>A 3914-2023</t>
        </is>
      </c>
      <c r="B437" s="1" t="n">
        <v>44952</v>
      </c>
      <c r="C437" s="1" t="n">
        <v>45661</v>
      </c>
      <c r="D437" t="inlineStr">
        <is>
          <t>STOCKHOLMS LÄN</t>
        </is>
      </c>
      <c r="E437" t="inlineStr">
        <is>
          <t>ÖSTERÅKER</t>
        </is>
      </c>
      <c r="F437" t="inlineStr">
        <is>
          <t>Kommuner</t>
        </is>
      </c>
      <c r="G437" t="n">
        <v>15.3</v>
      </c>
      <c r="H437" t="n">
        <v>1</v>
      </c>
      <c r="I437" t="n">
        <v>0</v>
      </c>
      <c r="J437" t="n">
        <v>1</v>
      </c>
      <c r="K437" t="n">
        <v>0</v>
      </c>
      <c r="L437" t="n">
        <v>0</v>
      </c>
      <c r="M437" t="n">
        <v>0</v>
      </c>
      <c r="N437" t="n">
        <v>0</v>
      </c>
      <c r="O437" t="n">
        <v>1</v>
      </c>
      <c r="P437" t="n">
        <v>0</v>
      </c>
      <c r="Q437" t="n">
        <v>1</v>
      </c>
      <c r="R437" s="2" t="inlineStr">
        <is>
          <t>Kråka</t>
        </is>
      </c>
      <c r="S437">
        <f>HYPERLINK("https://klasma.github.io/Logging_0117/artfynd/A 3914-2023 artfynd.xlsx", "A 3914-2023")</f>
        <v/>
      </c>
      <c r="T437">
        <f>HYPERLINK("https://klasma.github.io/Logging_0117/kartor/A 3914-2023 karta.png", "A 3914-2023")</f>
        <v/>
      </c>
      <c r="V437">
        <f>HYPERLINK("https://klasma.github.io/Logging_0117/klagomål/A 3914-2023 FSC-klagomål.docx", "A 3914-2023")</f>
        <v/>
      </c>
      <c r="W437">
        <f>HYPERLINK("https://klasma.github.io/Logging_0117/klagomålsmail/A 3914-2023 FSC-klagomål mail.docx", "A 3914-2023")</f>
        <v/>
      </c>
      <c r="X437">
        <f>HYPERLINK("https://klasma.github.io/Logging_0117/tillsyn/A 3914-2023 tillsynsbegäran.docx", "A 3914-2023")</f>
        <v/>
      </c>
      <c r="Y437">
        <f>HYPERLINK("https://klasma.github.io/Logging_0117/tillsynsmail/A 3914-2023 tillsynsbegäran mail.docx", "A 3914-2023")</f>
        <v/>
      </c>
      <c r="Z437">
        <f>HYPERLINK("https://klasma.github.io/Logging_0117/fåglar/A 3914-2023 prioriterade fågelarter.docx", "A 3914-2023")</f>
        <v/>
      </c>
    </row>
    <row r="438" ht="15" customHeight="1">
      <c r="A438" t="inlineStr">
        <is>
          <t>A 4385-2023</t>
        </is>
      </c>
      <c r="B438" s="1" t="n">
        <v>44955</v>
      </c>
      <c r="C438" s="1" t="n">
        <v>45661</v>
      </c>
      <c r="D438" t="inlineStr">
        <is>
          <t>STOCKHOLMS LÄN</t>
        </is>
      </c>
      <c r="E438" t="inlineStr">
        <is>
          <t>NORRTÄLJE</t>
        </is>
      </c>
      <c r="G438" t="n">
        <v>7.8</v>
      </c>
      <c r="H438" t="n">
        <v>1</v>
      </c>
      <c r="I438" t="n">
        <v>1</v>
      </c>
      <c r="J438" t="n">
        <v>0</v>
      </c>
      <c r="K438" t="n">
        <v>0</v>
      </c>
      <c r="L438" t="n">
        <v>0</v>
      </c>
      <c r="M438" t="n">
        <v>0</v>
      </c>
      <c r="N438" t="n">
        <v>0</v>
      </c>
      <c r="O438" t="n">
        <v>0</v>
      </c>
      <c r="P438" t="n">
        <v>0</v>
      </c>
      <c r="Q438" t="n">
        <v>1</v>
      </c>
      <c r="R438" s="2" t="inlineStr">
        <is>
          <t>Skogsknipprot</t>
        </is>
      </c>
      <c r="S438">
        <f>HYPERLINK("https://klasma.github.io/Logging_0188/artfynd/A 4385-2023 artfynd.xlsx", "A 4385-2023")</f>
        <v/>
      </c>
      <c r="T438">
        <f>HYPERLINK("https://klasma.github.io/Logging_0188/kartor/A 4385-2023 karta.png", "A 4385-2023")</f>
        <v/>
      </c>
      <c r="V438">
        <f>HYPERLINK("https://klasma.github.io/Logging_0188/klagomål/A 4385-2023 FSC-klagomål.docx", "A 4385-2023")</f>
        <v/>
      </c>
      <c r="W438">
        <f>HYPERLINK("https://klasma.github.io/Logging_0188/klagomålsmail/A 4385-2023 FSC-klagomål mail.docx", "A 4385-2023")</f>
        <v/>
      </c>
      <c r="X438">
        <f>HYPERLINK("https://klasma.github.io/Logging_0188/tillsyn/A 4385-2023 tillsynsbegäran.docx", "A 4385-2023")</f>
        <v/>
      </c>
      <c r="Y438">
        <f>HYPERLINK("https://klasma.github.io/Logging_0188/tillsynsmail/A 4385-2023 tillsynsbegäran mail.docx", "A 4385-2023")</f>
        <v/>
      </c>
    </row>
    <row r="439" ht="15" customHeight="1">
      <c r="A439" t="inlineStr">
        <is>
          <t>A 4595-2023</t>
        </is>
      </c>
      <c r="B439" s="1" t="n">
        <v>44956</v>
      </c>
      <c r="C439" s="1" t="n">
        <v>45661</v>
      </c>
      <c r="D439" t="inlineStr">
        <is>
          <t>STOCKHOLMS LÄN</t>
        </is>
      </c>
      <c r="E439" t="inlineStr">
        <is>
          <t>NORRTÄLJE</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HYPERLINK("https://klasma.github.io/Logging_0188/artfynd/A 4595-2023 artfynd.xlsx", "A 4595-2023")</f>
        <v/>
      </c>
      <c r="T439">
        <f>HYPERLINK("https://klasma.github.io/Logging_0188/kartor/A 4595-2023 karta.png", "A 4595-2023")</f>
        <v/>
      </c>
      <c r="V439">
        <f>HYPERLINK("https://klasma.github.io/Logging_0188/klagomål/A 4595-2023 FSC-klagomål.docx", "A 4595-2023")</f>
        <v/>
      </c>
      <c r="W439">
        <f>HYPERLINK("https://klasma.github.io/Logging_0188/klagomålsmail/A 4595-2023 FSC-klagomål mail.docx", "A 4595-2023")</f>
        <v/>
      </c>
      <c r="X439">
        <f>HYPERLINK("https://klasma.github.io/Logging_0188/tillsyn/A 4595-2023 tillsynsbegäran.docx", "A 4595-2023")</f>
        <v/>
      </c>
      <c r="Y439">
        <f>HYPERLINK("https://klasma.github.io/Logging_0188/tillsynsmail/A 4595-2023 tillsynsbegäran mail.docx", "A 4595-2023")</f>
        <v/>
      </c>
    </row>
    <row r="440" ht="15" customHeight="1">
      <c r="A440" t="inlineStr">
        <is>
          <t>A 4688-2023</t>
        </is>
      </c>
      <c r="B440" s="1" t="n">
        <v>44957</v>
      </c>
      <c r="C440" s="1" t="n">
        <v>45661</v>
      </c>
      <c r="D440" t="inlineStr">
        <is>
          <t>STOCKHOLMS LÄN</t>
        </is>
      </c>
      <c r="E440" t="inlineStr">
        <is>
          <t>NYNÄSHAMN</t>
        </is>
      </c>
      <c r="G440" t="n">
        <v>0.9</v>
      </c>
      <c r="H440" t="n">
        <v>1</v>
      </c>
      <c r="I440" t="n">
        <v>0</v>
      </c>
      <c r="J440" t="n">
        <v>1</v>
      </c>
      <c r="K440" t="n">
        <v>0</v>
      </c>
      <c r="L440" t="n">
        <v>0</v>
      </c>
      <c r="M440" t="n">
        <v>0</v>
      </c>
      <c r="N440" t="n">
        <v>0</v>
      </c>
      <c r="O440" t="n">
        <v>1</v>
      </c>
      <c r="P440" t="n">
        <v>0</v>
      </c>
      <c r="Q440" t="n">
        <v>1</v>
      </c>
      <c r="R440" s="2" t="inlineStr">
        <is>
          <t>Lundsångare</t>
        </is>
      </c>
      <c r="S440">
        <f>HYPERLINK("https://klasma.github.io/Logging_0192/artfynd/A 4688-2023 artfynd.xlsx", "A 4688-2023")</f>
        <v/>
      </c>
      <c r="T440">
        <f>HYPERLINK("https://klasma.github.io/Logging_0192/kartor/A 4688-2023 karta.png", "A 4688-2023")</f>
        <v/>
      </c>
      <c r="V440">
        <f>HYPERLINK("https://klasma.github.io/Logging_0192/klagomål/A 4688-2023 FSC-klagomål.docx", "A 4688-2023")</f>
        <v/>
      </c>
      <c r="W440">
        <f>HYPERLINK("https://klasma.github.io/Logging_0192/klagomålsmail/A 4688-2023 FSC-klagomål mail.docx", "A 4688-2023")</f>
        <v/>
      </c>
      <c r="X440">
        <f>HYPERLINK("https://klasma.github.io/Logging_0192/tillsyn/A 4688-2023 tillsynsbegäran.docx", "A 4688-2023")</f>
        <v/>
      </c>
      <c r="Y440">
        <f>HYPERLINK("https://klasma.github.io/Logging_0192/tillsynsmail/A 4688-2023 tillsynsbegäran mail.docx", "A 4688-2023")</f>
        <v/>
      </c>
      <c r="Z440">
        <f>HYPERLINK("https://klasma.github.io/Logging_0192/fåglar/A 4688-2023 prioriterade fågelarter.docx", "A 4688-2023")</f>
        <v/>
      </c>
    </row>
    <row r="441" ht="15" customHeight="1">
      <c r="A441" t="inlineStr">
        <is>
          <t>A 5574-2023</t>
        </is>
      </c>
      <c r="B441" s="1" t="n">
        <v>44960</v>
      </c>
      <c r="C441" s="1" t="n">
        <v>45661</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5574-2023 artfynd.xlsx", "A 5574-2023")</f>
        <v/>
      </c>
      <c r="T441">
        <f>HYPERLINK("https://klasma.github.io/Logging_0127/kartor/A 5574-2023 karta.png", "A 5574-2023")</f>
        <v/>
      </c>
      <c r="V441">
        <f>HYPERLINK("https://klasma.github.io/Logging_0127/klagomål/A 5574-2023 FSC-klagomål.docx", "A 5574-2023")</f>
        <v/>
      </c>
      <c r="W441">
        <f>HYPERLINK("https://klasma.github.io/Logging_0127/klagomålsmail/A 5574-2023 FSC-klagomål mail.docx", "A 5574-2023")</f>
        <v/>
      </c>
      <c r="X441">
        <f>HYPERLINK("https://klasma.github.io/Logging_0127/tillsyn/A 5574-2023 tillsynsbegäran.docx", "A 5574-2023")</f>
        <v/>
      </c>
      <c r="Y441">
        <f>HYPERLINK("https://klasma.github.io/Logging_0127/tillsynsmail/A 5574-2023 tillsynsbegäran mail.docx", "A 5574-2023")</f>
        <v/>
      </c>
    </row>
    <row r="442" ht="15" customHeight="1">
      <c r="A442" t="inlineStr">
        <is>
          <t>A 6381-2023</t>
        </is>
      </c>
      <c r="B442" s="1" t="n">
        <v>44965</v>
      </c>
      <c r="C442" s="1" t="n">
        <v>45661</v>
      </c>
      <c r="D442" t="inlineStr">
        <is>
          <t>STOCKHOLMS LÄN</t>
        </is>
      </c>
      <c r="E442" t="inlineStr">
        <is>
          <t>NORRTÄLJE</t>
        </is>
      </c>
      <c r="G442" t="n">
        <v>3.5</v>
      </c>
      <c r="H442" t="n">
        <v>1</v>
      </c>
      <c r="I442" t="n">
        <v>1</v>
      </c>
      <c r="J442" t="n">
        <v>0</v>
      </c>
      <c r="K442" t="n">
        <v>0</v>
      </c>
      <c r="L442" t="n">
        <v>0</v>
      </c>
      <c r="M442" t="n">
        <v>0</v>
      </c>
      <c r="N442" t="n">
        <v>0</v>
      </c>
      <c r="O442" t="n">
        <v>0</v>
      </c>
      <c r="P442" t="n">
        <v>0</v>
      </c>
      <c r="Q442" t="n">
        <v>1</v>
      </c>
      <c r="R442" s="2" t="inlineStr">
        <is>
          <t>Guckusko</t>
        </is>
      </c>
      <c r="S442">
        <f>HYPERLINK("https://klasma.github.io/Logging_0188/artfynd/A 6381-2023 artfynd.xlsx", "A 6381-2023")</f>
        <v/>
      </c>
      <c r="T442">
        <f>HYPERLINK("https://klasma.github.io/Logging_0188/kartor/A 6381-2023 karta.png", "A 6381-2023")</f>
        <v/>
      </c>
      <c r="V442">
        <f>HYPERLINK("https://klasma.github.io/Logging_0188/klagomål/A 6381-2023 FSC-klagomål.docx", "A 6381-2023")</f>
        <v/>
      </c>
      <c r="W442">
        <f>HYPERLINK("https://klasma.github.io/Logging_0188/klagomålsmail/A 6381-2023 FSC-klagomål mail.docx", "A 6381-2023")</f>
        <v/>
      </c>
      <c r="X442">
        <f>HYPERLINK("https://klasma.github.io/Logging_0188/tillsyn/A 6381-2023 tillsynsbegäran.docx", "A 6381-2023")</f>
        <v/>
      </c>
      <c r="Y442">
        <f>HYPERLINK("https://klasma.github.io/Logging_0188/tillsynsmail/A 6381-2023 tillsynsbegäran mail.docx", "A 6381-2023")</f>
        <v/>
      </c>
    </row>
    <row r="443" ht="15" customHeight="1">
      <c r="A443" t="inlineStr">
        <is>
          <t>A 6435-2023</t>
        </is>
      </c>
      <c r="B443" s="1" t="n">
        <v>44965</v>
      </c>
      <c r="C443" s="1" t="n">
        <v>45661</v>
      </c>
      <c r="D443" t="inlineStr">
        <is>
          <t>STOCKHOLMS LÄN</t>
        </is>
      </c>
      <c r="E443" t="inlineStr">
        <is>
          <t>NYNÄSHAMN</t>
        </is>
      </c>
      <c r="G443" t="n">
        <v>1.8</v>
      </c>
      <c r="H443" t="n">
        <v>0</v>
      </c>
      <c r="I443" t="n">
        <v>0</v>
      </c>
      <c r="J443" t="n">
        <v>1</v>
      </c>
      <c r="K443" t="n">
        <v>0</v>
      </c>
      <c r="L443" t="n">
        <v>0</v>
      </c>
      <c r="M443" t="n">
        <v>0</v>
      </c>
      <c r="N443" t="n">
        <v>0</v>
      </c>
      <c r="O443" t="n">
        <v>1</v>
      </c>
      <c r="P443" t="n">
        <v>0</v>
      </c>
      <c r="Q443" t="n">
        <v>1</v>
      </c>
      <c r="R443" s="2" t="inlineStr">
        <is>
          <t>Tallticka</t>
        </is>
      </c>
      <c r="S443">
        <f>HYPERLINK("https://klasma.github.io/Logging_0192/artfynd/A 6435-2023 artfynd.xlsx", "A 6435-2023")</f>
        <v/>
      </c>
      <c r="T443">
        <f>HYPERLINK("https://klasma.github.io/Logging_0192/kartor/A 6435-2023 karta.png", "A 6435-2023")</f>
        <v/>
      </c>
      <c r="V443">
        <f>HYPERLINK("https://klasma.github.io/Logging_0192/klagomål/A 6435-2023 FSC-klagomål.docx", "A 6435-2023")</f>
        <v/>
      </c>
      <c r="W443">
        <f>HYPERLINK("https://klasma.github.io/Logging_0192/klagomålsmail/A 6435-2023 FSC-klagomål mail.docx", "A 6435-2023")</f>
        <v/>
      </c>
      <c r="X443">
        <f>HYPERLINK("https://klasma.github.io/Logging_0192/tillsyn/A 6435-2023 tillsynsbegäran.docx", "A 6435-2023")</f>
        <v/>
      </c>
      <c r="Y443">
        <f>HYPERLINK("https://klasma.github.io/Logging_0192/tillsynsmail/A 6435-2023 tillsynsbegäran mail.docx", "A 6435-2023")</f>
        <v/>
      </c>
    </row>
    <row r="444" ht="15" customHeight="1">
      <c r="A444" t="inlineStr">
        <is>
          <t>A 7540-2023</t>
        </is>
      </c>
      <c r="B444" s="1" t="n">
        <v>44972</v>
      </c>
      <c r="C444" s="1" t="n">
        <v>45661</v>
      </c>
      <c r="D444" t="inlineStr">
        <is>
          <t>STOCKHOLMS LÄN</t>
        </is>
      </c>
      <c r="E444" t="inlineStr">
        <is>
          <t>NYNÄSHAMN</t>
        </is>
      </c>
      <c r="G444" t="n">
        <v>3.4</v>
      </c>
      <c r="H444" t="n">
        <v>1</v>
      </c>
      <c r="I444" t="n">
        <v>0</v>
      </c>
      <c r="J444" t="n">
        <v>1</v>
      </c>
      <c r="K444" t="n">
        <v>0</v>
      </c>
      <c r="L444" t="n">
        <v>0</v>
      </c>
      <c r="M444" t="n">
        <v>0</v>
      </c>
      <c r="N444" t="n">
        <v>0</v>
      </c>
      <c r="O444" t="n">
        <v>1</v>
      </c>
      <c r="P444" t="n">
        <v>0</v>
      </c>
      <c r="Q444" t="n">
        <v>1</v>
      </c>
      <c r="R444" s="2" t="inlineStr">
        <is>
          <t>Fjällvråk</t>
        </is>
      </c>
      <c r="S444">
        <f>HYPERLINK("https://klasma.github.io/Logging_0192/artfynd/A 7540-2023 artfynd.xlsx", "A 7540-2023")</f>
        <v/>
      </c>
      <c r="T444">
        <f>HYPERLINK("https://klasma.github.io/Logging_0192/kartor/A 7540-2023 karta.png", "A 7540-2023")</f>
        <v/>
      </c>
      <c r="V444">
        <f>HYPERLINK("https://klasma.github.io/Logging_0192/klagomål/A 7540-2023 FSC-klagomål.docx", "A 7540-2023")</f>
        <v/>
      </c>
      <c r="W444">
        <f>HYPERLINK("https://klasma.github.io/Logging_0192/klagomålsmail/A 7540-2023 FSC-klagomål mail.docx", "A 7540-2023")</f>
        <v/>
      </c>
      <c r="X444">
        <f>HYPERLINK("https://klasma.github.io/Logging_0192/tillsyn/A 7540-2023 tillsynsbegäran.docx", "A 7540-2023")</f>
        <v/>
      </c>
      <c r="Y444">
        <f>HYPERLINK("https://klasma.github.io/Logging_0192/tillsynsmail/A 7540-2023 tillsynsbegäran mail.docx", "A 7540-2023")</f>
        <v/>
      </c>
      <c r="Z444">
        <f>HYPERLINK("https://klasma.github.io/Logging_0192/fåglar/A 7540-2023 prioriterade fågelarter.docx", "A 7540-2023")</f>
        <v/>
      </c>
    </row>
    <row r="445" ht="15" customHeight="1">
      <c r="A445" t="inlineStr">
        <is>
          <t>A 7890-2023</t>
        </is>
      </c>
      <c r="B445" s="1" t="n">
        <v>44973</v>
      </c>
      <c r="C445" s="1" t="n">
        <v>45661</v>
      </c>
      <c r="D445" t="inlineStr">
        <is>
          <t>STOCKHOLMS LÄN</t>
        </is>
      </c>
      <c r="E445" t="inlineStr">
        <is>
          <t>VALLENTUNA</t>
        </is>
      </c>
      <c r="G445" t="n">
        <v>0.5</v>
      </c>
      <c r="H445" t="n">
        <v>0</v>
      </c>
      <c r="I445" t="n">
        <v>0</v>
      </c>
      <c r="J445" t="n">
        <v>1</v>
      </c>
      <c r="K445" t="n">
        <v>0</v>
      </c>
      <c r="L445" t="n">
        <v>0</v>
      </c>
      <c r="M445" t="n">
        <v>0</v>
      </c>
      <c r="N445" t="n">
        <v>0</v>
      </c>
      <c r="O445" t="n">
        <v>1</v>
      </c>
      <c r="P445" t="n">
        <v>0</v>
      </c>
      <c r="Q445" t="n">
        <v>1</v>
      </c>
      <c r="R445" s="2" t="inlineStr">
        <is>
          <t>Ullticka</t>
        </is>
      </c>
      <c r="S445">
        <f>HYPERLINK("https://klasma.github.io/Logging_0115/artfynd/A 7890-2023 artfynd.xlsx", "A 7890-2023")</f>
        <v/>
      </c>
      <c r="T445">
        <f>HYPERLINK("https://klasma.github.io/Logging_0115/kartor/A 7890-2023 karta.png", "A 7890-2023")</f>
        <v/>
      </c>
      <c r="V445">
        <f>HYPERLINK("https://klasma.github.io/Logging_0115/klagomål/A 7890-2023 FSC-klagomål.docx", "A 7890-2023")</f>
        <v/>
      </c>
      <c r="W445">
        <f>HYPERLINK("https://klasma.github.io/Logging_0115/klagomålsmail/A 7890-2023 FSC-klagomål mail.docx", "A 7890-2023")</f>
        <v/>
      </c>
      <c r="X445">
        <f>HYPERLINK("https://klasma.github.io/Logging_0115/tillsyn/A 7890-2023 tillsynsbegäran.docx", "A 7890-2023")</f>
        <v/>
      </c>
      <c r="Y445">
        <f>HYPERLINK("https://klasma.github.io/Logging_0115/tillsynsmail/A 7890-2023 tillsynsbegäran mail.docx", "A 7890-2023")</f>
        <v/>
      </c>
    </row>
    <row r="446" ht="15" customHeight="1">
      <c r="A446" t="inlineStr">
        <is>
          <t>A 7955-2023</t>
        </is>
      </c>
      <c r="B446" s="1" t="n">
        <v>44973</v>
      </c>
      <c r="C446" s="1" t="n">
        <v>45661</v>
      </c>
      <c r="D446" t="inlineStr">
        <is>
          <t>STOCKHOLMS LÄN</t>
        </is>
      </c>
      <c r="E446" t="inlineStr">
        <is>
          <t>UPPLANDS-BRO</t>
        </is>
      </c>
      <c r="G446" t="n">
        <v>2.9</v>
      </c>
      <c r="H446" t="n">
        <v>1</v>
      </c>
      <c r="I446" t="n">
        <v>0</v>
      </c>
      <c r="J446" t="n">
        <v>0</v>
      </c>
      <c r="K446" t="n">
        <v>1</v>
      </c>
      <c r="L446" t="n">
        <v>0</v>
      </c>
      <c r="M446" t="n">
        <v>0</v>
      </c>
      <c r="N446" t="n">
        <v>0</v>
      </c>
      <c r="O446" t="n">
        <v>1</v>
      </c>
      <c r="P446" t="n">
        <v>1</v>
      </c>
      <c r="Q446" t="n">
        <v>1</v>
      </c>
      <c r="R446" s="2" t="inlineStr">
        <is>
          <t>Bombmurkla</t>
        </is>
      </c>
      <c r="S446">
        <f>HYPERLINK("https://klasma.github.io/Logging_0139/artfynd/A 7955-2023 artfynd.xlsx", "A 7955-2023")</f>
        <v/>
      </c>
      <c r="T446">
        <f>HYPERLINK("https://klasma.github.io/Logging_0139/kartor/A 7955-2023 karta.png", "A 7955-2023")</f>
        <v/>
      </c>
      <c r="V446">
        <f>HYPERLINK("https://klasma.github.io/Logging_0139/klagomål/A 7955-2023 FSC-klagomål.docx", "A 7955-2023")</f>
        <v/>
      </c>
      <c r="W446">
        <f>HYPERLINK("https://klasma.github.io/Logging_0139/klagomålsmail/A 7955-2023 FSC-klagomål mail.docx", "A 7955-2023")</f>
        <v/>
      </c>
      <c r="X446">
        <f>HYPERLINK("https://klasma.github.io/Logging_0139/tillsyn/A 7955-2023 tillsynsbegäran.docx", "A 7955-2023")</f>
        <v/>
      </c>
      <c r="Y446">
        <f>HYPERLINK("https://klasma.github.io/Logging_0139/tillsynsmail/A 7955-2023 tillsynsbegäran mail.docx", "A 7955-2023")</f>
        <v/>
      </c>
    </row>
    <row r="447" ht="15" customHeight="1">
      <c r="A447" t="inlineStr">
        <is>
          <t>A 8149-2023</t>
        </is>
      </c>
      <c r="B447" s="1" t="n">
        <v>44974</v>
      </c>
      <c r="C447" s="1" t="n">
        <v>45661</v>
      </c>
      <c r="D447" t="inlineStr">
        <is>
          <t>STOCKHOLMS LÄN</t>
        </is>
      </c>
      <c r="E447" t="inlineStr">
        <is>
          <t>SIGTUNA</t>
        </is>
      </c>
      <c r="G447" t="n">
        <v>11.5</v>
      </c>
      <c r="H447" t="n">
        <v>0</v>
      </c>
      <c r="I447" t="n">
        <v>0</v>
      </c>
      <c r="J447" t="n">
        <v>0</v>
      </c>
      <c r="K447" t="n">
        <v>1</v>
      </c>
      <c r="L447" t="n">
        <v>0</v>
      </c>
      <c r="M447" t="n">
        <v>0</v>
      </c>
      <c r="N447" t="n">
        <v>0</v>
      </c>
      <c r="O447" t="n">
        <v>1</v>
      </c>
      <c r="P447" t="n">
        <v>1</v>
      </c>
      <c r="Q447" t="n">
        <v>1</v>
      </c>
      <c r="R447" s="2" t="inlineStr">
        <is>
          <t>Trubbdaggkåpa</t>
        </is>
      </c>
      <c r="S447">
        <f>HYPERLINK("https://klasma.github.io/Logging_0191/artfynd/A 8149-2023 artfynd.xlsx", "A 8149-2023")</f>
        <v/>
      </c>
      <c r="T447">
        <f>HYPERLINK("https://klasma.github.io/Logging_0191/kartor/A 8149-2023 karta.png", "A 8149-2023")</f>
        <v/>
      </c>
      <c r="V447">
        <f>HYPERLINK("https://klasma.github.io/Logging_0191/klagomål/A 8149-2023 FSC-klagomål.docx", "A 8149-2023")</f>
        <v/>
      </c>
      <c r="W447">
        <f>HYPERLINK("https://klasma.github.io/Logging_0191/klagomålsmail/A 8149-2023 FSC-klagomål mail.docx", "A 8149-2023")</f>
        <v/>
      </c>
      <c r="X447">
        <f>HYPERLINK("https://klasma.github.io/Logging_0191/tillsyn/A 8149-2023 tillsynsbegäran.docx", "A 8149-2023")</f>
        <v/>
      </c>
      <c r="Y447">
        <f>HYPERLINK("https://klasma.github.io/Logging_0191/tillsynsmail/A 8149-2023 tillsynsbegäran mail.docx", "A 8149-2023")</f>
        <v/>
      </c>
    </row>
    <row r="448" ht="15" customHeight="1">
      <c r="A448" t="inlineStr">
        <is>
          <t>A 9214-2023</t>
        </is>
      </c>
      <c r="B448" s="1" t="n">
        <v>44980</v>
      </c>
      <c r="C448" s="1" t="n">
        <v>45661</v>
      </c>
      <c r="D448" t="inlineStr">
        <is>
          <t>STOCKHOLMS LÄN</t>
        </is>
      </c>
      <c r="E448" t="inlineStr">
        <is>
          <t>NORRTÄLJE</t>
        </is>
      </c>
      <c r="G448" t="n">
        <v>10.6</v>
      </c>
      <c r="H448" t="n">
        <v>1</v>
      </c>
      <c r="I448" t="n">
        <v>1</v>
      </c>
      <c r="J448" t="n">
        <v>0</v>
      </c>
      <c r="K448" t="n">
        <v>0</v>
      </c>
      <c r="L448" t="n">
        <v>0</v>
      </c>
      <c r="M448" t="n">
        <v>0</v>
      </c>
      <c r="N448" t="n">
        <v>0</v>
      </c>
      <c r="O448" t="n">
        <v>0</v>
      </c>
      <c r="P448" t="n">
        <v>0</v>
      </c>
      <c r="Q448" t="n">
        <v>1</v>
      </c>
      <c r="R448" s="2" t="inlineStr">
        <is>
          <t>Guckusko</t>
        </is>
      </c>
      <c r="S448">
        <f>HYPERLINK("https://klasma.github.io/Logging_0188/artfynd/A 9214-2023 artfynd.xlsx", "A 9214-2023")</f>
        <v/>
      </c>
      <c r="T448">
        <f>HYPERLINK("https://klasma.github.io/Logging_0188/kartor/A 9214-2023 karta.png", "A 9214-2023")</f>
        <v/>
      </c>
      <c r="V448">
        <f>HYPERLINK("https://klasma.github.io/Logging_0188/klagomål/A 9214-2023 FSC-klagomål.docx", "A 9214-2023")</f>
        <v/>
      </c>
      <c r="W448">
        <f>HYPERLINK("https://klasma.github.io/Logging_0188/klagomålsmail/A 9214-2023 FSC-klagomål mail.docx", "A 9214-2023")</f>
        <v/>
      </c>
      <c r="X448">
        <f>HYPERLINK("https://klasma.github.io/Logging_0188/tillsyn/A 9214-2023 tillsynsbegäran.docx", "A 9214-2023")</f>
        <v/>
      </c>
      <c r="Y448">
        <f>HYPERLINK("https://klasma.github.io/Logging_0188/tillsynsmail/A 9214-2023 tillsynsbegäran mail.docx", "A 9214-2023")</f>
        <v/>
      </c>
    </row>
    <row r="449" ht="15" customHeight="1">
      <c r="A449" t="inlineStr">
        <is>
          <t>A 9271-2023</t>
        </is>
      </c>
      <c r="B449" s="1" t="n">
        <v>44980</v>
      </c>
      <c r="C449" s="1" t="n">
        <v>45661</v>
      </c>
      <c r="D449" t="inlineStr">
        <is>
          <t>STOCKHOLMS LÄN</t>
        </is>
      </c>
      <c r="E449" t="inlineStr">
        <is>
          <t>NORRTÄLJE</t>
        </is>
      </c>
      <c r="G449" t="n">
        <v>5.3</v>
      </c>
      <c r="H449" t="n">
        <v>1</v>
      </c>
      <c r="I449" t="n">
        <v>0</v>
      </c>
      <c r="J449" t="n">
        <v>0</v>
      </c>
      <c r="K449" t="n">
        <v>1</v>
      </c>
      <c r="L449" t="n">
        <v>0</v>
      </c>
      <c r="M449" t="n">
        <v>0</v>
      </c>
      <c r="N449" t="n">
        <v>0</v>
      </c>
      <c r="O449" t="n">
        <v>1</v>
      </c>
      <c r="P449" t="n">
        <v>1</v>
      </c>
      <c r="Q449" t="n">
        <v>1</v>
      </c>
      <c r="R449" s="2" t="inlineStr">
        <is>
          <t>Hällebräcka</t>
        </is>
      </c>
      <c r="S449">
        <f>HYPERLINK("https://klasma.github.io/Logging_0188/artfynd/A 9271-2023 artfynd.xlsx", "A 9271-2023")</f>
        <v/>
      </c>
      <c r="T449">
        <f>HYPERLINK("https://klasma.github.io/Logging_0188/kartor/A 9271-2023 karta.png", "A 9271-2023")</f>
        <v/>
      </c>
      <c r="V449">
        <f>HYPERLINK("https://klasma.github.io/Logging_0188/klagomål/A 9271-2023 FSC-klagomål.docx", "A 9271-2023")</f>
        <v/>
      </c>
      <c r="W449">
        <f>HYPERLINK("https://klasma.github.io/Logging_0188/klagomålsmail/A 9271-2023 FSC-klagomål mail.docx", "A 9271-2023")</f>
        <v/>
      </c>
      <c r="X449">
        <f>HYPERLINK("https://klasma.github.io/Logging_0188/tillsyn/A 9271-2023 tillsynsbegäran.docx", "A 9271-2023")</f>
        <v/>
      </c>
      <c r="Y449">
        <f>HYPERLINK("https://klasma.github.io/Logging_0188/tillsynsmail/A 9271-2023 tillsynsbegäran mail.docx", "A 9271-2023")</f>
        <v/>
      </c>
    </row>
    <row r="450" ht="15" customHeight="1">
      <c r="A450" t="inlineStr">
        <is>
          <t>A 9268-2023</t>
        </is>
      </c>
      <c r="B450" s="1" t="n">
        <v>44980</v>
      </c>
      <c r="C450" s="1" t="n">
        <v>45661</v>
      </c>
      <c r="D450" t="inlineStr">
        <is>
          <t>STOCKHOLMS LÄN</t>
        </is>
      </c>
      <c r="E450" t="inlineStr">
        <is>
          <t>NYNÄSHAMN</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HYPERLINK("https://klasma.github.io/Logging_0192/artfynd/A 9268-2023 artfynd.xlsx", "A 9268-2023")</f>
        <v/>
      </c>
      <c r="T450">
        <f>HYPERLINK("https://klasma.github.io/Logging_0192/kartor/A 9268-2023 karta.png", "A 9268-2023")</f>
        <v/>
      </c>
      <c r="V450">
        <f>HYPERLINK("https://klasma.github.io/Logging_0192/klagomål/A 9268-2023 FSC-klagomål.docx", "A 9268-2023")</f>
        <v/>
      </c>
      <c r="W450">
        <f>HYPERLINK("https://klasma.github.io/Logging_0192/klagomålsmail/A 9268-2023 FSC-klagomål mail.docx", "A 9268-2023")</f>
        <v/>
      </c>
      <c r="X450">
        <f>HYPERLINK("https://klasma.github.io/Logging_0192/tillsyn/A 9268-2023 tillsynsbegäran.docx", "A 9268-2023")</f>
        <v/>
      </c>
      <c r="Y450">
        <f>HYPERLINK("https://klasma.github.io/Logging_0192/tillsynsmail/A 9268-2023 tillsynsbegäran mail.docx", "A 9268-2023")</f>
        <v/>
      </c>
    </row>
    <row r="451" ht="15" customHeight="1">
      <c r="A451" t="inlineStr">
        <is>
          <t>A 9522-2023</t>
        </is>
      </c>
      <c r="B451" s="1" t="n">
        <v>44981</v>
      </c>
      <c r="C451" s="1" t="n">
        <v>45661</v>
      </c>
      <c r="D451" t="inlineStr">
        <is>
          <t>STOCKHOLMS LÄN</t>
        </is>
      </c>
      <c r="E451" t="inlineStr">
        <is>
          <t>NORRTÄLJE</t>
        </is>
      </c>
      <c r="F451" t="inlineStr">
        <is>
          <t>Holmen skog AB</t>
        </is>
      </c>
      <c r="G451" t="n">
        <v>7.5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9522-2023 artfynd.xlsx", "A 9522-2023")</f>
        <v/>
      </c>
      <c r="T451">
        <f>HYPERLINK("https://klasma.github.io/Logging_0188/kartor/A 9522-2023 karta.png", "A 9522-2023")</f>
        <v/>
      </c>
      <c r="V451">
        <f>HYPERLINK("https://klasma.github.io/Logging_0188/klagomål/A 9522-2023 FSC-klagomål.docx", "A 9522-2023")</f>
        <v/>
      </c>
      <c r="W451">
        <f>HYPERLINK("https://klasma.github.io/Logging_0188/klagomålsmail/A 9522-2023 FSC-klagomål mail.docx", "A 9522-2023")</f>
        <v/>
      </c>
      <c r="X451">
        <f>HYPERLINK("https://klasma.github.io/Logging_0188/tillsyn/A 9522-2023 tillsynsbegäran.docx", "A 9522-2023")</f>
        <v/>
      </c>
      <c r="Y451">
        <f>HYPERLINK("https://klasma.github.io/Logging_0188/tillsynsmail/A 9522-2023 tillsynsbegäran mail.docx", "A 9522-2023")</f>
        <v/>
      </c>
    </row>
    <row r="452" ht="15" customHeight="1">
      <c r="A452" t="inlineStr">
        <is>
          <t>A 10019-2023</t>
        </is>
      </c>
      <c r="B452" s="1" t="n">
        <v>44985</v>
      </c>
      <c r="C452" s="1" t="n">
        <v>45661</v>
      </c>
      <c r="D452" t="inlineStr">
        <is>
          <t>STOCKHOLMS LÄN</t>
        </is>
      </c>
      <c r="E452" t="inlineStr">
        <is>
          <t>NORRTÄLJE</t>
        </is>
      </c>
      <c r="G452" t="n">
        <v>8.4</v>
      </c>
      <c r="H452" t="n">
        <v>0</v>
      </c>
      <c r="I452" t="n">
        <v>1</v>
      </c>
      <c r="J452" t="n">
        <v>0</v>
      </c>
      <c r="K452" t="n">
        <v>0</v>
      </c>
      <c r="L452" t="n">
        <v>0</v>
      </c>
      <c r="M452" t="n">
        <v>0</v>
      </c>
      <c r="N452" t="n">
        <v>0</v>
      </c>
      <c r="O452" t="n">
        <v>0</v>
      </c>
      <c r="P452" t="n">
        <v>0</v>
      </c>
      <c r="Q452" t="n">
        <v>1</v>
      </c>
      <c r="R452" s="2" t="inlineStr">
        <is>
          <t>Underviol</t>
        </is>
      </c>
      <c r="S452">
        <f>HYPERLINK("https://klasma.github.io/Logging_0188/artfynd/A 10019-2023 artfynd.xlsx", "A 10019-2023")</f>
        <v/>
      </c>
      <c r="T452">
        <f>HYPERLINK("https://klasma.github.io/Logging_0188/kartor/A 10019-2023 karta.png", "A 10019-2023")</f>
        <v/>
      </c>
      <c r="V452">
        <f>HYPERLINK("https://klasma.github.io/Logging_0188/klagomål/A 10019-2023 FSC-klagomål.docx", "A 10019-2023")</f>
        <v/>
      </c>
      <c r="W452">
        <f>HYPERLINK("https://klasma.github.io/Logging_0188/klagomålsmail/A 10019-2023 FSC-klagomål mail.docx", "A 10019-2023")</f>
        <v/>
      </c>
      <c r="X452">
        <f>HYPERLINK("https://klasma.github.io/Logging_0188/tillsyn/A 10019-2023 tillsynsbegäran.docx", "A 10019-2023")</f>
        <v/>
      </c>
      <c r="Y452">
        <f>HYPERLINK("https://klasma.github.io/Logging_0188/tillsynsmail/A 10019-2023 tillsynsbegäran mail.docx", "A 10019-2023")</f>
        <v/>
      </c>
    </row>
    <row r="453" ht="15" customHeight="1">
      <c r="A453" t="inlineStr">
        <is>
          <t>A 11244-2023</t>
        </is>
      </c>
      <c r="B453" s="1" t="n">
        <v>44992</v>
      </c>
      <c r="C453" s="1" t="n">
        <v>45661</v>
      </c>
      <c r="D453" t="inlineStr">
        <is>
          <t>STOCKHOLMS LÄN</t>
        </is>
      </c>
      <c r="E453" t="inlineStr">
        <is>
          <t>VALLENTUNA</t>
        </is>
      </c>
      <c r="G453" t="n">
        <v>4.3</v>
      </c>
      <c r="H453" t="n">
        <v>1</v>
      </c>
      <c r="I453" t="n">
        <v>0</v>
      </c>
      <c r="J453" t="n">
        <v>0</v>
      </c>
      <c r="K453" t="n">
        <v>0</v>
      </c>
      <c r="L453" t="n">
        <v>0</v>
      </c>
      <c r="M453" t="n">
        <v>0</v>
      </c>
      <c r="N453" t="n">
        <v>0</v>
      </c>
      <c r="O453" t="n">
        <v>0</v>
      </c>
      <c r="P453" t="n">
        <v>0</v>
      </c>
      <c r="Q453" t="n">
        <v>1</v>
      </c>
      <c r="R453" s="2" t="inlineStr">
        <is>
          <t>Revlummer</t>
        </is>
      </c>
      <c r="S453">
        <f>HYPERLINK("https://klasma.github.io/Logging_0115/artfynd/A 11244-2023 artfynd.xlsx", "A 11244-2023")</f>
        <v/>
      </c>
      <c r="T453">
        <f>HYPERLINK("https://klasma.github.io/Logging_0115/kartor/A 11244-2023 karta.png", "A 11244-2023")</f>
        <v/>
      </c>
      <c r="V453">
        <f>HYPERLINK("https://klasma.github.io/Logging_0115/klagomål/A 11244-2023 FSC-klagomål.docx", "A 11244-2023")</f>
        <v/>
      </c>
      <c r="W453">
        <f>HYPERLINK("https://klasma.github.io/Logging_0115/klagomålsmail/A 11244-2023 FSC-klagomål mail.docx", "A 11244-2023")</f>
        <v/>
      </c>
      <c r="X453">
        <f>HYPERLINK("https://klasma.github.io/Logging_0115/tillsyn/A 11244-2023 tillsynsbegäran.docx", "A 11244-2023")</f>
        <v/>
      </c>
      <c r="Y453">
        <f>HYPERLINK("https://klasma.github.io/Logging_0115/tillsynsmail/A 11244-2023 tillsynsbegäran mail.docx", "A 11244-2023")</f>
        <v/>
      </c>
    </row>
    <row r="454" ht="15" customHeight="1">
      <c r="A454" t="inlineStr">
        <is>
          <t>A 11429-2023</t>
        </is>
      </c>
      <c r="B454" s="1" t="n">
        <v>44993</v>
      </c>
      <c r="C454" s="1" t="n">
        <v>45661</v>
      </c>
      <c r="D454" t="inlineStr">
        <is>
          <t>STOCKHOLMS LÄN</t>
        </is>
      </c>
      <c r="E454" t="inlineStr">
        <is>
          <t>NORRTÄLJE</t>
        </is>
      </c>
      <c r="G454" t="n">
        <v>2</v>
      </c>
      <c r="H454" t="n">
        <v>0</v>
      </c>
      <c r="I454" t="n">
        <v>0</v>
      </c>
      <c r="J454" t="n">
        <v>1</v>
      </c>
      <c r="K454" t="n">
        <v>0</v>
      </c>
      <c r="L454" t="n">
        <v>0</v>
      </c>
      <c r="M454" t="n">
        <v>0</v>
      </c>
      <c r="N454" t="n">
        <v>0</v>
      </c>
      <c r="O454" t="n">
        <v>1</v>
      </c>
      <c r="P454" t="n">
        <v>0</v>
      </c>
      <c r="Q454" t="n">
        <v>1</v>
      </c>
      <c r="R454" s="2" t="inlineStr">
        <is>
          <t>Skogsklocka</t>
        </is>
      </c>
      <c r="S454">
        <f>HYPERLINK("https://klasma.github.io/Logging_0188/artfynd/A 11429-2023 artfynd.xlsx", "A 11429-2023")</f>
        <v/>
      </c>
      <c r="T454">
        <f>HYPERLINK("https://klasma.github.io/Logging_0188/kartor/A 11429-2023 karta.png", "A 11429-2023")</f>
        <v/>
      </c>
      <c r="V454">
        <f>HYPERLINK("https://klasma.github.io/Logging_0188/klagomål/A 11429-2023 FSC-klagomål.docx", "A 11429-2023")</f>
        <v/>
      </c>
      <c r="W454">
        <f>HYPERLINK("https://klasma.github.io/Logging_0188/klagomålsmail/A 11429-2023 FSC-klagomål mail.docx", "A 11429-2023")</f>
        <v/>
      </c>
      <c r="X454">
        <f>HYPERLINK("https://klasma.github.io/Logging_0188/tillsyn/A 11429-2023 tillsynsbegäran.docx", "A 11429-2023")</f>
        <v/>
      </c>
      <c r="Y454">
        <f>HYPERLINK("https://klasma.github.io/Logging_0188/tillsynsmail/A 11429-2023 tillsynsbegäran mail.docx", "A 11429-2023")</f>
        <v/>
      </c>
    </row>
    <row r="455" ht="15" customHeight="1">
      <c r="A455" t="inlineStr">
        <is>
          <t>A 12442-2023</t>
        </is>
      </c>
      <c r="B455" s="1" t="n">
        <v>44999</v>
      </c>
      <c r="C455" s="1" t="n">
        <v>45661</v>
      </c>
      <c r="D455" t="inlineStr">
        <is>
          <t>STOCKHOLMS LÄN</t>
        </is>
      </c>
      <c r="E455" t="inlineStr">
        <is>
          <t>NORRTÄLJE</t>
        </is>
      </c>
      <c r="G455" t="n">
        <v>1.9</v>
      </c>
      <c r="H455" t="n">
        <v>1</v>
      </c>
      <c r="I455" t="n">
        <v>0</v>
      </c>
      <c r="J455" t="n">
        <v>0</v>
      </c>
      <c r="K455" t="n">
        <v>0</v>
      </c>
      <c r="L455" t="n">
        <v>0</v>
      </c>
      <c r="M455" t="n">
        <v>0</v>
      </c>
      <c r="N455" t="n">
        <v>0</v>
      </c>
      <c r="O455" t="n">
        <v>0</v>
      </c>
      <c r="P455" t="n">
        <v>0</v>
      </c>
      <c r="Q455" t="n">
        <v>1</v>
      </c>
      <c r="R455" s="2" t="inlineStr">
        <is>
          <t>Gullviva</t>
        </is>
      </c>
      <c r="S455">
        <f>HYPERLINK("https://klasma.github.io/Logging_0188/artfynd/A 12442-2023 artfynd.xlsx", "A 12442-2023")</f>
        <v/>
      </c>
      <c r="T455">
        <f>HYPERLINK("https://klasma.github.io/Logging_0188/kartor/A 12442-2023 karta.png", "A 12442-2023")</f>
        <v/>
      </c>
      <c r="V455">
        <f>HYPERLINK("https://klasma.github.io/Logging_0188/klagomål/A 12442-2023 FSC-klagomål.docx", "A 12442-2023")</f>
        <v/>
      </c>
      <c r="W455">
        <f>HYPERLINK("https://klasma.github.io/Logging_0188/klagomålsmail/A 12442-2023 FSC-klagomål mail.docx", "A 12442-2023")</f>
        <v/>
      </c>
      <c r="X455">
        <f>HYPERLINK("https://klasma.github.io/Logging_0188/tillsyn/A 12442-2023 tillsynsbegäran.docx", "A 12442-2023")</f>
        <v/>
      </c>
      <c r="Y455">
        <f>HYPERLINK("https://klasma.github.io/Logging_0188/tillsynsmail/A 12442-2023 tillsynsbegäran mail.docx", "A 12442-2023")</f>
        <v/>
      </c>
    </row>
    <row r="456" ht="15" customHeight="1">
      <c r="A456" t="inlineStr">
        <is>
          <t>A 12575-2023</t>
        </is>
      </c>
      <c r="B456" s="1" t="n">
        <v>45000</v>
      </c>
      <c r="C456" s="1" t="n">
        <v>45661</v>
      </c>
      <c r="D456" t="inlineStr">
        <is>
          <t>STOCKHOLMS LÄN</t>
        </is>
      </c>
      <c r="E456" t="inlineStr">
        <is>
          <t>VALLENTUNA</t>
        </is>
      </c>
      <c r="G456" t="n">
        <v>5.1</v>
      </c>
      <c r="H456" t="n">
        <v>1</v>
      </c>
      <c r="I456" t="n">
        <v>0</v>
      </c>
      <c r="J456" t="n">
        <v>0</v>
      </c>
      <c r="K456" t="n">
        <v>0</v>
      </c>
      <c r="L456" t="n">
        <v>0</v>
      </c>
      <c r="M456" t="n">
        <v>0</v>
      </c>
      <c r="N456" t="n">
        <v>0</v>
      </c>
      <c r="O456" t="n">
        <v>0</v>
      </c>
      <c r="P456" t="n">
        <v>0</v>
      </c>
      <c r="Q456" t="n">
        <v>1</v>
      </c>
      <c r="R456" s="2" t="inlineStr">
        <is>
          <t>Blåsippa</t>
        </is>
      </c>
      <c r="S456">
        <f>HYPERLINK("https://klasma.github.io/Logging_0115/artfynd/A 12575-2023 artfynd.xlsx", "A 12575-2023")</f>
        <v/>
      </c>
      <c r="T456">
        <f>HYPERLINK("https://klasma.github.io/Logging_0115/kartor/A 12575-2023 karta.png", "A 12575-2023")</f>
        <v/>
      </c>
      <c r="V456">
        <f>HYPERLINK("https://klasma.github.io/Logging_0115/klagomål/A 12575-2023 FSC-klagomål.docx", "A 12575-2023")</f>
        <v/>
      </c>
      <c r="W456">
        <f>HYPERLINK("https://klasma.github.io/Logging_0115/klagomålsmail/A 12575-2023 FSC-klagomål mail.docx", "A 12575-2023")</f>
        <v/>
      </c>
      <c r="X456">
        <f>HYPERLINK("https://klasma.github.io/Logging_0115/tillsyn/A 12575-2023 tillsynsbegäran.docx", "A 12575-2023")</f>
        <v/>
      </c>
      <c r="Y456">
        <f>HYPERLINK("https://klasma.github.io/Logging_0115/tillsynsmail/A 12575-2023 tillsynsbegäran mail.docx", "A 12575-2023")</f>
        <v/>
      </c>
    </row>
    <row r="457" ht="15" customHeight="1">
      <c r="A457" t="inlineStr">
        <is>
          <t>A 13199-2023</t>
        </is>
      </c>
      <c r="B457" s="1" t="n">
        <v>45002</v>
      </c>
      <c r="C457" s="1" t="n">
        <v>45661</v>
      </c>
      <c r="D457" t="inlineStr">
        <is>
          <t>STOCKHOLMS LÄN</t>
        </is>
      </c>
      <c r="E457" t="inlineStr">
        <is>
          <t>SÖDERTÄLJE</t>
        </is>
      </c>
      <c r="G457" t="n">
        <v>7.2</v>
      </c>
      <c r="H457" t="n">
        <v>1</v>
      </c>
      <c r="I457" t="n">
        <v>0</v>
      </c>
      <c r="J457" t="n">
        <v>0</v>
      </c>
      <c r="K457" t="n">
        <v>0</v>
      </c>
      <c r="L457" t="n">
        <v>0</v>
      </c>
      <c r="M457" t="n">
        <v>0</v>
      </c>
      <c r="N457" t="n">
        <v>0</v>
      </c>
      <c r="O457" t="n">
        <v>0</v>
      </c>
      <c r="P457" t="n">
        <v>0</v>
      </c>
      <c r="Q457" t="n">
        <v>1</v>
      </c>
      <c r="R457" s="2" t="inlineStr">
        <is>
          <t>Gröngöling</t>
        </is>
      </c>
      <c r="S457">
        <f>HYPERLINK("https://klasma.github.io/Logging_0181/artfynd/A 13199-2023 artfynd.xlsx", "A 13199-2023")</f>
        <v/>
      </c>
      <c r="T457">
        <f>HYPERLINK("https://klasma.github.io/Logging_0181/kartor/A 13199-2023 karta.png", "A 13199-2023")</f>
        <v/>
      </c>
      <c r="V457">
        <f>HYPERLINK("https://klasma.github.io/Logging_0181/klagomål/A 13199-2023 FSC-klagomål.docx", "A 13199-2023")</f>
        <v/>
      </c>
      <c r="W457">
        <f>HYPERLINK("https://klasma.github.io/Logging_0181/klagomålsmail/A 13199-2023 FSC-klagomål mail.docx", "A 13199-2023")</f>
        <v/>
      </c>
      <c r="X457">
        <f>HYPERLINK("https://klasma.github.io/Logging_0181/tillsyn/A 13199-2023 tillsynsbegäran.docx", "A 13199-2023")</f>
        <v/>
      </c>
      <c r="Y457">
        <f>HYPERLINK("https://klasma.github.io/Logging_0181/tillsynsmail/A 13199-2023 tillsynsbegäran mail.docx", "A 13199-2023")</f>
        <v/>
      </c>
      <c r="Z457">
        <f>HYPERLINK("https://klasma.github.io/Logging_0181/fåglar/A 13199-2023 prioriterade fågelarter.docx", "A 13199-2023")</f>
        <v/>
      </c>
    </row>
    <row r="458" ht="15" customHeight="1">
      <c r="A458" t="inlineStr">
        <is>
          <t>A 13794-2023</t>
        </is>
      </c>
      <c r="B458" s="1" t="n">
        <v>45007</v>
      </c>
      <c r="C458" s="1" t="n">
        <v>45661</v>
      </c>
      <c r="D458" t="inlineStr">
        <is>
          <t>STOCKHOLMS LÄN</t>
        </is>
      </c>
      <c r="E458" t="inlineStr">
        <is>
          <t>EKERÖ</t>
        </is>
      </c>
      <c r="G458" t="n">
        <v>4.8</v>
      </c>
      <c r="H458" t="n">
        <v>0</v>
      </c>
      <c r="I458" t="n">
        <v>0</v>
      </c>
      <c r="J458" t="n">
        <v>1</v>
      </c>
      <c r="K458" t="n">
        <v>0</v>
      </c>
      <c r="L458" t="n">
        <v>0</v>
      </c>
      <c r="M458" t="n">
        <v>0</v>
      </c>
      <c r="N458" t="n">
        <v>0</v>
      </c>
      <c r="O458" t="n">
        <v>1</v>
      </c>
      <c r="P458" t="n">
        <v>0</v>
      </c>
      <c r="Q458" t="n">
        <v>1</v>
      </c>
      <c r="R458" s="2" t="inlineStr">
        <is>
          <t>Tallticka</t>
        </is>
      </c>
      <c r="S458">
        <f>HYPERLINK("https://klasma.github.io/Logging_0125/artfynd/A 13794-2023 artfynd.xlsx", "A 13794-2023")</f>
        <v/>
      </c>
      <c r="T458">
        <f>HYPERLINK("https://klasma.github.io/Logging_0125/kartor/A 13794-2023 karta.png", "A 13794-2023")</f>
        <v/>
      </c>
      <c r="V458">
        <f>HYPERLINK("https://klasma.github.io/Logging_0125/klagomål/A 13794-2023 FSC-klagomål.docx", "A 13794-2023")</f>
        <v/>
      </c>
      <c r="W458">
        <f>HYPERLINK("https://klasma.github.io/Logging_0125/klagomålsmail/A 13794-2023 FSC-klagomål mail.docx", "A 13794-2023")</f>
        <v/>
      </c>
      <c r="X458">
        <f>HYPERLINK("https://klasma.github.io/Logging_0125/tillsyn/A 13794-2023 tillsynsbegäran.docx", "A 13794-2023")</f>
        <v/>
      </c>
      <c r="Y458">
        <f>HYPERLINK("https://klasma.github.io/Logging_0125/tillsynsmail/A 13794-2023 tillsynsbegäran mail.docx", "A 13794-2023")</f>
        <v/>
      </c>
    </row>
    <row r="459" ht="15" customHeight="1">
      <c r="A459" t="inlineStr">
        <is>
          <t>A 14014-2023</t>
        </is>
      </c>
      <c r="B459" s="1" t="n">
        <v>45008</v>
      </c>
      <c r="C459" s="1" t="n">
        <v>45661</v>
      </c>
      <c r="D459" t="inlineStr">
        <is>
          <t>STOCKHOLMS LÄN</t>
        </is>
      </c>
      <c r="E459" t="inlineStr">
        <is>
          <t>EKERÖ</t>
        </is>
      </c>
      <c r="G459" t="n">
        <v>4.7</v>
      </c>
      <c r="H459" t="n">
        <v>1</v>
      </c>
      <c r="I459" t="n">
        <v>0</v>
      </c>
      <c r="J459" t="n">
        <v>0</v>
      </c>
      <c r="K459" t="n">
        <v>0</v>
      </c>
      <c r="L459" t="n">
        <v>0</v>
      </c>
      <c r="M459" t="n">
        <v>0</v>
      </c>
      <c r="N459" t="n">
        <v>0</v>
      </c>
      <c r="O459" t="n">
        <v>0</v>
      </c>
      <c r="P459" t="n">
        <v>0</v>
      </c>
      <c r="Q459" t="n">
        <v>1</v>
      </c>
      <c r="R459" s="2" t="inlineStr">
        <is>
          <t>Gröngöling</t>
        </is>
      </c>
      <c r="S459">
        <f>HYPERLINK("https://klasma.github.io/Logging_0125/artfynd/A 14014-2023 artfynd.xlsx", "A 14014-2023")</f>
        <v/>
      </c>
      <c r="T459">
        <f>HYPERLINK("https://klasma.github.io/Logging_0125/kartor/A 14014-2023 karta.png", "A 14014-2023")</f>
        <v/>
      </c>
      <c r="V459">
        <f>HYPERLINK("https://klasma.github.io/Logging_0125/klagomål/A 14014-2023 FSC-klagomål.docx", "A 14014-2023")</f>
        <v/>
      </c>
      <c r="W459">
        <f>HYPERLINK("https://klasma.github.io/Logging_0125/klagomålsmail/A 14014-2023 FSC-klagomål mail.docx", "A 14014-2023")</f>
        <v/>
      </c>
      <c r="X459">
        <f>HYPERLINK("https://klasma.github.io/Logging_0125/tillsyn/A 14014-2023 tillsynsbegäran.docx", "A 14014-2023")</f>
        <v/>
      </c>
      <c r="Y459">
        <f>HYPERLINK("https://klasma.github.io/Logging_0125/tillsynsmail/A 14014-2023 tillsynsbegäran mail.docx", "A 14014-2023")</f>
        <v/>
      </c>
      <c r="Z459">
        <f>HYPERLINK("https://klasma.github.io/Logging_0125/fåglar/A 14014-2023 prioriterade fågelarter.docx", "A 14014-2023")</f>
        <v/>
      </c>
    </row>
    <row r="460" ht="15" customHeight="1">
      <c r="A460" t="inlineStr">
        <is>
          <t>A 14092-2023</t>
        </is>
      </c>
      <c r="B460" s="1" t="n">
        <v>45009</v>
      </c>
      <c r="C460" s="1" t="n">
        <v>45661</v>
      </c>
      <c r="D460" t="inlineStr">
        <is>
          <t>STOCKHOLMS LÄN</t>
        </is>
      </c>
      <c r="E460" t="inlineStr">
        <is>
          <t>SÖDERTÄLJE</t>
        </is>
      </c>
      <c r="F460" t="inlineStr">
        <is>
          <t>Kyrkan</t>
        </is>
      </c>
      <c r="G460" t="n">
        <v>4.1</v>
      </c>
      <c r="H460" t="n">
        <v>1</v>
      </c>
      <c r="I460" t="n">
        <v>0</v>
      </c>
      <c r="J460" t="n">
        <v>0</v>
      </c>
      <c r="K460" t="n">
        <v>0</v>
      </c>
      <c r="L460" t="n">
        <v>0</v>
      </c>
      <c r="M460" t="n">
        <v>0</v>
      </c>
      <c r="N460" t="n">
        <v>0</v>
      </c>
      <c r="O460" t="n">
        <v>0</v>
      </c>
      <c r="P460" t="n">
        <v>0</v>
      </c>
      <c r="Q460" t="n">
        <v>1</v>
      </c>
      <c r="R460" s="2" t="inlineStr">
        <is>
          <t>Kungsfågel</t>
        </is>
      </c>
      <c r="S460">
        <f>HYPERLINK("https://klasma.github.io/Logging_0181/artfynd/A 14092-2023 artfynd.xlsx", "A 14092-2023")</f>
        <v/>
      </c>
      <c r="T460">
        <f>HYPERLINK("https://klasma.github.io/Logging_0181/kartor/A 14092-2023 karta.png", "A 14092-2023")</f>
        <v/>
      </c>
      <c r="V460">
        <f>HYPERLINK("https://klasma.github.io/Logging_0181/klagomål/A 14092-2023 FSC-klagomål.docx", "A 14092-2023")</f>
        <v/>
      </c>
      <c r="W460">
        <f>HYPERLINK("https://klasma.github.io/Logging_0181/klagomålsmail/A 14092-2023 FSC-klagomål mail.docx", "A 14092-2023")</f>
        <v/>
      </c>
      <c r="X460">
        <f>HYPERLINK("https://klasma.github.io/Logging_0181/tillsyn/A 14092-2023 tillsynsbegäran.docx", "A 14092-2023")</f>
        <v/>
      </c>
      <c r="Y460">
        <f>HYPERLINK("https://klasma.github.io/Logging_0181/tillsynsmail/A 14092-2023 tillsynsbegäran mail.docx", "A 14092-2023")</f>
        <v/>
      </c>
      <c r="Z460">
        <f>HYPERLINK("https://klasma.github.io/Logging_0181/fåglar/A 14092-2023 prioriterade fågelarter.docx", "A 14092-2023")</f>
        <v/>
      </c>
    </row>
    <row r="461" ht="15" customHeight="1">
      <c r="A461" t="inlineStr">
        <is>
          <t>A 15452-2023</t>
        </is>
      </c>
      <c r="B461" s="1" t="n">
        <v>45020</v>
      </c>
      <c r="C461" s="1" t="n">
        <v>45661</v>
      </c>
      <c r="D461" t="inlineStr">
        <is>
          <t>STOCKHOLMS LÄN</t>
        </is>
      </c>
      <c r="E461" t="inlineStr">
        <is>
          <t>SIGTUNA</t>
        </is>
      </c>
      <c r="F461" t="inlineStr">
        <is>
          <t>Allmännings- och besparingsskogar</t>
        </is>
      </c>
      <c r="G461" t="n">
        <v>4.5</v>
      </c>
      <c r="H461" t="n">
        <v>1</v>
      </c>
      <c r="I461" t="n">
        <v>0</v>
      </c>
      <c r="J461" t="n">
        <v>0</v>
      </c>
      <c r="K461" t="n">
        <v>0</v>
      </c>
      <c r="L461" t="n">
        <v>0</v>
      </c>
      <c r="M461" t="n">
        <v>0</v>
      </c>
      <c r="N461" t="n">
        <v>0</v>
      </c>
      <c r="O461" t="n">
        <v>0</v>
      </c>
      <c r="P461" t="n">
        <v>0</v>
      </c>
      <c r="Q461" t="n">
        <v>1</v>
      </c>
      <c r="R461" s="2" t="inlineStr">
        <is>
          <t>Trana</t>
        </is>
      </c>
      <c r="S461">
        <f>HYPERLINK("https://klasma.github.io/Logging_0191/artfynd/A 15452-2023 artfynd.xlsx", "A 15452-2023")</f>
        <v/>
      </c>
      <c r="T461">
        <f>HYPERLINK("https://klasma.github.io/Logging_0191/kartor/A 15452-2023 karta.png", "A 15452-2023")</f>
        <v/>
      </c>
      <c r="V461">
        <f>HYPERLINK("https://klasma.github.io/Logging_0191/klagomål/A 15452-2023 FSC-klagomål.docx", "A 15452-2023")</f>
        <v/>
      </c>
      <c r="W461">
        <f>HYPERLINK("https://klasma.github.io/Logging_0191/klagomålsmail/A 15452-2023 FSC-klagomål mail.docx", "A 15452-2023")</f>
        <v/>
      </c>
      <c r="X461">
        <f>HYPERLINK("https://klasma.github.io/Logging_0191/tillsyn/A 15452-2023 tillsynsbegäran.docx", "A 15452-2023")</f>
        <v/>
      </c>
      <c r="Y461">
        <f>HYPERLINK("https://klasma.github.io/Logging_0191/tillsynsmail/A 15452-2023 tillsynsbegäran mail.docx", "A 15452-2023")</f>
        <v/>
      </c>
      <c r="Z461">
        <f>HYPERLINK("https://klasma.github.io/Logging_0191/fåglar/A 15452-2023 prioriterade fågelarter.docx", "A 15452-2023")</f>
        <v/>
      </c>
    </row>
    <row r="462" ht="15" customHeight="1">
      <c r="A462" t="inlineStr">
        <is>
          <t>A 15644-2023</t>
        </is>
      </c>
      <c r="B462" s="1" t="n">
        <v>45021</v>
      </c>
      <c r="C462" s="1" t="n">
        <v>45661</v>
      </c>
      <c r="D462" t="inlineStr">
        <is>
          <t>STOCKHOLMS LÄN</t>
        </is>
      </c>
      <c r="E462" t="inlineStr">
        <is>
          <t>NORRTÄLJE</t>
        </is>
      </c>
      <c r="F462" t="inlineStr">
        <is>
          <t>Holmen skog AB</t>
        </is>
      </c>
      <c r="G462" t="n">
        <v>13</v>
      </c>
      <c r="H462" t="n">
        <v>1</v>
      </c>
      <c r="I462" t="n">
        <v>0</v>
      </c>
      <c r="J462" t="n">
        <v>0</v>
      </c>
      <c r="K462" t="n">
        <v>0</v>
      </c>
      <c r="L462" t="n">
        <v>1</v>
      </c>
      <c r="M462" t="n">
        <v>0</v>
      </c>
      <c r="N462" t="n">
        <v>0</v>
      </c>
      <c r="O462" t="n">
        <v>1</v>
      </c>
      <c r="P462" t="n">
        <v>1</v>
      </c>
      <c r="Q462" t="n">
        <v>1</v>
      </c>
      <c r="R462" s="2" t="inlineStr">
        <is>
          <t>Asknätfjäril</t>
        </is>
      </c>
      <c r="S462">
        <f>HYPERLINK("https://klasma.github.io/Logging_0188/artfynd/A 15644-2023 artfynd.xlsx", "A 15644-2023")</f>
        <v/>
      </c>
      <c r="T462">
        <f>HYPERLINK("https://klasma.github.io/Logging_0188/kartor/A 15644-2023 karta.png", "A 15644-2023")</f>
        <v/>
      </c>
      <c r="V462">
        <f>HYPERLINK("https://klasma.github.io/Logging_0188/klagomål/A 15644-2023 FSC-klagomål.docx", "A 15644-2023")</f>
        <v/>
      </c>
      <c r="W462">
        <f>HYPERLINK("https://klasma.github.io/Logging_0188/klagomålsmail/A 15644-2023 FSC-klagomål mail.docx", "A 15644-2023")</f>
        <v/>
      </c>
      <c r="X462">
        <f>HYPERLINK("https://klasma.github.io/Logging_0188/tillsyn/A 15644-2023 tillsynsbegäran.docx", "A 15644-2023")</f>
        <v/>
      </c>
      <c r="Y462">
        <f>HYPERLINK("https://klasma.github.io/Logging_0188/tillsynsmail/A 15644-2023 tillsynsbegäran mail.docx", "A 15644-2023")</f>
        <v/>
      </c>
    </row>
    <row r="463" ht="15" customHeight="1">
      <c r="A463" t="inlineStr">
        <is>
          <t>A 18216-2023</t>
        </is>
      </c>
      <c r="B463" s="1" t="n">
        <v>45041</v>
      </c>
      <c r="C463" s="1" t="n">
        <v>45661</v>
      </c>
      <c r="D463" t="inlineStr">
        <is>
          <t>STOCKHOLMS LÄN</t>
        </is>
      </c>
      <c r="E463" t="inlineStr">
        <is>
          <t>NORRTÄLJE</t>
        </is>
      </c>
      <c r="F463" t="inlineStr">
        <is>
          <t>Holmen skog AB</t>
        </is>
      </c>
      <c r="G463" t="n">
        <v>1.9</v>
      </c>
      <c r="H463" t="n">
        <v>0</v>
      </c>
      <c r="I463" t="n">
        <v>1</v>
      </c>
      <c r="J463" t="n">
        <v>0</v>
      </c>
      <c r="K463" t="n">
        <v>0</v>
      </c>
      <c r="L463" t="n">
        <v>0</v>
      </c>
      <c r="M463" t="n">
        <v>0</v>
      </c>
      <c r="N463" t="n">
        <v>0</v>
      </c>
      <c r="O463" t="n">
        <v>0</v>
      </c>
      <c r="P463" t="n">
        <v>0</v>
      </c>
      <c r="Q463" t="n">
        <v>1</v>
      </c>
      <c r="R463" s="2" t="inlineStr">
        <is>
          <t>Vårärt</t>
        </is>
      </c>
      <c r="S463">
        <f>HYPERLINK("https://klasma.github.io/Logging_0188/artfynd/A 18216-2023 artfynd.xlsx", "A 18216-2023")</f>
        <v/>
      </c>
      <c r="T463">
        <f>HYPERLINK("https://klasma.github.io/Logging_0188/kartor/A 18216-2023 karta.png", "A 18216-2023")</f>
        <v/>
      </c>
      <c r="V463">
        <f>HYPERLINK("https://klasma.github.io/Logging_0188/klagomål/A 18216-2023 FSC-klagomål.docx", "A 18216-2023")</f>
        <v/>
      </c>
      <c r="W463">
        <f>HYPERLINK("https://klasma.github.io/Logging_0188/klagomålsmail/A 18216-2023 FSC-klagomål mail.docx", "A 18216-2023")</f>
        <v/>
      </c>
      <c r="X463">
        <f>HYPERLINK("https://klasma.github.io/Logging_0188/tillsyn/A 18216-2023 tillsynsbegäran.docx", "A 18216-2023")</f>
        <v/>
      </c>
      <c r="Y463">
        <f>HYPERLINK("https://klasma.github.io/Logging_0188/tillsynsmail/A 18216-2023 tillsynsbegäran mail.docx", "A 18216-2023")</f>
        <v/>
      </c>
    </row>
    <row r="464" ht="15" customHeight="1">
      <c r="A464" t="inlineStr">
        <is>
          <t>A 19489-2023</t>
        </is>
      </c>
      <c r="B464" s="1" t="n">
        <v>45050</v>
      </c>
      <c r="C464" s="1" t="n">
        <v>45661</v>
      </c>
      <c r="D464" t="inlineStr">
        <is>
          <t>STOCKHOLMS LÄN</t>
        </is>
      </c>
      <c r="E464" t="inlineStr">
        <is>
          <t>NYKVARN</t>
        </is>
      </c>
      <c r="F464" t="inlineStr">
        <is>
          <t>Sveaskog</t>
        </is>
      </c>
      <c r="G464" t="n">
        <v>0.7</v>
      </c>
      <c r="H464" t="n">
        <v>1</v>
      </c>
      <c r="I464" t="n">
        <v>0</v>
      </c>
      <c r="J464" t="n">
        <v>0</v>
      </c>
      <c r="K464" t="n">
        <v>0</v>
      </c>
      <c r="L464" t="n">
        <v>0</v>
      </c>
      <c r="M464" t="n">
        <v>0</v>
      </c>
      <c r="N464" t="n">
        <v>0</v>
      </c>
      <c r="O464" t="n">
        <v>0</v>
      </c>
      <c r="P464" t="n">
        <v>0</v>
      </c>
      <c r="Q464" t="n">
        <v>1</v>
      </c>
      <c r="R464" s="2" t="inlineStr">
        <is>
          <t>Blåsippa</t>
        </is>
      </c>
      <c r="S464">
        <f>HYPERLINK("https://klasma.github.io/Logging_0140/artfynd/A 19489-2023 artfynd.xlsx", "A 19489-2023")</f>
        <v/>
      </c>
      <c r="T464">
        <f>HYPERLINK("https://klasma.github.io/Logging_0140/kartor/A 19489-2023 karta.png", "A 19489-2023")</f>
        <v/>
      </c>
      <c r="V464">
        <f>HYPERLINK("https://klasma.github.io/Logging_0140/klagomål/A 19489-2023 FSC-klagomål.docx", "A 19489-2023")</f>
        <v/>
      </c>
      <c r="W464">
        <f>HYPERLINK("https://klasma.github.io/Logging_0140/klagomålsmail/A 19489-2023 FSC-klagomål mail.docx", "A 19489-2023")</f>
        <v/>
      </c>
      <c r="X464">
        <f>HYPERLINK("https://klasma.github.io/Logging_0140/tillsyn/A 19489-2023 tillsynsbegäran.docx", "A 19489-2023")</f>
        <v/>
      </c>
      <c r="Y464">
        <f>HYPERLINK("https://klasma.github.io/Logging_0140/tillsynsmail/A 19489-2023 tillsynsbegäran mail.docx", "A 19489-2023")</f>
        <v/>
      </c>
    </row>
    <row r="465" ht="15" customHeight="1">
      <c r="A465" t="inlineStr">
        <is>
          <t>A 21431-2023</t>
        </is>
      </c>
      <c r="B465" s="1" t="n">
        <v>45063</v>
      </c>
      <c r="C465" s="1" t="n">
        <v>45661</v>
      </c>
      <c r="D465" t="inlineStr">
        <is>
          <t>STOCKHOLMS LÄN</t>
        </is>
      </c>
      <c r="E465" t="inlineStr">
        <is>
          <t>NORRTÄLJE</t>
        </is>
      </c>
      <c r="F465" t="inlineStr">
        <is>
          <t>Holmen skog AB</t>
        </is>
      </c>
      <c r="G465" t="n">
        <v>4</v>
      </c>
      <c r="H465" t="n">
        <v>1</v>
      </c>
      <c r="I465" t="n">
        <v>1</v>
      </c>
      <c r="J465" t="n">
        <v>0</v>
      </c>
      <c r="K465" t="n">
        <v>0</v>
      </c>
      <c r="L465" t="n">
        <v>0</v>
      </c>
      <c r="M465" t="n">
        <v>0</v>
      </c>
      <c r="N465" t="n">
        <v>0</v>
      </c>
      <c r="O465" t="n">
        <v>0</v>
      </c>
      <c r="P465" t="n">
        <v>0</v>
      </c>
      <c r="Q465" t="n">
        <v>1</v>
      </c>
      <c r="R465" s="2" t="inlineStr">
        <is>
          <t>Nästrot</t>
        </is>
      </c>
      <c r="S465">
        <f>HYPERLINK("https://klasma.github.io/Logging_0188/artfynd/A 21431-2023 artfynd.xlsx", "A 21431-2023")</f>
        <v/>
      </c>
      <c r="T465">
        <f>HYPERLINK("https://klasma.github.io/Logging_0188/kartor/A 21431-2023 karta.png", "A 21431-2023")</f>
        <v/>
      </c>
      <c r="V465">
        <f>HYPERLINK("https://klasma.github.io/Logging_0188/klagomål/A 21431-2023 FSC-klagomål.docx", "A 21431-2023")</f>
        <v/>
      </c>
      <c r="W465">
        <f>HYPERLINK("https://klasma.github.io/Logging_0188/klagomålsmail/A 21431-2023 FSC-klagomål mail.docx", "A 21431-2023")</f>
        <v/>
      </c>
      <c r="X465">
        <f>HYPERLINK("https://klasma.github.io/Logging_0188/tillsyn/A 21431-2023 tillsynsbegäran.docx", "A 21431-2023")</f>
        <v/>
      </c>
      <c r="Y465">
        <f>HYPERLINK("https://klasma.github.io/Logging_0188/tillsynsmail/A 21431-2023 tillsynsbegäran mail.docx", "A 21431-2023")</f>
        <v/>
      </c>
    </row>
    <row r="466" ht="15" customHeight="1">
      <c r="A466" t="inlineStr">
        <is>
          <t>A 21744-2023</t>
        </is>
      </c>
      <c r="B466" s="1" t="n">
        <v>45065</v>
      </c>
      <c r="C466" s="1" t="n">
        <v>45661</v>
      </c>
      <c r="D466" t="inlineStr">
        <is>
          <t>STOCKHOLMS LÄN</t>
        </is>
      </c>
      <c r="E466" t="inlineStr">
        <is>
          <t>NORRTÄLJE</t>
        </is>
      </c>
      <c r="F466" t="inlineStr">
        <is>
          <t>Holmen skog AB</t>
        </is>
      </c>
      <c r="G466" t="n">
        <v>4.2</v>
      </c>
      <c r="H466" t="n">
        <v>0</v>
      </c>
      <c r="I466" t="n">
        <v>1</v>
      </c>
      <c r="J466" t="n">
        <v>0</v>
      </c>
      <c r="K466" t="n">
        <v>0</v>
      </c>
      <c r="L466" t="n">
        <v>0</v>
      </c>
      <c r="M466" t="n">
        <v>0</v>
      </c>
      <c r="N466" t="n">
        <v>0</v>
      </c>
      <c r="O466" t="n">
        <v>0</v>
      </c>
      <c r="P466" t="n">
        <v>0</v>
      </c>
      <c r="Q466" t="n">
        <v>1</v>
      </c>
      <c r="R466" s="2" t="inlineStr">
        <is>
          <t>Korallblylav</t>
        </is>
      </c>
      <c r="S466">
        <f>HYPERLINK("https://klasma.github.io/Logging_0188/artfynd/A 21744-2023 artfynd.xlsx", "A 21744-2023")</f>
        <v/>
      </c>
      <c r="T466">
        <f>HYPERLINK("https://klasma.github.io/Logging_0188/kartor/A 21744-2023 karta.png", "A 21744-2023")</f>
        <v/>
      </c>
      <c r="V466">
        <f>HYPERLINK("https://klasma.github.io/Logging_0188/klagomål/A 21744-2023 FSC-klagomål.docx", "A 21744-2023")</f>
        <v/>
      </c>
      <c r="W466">
        <f>HYPERLINK("https://klasma.github.io/Logging_0188/klagomålsmail/A 21744-2023 FSC-klagomål mail.docx", "A 21744-2023")</f>
        <v/>
      </c>
      <c r="X466">
        <f>HYPERLINK("https://klasma.github.io/Logging_0188/tillsyn/A 21744-2023 tillsynsbegäran.docx", "A 21744-2023")</f>
        <v/>
      </c>
      <c r="Y466">
        <f>HYPERLINK("https://klasma.github.io/Logging_0188/tillsynsmail/A 21744-2023 tillsynsbegäran mail.docx", "A 21744-2023")</f>
        <v/>
      </c>
    </row>
    <row r="467" ht="15" customHeight="1">
      <c r="A467" t="inlineStr">
        <is>
          <t>A 24233-2023</t>
        </is>
      </c>
      <c r="B467" s="1" t="n">
        <v>45076</v>
      </c>
      <c r="C467" s="1" t="n">
        <v>45661</v>
      </c>
      <c r="D467" t="inlineStr">
        <is>
          <t>STOCKHOLMS LÄN</t>
        </is>
      </c>
      <c r="E467" t="inlineStr">
        <is>
          <t>HUDDINGE</t>
        </is>
      </c>
      <c r="G467" t="n">
        <v>3.7</v>
      </c>
      <c r="H467" t="n">
        <v>0</v>
      </c>
      <c r="I467" t="n">
        <v>0</v>
      </c>
      <c r="J467" t="n">
        <v>1</v>
      </c>
      <c r="K467" t="n">
        <v>0</v>
      </c>
      <c r="L467" t="n">
        <v>0</v>
      </c>
      <c r="M467" t="n">
        <v>0</v>
      </c>
      <c r="N467" t="n">
        <v>0</v>
      </c>
      <c r="O467" t="n">
        <v>1</v>
      </c>
      <c r="P467" t="n">
        <v>0</v>
      </c>
      <c r="Q467" t="n">
        <v>1</v>
      </c>
      <c r="R467" s="2" t="inlineStr">
        <is>
          <t>Svartvit taggsvamp</t>
        </is>
      </c>
      <c r="S467">
        <f>HYPERLINK("https://klasma.github.io/Logging_0126/artfynd/A 24233-2023 artfynd.xlsx", "A 24233-2023")</f>
        <v/>
      </c>
      <c r="T467">
        <f>HYPERLINK("https://klasma.github.io/Logging_0126/kartor/A 24233-2023 karta.png", "A 24233-2023")</f>
        <v/>
      </c>
      <c r="V467">
        <f>HYPERLINK("https://klasma.github.io/Logging_0126/klagomål/A 24233-2023 FSC-klagomål.docx", "A 24233-2023")</f>
        <v/>
      </c>
      <c r="W467">
        <f>HYPERLINK("https://klasma.github.io/Logging_0126/klagomålsmail/A 24233-2023 FSC-klagomål mail.docx", "A 24233-2023")</f>
        <v/>
      </c>
      <c r="X467">
        <f>HYPERLINK("https://klasma.github.io/Logging_0126/tillsyn/A 24233-2023 tillsynsbegäran.docx", "A 24233-2023")</f>
        <v/>
      </c>
      <c r="Y467">
        <f>HYPERLINK("https://klasma.github.io/Logging_0126/tillsynsmail/A 24233-2023 tillsynsbegäran mail.docx", "A 24233-2023")</f>
        <v/>
      </c>
    </row>
    <row r="468" ht="15" customHeight="1">
      <c r="A468" t="inlineStr">
        <is>
          <t>A 24368-2023</t>
        </is>
      </c>
      <c r="B468" s="1" t="n">
        <v>45076</v>
      </c>
      <c r="C468" s="1" t="n">
        <v>45661</v>
      </c>
      <c r="D468" t="inlineStr">
        <is>
          <t>STOCKHOLMS LÄN</t>
        </is>
      </c>
      <c r="E468" t="inlineStr">
        <is>
          <t>HUDDINGE</t>
        </is>
      </c>
      <c r="G468" t="n">
        <v>3</v>
      </c>
      <c r="H468" t="n">
        <v>1</v>
      </c>
      <c r="I468" t="n">
        <v>1</v>
      </c>
      <c r="J468" t="n">
        <v>0</v>
      </c>
      <c r="K468" t="n">
        <v>0</v>
      </c>
      <c r="L468" t="n">
        <v>0</v>
      </c>
      <c r="M468" t="n">
        <v>0</v>
      </c>
      <c r="N468" t="n">
        <v>0</v>
      </c>
      <c r="O468" t="n">
        <v>0</v>
      </c>
      <c r="P468" t="n">
        <v>0</v>
      </c>
      <c r="Q468" t="n">
        <v>1</v>
      </c>
      <c r="R468" s="2" t="inlineStr">
        <is>
          <t>Plattlummer</t>
        </is>
      </c>
      <c r="S468">
        <f>HYPERLINK("https://klasma.github.io/Logging_0126/artfynd/A 24368-2023 artfynd.xlsx", "A 24368-2023")</f>
        <v/>
      </c>
      <c r="T468">
        <f>HYPERLINK("https://klasma.github.io/Logging_0126/kartor/A 24368-2023 karta.png", "A 24368-2023")</f>
        <v/>
      </c>
      <c r="V468">
        <f>HYPERLINK("https://klasma.github.io/Logging_0126/klagomål/A 24368-2023 FSC-klagomål.docx", "A 24368-2023")</f>
        <v/>
      </c>
      <c r="W468">
        <f>HYPERLINK("https://klasma.github.io/Logging_0126/klagomålsmail/A 24368-2023 FSC-klagomål mail.docx", "A 24368-2023")</f>
        <v/>
      </c>
      <c r="X468">
        <f>HYPERLINK("https://klasma.github.io/Logging_0126/tillsyn/A 24368-2023 tillsynsbegäran.docx", "A 24368-2023")</f>
        <v/>
      </c>
      <c r="Y468">
        <f>HYPERLINK("https://klasma.github.io/Logging_0126/tillsynsmail/A 24368-2023 tillsynsbegäran mail.docx", "A 24368-2023")</f>
        <v/>
      </c>
    </row>
    <row r="469" ht="15" customHeight="1">
      <c r="A469" t="inlineStr">
        <is>
          <t>A 24384-2023</t>
        </is>
      </c>
      <c r="B469" s="1" t="n">
        <v>45076</v>
      </c>
      <c r="C469" s="1" t="n">
        <v>45661</v>
      </c>
      <c r="D469" t="inlineStr">
        <is>
          <t>STOCKHOLMS LÄN</t>
        </is>
      </c>
      <c r="E469" t="inlineStr">
        <is>
          <t>HUDDINGE</t>
        </is>
      </c>
      <c r="G469" t="n">
        <v>1</v>
      </c>
      <c r="H469" t="n">
        <v>0</v>
      </c>
      <c r="I469" t="n">
        <v>0</v>
      </c>
      <c r="J469" t="n">
        <v>1</v>
      </c>
      <c r="K469" t="n">
        <v>0</v>
      </c>
      <c r="L469" t="n">
        <v>0</v>
      </c>
      <c r="M469" t="n">
        <v>0</v>
      </c>
      <c r="N469" t="n">
        <v>0</v>
      </c>
      <c r="O469" t="n">
        <v>1</v>
      </c>
      <c r="P469" t="n">
        <v>0</v>
      </c>
      <c r="Q469" t="n">
        <v>1</v>
      </c>
      <c r="R469" s="2" t="inlineStr">
        <is>
          <t>Kolflarnlav</t>
        </is>
      </c>
      <c r="S469">
        <f>HYPERLINK("https://klasma.github.io/Logging_0126/artfynd/A 24384-2023 artfynd.xlsx", "A 24384-2023")</f>
        <v/>
      </c>
      <c r="T469">
        <f>HYPERLINK("https://klasma.github.io/Logging_0126/kartor/A 24384-2023 karta.png", "A 24384-2023")</f>
        <v/>
      </c>
      <c r="V469">
        <f>HYPERLINK("https://klasma.github.io/Logging_0126/klagomål/A 24384-2023 FSC-klagomål.docx", "A 24384-2023")</f>
        <v/>
      </c>
      <c r="W469">
        <f>HYPERLINK("https://klasma.github.io/Logging_0126/klagomålsmail/A 24384-2023 FSC-klagomål mail.docx", "A 24384-2023")</f>
        <v/>
      </c>
      <c r="X469">
        <f>HYPERLINK("https://klasma.github.io/Logging_0126/tillsyn/A 24384-2023 tillsynsbegäran.docx", "A 24384-2023")</f>
        <v/>
      </c>
      <c r="Y469">
        <f>HYPERLINK("https://klasma.github.io/Logging_0126/tillsynsmail/A 24384-2023 tillsynsbegäran mail.docx", "A 24384-2023")</f>
        <v/>
      </c>
    </row>
    <row r="470" ht="15" customHeight="1">
      <c r="A470" t="inlineStr">
        <is>
          <t>A 23829-2023</t>
        </is>
      </c>
      <c r="B470" s="1" t="n">
        <v>45078</v>
      </c>
      <c r="C470" s="1" t="n">
        <v>45661</v>
      </c>
      <c r="D470" t="inlineStr">
        <is>
          <t>STOCKHOLMS LÄN</t>
        </is>
      </c>
      <c r="E470" t="inlineStr">
        <is>
          <t>BOTKYRKA</t>
        </is>
      </c>
      <c r="F470" t="inlineStr">
        <is>
          <t>Kommuner</t>
        </is>
      </c>
      <c r="G470" t="n">
        <v>3.7</v>
      </c>
      <c r="H470" t="n">
        <v>0</v>
      </c>
      <c r="I470" t="n">
        <v>1</v>
      </c>
      <c r="J470" t="n">
        <v>0</v>
      </c>
      <c r="K470" t="n">
        <v>0</v>
      </c>
      <c r="L470" t="n">
        <v>0</v>
      </c>
      <c r="M470" t="n">
        <v>0</v>
      </c>
      <c r="N470" t="n">
        <v>0</v>
      </c>
      <c r="O470" t="n">
        <v>0</v>
      </c>
      <c r="P470" t="n">
        <v>0</v>
      </c>
      <c r="Q470" t="n">
        <v>1</v>
      </c>
      <c r="R470" s="2" t="inlineStr">
        <is>
          <t>Fjällig taggsvamp s.str.</t>
        </is>
      </c>
      <c r="S470">
        <f>HYPERLINK("https://klasma.github.io/Logging_0127/artfynd/A 23829-2023 artfynd.xlsx", "A 23829-2023")</f>
        <v/>
      </c>
      <c r="T470">
        <f>HYPERLINK("https://klasma.github.io/Logging_0127/kartor/A 23829-2023 karta.png", "A 23829-2023")</f>
        <v/>
      </c>
      <c r="V470">
        <f>HYPERLINK("https://klasma.github.io/Logging_0127/klagomål/A 23829-2023 FSC-klagomål.docx", "A 23829-2023")</f>
        <v/>
      </c>
      <c r="W470">
        <f>HYPERLINK("https://klasma.github.io/Logging_0127/klagomålsmail/A 23829-2023 FSC-klagomål mail.docx", "A 23829-2023")</f>
        <v/>
      </c>
      <c r="X470">
        <f>HYPERLINK("https://klasma.github.io/Logging_0127/tillsyn/A 23829-2023 tillsynsbegäran.docx", "A 23829-2023")</f>
        <v/>
      </c>
      <c r="Y470">
        <f>HYPERLINK("https://klasma.github.io/Logging_0127/tillsynsmail/A 23829-2023 tillsynsbegäran mail.docx", "A 23829-2023")</f>
        <v/>
      </c>
    </row>
    <row r="471" ht="15" customHeight="1">
      <c r="A471" t="inlineStr">
        <is>
          <t>A 23823-2023</t>
        </is>
      </c>
      <c r="B471" s="1" t="n">
        <v>45078</v>
      </c>
      <c r="C471" s="1" t="n">
        <v>45661</v>
      </c>
      <c r="D471" t="inlineStr">
        <is>
          <t>STOCKHOLMS LÄN</t>
        </is>
      </c>
      <c r="E471" t="inlineStr">
        <is>
          <t>SALEM</t>
        </is>
      </c>
      <c r="F471" t="inlineStr">
        <is>
          <t>Kommuner</t>
        </is>
      </c>
      <c r="G471" t="n">
        <v>2.1</v>
      </c>
      <c r="H471" t="n">
        <v>1</v>
      </c>
      <c r="I471" t="n">
        <v>0</v>
      </c>
      <c r="J471" t="n">
        <v>0</v>
      </c>
      <c r="K471" t="n">
        <v>0</v>
      </c>
      <c r="L471" t="n">
        <v>0</v>
      </c>
      <c r="M471" t="n">
        <v>0</v>
      </c>
      <c r="N471" t="n">
        <v>0</v>
      </c>
      <c r="O471" t="n">
        <v>0</v>
      </c>
      <c r="P471" t="n">
        <v>0</v>
      </c>
      <c r="Q471" t="n">
        <v>1</v>
      </c>
      <c r="R471" s="2" t="inlineStr">
        <is>
          <t>Revlummer</t>
        </is>
      </c>
      <c r="S471">
        <f>HYPERLINK("https://klasma.github.io/Logging_0128/artfynd/A 23823-2023 artfynd.xlsx", "A 23823-2023")</f>
        <v/>
      </c>
      <c r="T471">
        <f>HYPERLINK("https://klasma.github.io/Logging_0128/kartor/A 23823-2023 karta.png", "A 23823-2023")</f>
        <v/>
      </c>
      <c r="V471">
        <f>HYPERLINK("https://klasma.github.io/Logging_0128/klagomål/A 23823-2023 FSC-klagomål.docx", "A 23823-2023")</f>
        <v/>
      </c>
      <c r="W471">
        <f>HYPERLINK("https://klasma.github.io/Logging_0128/klagomålsmail/A 23823-2023 FSC-klagomål mail.docx", "A 23823-2023")</f>
        <v/>
      </c>
      <c r="X471">
        <f>HYPERLINK("https://klasma.github.io/Logging_0128/tillsyn/A 23823-2023 tillsynsbegäran.docx", "A 23823-2023")</f>
        <v/>
      </c>
      <c r="Y471">
        <f>HYPERLINK("https://klasma.github.io/Logging_0128/tillsynsmail/A 23823-2023 tillsynsbegäran mail.docx", "A 23823-2023")</f>
        <v/>
      </c>
    </row>
    <row r="472" ht="15" customHeight="1">
      <c r="A472" t="inlineStr">
        <is>
          <t>A 24535-2023</t>
        </is>
      </c>
      <c r="B472" s="1" t="n">
        <v>45082</v>
      </c>
      <c r="C472" s="1" t="n">
        <v>45661</v>
      </c>
      <c r="D472" t="inlineStr">
        <is>
          <t>STOCKHOLMS LÄN</t>
        </is>
      </c>
      <c r="E472" t="inlineStr">
        <is>
          <t>NORRTÄLJE</t>
        </is>
      </c>
      <c r="F472" t="inlineStr">
        <is>
          <t>Kommuner</t>
        </is>
      </c>
      <c r="G472" t="n">
        <v>2</v>
      </c>
      <c r="H472" t="n">
        <v>1</v>
      </c>
      <c r="I472" t="n">
        <v>0</v>
      </c>
      <c r="J472" t="n">
        <v>0</v>
      </c>
      <c r="K472" t="n">
        <v>0</v>
      </c>
      <c r="L472" t="n">
        <v>0</v>
      </c>
      <c r="M472" t="n">
        <v>0</v>
      </c>
      <c r="N472" t="n">
        <v>0</v>
      </c>
      <c r="O472" t="n">
        <v>0</v>
      </c>
      <c r="P472" t="n">
        <v>0</v>
      </c>
      <c r="Q472" t="n">
        <v>1</v>
      </c>
      <c r="R472" s="2" t="inlineStr">
        <is>
          <t>Blåsippa</t>
        </is>
      </c>
      <c r="S472">
        <f>HYPERLINK("https://klasma.github.io/Logging_0188/artfynd/A 24535-2023 artfynd.xlsx", "A 24535-2023")</f>
        <v/>
      </c>
      <c r="T472">
        <f>HYPERLINK("https://klasma.github.io/Logging_0188/kartor/A 24535-2023 karta.png", "A 24535-2023")</f>
        <v/>
      </c>
      <c r="V472">
        <f>HYPERLINK("https://klasma.github.io/Logging_0188/klagomål/A 24535-2023 FSC-klagomål.docx", "A 24535-2023")</f>
        <v/>
      </c>
      <c r="W472">
        <f>HYPERLINK("https://klasma.github.io/Logging_0188/klagomålsmail/A 24535-2023 FSC-klagomål mail.docx", "A 24535-2023")</f>
        <v/>
      </c>
      <c r="X472">
        <f>HYPERLINK("https://klasma.github.io/Logging_0188/tillsyn/A 24535-2023 tillsynsbegäran.docx", "A 24535-2023")</f>
        <v/>
      </c>
      <c r="Y472">
        <f>HYPERLINK("https://klasma.github.io/Logging_0188/tillsynsmail/A 24535-2023 tillsynsbegäran mail.docx", "A 24535-2023")</f>
        <v/>
      </c>
    </row>
    <row r="473" ht="15" customHeight="1">
      <c r="A473" t="inlineStr">
        <is>
          <t>A 26635-2023</t>
        </is>
      </c>
      <c r="B473" s="1" t="n">
        <v>45092</v>
      </c>
      <c r="C473" s="1" t="n">
        <v>45661</v>
      </c>
      <c r="D473" t="inlineStr">
        <is>
          <t>STOCKHOLMS LÄN</t>
        </is>
      </c>
      <c r="E473" t="inlineStr">
        <is>
          <t>NORRTÄLJE</t>
        </is>
      </c>
      <c r="G473" t="n">
        <v>3.1</v>
      </c>
      <c r="H473" t="n">
        <v>1</v>
      </c>
      <c r="I473" t="n">
        <v>0</v>
      </c>
      <c r="J473" t="n">
        <v>0</v>
      </c>
      <c r="K473" t="n">
        <v>0</v>
      </c>
      <c r="L473" t="n">
        <v>0</v>
      </c>
      <c r="M473" t="n">
        <v>0</v>
      </c>
      <c r="N473" t="n">
        <v>0</v>
      </c>
      <c r="O473" t="n">
        <v>0</v>
      </c>
      <c r="P473" t="n">
        <v>0</v>
      </c>
      <c r="Q473" t="n">
        <v>1</v>
      </c>
      <c r="R473" s="2" t="inlineStr">
        <is>
          <t>Fläcknycklar</t>
        </is>
      </c>
      <c r="S473">
        <f>HYPERLINK("https://klasma.github.io/Logging_0188/artfynd/A 26635-2023 artfynd.xlsx", "A 26635-2023")</f>
        <v/>
      </c>
      <c r="T473">
        <f>HYPERLINK("https://klasma.github.io/Logging_0188/kartor/A 26635-2023 karta.png", "A 26635-2023")</f>
        <v/>
      </c>
      <c r="V473">
        <f>HYPERLINK("https://klasma.github.io/Logging_0188/klagomål/A 26635-2023 FSC-klagomål.docx", "A 26635-2023")</f>
        <v/>
      </c>
      <c r="W473">
        <f>HYPERLINK("https://klasma.github.io/Logging_0188/klagomålsmail/A 26635-2023 FSC-klagomål mail.docx", "A 26635-2023")</f>
        <v/>
      </c>
      <c r="X473">
        <f>HYPERLINK("https://klasma.github.io/Logging_0188/tillsyn/A 26635-2023 tillsynsbegäran.docx", "A 26635-2023")</f>
        <v/>
      </c>
      <c r="Y473">
        <f>HYPERLINK("https://klasma.github.io/Logging_0188/tillsynsmail/A 26635-2023 tillsynsbegäran mail.docx", "A 26635-2023")</f>
        <v/>
      </c>
    </row>
    <row r="474" ht="15" customHeight="1">
      <c r="A474" t="inlineStr">
        <is>
          <t>A 31142-2023</t>
        </is>
      </c>
      <c r="B474" s="1" t="n">
        <v>45113</v>
      </c>
      <c r="C474" s="1" t="n">
        <v>45661</v>
      </c>
      <c r="D474" t="inlineStr">
        <is>
          <t>STOCKHOLMS LÄN</t>
        </is>
      </c>
      <c r="E474" t="inlineStr">
        <is>
          <t>NYNÄSHAMN</t>
        </is>
      </c>
      <c r="G474" t="n">
        <v>5.7</v>
      </c>
      <c r="H474" t="n">
        <v>0</v>
      </c>
      <c r="I474" t="n">
        <v>0</v>
      </c>
      <c r="J474" t="n">
        <v>0</v>
      </c>
      <c r="K474" t="n">
        <v>0</v>
      </c>
      <c r="L474" t="n">
        <v>1</v>
      </c>
      <c r="M474" t="n">
        <v>0</v>
      </c>
      <c r="N474" t="n">
        <v>0</v>
      </c>
      <c r="O474" t="n">
        <v>1</v>
      </c>
      <c r="P474" t="n">
        <v>1</v>
      </c>
      <c r="Q474" t="n">
        <v>1</v>
      </c>
      <c r="R474" s="2" t="inlineStr">
        <is>
          <t>Ask</t>
        </is>
      </c>
      <c r="S474">
        <f>HYPERLINK("https://klasma.github.io/Logging_0192/artfynd/A 31142-2023 artfynd.xlsx", "A 31142-2023")</f>
        <v/>
      </c>
      <c r="T474">
        <f>HYPERLINK("https://klasma.github.io/Logging_0192/kartor/A 31142-2023 karta.png", "A 31142-2023")</f>
        <v/>
      </c>
      <c r="V474">
        <f>HYPERLINK("https://klasma.github.io/Logging_0192/klagomål/A 31142-2023 FSC-klagomål.docx", "A 31142-2023")</f>
        <v/>
      </c>
      <c r="W474">
        <f>HYPERLINK("https://klasma.github.io/Logging_0192/klagomålsmail/A 31142-2023 FSC-klagomål mail.docx", "A 31142-2023")</f>
        <v/>
      </c>
      <c r="X474">
        <f>HYPERLINK("https://klasma.github.io/Logging_0192/tillsyn/A 31142-2023 tillsynsbegäran.docx", "A 31142-2023")</f>
        <v/>
      </c>
      <c r="Y474">
        <f>HYPERLINK("https://klasma.github.io/Logging_0192/tillsynsmail/A 31142-2023 tillsynsbegäran mail.docx", "A 31142-2023")</f>
        <v/>
      </c>
    </row>
    <row r="475" ht="15" customHeight="1">
      <c r="A475" t="inlineStr">
        <is>
          <t>A 31828-2023</t>
        </is>
      </c>
      <c r="B475" s="1" t="n">
        <v>45118</v>
      </c>
      <c r="C475" s="1" t="n">
        <v>45661</v>
      </c>
      <c r="D475" t="inlineStr">
        <is>
          <t>STOCKHOLMS LÄN</t>
        </is>
      </c>
      <c r="E475" t="inlineStr">
        <is>
          <t>NYNÄSHAMN</t>
        </is>
      </c>
      <c r="F475" t="inlineStr">
        <is>
          <t>Kommuner</t>
        </is>
      </c>
      <c r="G475" t="n">
        <v>2.7</v>
      </c>
      <c r="H475" t="n">
        <v>0</v>
      </c>
      <c r="I475" t="n">
        <v>1</v>
      </c>
      <c r="J475" t="n">
        <v>0</v>
      </c>
      <c r="K475" t="n">
        <v>0</v>
      </c>
      <c r="L475" t="n">
        <v>0</v>
      </c>
      <c r="M475" t="n">
        <v>0</v>
      </c>
      <c r="N475" t="n">
        <v>0</v>
      </c>
      <c r="O475" t="n">
        <v>0</v>
      </c>
      <c r="P475" t="n">
        <v>0</v>
      </c>
      <c r="Q475" t="n">
        <v>1</v>
      </c>
      <c r="R475" s="2" t="inlineStr">
        <is>
          <t>Björksplintborre</t>
        </is>
      </c>
      <c r="S475">
        <f>HYPERLINK("https://klasma.github.io/Logging_0192/artfynd/A 31828-2023 artfynd.xlsx", "A 31828-2023")</f>
        <v/>
      </c>
      <c r="T475">
        <f>HYPERLINK("https://klasma.github.io/Logging_0192/kartor/A 31828-2023 karta.png", "A 31828-2023")</f>
        <v/>
      </c>
      <c r="V475">
        <f>HYPERLINK("https://klasma.github.io/Logging_0192/klagomål/A 31828-2023 FSC-klagomål.docx", "A 31828-2023")</f>
        <v/>
      </c>
      <c r="W475">
        <f>HYPERLINK("https://klasma.github.io/Logging_0192/klagomålsmail/A 31828-2023 FSC-klagomål mail.docx", "A 31828-2023")</f>
        <v/>
      </c>
      <c r="X475">
        <f>HYPERLINK("https://klasma.github.io/Logging_0192/tillsyn/A 31828-2023 tillsynsbegäran.docx", "A 31828-2023")</f>
        <v/>
      </c>
      <c r="Y475">
        <f>HYPERLINK("https://klasma.github.io/Logging_0192/tillsynsmail/A 31828-2023 tillsynsbegäran mail.docx", "A 31828-2023")</f>
        <v/>
      </c>
    </row>
    <row r="476" ht="15" customHeight="1">
      <c r="A476" t="inlineStr">
        <is>
          <t>A 31842-2023</t>
        </is>
      </c>
      <c r="B476" s="1" t="n">
        <v>45118</v>
      </c>
      <c r="C476" s="1" t="n">
        <v>45661</v>
      </c>
      <c r="D476" t="inlineStr">
        <is>
          <t>STOCKHOLMS LÄN</t>
        </is>
      </c>
      <c r="E476" t="inlineStr">
        <is>
          <t>NYNÄSHAMN</t>
        </is>
      </c>
      <c r="F476" t="inlineStr">
        <is>
          <t>Kommuner</t>
        </is>
      </c>
      <c r="G476" t="n">
        <v>3.8</v>
      </c>
      <c r="H476" t="n">
        <v>1</v>
      </c>
      <c r="I476" t="n">
        <v>1</v>
      </c>
      <c r="J476" t="n">
        <v>0</v>
      </c>
      <c r="K476" t="n">
        <v>0</v>
      </c>
      <c r="L476" t="n">
        <v>0</v>
      </c>
      <c r="M476" t="n">
        <v>0</v>
      </c>
      <c r="N476" t="n">
        <v>0</v>
      </c>
      <c r="O476" t="n">
        <v>0</v>
      </c>
      <c r="P476" t="n">
        <v>0</v>
      </c>
      <c r="Q476" t="n">
        <v>1</v>
      </c>
      <c r="R476" s="2" t="inlineStr">
        <is>
          <t>Grön sköldmossa</t>
        </is>
      </c>
      <c r="S476">
        <f>HYPERLINK("https://klasma.github.io/Logging_0192/artfynd/A 31842-2023 artfynd.xlsx", "A 31842-2023")</f>
        <v/>
      </c>
      <c r="T476">
        <f>HYPERLINK("https://klasma.github.io/Logging_0192/kartor/A 31842-2023 karta.png", "A 31842-2023")</f>
        <v/>
      </c>
      <c r="V476">
        <f>HYPERLINK("https://klasma.github.io/Logging_0192/klagomål/A 31842-2023 FSC-klagomål.docx", "A 31842-2023")</f>
        <v/>
      </c>
      <c r="W476">
        <f>HYPERLINK("https://klasma.github.io/Logging_0192/klagomålsmail/A 31842-2023 FSC-klagomål mail.docx", "A 31842-2023")</f>
        <v/>
      </c>
      <c r="X476">
        <f>HYPERLINK("https://klasma.github.io/Logging_0192/tillsyn/A 31842-2023 tillsynsbegäran.docx", "A 31842-2023")</f>
        <v/>
      </c>
      <c r="Y476">
        <f>HYPERLINK("https://klasma.github.io/Logging_0192/tillsynsmail/A 31842-2023 tillsynsbegäran mail.docx", "A 31842-2023")</f>
        <v/>
      </c>
    </row>
    <row r="477" ht="15" customHeight="1">
      <c r="A477" t="inlineStr">
        <is>
          <t>A 32338-2023</t>
        </is>
      </c>
      <c r="B477" s="1" t="n">
        <v>45120</v>
      </c>
      <c r="C477" s="1" t="n">
        <v>45661</v>
      </c>
      <c r="D477" t="inlineStr">
        <is>
          <t>STOCKHOLMS LÄN</t>
        </is>
      </c>
      <c r="E477" t="inlineStr">
        <is>
          <t>VÄRMDÖ</t>
        </is>
      </c>
      <c r="G477" t="n">
        <v>11.3</v>
      </c>
      <c r="H477" t="n">
        <v>0</v>
      </c>
      <c r="I477" t="n">
        <v>1</v>
      </c>
      <c r="J477" t="n">
        <v>0</v>
      </c>
      <c r="K477" t="n">
        <v>0</v>
      </c>
      <c r="L477" t="n">
        <v>0</v>
      </c>
      <c r="M477" t="n">
        <v>0</v>
      </c>
      <c r="N477" t="n">
        <v>0</v>
      </c>
      <c r="O477" t="n">
        <v>0</v>
      </c>
      <c r="P477" t="n">
        <v>0</v>
      </c>
      <c r="Q477" t="n">
        <v>1</v>
      </c>
      <c r="R477" s="2" t="inlineStr">
        <is>
          <t>Strävlosta</t>
        </is>
      </c>
      <c r="S477">
        <f>HYPERLINK("https://klasma.github.io/Logging_0120/artfynd/A 32338-2023 artfynd.xlsx", "A 32338-2023")</f>
        <v/>
      </c>
      <c r="T477">
        <f>HYPERLINK("https://klasma.github.io/Logging_0120/kartor/A 32338-2023 karta.png", "A 32338-2023")</f>
        <v/>
      </c>
      <c r="V477">
        <f>HYPERLINK("https://klasma.github.io/Logging_0120/klagomål/A 32338-2023 FSC-klagomål.docx", "A 32338-2023")</f>
        <v/>
      </c>
      <c r="W477">
        <f>HYPERLINK("https://klasma.github.io/Logging_0120/klagomålsmail/A 32338-2023 FSC-klagomål mail.docx", "A 32338-2023")</f>
        <v/>
      </c>
      <c r="X477">
        <f>HYPERLINK("https://klasma.github.io/Logging_0120/tillsyn/A 32338-2023 tillsynsbegäran.docx", "A 32338-2023")</f>
        <v/>
      </c>
      <c r="Y477">
        <f>HYPERLINK("https://klasma.github.io/Logging_0120/tillsynsmail/A 32338-2023 tillsynsbegäran mail.docx", "A 32338-2023")</f>
        <v/>
      </c>
    </row>
    <row r="478" ht="15" customHeight="1">
      <c r="A478" t="inlineStr">
        <is>
          <t>A 32455-2023</t>
        </is>
      </c>
      <c r="B478" s="1" t="n">
        <v>45120</v>
      </c>
      <c r="C478" s="1" t="n">
        <v>45661</v>
      </c>
      <c r="D478" t="inlineStr">
        <is>
          <t>STOCKHOLMS LÄN</t>
        </is>
      </c>
      <c r="E478" t="inlineStr">
        <is>
          <t>VÄRMDÖ</t>
        </is>
      </c>
      <c r="G478" t="n">
        <v>4.1</v>
      </c>
      <c r="H478" t="n">
        <v>1</v>
      </c>
      <c r="I478" t="n">
        <v>0</v>
      </c>
      <c r="J478" t="n">
        <v>0</v>
      </c>
      <c r="K478" t="n">
        <v>0</v>
      </c>
      <c r="L478" t="n">
        <v>0</v>
      </c>
      <c r="M478" t="n">
        <v>0</v>
      </c>
      <c r="N478" t="n">
        <v>0</v>
      </c>
      <c r="O478" t="n">
        <v>0</v>
      </c>
      <c r="P478" t="n">
        <v>0</v>
      </c>
      <c r="Q478" t="n">
        <v>1</v>
      </c>
      <c r="R478" s="2" t="inlineStr">
        <is>
          <t>Blåsippa</t>
        </is>
      </c>
      <c r="S478">
        <f>HYPERLINK("https://klasma.github.io/Logging_0120/artfynd/A 32455-2023 artfynd.xlsx", "A 32455-2023")</f>
        <v/>
      </c>
      <c r="T478">
        <f>HYPERLINK("https://klasma.github.io/Logging_0120/kartor/A 32455-2023 karta.png", "A 32455-2023")</f>
        <v/>
      </c>
      <c r="V478">
        <f>HYPERLINK("https://klasma.github.io/Logging_0120/klagomål/A 32455-2023 FSC-klagomål.docx", "A 32455-2023")</f>
        <v/>
      </c>
      <c r="W478">
        <f>HYPERLINK("https://klasma.github.io/Logging_0120/klagomålsmail/A 32455-2023 FSC-klagomål mail.docx", "A 32455-2023")</f>
        <v/>
      </c>
      <c r="X478">
        <f>HYPERLINK("https://klasma.github.io/Logging_0120/tillsyn/A 32455-2023 tillsynsbegäran.docx", "A 32455-2023")</f>
        <v/>
      </c>
      <c r="Y478">
        <f>HYPERLINK("https://klasma.github.io/Logging_0120/tillsynsmail/A 32455-2023 tillsynsbegäran mail.docx", "A 32455-2023")</f>
        <v/>
      </c>
    </row>
    <row r="479" ht="15" customHeight="1">
      <c r="A479" t="inlineStr">
        <is>
          <t>A 33528-2023</t>
        </is>
      </c>
      <c r="B479" s="1" t="n">
        <v>45131</v>
      </c>
      <c r="C479" s="1" t="n">
        <v>45661</v>
      </c>
      <c r="D479" t="inlineStr">
        <is>
          <t>STOCKHOLMS LÄN</t>
        </is>
      </c>
      <c r="E479" t="inlineStr">
        <is>
          <t>NYNÄSHAMN</t>
        </is>
      </c>
      <c r="G479" t="n">
        <v>4</v>
      </c>
      <c r="H479" t="n">
        <v>0</v>
      </c>
      <c r="I479" t="n">
        <v>1</v>
      </c>
      <c r="J479" t="n">
        <v>0</v>
      </c>
      <c r="K479" t="n">
        <v>0</v>
      </c>
      <c r="L479" t="n">
        <v>0</v>
      </c>
      <c r="M479" t="n">
        <v>0</v>
      </c>
      <c r="N479" t="n">
        <v>0</v>
      </c>
      <c r="O479" t="n">
        <v>0</v>
      </c>
      <c r="P479" t="n">
        <v>0</v>
      </c>
      <c r="Q479" t="n">
        <v>1</v>
      </c>
      <c r="R479" s="2" t="inlineStr">
        <is>
          <t>Strutbräken</t>
        </is>
      </c>
      <c r="S479">
        <f>HYPERLINK("https://klasma.github.io/Logging_0192/artfynd/A 33528-2023 artfynd.xlsx", "A 33528-2023")</f>
        <v/>
      </c>
      <c r="T479">
        <f>HYPERLINK("https://klasma.github.io/Logging_0192/kartor/A 33528-2023 karta.png", "A 33528-2023")</f>
        <v/>
      </c>
      <c r="V479">
        <f>HYPERLINK("https://klasma.github.io/Logging_0192/klagomål/A 33528-2023 FSC-klagomål.docx", "A 33528-2023")</f>
        <v/>
      </c>
      <c r="W479">
        <f>HYPERLINK("https://klasma.github.io/Logging_0192/klagomålsmail/A 33528-2023 FSC-klagomål mail.docx", "A 33528-2023")</f>
        <v/>
      </c>
      <c r="X479">
        <f>HYPERLINK("https://klasma.github.io/Logging_0192/tillsyn/A 33528-2023 tillsynsbegäran.docx", "A 33528-2023")</f>
        <v/>
      </c>
      <c r="Y479">
        <f>HYPERLINK("https://klasma.github.io/Logging_0192/tillsynsmail/A 33528-2023 tillsynsbegäran mail.docx", "A 33528-2023")</f>
        <v/>
      </c>
    </row>
    <row r="480" ht="15" customHeight="1">
      <c r="A480" t="inlineStr">
        <is>
          <t>A 35155-2023</t>
        </is>
      </c>
      <c r="B480" s="1" t="n">
        <v>45145</v>
      </c>
      <c r="C480" s="1" t="n">
        <v>45661</v>
      </c>
      <c r="D480" t="inlineStr">
        <is>
          <t>STOCKHOLMS LÄN</t>
        </is>
      </c>
      <c r="E480" t="inlineStr">
        <is>
          <t>SÖDERTÄLJE</t>
        </is>
      </c>
      <c r="G480" t="n">
        <v>4.1</v>
      </c>
      <c r="H480" t="n">
        <v>1</v>
      </c>
      <c r="I480" t="n">
        <v>0</v>
      </c>
      <c r="J480" t="n">
        <v>0</v>
      </c>
      <c r="K480" t="n">
        <v>0</v>
      </c>
      <c r="L480" t="n">
        <v>0</v>
      </c>
      <c r="M480" t="n">
        <v>0</v>
      </c>
      <c r="N480" t="n">
        <v>0</v>
      </c>
      <c r="O480" t="n">
        <v>0</v>
      </c>
      <c r="P480" t="n">
        <v>0</v>
      </c>
      <c r="Q480" t="n">
        <v>1</v>
      </c>
      <c r="R480" s="2" t="inlineStr">
        <is>
          <t>Mattlummer</t>
        </is>
      </c>
      <c r="S480">
        <f>HYPERLINK("https://klasma.github.io/Logging_0181/artfynd/A 35155-2023 artfynd.xlsx", "A 35155-2023")</f>
        <v/>
      </c>
      <c r="T480">
        <f>HYPERLINK("https://klasma.github.io/Logging_0181/kartor/A 35155-2023 karta.png", "A 35155-2023")</f>
        <v/>
      </c>
      <c r="V480">
        <f>HYPERLINK("https://klasma.github.io/Logging_0181/klagomål/A 35155-2023 FSC-klagomål.docx", "A 35155-2023")</f>
        <v/>
      </c>
      <c r="W480">
        <f>HYPERLINK("https://klasma.github.io/Logging_0181/klagomålsmail/A 35155-2023 FSC-klagomål mail.docx", "A 35155-2023")</f>
        <v/>
      </c>
      <c r="X480">
        <f>HYPERLINK("https://klasma.github.io/Logging_0181/tillsyn/A 35155-2023 tillsynsbegäran.docx", "A 35155-2023")</f>
        <v/>
      </c>
      <c r="Y480">
        <f>HYPERLINK("https://klasma.github.io/Logging_0181/tillsynsmail/A 35155-2023 tillsynsbegäran mail.docx", "A 35155-2023")</f>
        <v/>
      </c>
    </row>
    <row r="481" ht="15" customHeight="1">
      <c r="A481" t="inlineStr">
        <is>
          <t>A 35649-2023</t>
        </is>
      </c>
      <c r="B481" s="1" t="n">
        <v>45146</v>
      </c>
      <c r="C481" s="1" t="n">
        <v>45661</v>
      </c>
      <c r="D481" t="inlineStr">
        <is>
          <t>STOCKHOLMS LÄN</t>
        </is>
      </c>
      <c r="E481" t="inlineStr">
        <is>
          <t>NORRTÄLJE</t>
        </is>
      </c>
      <c r="G481" t="n">
        <v>25.1</v>
      </c>
      <c r="H481" t="n">
        <v>0</v>
      </c>
      <c r="I481" t="n">
        <v>0</v>
      </c>
      <c r="J481" t="n">
        <v>1</v>
      </c>
      <c r="K481" t="n">
        <v>0</v>
      </c>
      <c r="L481" t="n">
        <v>0</v>
      </c>
      <c r="M481" t="n">
        <v>0</v>
      </c>
      <c r="N481" t="n">
        <v>0</v>
      </c>
      <c r="O481" t="n">
        <v>1</v>
      </c>
      <c r="P481" t="n">
        <v>0</v>
      </c>
      <c r="Q481" t="n">
        <v>1</v>
      </c>
      <c r="R481" s="2" t="inlineStr">
        <is>
          <t>Månlåsbräken</t>
        </is>
      </c>
      <c r="S481">
        <f>HYPERLINK("https://klasma.github.io/Logging_0188/artfynd/A 35649-2023 artfynd.xlsx", "A 35649-2023")</f>
        <v/>
      </c>
      <c r="T481">
        <f>HYPERLINK("https://klasma.github.io/Logging_0188/kartor/A 35649-2023 karta.png", "A 35649-2023")</f>
        <v/>
      </c>
      <c r="V481">
        <f>HYPERLINK("https://klasma.github.io/Logging_0188/klagomål/A 35649-2023 FSC-klagomål.docx", "A 35649-2023")</f>
        <v/>
      </c>
      <c r="W481">
        <f>HYPERLINK("https://klasma.github.io/Logging_0188/klagomålsmail/A 35649-2023 FSC-klagomål mail.docx", "A 35649-2023")</f>
        <v/>
      </c>
      <c r="X481">
        <f>HYPERLINK("https://klasma.github.io/Logging_0188/tillsyn/A 35649-2023 tillsynsbegäran.docx", "A 35649-2023")</f>
        <v/>
      </c>
      <c r="Y481">
        <f>HYPERLINK("https://klasma.github.io/Logging_0188/tillsynsmail/A 35649-2023 tillsynsbegäran mail.docx", "A 35649-2023")</f>
        <v/>
      </c>
    </row>
    <row r="482" ht="15" customHeight="1">
      <c r="A482" t="inlineStr">
        <is>
          <t>A 35953-2023</t>
        </is>
      </c>
      <c r="B482" s="1" t="n">
        <v>45148</v>
      </c>
      <c r="C482" s="1" t="n">
        <v>45661</v>
      </c>
      <c r="D482" t="inlineStr">
        <is>
          <t>STOCKHOLMS LÄN</t>
        </is>
      </c>
      <c r="E482" t="inlineStr">
        <is>
          <t>EKERÖ</t>
        </is>
      </c>
      <c r="G482" t="n">
        <v>2.1</v>
      </c>
      <c r="H482" t="n">
        <v>1</v>
      </c>
      <c r="I482" t="n">
        <v>0</v>
      </c>
      <c r="J482" t="n">
        <v>0</v>
      </c>
      <c r="K482" t="n">
        <v>0</v>
      </c>
      <c r="L482" t="n">
        <v>0</v>
      </c>
      <c r="M482" t="n">
        <v>0</v>
      </c>
      <c r="N482" t="n">
        <v>0</v>
      </c>
      <c r="O482" t="n">
        <v>0</v>
      </c>
      <c r="P482" t="n">
        <v>0</v>
      </c>
      <c r="Q482" t="n">
        <v>1</v>
      </c>
      <c r="R482" s="2" t="inlineStr">
        <is>
          <t>Vanlig groda</t>
        </is>
      </c>
      <c r="S482">
        <f>HYPERLINK("https://klasma.github.io/Logging_0125/artfynd/A 35953-2023 artfynd.xlsx", "A 35953-2023")</f>
        <v/>
      </c>
      <c r="T482">
        <f>HYPERLINK("https://klasma.github.io/Logging_0125/kartor/A 35953-2023 karta.png", "A 35953-2023")</f>
        <v/>
      </c>
      <c r="V482">
        <f>HYPERLINK("https://klasma.github.io/Logging_0125/klagomål/A 35953-2023 FSC-klagomål.docx", "A 35953-2023")</f>
        <v/>
      </c>
      <c r="W482">
        <f>HYPERLINK("https://klasma.github.io/Logging_0125/klagomålsmail/A 35953-2023 FSC-klagomål mail.docx", "A 35953-2023")</f>
        <v/>
      </c>
      <c r="X482">
        <f>HYPERLINK("https://klasma.github.io/Logging_0125/tillsyn/A 35953-2023 tillsynsbegäran.docx", "A 35953-2023")</f>
        <v/>
      </c>
      <c r="Y482">
        <f>HYPERLINK("https://klasma.github.io/Logging_0125/tillsynsmail/A 35953-2023 tillsynsbegäran mail.docx", "A 35953-2023")</f>
        <v/>
      </c>
    </row>
    <row r="483" ht="15" customHeight="1">
      <c r="A483" t="inlineStr">
        <is>
          <t>A 38553-2023</t>
        </is>
      </c>
      <c r="B483" s="1" t="n">
        <v>45162</v>
      </c>
      <c r="C483" s="1" t="n">
        <v>45661</v>
      </c>
      <c r="D483" t="inlineStr">
        <is>
          <t>STOCKHOLMS LÄN</t>
        </is>
      </c>
      <c r="E483" t="inlineStr">
        <is>
          <t>VALLENTUNA</t>
        </is>
      </c>
      <c r="G483" t="n">
        <v>4.7</v>
      </c>
      <c r="H483" t="n">
        <v>0</v>
      </c>
      <c r="I483" t="n">
        <v>1</v>
      </c>
      <c r="J483" t="n">
        <v>0</v>
      </c>
      <c r="K483" t="n">
        <v>0</v>
      </c>
      <c r="L483" t="n">
        <v>0</v>
      </c>
      <c r="M483" t="n">
        <v>0</v>
      </c>
      <c r="N483" t="n">
        <v>0</v>
      </c>
      <c r="O483" t="n">
        <v>0</v>
      </c>
      <c r="P483" t="n">
        <v>0</v>
      </c>
      <c r="Q483" t="n">
        <v>1</v>
      </c>
      <c r="R483" s="2" t="inlineStr">
        <is>
          <t>Kamjordstjärna</t>
        </is>
      </c>
      <c r="S483">
        <f>HYPERLINK("https://klasma.github.io/Logging_0115/artfynd/A 38553-2023 artfynd.xlsx", "A 38553-2023")</f>
        <v/>
      </c>
      <c r="T483">
        <f>HYPERLINK("https://klasma.github.io/Logging_0115/kartor/A 38553-2023 karta.png", "A 38553-2023")</f>
        <v/>
      </c>
      <c r="V483">
        <f>HYPERLINK("https://klasma.github.io/Logging_0115/klagomål/A 38553-2023 FSC-klagomål.docx", "A 38553-2023")</f>
        <v/>
      </c>
      <c r="W483">
        <f>HYPERLINK("https://klasma.github.io/Logging_0115/klagomålsmail/A 38553-2023 FSC-klagomål mail.docx", "A 38553-2023")</f>
        <v/>
      </c>
      <c r="X483">
        <f>HYPERLINK("https://klasma.github.io/Logging_0115/tillsyn/A 38553-2023 tillsynsbegäran.docx", "A 38553-2023")</f>
        <v/>
      </c>
      <c r="Y483">
        <f>HYPERLINK("https://klasma.github.io/Logging_0115/tillsynsmail/A 38553-2023 tillsynsbegäran mail.docx", "A 38553-2023")</f>
        <v/>
      </c>
    </row>
    <row r="484" ht="15" customHeight="1">
      <c r="A484" t="inlineStr">
        <is>
          <t>A 39255-2023</t>
        </is>
      </c>
      <c r="B484" s="1" t="n">
        <v>45166</v>
      </c>
      <c r="C484" s="1" t="n">
        <v>45661</v>
      </c>
      <c r="D484" t="inlineStr">
        <is>
          <t>STOCKHOLMS LÄN</t>
        </is>
      </c>
      <c r="E484" t="inlineStr">
        <is>
          <t>NORRTÄLJE</t>
        </is>
      </c>
      <c r="G484" t="n">
        <v>14.2</v>
      </c>
      <c r="H484" t="n">
        <v>1</v>
      </c>
      <c r="I484" t="n">
        <v>0</v>
      </c>
      <c r="J484" t="n">
        <v>0</v>
      </c>
      <c r="K484" t="n">
        <v>0</v>
      </c>
      <c r="L484" t="n">
        <v>0</v>
      </c>
      <c r="M484" t="n">
        <v>0</v>
      </c>
      <c r="N484" t="n">
        <v>0</v>
      </c>
      <c r="O484" t="n">
        <v>0</v>
      </c>
      <c r="P484" t="n">
        <v>0</v>
      </c>
      <c r="Q484" t="n">
        <v>1</v>
      </c>
      <c r="R484" s="2" t="inlineStr">
        <is>
          <t>Lopplummer</t>
        </is>
      </c>
      <c r="S484">
        <f>HYPERLINK("https://klasma.github.io/Logging_0188/artfynd/A 39255-2023 artfynd.xlsx", "A 39255-2023")</f>
        <v/>
      </c>
      <c r="T484">
        <f>HYPERLINK("https://klasma.github.io/Logging_0188/kartor/A 39255-2023 karta.png", "A 39255-2023")</f>
        <v/>
      </c>
      <c r="V484">
        <f>HYPERLINK("https://klasma.github.io/Logging_0188/klagomål/A 39255-2023 FSC-klagomål.docx", "A 39255-2023")</f>
        <v/>
      </c>
      <c r="W484">
        <f>HYPERLINK("https://klasma.github.io/Logging_0188/klagomålsmail/A 39255-2023 FSC-klagomål mail.docx", "A 39255-2023")</f>
        <v/>
      </c>
      <c r="X484">
        <f>HYPERLINK("https://klasma.github.io/Logging_0188/tillsyn/A 39255-2023 tillsynsbegäran.docx", "A 39255-2023")</f>
        <v/>
      </c>
      <c r="Y484">
        <f>HYPERLINK("https://klasma.github.io/Logging_0188/tillsynsmail/A 39255-2023 tillsynsbegäran mail.docx", "A 39255-2023")</f>
        <v/>
      </c>
    </row>
    <row r="485" ht="15" customHeight="1">
      <c r="A485" t="inlineStr">
        <is>
          <t>A 39716-2023</t>
        </is>
      </c>
      <c r="B485" s="1" t="n">
        <v>45166</v>
      </c>
      <c r="C485" s="1" t="n">
        <v>45661</v>
      </c>
      <c r="D485" t="inlineStr">
        <is>
          <t>STOCKHOLMS LÄN</t>
        </is>
      </c>
      <c r="E485" t="inlineStr">
        <is>
          <t>SIGTUNA</t>
        </is>
      </c>
      <c r="G485" t="n">
        <v>3.5</v>
      </c>
      <c r="H485" t="n">
        <v>1</v>
      </c>
      <c r="I485" t="n">
        <v>0</v>
      </c>
      <c r="J485" t="n">
        <v>1</v>
      </c>
      <c r="K485" t="n">
        <v>0</v>
      </c>
      <c r="L485" t="n">
        <v>0</v>
      </c>
      <c r="M485" t="n">
        <v>0</v>
      </c>
      <c r="N485" t="n">
        <v>0</v>
      </c>
      <c r="O485" t="n">
        <v>1</v>
      </c>
      <c r="P485" t="n">
        <v>0</v>
      </c>
      <c r="Q485" t="n">
        <v>1</v>
      </c>
      <c r="R485" s="2" t="inlineStr">
        <is>
          <t>Hornuggla</t>
        </is>
      </c>
      <c r="S485">
        <f>HYPERLINK("https://klasma.github.io/Logging_0191/artfynd/A 39716-2023 artfynd.xlsx", "A 39716-2023")</f>
        <v/>
      </c>
      <c r="T485">
        <f>HYPERLINK("https://klasma.github.io/Logging_0191/kartor/A 39716-2023 karta.png", "A 39716-2023")</f>
        <v/>
      </c>
      <c r="V485">
        <f>HYPERLINK("https://klasma.github.io/Logging_0191/klagomål/A 39716-2023 FSC-klagomål.docx", "A 39716-2023")</f>
        <v/>
      </c>
      <c r="W485">
        <f>HYPERLINK("https://klasma.github.io/Logging_0191/klagomålsmail/A 39716-2023 FSC-klagomål mail.docx", "A 39716-2023")</f>
        <v/>
      </c>
      <c r="X485">
        <f>HYPERLINK("https://klasma.github.io/Logging_0191/tillsyn/A 39716-2023 tillsynsbegäran.docx", "A 39716-2023")</f>
        <v/>
      </c>
      <c r="Y485">
        <f>HYPERLINK("https://klasma.github.io/Logging_0191/tillsynsmail/A 39716-2023 tillsynsbegäran mail.docx", "A 39716-2023")</f>
        <v/>
      </c>
      <c r="Z485">
        <f>HYPERLINK("https://klasma.github.io/Logging_0191/fåglar/A 39716-2023 prioriterade fågelarter.docx", "A 39716-2023")</f>
        <v/>
      </c>
    </row>
    <row r="486" ht="15" customHeight="1">
      <c r="A486" t="inlineStr">
        <is>
          <t>A 43178-2023</t>
        </is>
      </c>
      <c r="B486" s="1" t="n">
        <v>45183</v>
      </c>
      <c r="C486" s="1" t="n">
        <v>45661</v>
      </c>
      <c r="D486" t="inlineStr">
        <is>
          <t>STOCKHOLMS LÄN</t>
        </is>
      </c>
      <c r="E486" t="inlineStr">
        <is>
          <t>NORRTÄLJE</t>
        </is>
      </c>
      <c r="F486" t="inlineStr">
        <is>
          <t>Kyrkan</t>
        </is>
      </c>
      <c r="G486" t="n">
        <v>1.5</v>
      </c>
      <c r="H486" t="n">
        <v>0</v>
      </c>
      <c r="I486" t="n">
        <v>0</v>
      </c>
      <c r="J486" t="n">
        <v>1</v>
      </c>
      <c r="K486" t="n">
        <v>0</v>
      </c>
      <c r="L486" t="n">
        <v>0</v>
      </c>
      <c r="M486" t="n">
        <v>0</v>
      </c>
      <c r="N486" t="n">
        <v>0</v>
      </c>
      <c r="O486" t="n">
        <v>1</v>
      </c>
      <c r="P486" t="n">
        <v>0</v>
      </c>
      <c r="Q486" t="n">
        <v>1</v>
      </c>
      <c r="R486" s="2" t="inlineStr">
        <is>
          <t>Mindre bastardsvärmare</t>
        </is>
      </c>
      <c r="S486">
        <f>HYPERLINK("https://klasma.github.io/Logging_0188/artfynd/A 43178-2023 artfynd.xlsx", "A 43178-2023")</f>
        <v/>
      </c>
      <c r="T486">
        <f>HYPERLINK("https://klasma.github.io/Logging_0188/kartor/A 43178-2023 karta.png", "A 43178-2023")</f>
        <v/>
      </c>
      <c r="V486">
        <f>HYPERLINK("https://klasma.github.io/Logging_0188/klagomål/A 43178-2023 FSC-klagomål.docx", "A 43178-2023")</f>
        <v/>
      </c>
      <c r="W486">
        <f>HYPERLINK("https://klasma.github.io/Logging_0188/klagomålsmail/A 43178-2023 FSC-klagomål mail.docx", "A 43178-2023")</f>
        <v/>
      </c>
      <c r="X486">
        <f>HYPERLINK("https://klasma.github.io/Logging_0188/tillsyn/A 43178-2023 tillsynsbegäran.docx", "A 43178-2023")</f>
        <v/>
      </c>
      <c r="Y486">
        <f>HYPERLINK("https://klasma.github.io/Logging_0188/tillsynsmail/A 43178-2023 tillsynsbegäran mail.docx", "A 43178-2023")</f>
        <v/>
      </c>
    </row>
    <row r="487" ht="15" customHeight="1">
      <c r="A487" t="inlineStr">
        <is>
          <t>A 43171-2023</t>
        </is>
      </c>
      <c r="B487" s="1" t="n">
        <v>45183</v>
      </c>
      <c r="C487" s="1" t="n">
        <v>45661</v>
      </c>
      <c r="D487" t="inlineStr">
        <is>
          <t>STOCKHOLMS LÄN</t>
        </is>
      </c>
      <c r="E487" t="inlineStr">
        <is>
          <t>NORRTÄLJE</t>
        </is>
      </c>
      <c r="F487" t="inlineStr">
        <is>
          <t>Kyrkan</t>
        </is>
      </c>
      <c r="G487" t="n">
        <v>1.3</v>
      </c>
      <c r="H487" t="n">
        <v>0</v>
      </c>
      <c r="I487" t="n">
        <v>0</v>
      </c>
      <c r="J487" t="n">
        <v>0</v>
      </c>
      <c r="K487" t="n">
        <v>0</v>
      </c>
      <c r="L487" t="n">
        <v>1</v>
      </c>
      <c r="M487" t="n">
        <v>0</v>
      </c>
      <c r="N487" t="n">
        <v>0</v>
      </c>
      <c r="O487" t="n">
        <v>1</v>
      </c>
      <c r="P487" t="n">
        <v>1</v>
      </c>
      <c r="Q487" t="n">
        <v>1</v>
      </c>
      <c r="R487" s="2" t="inlineStr">
        <is>
          <t>Ryl</t>
        </is>
      </c>
      <c r="S487">
        <f>HYPERLINK("https://klasma.github.io/Logging_0188/artfynd/A 43171-2023 artfynd.xlsx", "A 43171-2023")</f>
        <v/>
      </c>
      <c r="T487">
        <f>HYPERLINK("https://klasma.github.io/Logging_0188/kartor/A 43171-2023 karta.png", "A 43171-2023")</f>
        <v/>
      </c>
      <c r="U487">
        <f>HYPERLINK("https://klasma.github.io/Logging_0188/knärot/A 43171-2023 karta knärot.png", "A 43171-2023")</f>
        <v/>
      </c>
      <c r="V487">
        <f>HYPERLINK("https://klasma.github.io/Logging_0188/klagomål/A 43171-2023 FSC-klagomål.docx", "A 43171-2023")</f>
        <v/>
      </c>
      <c r="W487">
        <f>HYPERLINK("https://klasma.github.io/Logging_0188/klagomålsmail/A 43171-2023 FSC-klagomål mail.docx", "A 43171-2023")</f>
        <v/>
      </c>
      <c r="X487">
        <f>HYPERLINK("https://klasma.github.io/Logging_0188/tillsyn/A 43171-2023 tillsynsbegäran.docx", "A 43171-2023")</f>
        <v/>
      </c>
      <c r="Y487">
        <f>HYPERLINK("https://klasma.github.io/Logging_0188/tillsynsmail/A 43171-2023 tillsynsbegäran mail.docx", "A 43171-2023")</f>
        <v/>
      </c>
    </row>
    <row r="488" ht="15" customHeight="1">
      <c r="A488" t="inlineStr">
        <is>
          <t>A 43350-2023</t>
        </is>
      </c>
      <c r="B488" s="1" t="n">
        <v>45183</v>
      </c>
      <c r="C488" s="1" t="n">
        <v>45661</v>
      </c>
      <c r="D488" t="inlineStr">
        <is>
          <t>STOCKHOLMS LÄN</t>
        </is>
      </c>
      <c r="E488" t="inlineStr">
        <is>
          <t>NORRTÄLJE</t>
        </is>
      </c>
      <c r="F488" t="inlineStr">
        <is>
          <t>Holmen skog AB</t>
        </is>
      </c>
      <c r="G488" t="n">
        <v>4.2</v>
      </c>
      <c r="H488" t="n">
        <v>1</v>
      </c>
      <c r="I488" t="n">
        <v>0</v>
      </c>
      <c r="J488" t="n">
        <v>0</v>
      </c>
      <c r="K488" t="n">
        <v>0</v>
      </c>
      <c r="L488" t="n">
        <v>0</v>
      </c>
      <c r="M488" t="n">
        <v>0</v>
      </c>
      <c r="N488" t="n">
        <v>0</v>
      </c>
      <c r="O488" t="n">
        <v>0</v>
      </c>
      <c r="P488" t="n">
        <v>0</v>
      </c>
      <c r="Q488" t="n">
        <v>1</v>
      </c>
      <c r="R488" s="2" t="inlineStr">
        <is>
          <t>Revlummer</t>
        </is>
      </c>
      <c r="S488">
        <f>HYPERLINK("https://klasma.github.io/Logging_0188/artfynd/A 43350-2023 artfynd.xlsx", "A 43350-2023")</f>
        <v/>
      </c>
      <c r="T488">
        <f>HYPERLINK("https://klasma.github.io/Logging_0188/kartor/A 43350-2023 karta.png", "A 43350-2023")</f>
        <v/>
      </c>
      <c r="V488">
        <f>HYPERLINK("https://klasma.github.io/Logging_0188/klagomål/A 43350-2023 FSC-klagomål.docx", "A 43350-2023")</f>
        <v/>
      </c>
      <c r="W488">
        <f>HYPERLINK("https://klasma.github.io/Logging_0188/klagomålsmail/A 43350-2023 FSC-klagomål mail.docx", "A 43350-2023")</f>
        <v/>
      </c>
      <c r="X488">
        <f>HYPERLINK("https://klasma.github.io/Logging_0188/tillsyn/A 43350-2023 tillsynsbegäran.docx", "A 43350-2023")</f>
        <v/>
      </c>
      <c r="Y488">
        <f>HYPERLINK("https://klasma.github.io/Logging_0188/tillsynsmail/A 43350-2023 tillsynsbegäran mail.docx", "A 43350-2023")</f>
        <v/>
      </c>
    </row>
    <row r="489" ht="15" customHeight="1">
      <c r="A489" t="inlineStr">
        <is>
          <t>A 43354-2023</t>
        </is>
      </c>
      <c r="B489" s="1" t="n">
        <v>45183</v>
      </c>
      <c r="C489" s="1" t="n">
        <v>45661</v>
      </c>
      <c r="D489" t="inlineStr">
        <is>
          <t>STOCKHOLMS LÄN</t>
        </is>
      </c>
      <c r="E489" t="inlineStr">
        <is>
          <t>NORRTÄLJE</t>
        </is>
      </c>
      <c r="F489" t="inlineStr">
        <is>
          <t>Holmen skog AB</t>
        </is>
      </c>
      <c r="G489" t="n">
        <v>9.9</v>
      </c>
      <c r="H489" t="n">
        <v>0</v>
      </c>
      <c r="I489" t="n">
        <v>1</v>
      </c>
      <c r="J489" t="n">
        <v>0</v>
      </c>
      <c r="K489" t="n">
        <v>0</v>
      </c>
      <c r="L489" t="n">
        <v>0</v>
      </c>
      <c r="M489" t="n">
        <v>0</v>
      </c>
      <c r="N489" t="n">
        <v>0</v>
      </c>
      <c r="O489" t="n">
        <v>0</v>
      </c>
      <c r="P489" t="n">
        <v>0</v>
      </c>
      <c r="Q489" t="n">
        <v>1</v>
      </c>
      <c r="R489" s="2" t="inlineStr">
        <is>
          <t>Tibast</t>
        </is>
      </c>
      <c r="S489">
        <f>HYPERLINK("https://klasma.github.io/Logging_0188/artfynd/A 43354-2023 artfynd.xlsx", "A 43354-2023")</f>
        <v/>
      </c>
      <c r="T489">
        <f>HYPERLINK("https://klasma.github.io/Logging_0188/kartor/A 43354-2023 karta.png", "A 43354-2023")</f>
        <v/>
      </c>
      <c r="V489">
        <f>HYPERLINK("https://klasma.github.io/Logging_0188/klagomål/A 43354-2023 FSC-klagomål.docx", "A 43354-2023")</f>
        <v/>
      </c>
      <c r="W489">
        <f>HYPERLINK("https://klasma.github.io/Logging_0188/klagomålsmail/A 43354-2023 FSC-klagomål mail.docx", "A 43354-2023")</f>
        <v/>
      </c>
      <c r="X489">
        <f>HYPERLINK("https://klasma.github.io/Logging_0188/tillsyn/A 43354-2023 tillsynsbegäran.docx", "A 43354-2023")</f>
        <v/>
      </c>
      <c r="Y489">
        <f>HYPERLINK("https://klasma.github.io/Logging_0188/tillsynsmail/A 43354-2023 tillsynsbegäran mail.docx", "A 43354-2023")</f>
        <v/>
      </c>
    </row>
    <row r="490" ht="15" customHeight="1">
      <c r="A490" t="inlineStr">
        <is>
          <t>A 45172-2023</t>
        </is>
      </c>
      <c r="B490" s="1" t="n">
        <v>45191</v>
      </c>
      <c r="C490" s="1" t="n">
        <v>45661</v>
      </c>
      <c r="D490" t="inlineStr">
        <is>
          <t>STOCKHOLMS LÄN</t>
        </is>
      </c>
      <c r="E490" t="inlineStr">
        <is>
          <t>NORRTÄLJE</t>
        </is>
      </c>
      <c r="F490" t="inlineStr">
        <is>
          <t>Sveaskog</t>
        </is>
      </c>
      <c r="G490" t="n">
        <v>3.8</v>
      </c>
      <c r="H490" t="n">
        <v>1</v>
      </c>
      <c r="I490" t="n">
        <v>0</v>
      </c>
      <c r="J490" t="n">
        <v>1</v>
      </c>
      <c r="K490" t="n">
        <v>0</v>
      </c>
      <c r="L490" t="n">
        <v>0</v>
      </c>
      <c r="M490" t="n">
        <v>0</v>
      </c>
      <c r="N490" t="n">
        <v>0</v>
      </c>
      <c r="O490" t="n">
        <v>1</v>
      </c>
      <c r="P490" t="n">
        <v>0</v>
      </c>
      <c r="Q490" t="n">
        <v>1</v>
      </c>
      <c r="R490" s="2" t="inlineStr">
        <is>
          <t>Slaguggla</t>
        </is>
      </c>
      <c r="S490">
        <f>HYPERLINK("https://klasma.github.io/Logging_0188/artfynd/A 45172-2023 artfynd.xlsx", "A 45172-2023")</f>
        <v/>
      </c>
      <c r="T490">
        <f>HYPERLINK("https://klasma.github.io/Logging_0188/kartor/A 45172-2023 karta.png", "A 45172-2023")</f>
        <v/>
      </c>
      <c r="V490">
        <f>HYPERLINK("https://klasma.github.io/Logging_0188/klagomål/A 45172-2023 FSC-klagomål.docx", "A 45172-2023")</f>
        <v/>
      </c>
      <c r="W490">
        <f>HYPERLINK("https://klasma.github.io/Logging_0188/klagomålsmail/A 45172-2023 FSC-klagomål mail.docx", "A 45172-2023")</f>
        <v/>
      </c>
      <c r="X490">
        <f>HYPERLINK("https://klasma.github.io/Logging_0188/tillsyn/A 45172-2023 tillsynsbegäran.docx", "A 45172-2023")</f>
        <v/>
      </c>
      <c r="Y490">
        <f>HYPERLINK("https://klasma.github.io/Logging_0188/tillsynsmail/A 45172-2023 tillsynsbegäran mail.docx", "A 45172-2023")</f>
        <v/>
      </c>
      <c r="Z490">
        <f>HYPERLINK("https://klasma.github.io/Logging_0188/fåglar/A 45172-2023 prioriterade fågelarter.docx", "A 45172-2023")</f>
        <v/>
      </c>
    </row>
    <row r="491" ht="15" customHeight="1">
      <c r="A491" t="inlineStr">
        <is>
          <t>A 47110-2023</t>
        </is>
      </c>
      <c r="B491" s="1" t="n">
        <v>45196</v>
      </c>
      <c r="C491" s="1" t="n">
        <v>45661</v>
      </c>
      <c r="D491" t="inlineStr">
        <is>
          <t>STOCKHOLMS LÄN</t>
        </is>
      </c>
      <c r="E491" t="inlineStr">
        <is>
          <t>NYNÄSHAMN</t>
        </is>
      </c>
      <c r="G491" t="n">
        <v>0.9</v>
      </c>
      <c r="H491" t="n">
        <v>0</v>
      </c>
      <c r="I491" t="n">
        <v>0</v>
      </c>
      <c r="J491" t="n">
        <v>1</v>
      </c>
      <c r="K491" t="n">
        <v>0</v>
      </c>
      <c r="L491" t="n">
        <v>0</v>
      </c>
      <c r="M491" t="n">
        <v>0</v>
      </c>
      <c r="N491" t="n">
        <v>0</v>
      </c>
      <c r="O491" t="n">
        <v>1</v>
      </c>
      <c r="P491" t="n">
        <v>0</v>
      </c>
      <c r="Q491" t="n">
        <v>1</v>
      </c>
      <c r="R491" s="2" t="inlineStr">
        <is>
          <t>Barrviolspindling</t>
        </is>
      </c>
      <c r="S491">
        <f>HYPERLINK("https://klasma.github.io/Logging_0192/artfynd/A 47110-2023 artfynd.xlsx", "A 47110-2023")</f>
        <v/>
      </c>
      <c r="T491">
        <f>HYPERLINK("https://klasma.github.io/Logging_0192/kartor/A 47110-2023 karta.png", "A 47110-2023")</f>
        <v/>
      </c>
      <c r="V491">
        <f>HYPERLINK("https://klasma.github.io/Logging_0192/klagomål/A 47110-2023 FSC-klagomål.docx", "A 47110-2023")</f>
        <v/>
      </c>
      <c r="W491">
        <f>HYPERLINK("https://klasma.github.io/Logging_0192/klagomålsmail/A 47110-2023 FSC-klagomål mail.docx", "A 47110-2023")</f>
        <v/>
      </c>
      <c r="X491">
        <f>HYPERLINK("https://klasma.github.io/Logging_0192/tillsyn/A 47110-2023 tillsynsbegäran.docx", "A 47110-2023")</f>
        <v/>
      </c>
      <c r="Y491">
        <f>HYPERLINK("https://klasma.github.io/Logging_0192/tillsynsmail/A 47110-2023 tillsynsbegäran mail.docx", "A 47110-2023")</f>
        <v/>
      </c>
    </row>
    <row r="492" ht="15" customHeight="1">
      <c r="A492" t="inlineStr">
        <is>
          <t>A 47711-2023</t>
        </is>
      </c>
      <c r="B492" s="1" t="n">
        <v>45198</v>
      </c>
      <c r="C492" s="1" t="n">
        <v>45661</v>
      </c>
      <c r="D492" t="inlineStr">
        <is>
          <t>STOCKHOLMS LÄN</t>
        </is>
      </c>
      <c r="E492" t="inlineStr">
        <is>
          <t>SÖDERTÄLJE</t>
        </is>
      </c>
      <c r="G492" t="n">
        <v>4.4</v>
      </c>
      <c r="H492" t="n">
        <v>1</v>
      </c>
      <c r="I492" t="n">
        <v>0</v>
      </c>
      <c r="J492" t="n">
        <v>0</v>
      </c>
      <c r="K492" t="n">
        <v>0</v>
      </c>
      <c r="L492" t="n">
        <v>0</v>
      </c>
      <c r="M492" t="n">
        <v>0</v>
      </c>
      <c r="N492" t="n">
        <v>0</v>
      </c>
      <c r="O492" t="n">
        <v>0</v>
      </c>
      <c r="P492" t="n">
        <v>0</v>
      </c>
      <c r="Q492" t="n">
        <v>1</v>
      </c>
      <c r="R492" s="2" t="inlineStr">
        <is>
          <t>Blåsippa</t>
        </is>
      </c>
      <c r="S492">
        <f>HYPERLINK("https://klasma.github.io/Logging_0181/artfynd/A 47711-2023 artfynd.xlsx", "A 47711-2023")</f>
        <v/>
      </c>
      <c r="T492">
        <f>HYPERLINK("https://klasma.github.io/Logging_0181/kartor/A 47711-2023 karta.png", "A 47711-2023")</f>
        <v/>
      </c>
      <c r="V492">
        <f>HYPERLINK("https://klasma.github.io/Logging_0181/klagomål/A 47711-2023 FSC-klagomål.docx", "A 47711-2023")</f>
        <v/>
      </c>
      <c r="W492">
        <f>HYPERLINK("https://klasma.github.io/Logging_0181/klagomålsmail/A 47711-2023 FSC-klagomål mail.docx", "A 47711-2023")</f>
        <v/>
      </c>
      <c r="X492">
        <f>HYPERLINK("https://klasma.github.io/Logging_0181/tillsyn/A 47711-2023 tillsynsbegäran.docx", "A 47711-2023")</f>
        <v/>
      </c>
      <c r="Y492">
        <f>HYPERLINK("https://klasma.github.io/Logging_0181/tillsynsmail/A 47711-2023 tillsynsbegäran mail.docx", "A 47711-2023")</f>
        <v/>
      </c>
    </row>
    <row r="493" ht="15" customHeight="1">
      <c r="A493" t="inlineStr">
        <is>
          <t>A 48131-2023</t>
        </is>
      </c>
      <c r="B493" s="1" t="n">
        <v>45205</v>
      </c>
      <c r="C493" s="1" t="n">
        <v>45661</v>
      </c>
      <c r="D493" t="inlineStr">
        <is>
          <t>STOCKHOLMS LÄN</t>
        </is>
      </c>
      <c r="E493" t="inlineStr">
        <is>
          <t>NORRTÄLJE</t>
        </is>
      </c>
      <c r="G493" t="n">
        <v>2.3</v>
      </c>
      <c r="H493" t="n">
        <v>0</v>
      </c>
      <c r="I493" t="n">
        <v>0</v>
      </c>
      <c r="J493" t="n">
        <v>1</v>
      </c>
      <c r="K493" t="n">
        <v>0</v>
      </c>
      <c r="L493" t="n">
        <v>0</v>
      </c>
      <c r="M493" t="n">
        <v>0</v>
      </c>
      <c r="N493" t="n">
        <v>0</v>
      </c>
      <c r="O493" t="n">
        <v>1</v>
      </c>
      <c r="P493" t="n">
        <v>0</v>
      </c>
      <c r="Q493" t="n">
        <v>1</v>
      </c>
      <c r="R493" s="2" t="inlineStr">
        <is>
          <t>Slåtterfibbla</t>
        </is>
      </c>
      <c r="S493">
        <f>HYPERLINK("https://klasma.github.io/Logging_0188/artfynd/A 48131-2023 artfynd.xlsx", "A 48131-2023")</f>
        <v/>
      </c>
      <c r="T493">
        <f>HYPERLINK("https://klasma.github.io/Logging_0188/kartor/A 48131-2023 karta.png", "A 48131-2023")</f>
        <v/>
      </c>
      <c r="V493">
        <f>HYPERLINK("https://klasma.github.io/Logging_0188/klagomål/A 48131-2023 FSC-klagomål.docx", "A 48131-2023")</f>
        <v/>
      </c>
      <c r="W493">
        <f>HYPERLINK("https://klasma.github.io/Logging_0188/klagomålsmail/A 48131-2023 FSC-klagomål mail.docx", "A 48131-2023")</f>
        <v/>
      </c>
      <c r="X493">
        <f>HYPERLINK("https://klasma.github.io/Logging_0188/tillsyn/A 48131-2023 tillsynsbegäran.docx", "A 48131-2023")</f>
        <v/>
      </c>
      <c r="Y493">
        <f>HYPERLINK("https://klasma.github.io/Logging_0188/tillsynsmail/A 48131-2023 tillsynsbegäran mail.docx", "A 48131-2023")</f>
        <v/>
      </c>
    </row>
    <row r="494" ht="15" customHeight="1">
      <c r="A494" t="inlineStr">
        <is>
          <t>A 51695-2023</t>
        </is>
      </c>
      <c r="B494" s="1" t="n">
        <v>45222</v>
      </c>
      <c r="C494" s="1" t="n">
        <v>45661</v>
      </c>
      <c r="D494" t="inlineStr">
        <is>
          <t>STOCKHOLMS LÄN</t>
        </is>
      </c>
      <c r="E494" t="inlineStr">
        <is>
          <t>NORRTÄLJE</t>
        </is>
      </c>
      <c r="G494" t="n">
        <v>4.9</v>
      </c>
      <c r="H494" t="n">
        <v>0</v>
      </c>
      <c r="I494" t="n">
        <v>1</v>
      </c>
      <c r="J494" t="n">
        <v>0</v>
      </c>
      <c r="K494" t="n">
        <v>0</v>
      </c>
      <c r="L494" t="n">
        <v>0</v>
      </c>
      <c r="M494" t="n">
        <v>0</v>
      </c>
      <c r="N494" t="n">
        <v>0</v>
      </c>
      <c r="O494" t="n">
        <v>0</v>
      </c>
      <c r="P494" t="n">
        <v>0</v>
      </c>
      <c r="Q494" t="n">
        <v>1</v>
      </c>
      <c r="R494" s="2" t="inlineStr">
        <is>
          <t>Fjällig taggsvamp s.str.</t>
        </is>
      </c>
      <c r="S494">
        <f>HYPERLINK("https://klasma.github.io/Logging_0188/artfynd/A 51695-2023 artfynd.xlsx", "A 51695-2023")</f>
        <v/>
      </c>
      <c r="T494">
        <f>HYPERLINK("https://klasma.github.io/Logging_0188/kartor/A 51695-2023 karta.png", "A 51695-2023")</f>
        <v/>
      </c>
      <c r="V494">
        <f>HYPERLINK("https://klasma.github.io/Logging_0188/klagomål/A 51695-2023 FSC-klagomål.docx", "A 51695-2023")</f>
        <v/>
      </c>
      <c r="W494">
        <f>HYPERLINK("https://klasma.github.io/Logging_0188/klagomålsmail/A 51695-2023 FSC-klagomål mail.docx", "A 51695-2023")</f>
        <v/>
      </c>
      <c r="X494">
        <f>HYPERLINK("https://klasma.github.io/Logging_0188/tillsyn/A 51695-2023 tillsynsbegäran.docx", "A 51695-2023")</f>
        <v/>
      </c>
      <c r="Y494">
        <f>HYPERLINK("https://klasma.github.io/Logging_0188/tillsynsmail/A 51695-2023 tillsynsbegäran mail.docx", "A 51695-2023")</f>
        <v/>
      </c>
    </row>
    <row r="495" ht="15" customHeight="1">
      <c r="A495" t="inlineStr">
        <is>
          <t>A 51909-2023</t>
        </is>
      </c>
      <c r="B495" s="1" t="n">
        <v>45223</v>
      </c>
      <c r="C495" s="1" t="n">
        <v>45661</v>
      </c>
      <c r="D495" t="inlineStr">
        <is>
          <t>STOCKHOLMS LÄN</t>
        </is>
      </c>
      <c r="E495" t="inlineStr">
        <is>
          <t>NORRTÄLJE</t>
        </is>
      </c>
      <c r="G495" t="n">
        <v>8.1</v>
      </c>
      <c r="H495" t="n">
        <v>1</v>
      </c>
      <c r="I495" t="n">
        <v>1</v>
      </c>
      <c r="J495" t="n">
        <v>0</v>
      </c>
      <c r="K495" t="n">
        <v>0</v>
      </c>
      <c r="L495" t="n">
        <v>0</v>
      </c>
      <c r="M495" t="n">
        <v>0</v>
      </c>
      <c r="N495" t="n">
        <v>0</v>
      </c>
      <c r="O495" t="n">
        <v>0</v>
      </c>
      <c r="P495" t="n">
        <v>0</v>
      </c>
      <c r="Q495" t="n">
        <v>1</v>
      </c>
      <c r="R495" s="2" t="inlineStr">
        <is>
          <t>Skogsknipprot</t>
        </is>
      </c>
      <c r="S495">
        <f>HYPERLINK("https://klasma.github.io/Logging_0188/artfynd/A 51909-2023 artfynd.xlsx", "A 51909-2023")</f>
        <v/>
      </c>
      <c r="T495">
        <f>HYPERLINK("https://klasma.github.io/Logging_0188/kartor/A 51909-2023 karta.png", "A 51909-2023")</f>
        <v/>
      </c>
      <c r="V495">
        <f>HYPERLINK("https://klasma.github.io/Logging_0188/klagomål/A 51909-2023 FSC-klagomål.docx", "A 51909-2023")</f>
        <v/>
      </c>
      <c r="W495">
        <f>HYPERLINK("https://klasma.github.io/Logging_0188/klagomålsmail/A 51909-2023 FSC-klagomål mail.docx", "A 51909-2023")</f>
        <v/>
      </c>
      <c r="X495">
        <f>HYPERLINK("https://klasma.github.io/Logging_0188/tillsyn/A 51909-2023 tillsynsbegäran.docx", "A 51909-2023")</f>
        <v/>
      </c>
      <c r="Y495">
        <f>HYPERLINK("https://klasma.github.io/Logging_0188/tillsynsmail/A 51909-2023 tillsynsbegäran mail.docx", "A 51909-2023")</f>
        <v/>
      </c>
    </row>
    <row r="496" ht="15" customHeight="1">
      <c r="A496" t="inlineStr">
        <is>
          <t>A 52508-2023</t>
        </is>
      </c>
      <c r="B496" s="1" t="n">
        <v>45225</v>
      </c>
      <c r="C496" s="1" t="n">
        <v>45661</v>
      </c>
      <c r="D496" t="inlineStr">
        <is>
          <t>STOCKHOLMS LÄN</t>
        </is>
      </c>
      <c r="E496" t="inlineStr">
        <is>
          <t>NORRTÄLJE</t>
        </is>
      </c>
      <c r="G496" t="n">
        <v>19.7</v>
      </c>
      <c r="H496" t="n">
        <v>1</v>
      </c>
      <c r="I496" t="n">
        <v>0</v>
      </c>
      <c r="J496" t="n">
        <v>0</v>
      </c>
      <c r="K496" t="n">
        <v>1</v>
      </c>
      <c r="L496" t="n">
        <v>0</v>
      </c>
      <c r="M496" t="n">
        <v>0</v>
      </c>
      <c r="N496" t="n">
        <v>0</v>
      </c>
      <c r="O496" t="n">
        <v>1</v>
      </c>
      <c r="P496" t="n">
        <v>1</v>
      </c>
      <c r="Q496" t="n">
        <v>1</v>
      </c>
      <c r="R496" s="2" t="inlineStr">
        <is>
          <t>Svärta</t>
        </is>
      </c>
      <c r="S496">
        <f>HYPERLINK("https://klasma.github.io/Logging_0188/artfynd/A 52508-2023 artfynd.xlsx", "A 52508-2023")</f>
        <v/>
      </c>
      <c r="T496">
        <f>HYPERLINK("https://klasma.github.io/Logging_0188/kartor/A 52508-2023 karta.png", "A 52508-2023")</f>
        <v/>
      </c>
      <c r="V496">
        <f>HYPERLINK("https://klasma.github.io/Logging_0188/klagomål/A 52508-2023 FSC-klagomål.docx", "A 52508-2023")</f>
        <v/>
      </c>
      <c r="W496">
        <f>HYPERLINK("https://klasma.github.io/Logging_0188/klagomålsmail/A 52508-2023 FSC-klagomål mail.docx", "A 52508-2023")</f>
        <v/>
      </c>
      <c r="X496">
        <f>HYPERLINK("https://klasma.github.io/Logging_0188/tillsyn/A 52508-2023 tillsynsbegäran.docx", "A 52508-2023")</f>
        <v/>
      </c>
      <c r="Y496">
        <f>HYPERLINK("https://klasma.github.io/Logging_0188/tillsynsmail/A 52508-2023 tillsynsbegäran mail.docx", "A 52508-2023")</f>
        <v/>
      </c>
    </row>
    <row r="497" ht="15" customHeight="1">
      <c r="A497" t="inlineStr">
        <is>
          <t>A 55767-2023</t>
        </is>
      </c>
      <c r="B497" s="1" t="n">
        <v>45239</v>
      </c>
      <c r="C497" s="1" t="n">
        <v>45661</v>
      </c>
      <c r="D497" t="inlineStr">
        <is>
          <t>STOCKHOLMS LÄN</t>
        </is>
      </c>
      <c r="E497" t="inlineStr">
        <is>
          <t>NORRTÄLJE</t>
        </is>
      </c>
      <c r="G497" t="n">
        <v>3.7</v>
      </c>
      <c r="H497" t="n">
        <v>0</v>
      </c>
      <c r="I497" t="n">
        <v>1</v>
      </c>
      <c r="J497" t="n">
        <v>0</v>
      </c>
      <c r="K497" t="n">
        <v>0</v>
      </c>
      <c r="L497" t="n">
        <v>0</v>
      </c>
      <c r="M497" t="n">
        <v>0</v>
      </c>
      <c r="N497" t="n">
        <v>0</v>
      </c>
      <c r="O497" t="n">
        <v>0</v>
      </c>
      <c r="P497" t="n">
        <v>0</v>
      </c>
      <c r="Q497" t="n">
        <v>1</v>
      </c>
      <c r="R497" s="2" t="inlineStr">
        <is>
          <t>Ögonpyrola</t>
        </is>
      </c>
      <c r="S497">
        <f>HYPERLINK("https://klasma.github.io/Logging_0188/artfynd/A 55767-2023 artfynd.xlsx", "A 55767-2023")</f>
        <v/>
      </c>
      <c r="T497">
        <f>HYPERLINK("https://klasma.github.io/Logging_0188/kartor/A 55767-2023 karta.png", "A 55767-2023")</f>
        <v/>
      </c>
      <c r="V497">
        <f>HYPERLINK("https://klasma.github.io/Logging_0188/klagomål/A 55767-2023 FSC-klagomål.docx", "A 55767-2023")</f>
        <v/>
      </c>
      <c r="W497">
        <f>HYPERLINK("https://klasma.github.io/Logging_0188/klagomålsmail/A 55767-2023 FSC-klagomål mail.docx", "A 55767-2023")</f>
        <v/>
      </c>
      <c r="X497">
        <f>HYPERLINK("https://klasma.github.io/Logging_0188/tillsyn/A 55767-2023 tillsynsbegäran.docx", "A 55767-2023")</f>
        <v/>
      </c>
      <c r="Y497">
        <f>HYPERLINK("https://klasma.github.io/Logging_0188/tillsynsmail/A 55767-2023 tillsynsbegäran mail.docx", "A 55767-2023")</f>
        <v/>
      </c>
    </row>
    <row r="498" ht="15" customHeight="1">
      <c r="A498" t="inlineStr">
        <is>
          <t>A 55872-2023</t>
        </is>
      </c>
      <c r="B498" s="1" t="n">
        <v>45239</v>
      </c>
      <c r="C498" s="1" t="n">
        <v>45661</v>
      </c>
      <c r="D498" t="inlineStr">
        <is>
          <t>STOCKHOLMS LÄN</t>
        </is>
      </c>
      <c r="E498" t="inlineStr">
        <is>
          <t>NYNÄSHAMN</t>
        </is>
      </c>
      <c r="F498" t="inlineStr">
        <is>
          <t>Kommuner</t>
        </is>
      </c>
      <c r="G498" t="n">
        <v>4.1</v>
      </c>
      <c r="H498" t="n">
        <v>0</v>
      </c>
      <c r="I498" t="n">
        <v>1</v>
      </c>
      <c r="J498" t="n">
        <v>0</v>
      </c>
      <c r="K498" t="n">
        <v>0</v>
      </c>
      <c r="L498" t="n">
        <v>0</v>
      </c>
      <c r="M498" t="n">
        <v>0</v>
      </c>
      <c r="N498" t="n">
        <v>0</v>
      </c>
      <c r="O498" t="n">
        <v>0</v>
      </c>
      <c r="P498" t="n">
        <v>0</v>
      </c>
      <c r="Q498" t="n">
        <v>1</v>
      </c>
      <c r="R498" s="2" t="inlineStr">
        <is>
          <t>Skogshakmossa</t>
        </is>
      </c>
      <c r="S498">
        <f>HYPERLINK("https://klasma.github.io/Logging_0192/artfynd/A 55872-2023 artfynd.xlsx", "A 55872-2023")</f>
        <v/>
      </c>
      <c r="T498">
        <f>HYPERLINK("https://klasma.github.io/Logging_0192/kartor/A 55872-2023 karta.png", "A 55872-2023")</f>
        <v/>
      </c>
      <c r="V498">
        <f>HYPERLINK("https://klasma.github.io/Logging_0192/klagomål/A 55872-2023 FSC-klagomål.docx", "A 55872-2023")</f>
        <v/>
      </c>
      <c r="W498">
        <f>HYPERLINK("https://klasma.github.io/Logging_0192/klagomålsmail/A 55872-2023 FSC-klagomål mail.docx", "A 55872-2023")</f>
        <v/>
      </c>
      <c r="X498">
        <f>HYPERLINK("https://klasma.github.io/Logging_0192/tillsyn/A 55872-2023 tillsynsbegäran.docx", "A 55872-2023")</f>
        <v/>
      </c>
      <c r="Y498">
        <f>HYPERLINK("https://klasma.github.io/Logging_0192/tillsynsmail/A 55872-2023 tillsynsbegäran mail.docx", "A 55872-2023")</f>
        <v/>
      </c>
    </row>
    <row r="499" ht="15" customHeight="1">
      <c r="A499" t="inlineStr">
        <is>
          <t>A 59580-2023</t>
        </is>
      </c>
      <c r="B499" s="1" t="n">
        <v>45254</v>
      </c>
      <c r="C499" s="1" t="n">
        <v>45661</v>
      </c>
      <c r="D499" t="inlineStr">
        <is>
          <t>STOCKHOLMS LÄN</t>
        </is>
      </c>
      <c r="E499" t="inlineStr">
        <is>
          <t>NORRTÄLJE</t>
        </is>
      </c>
      <c r="G499" t="n">
        <v>3.2</v>
      </c>
      <c r="H499" t="n">
        <v>0</v>
      </c>
      <c r="I499" t="n">
        <v>1</v>
      </c>
      <c r="J499" t="n">
        <v>0</v>
      </c>
      <c r="K499" t="n">
        <v>0</v>
      </c>
      <c r="L499" t="n">
        <v>0</v>
      </c>
      <c r="M499" t="n">
        <v>0</v>
      </c>
      <c r="N499" t="n">
        <v>0</v>
      </c>
      <c r="O499" t="n">
        <v>0</v>
      </c>
      <c r="P499" t="n">
        <v>0</v>
      </c>
      <c r="Q499" t="n">
        <v>1</v>
      </c>
      <c r="R499" s="2" t="inlineStr">
        <is>
          <t>Trådticka</t>
        </is>
      </c>
      <c r="S499">
        <f>HYPERLINK("https://klasma.github.io/Logging_0188/artfynd/A 59580-2023 artfynd.xlsx", "A 59580-2023")</f>
        <v/>
      </c>
      <c r="T499">
        <f>HYPERLINK("https://klasma.github.io/Logging_0188/kartor/A 59580-2023 karta.png", "A 59580-2023")</f>
        <v/>
      </c>
      <c r="V499">
        <f>HYPERLINK("https://klasma.github.io/Logging_0188/klagomål/A 59580-2023 FSC-klagomål.docx", "A 59580-2023")</f>
        <v/>
      </c>
      <c r="W499">
        <f>HYPERLINK("https://klasma.github.io/Logging_0188/klagomålsmail/A 59580-2023 FSC-klagomål mail.docx", "A 59580-2023")</f>
        <v/>
      </c>
      <c r="X499">
        <f>HYPERLINK("https://klasma.github.io/Logging_0188/tillsyn/A 59580-2023 tillsynsbegäran.docx", "A 59580-2023")</f>
        <v/>
      </c>
      <c r="Y499">
        <f>HYPERLINK("https://klasma.github.io/Logging_0188/tillsynsmail/A 59580-2023 tillsynsbegäran mail.docx", "A 59580-2023")</f>
        <v/>
      </c>
    </row>
    <row r="500" ht="15" customHeight="1">
      <c r="A500" t="inlineStr">
        <is>
          <t>A 60299-2023</t>
        </is>
      </c>
      <c r="B500" s="1" t="n">
        <v>45258</v>
      </c>
      <c r="C500" s="1" t="n">
        <v>45661</v>
      </c>
      <c r="D500" t="inlineStr">
        <is>
          <t>STOCKHOLMS LÄN</t>
        </is>
      </c>
      <c r="E500" t="inlineStr">
        <is>
          <t>HANINGE</t>
        </is>
      </c>
      <c r="G500" t="n">
        <v>1.3</v>
      </c>
      <c r="H500" t="n">
        <v>0</v>
      </c>
      <c r="I500" t="n">
        <v>1</v>
      </c>
      <c r="J500" t="n">
        <v>0</v>
      </c>
      <c r="K500" t="n">
        <v>0</v>
      </c>
      <c r="L500" t="n">
        <v>0</v>
      </c>
      <c r="M500" t="n">
        <v>0</v>
      </c>
      <c r="N500" t="n">
        <v>0</v>
      </c>
      <c r="O500" t="n">
        <v>0</v>
      </c>
      <c r="P500" t="n">
        <v>0</v>
      </c>
      <c r="Q500" t="n">
        <v>1</v>
      </c>
      <c r="R500" s="2" t="inlineStr">
        <is>
          <t>Mörk husmossa</t>
        </is>
      </c>
      <c r="S500">
        <f>HYPERLINK("https://klasma.github.io/Logging_0136/artfynd/A 60299-2023 artfynd.xlsx", "A 60299-2023")</f>
        <v/>
      </c>
      <c r="T500">
        <f>HYPERLINK("https://klasma.github.io/Logging_0136/kartor/A 60299-2023 karta.png", "A 60299-2023")</f>
        <v/>
      </c>
      <c r="V500">
        <f>HYPERLINK("https://klasma.github.io/Logging_0136/klagomål/A 60299-2023 FSC-klagomål.docx", "A 60299-2023")</f>
        <v/>
      </c>
      <c r="W500">
        <f>HYPERLINK("https://klasma.github.io/Logging_0136/klagomålsmail/A 60299-2023 FSC-klagomål mail.docx", "A 60299-2023")</f>
        <v/>
      </c>
      <c r="X500">
        <f>HYPERLINK("https://klasma.github.io/Logging_0136/tillsyn/A 60299-2023 tillsynsbegäran.docx", "A 60299-2023")</f>
        <v/>
      </c>
      <c r="Y500">
        <f>HYPERLINK("https://klasma.github.io/Logging_0136/tillsynsmail/A 60299-2023 tillsynsbegäran mail.docx", "A 60299-2023")</f>
        <v/>
      </c>
    </row>
    <row r="501" ht="15" customHeight="1">
      <c r="A501" t="inlineStr">
        <is>
          <t>A 60369-2023</t>
        </is>
      </c>
      <c r="B501" s="1" t="n">
        <v>45259</v>
      </c>
      <c r="C501" s="1" t="n">
        <v>45661</v>
      </c>
      <c r="D501" t="inlineStr">
        <is>
          <t>STOCKHOLMS LÄN</t>
        </is>
      </c>
      <c r="E501" t="inlineStr">
        <is>
          <t>HANINGE</t>
        </is>
      </c>
      <c r="G501" t="n">
        <v>2.9</v>
      </c>
      <c r="H501" t="n">
        <v>1</v>
      </c>
      <c r="I501" t="n">
        <v>0</v>
      </c>
      <c r="J501" t="n">
        <v>0</v>
      </c>
      <c r="K501" t="n">
        <v>0</v>
      </c>
      <c r="L501" t="n">
        <v>0</v>
      </c>
      <c r="M501" t="n">
        <v>0</v>
      </c>
      <c r="N501" t="n">
        <v>0</v>
      </c>
      <c r="O501" t="n">
        <v>0</v>
      </c>
      <c r="P501" t="n">
        <v>0</v>
      </c>
      <c r="Q501" t="n">
        <v>1</v>
      </c>
      <c r="R501" s="2" t="inlineStr">
        <is>
          <t>Mattlummer</t>
        </is>
      </c>
      <c r="S501">
        <f>HYPERLINK("https://klasma.github.io/Logging_0136/artfynd/A 60369-2023 artfynd.xlsx", "A 60369-2023")</f>
        <v/>
      </c>
      <c r="T501">
        <f>HYPERLINK("https://klasma.github.io/Logging_0136/kartor/A 60369-2023 karta.png", "A 60369-2023")</f>
        <v/>
      </c>
      <c r="V501">
        <f>HYPERLINK("https://klasma.github.io/Logging_0136/klagomål/A 60369-2023 FSC-klagomål.docx", "A 60369-2023")</f>
        <v/>
      </c>
      <c r="W501">
        <f>HYPERLINK("https://klasma.github.io/Logging_0136/klagomålsmail/A 60369-2023 FSC-klagomål mail.docx", "A 60369-2023")</f>
        <v/>
      </c>
      <c r="X501">
        <f>HYPERLINK("https://klasma.github.io/Logging_0136/tillsyn/A 60369-2023 tillsynsbegäran.docx", "A 60369-2023")</f>
        <v/>
      </c>
      <c r="Y501">
        <f>HYPERLINK("https://klasma.github.io/Logging_0136/tillsynsmail/A 60369-2023 tillsynsbegäran mail.docx", "A 60369-2023")</f>
        <v/>
      </c>
    </row>
    <row r="502" ht="15" customHeight="1">
      <c r="A502" t="inlineStr">
        <is>
          <t>A 62007-2023</t>
        </is>
      </c>
      <c r="B502" s="1" t="n">
        <v>45266</v>
      </c>
      <c r="C502" s="1" t="n">
        <v>45661</v>
      </c>
      <c r="D502" t="inlineStr">
        <is>
          <t>STOCKHOLMS LÄN</t>
        </is>
      </c>
      <c r="E502" t="inlineStr">
        <is>
          <t>NYNÄSHAMN</t>
        </is>
      </c>
      <c r="G502" t="n">
        <v>4.5</v>
      </c>
      <c r="H502" t="n">
        <v>0</v>
      </c>
      <c r="I502" t="n">
        <v>0</v>
      </c>
      <c r="J502" t="n">
        <v>1</v>
      </c>
      <c r="K502" t="n">
        <v>0</v>
      </c>
      <c r="L502" t="n">
        <v>0</v>
      </c>
      <c r="M502" t="n">
        <v>0</v>
      </c>
      <c r="N502" t="n">
        <v>0</v>
      </c>
      <c r="O502" t="n">
        <v>1</v>
      </c>
      <c r="P502" t="n">
        <v>0</v>
      </c>
      <c r="Q502" t="n">
        <v>1</v>
      </c>
      <c r="R502" s="2" t="inlineStr">
        <is>
          <t>Granticka</t>
        </is>
      </c>
      <c r="S502">
        <f>HYPERLINK("https://klasma.github.io/Logging_0192/artfynd/A 62007-2023 artfynd.xlsx", "A 62007-2023")</f>
        <v/>
      </c>
      <c r="T502">
        <f>HYPERLINK("https://klasma.github.io/Logging_0192/kartor/A 62007-2023 karta.png", "A 62007-2023")</f>
        <v/>
      </c>
      <c r="V502">
        <f>HYPERLINK("https://klasma.github.io/Logging_0192/klagomål/A 62007-2023 FSC-klagomål.docx", "A 62007-2023")</f>
        <v/>
      </c>
      <c r="W502">
        <f>HYPERLINK("https://klasma.github.io/Logging_0192/klagomålsmail/A 62007-2023 FSC-klagomål mail.docx", "A 62007-2023")</f>
        <v/>
      </c>
      <c r="X502">
        <f>HYPERLINK("https://klasma.github.io/Logging_0192/tillsyn/A 62007-2023 tillsynsbegäran.docx", "A 62007-2023")</f>
        <v/>
      </c>
      <c r="Y502">
        <f>HYPERLINK("https://klasma.github.io/Logging_0192/tillsynsmail/A 62007-2023 tillsynsbegäran mail.docx", "A 62007-2023")</f>
        <v/>
      </c>
    </row>
    <row r="503" ht="15" customHeight="1">
      <c r="A503" t="inlineStr">
        <is>
          <t>A 63851-2023</t>
        </is>
      </c>
      <c r="B503" s="1" t="n">
        <v>45278</v>
      </c>
      <c r="C503" s="1" t="n">
        <v>45661</v>
      </c>
      <c r="D503" t="inlineStr">
        <is>
          <t>STOCKHOLMS LÄN</t>
        </is>
      </c>
      <c r="E503" t="inlineStr">
        <is>
          <t>NORRTÄLJE</t>
        </is>
      </c>
      <c r="G503" t="n">
        <v>5.6</v>
      </c>
      <c r="H503" t="n">
        <v>1</v>
      </c>
      <c r="I503" t="n">
        <v>0</v>
      </c>
      <c r="J503" t="n">
        <v>0</v>
      </c>
      <c r="K503" t="n">
        <v>0</v>
      </c>
      <c r="L503" t="n">
        <v>0</v>
      </c>
      <c r="M503" t="n">
        <v>0</v>
      </c>
      <c r="N503" t="n">
        <v>0</v>
      </c>
      <c r="O503" t="n">
        <v>0</v>
      </c>
      <c r="P503" t="n">
        <v>0</v>
      </c>
      <c r="Q503" t="n">
        <v>1</v>
      </c>
      <c r="R503" s="2" t="inlineStr">
        <is>
          <t>Tjäder</t>
        </is>
      </c>
      <c r="S503">
        <f>HYPERLINK("https://klasma.github.io/Logging_0188/artfynd/A 63851-2023 artfynd.xlsx", "A 63851-2023")</f>
        <v/>
      </c>
      <c r="T503">
        <f>HYPERLINK("https://klasma.github.io/Logging_0188/kartor/A 63851-2023 karta.png", "A 63851-2023")</f>
        <v/>
      </c>
      <c r="V503">
        <f>HYPERLINK("https://klasma.github.io/Logging_0188/klagomål/A 63851-2023 FSC-klagomål.docx", "A 63851-2023")</f>
        <v/>
      </c>
      <c r="W503">
        <f>HYPERLINK("https://klasma.github.io/Logging_0188/klagomålsmail/A 63851-2023 FSC-klagomål mail.docx", "A 63851-2023")</f>
        <v/>
      </c>
      <c r="X503">
        <f>HYPERLINK("https://klasma.github.io/Logging_0188/tillsyn/A 63851-2023 tillsynsbegäran.docx", "A 63851-2023")</f>
        <v/>
      </c>
      <c r="Y503">
        <f>HYPERLINK("https://klasma.github.io/Logging_0188/tillsynsmail/A 63851-2023 tillsynsbegäran mail.docx", "A 63851-2023")</f>
        <v/>
      </c>
      <c r="Z503">
        <f>HYPERLINK("https://klasma.github.io/Logging_0188/fåglar/A 63851-2023 prioriterade fågelarter.docx", "A 63851-2023")</f>
        <v/>
      </c>
    </row>
    <row r="504" ht="15" customHeight="1">
      <c r="A504" t="inlineStr">
        <is>
          <t>A 64098-2023</t>
        </is>
      </c>
      <c r="B504" s="1" t="n">
        <v>45279</v>
      </c>
      <c r="C504" s="1" t="n">
        <v>45661</v>
      </c>
      <c r="D504" t="inlineStr">
        <is>
          <t>STOCKHOLMS LÄN</t>
        </is>
      </c>
      <c r="E504" t="inlineStr">
        <is>
          <t>UPPLANDS-BRO</t>
        </is>
      </c>
      <c r="G504" t="n">
        <v>0.3</v>
      </c>
      <c r="H504" t="n">
        <v>0</v>
      </c>
      <c r="I504" t="n">
        <v>0</v>
      </c>
      <c r="J504" t="n">
        <v>1</v>
      </c>
      <c r="K504" t="n">
        <v>0</v>
      </c>
      <c r="L504" t="n">
        <v>0</v>
      </c>
      <c r="M504" t="n">
        <v>0</v>
      </c>
      <c r="N504" t="n">
        <v>0</v>
      </c>
      <c r="O504" t="n">
        <v>1</v>
      </c>
      <c r="P504" t="n">
        <v>0</v>
      </c>
      <c r="Q504" t="n">
        <v>1</v>
      </c>
      <c r="R504" s="2" t="inlineStr">
        <is>
          <t>Skogsalmsdvärgmal</t>
        </is>
      </c>
      <c r="S504">
        <f>HYPERLINK("https://klasma.github.io/Logging_0139/artfynd/A 64098-2023 artfynd.xlsx", "A 64098-2023")</f>
        <v/>
      </c>
      <c r="T504">
        <f>HYPERLINK("https://klasma.github.io/Logging_0139/kartor/A 64098-2023 karta.png", "A 64098-2023")</f>
        <v/>
      </c>
      <c r="V504">
        <f>HYPERLINK("https://klasma.github.io/Logging_0139/klagomål/A 64098-2023 FSC-klagomål.docx", "A 64098-2023")</f>
        <v/>
      </c>
      <c r="W504">
        <f>HYPERLINK("https://klasma.github.io/Logging_0139/klagomålsmail/A 64098-2023 FSC-klagomål mail.docx", "A 64098-2023")</f>
        <v/>
      </c>
      <c r="X504">
        <f>HYPERLINK("https://klasma.github.io/Logging_0139/tillsyn/A 64098-2023 tillsynsbegäran.docx", "A 64098-2023")</f>
        <v/>
      </c>
      <c r="Y504">
        <f>HYPERLINK("https://klasma.github.io/Logging_0139/tillsynsmail/A 64098-2023 tillsynsbegäran mail.docx", "A 64098-2023")</f>
        <v/>
      </c>
    </row>
    <row r="505" ht="15" customHeight="1">
      <c r="A505" t="inlineStr">
        <is>
          <t>A 64196-2023</t>
        </is>
      </c>
      <c r="B505" s="1" t="n">
        <v>45279</v>
      </c>
      <c r="C505" s="1" t="n">
        <v>45661</v>
      </c>
      <c r="D505" t="inlineStr">
        <is>
          <t>STOCKHOLMS LÄN</t>
        </is>
      </c>
      <c r="E505" t="inlineStr">
        <is>
          <t>NYNÄSHAMN</t>
        </is>
      </c>
      <c r="G505" t="n">
        <v>2.1</v>
      </c>
      <c r="H505" t="n">
        <v>1</v>
      </c>
      <c r="I505" t="n">
        <v>0</v>
      </c>
      <c r="J505" t="n">
        <v>0</v>
      </c>
      <c r="K505" t="n">
        <v>0</v>
      </c>
      <c r="L505" t="n">
        <v>0</v>
      </c>
      <c r="M505" t="n">
        <v>0</v>
      </c>
      <c r="N505" t="n">
        <v>0</v>
      </c>
      <c r="O505" t="n">
        <v>0</v>
      </c>
      <c r="P505" t="n">
        <v>0</v>
      </c>
      <c r="Q505" t="n">
        <v>1</v>
      </c>
      <c r="R505" s="2" t="inlineStr">
        <is>
          <t>Revlummer</t>
        </is>
      </c>
      <c r="S505">
        <f>HYPERLINK("https://klasma.github.io/Logging_0192/artfynd/A 64196-2023 artfynd.xlsx", "A 64196-2023")</f>
        <v/>
      </c>
      <c r="T505">
        <f>HYPERLINK("https://klasma.github.io/Logging_0192/kartor/A 64196-2023 karta.png", "A 64196-2023")</f>
        <v/>
      </c>
      <c r="V505">
        <f>HYPERLINK("https://klasma.github.io/Logging_0192/klagomål/A 64196-2023 FSC-klagomål.docx", "A 64196-2023")</f>
        <v/>
      </c>
      <c r="W505">
        <f>HYPERLINK("https://klasma.github.io/Logging_0192/klagomålsmail/A 64196-2023 FSC-klagomål mail.docx", "A 64196-2023")</f>
        <v/>
      </c>
      <c r="X505">
        <f>HYPERLINK("https://klasma.github.io/Logging_0192/tillsyn/A 64196-2023 tillsynsbegäran.docx", "A 64196-2023")</f>
        <v/>
      </c>
      <c r="Y505">
        <f>HYPERLINK("https://klasma.github.io/Logging_0192/tillsynsmail/A 64196-2023 tillsynsbegäran mail.docx", "A 64196-2023")</f>
        <v/>
      </c>
    </row>
    <row r="506" ht="15" customHeight="1">
      <c r="A506" t="inlineStr">
        <is>
          <t>A 64345-2023</t>
        </is>
      </c>
      <c r="B506" s="1" t="n">
        <v>45280</v>
      </c>
      <c r="C506" s="1" t="n">
        <v>45661</v>
      </c>
      <c r="D506" t="inlineStr">
        <is>
          <t>STOCKHOLMS LÄN</t>
        </is>
      </c>
      <c r="E506" t="inlineStr">
        <is>
          <t>SIGTUNA</t>
        </is>
      </c>
      <c r="G506" t="n">
        <v>2.7</v>
      </c>
      <c r="H506" t="n">
        <v>1</v>
      </c>
      <c r="I506" t="n">
        <v>0</v>
      </c>
      <c r="J506" t="n">
        <v>0</v>
      </c>
      <c r="K506" t="n">
        <v>0</v>
      </c>
      <c r="L506" t="n">
        <v>0</v>
      </c>
      <c r="M506" t="n">
        <v>0</v>
      </c>
      <c r="N506" t="n">
        <v>0</v>
      </c>
      <c r="O506" t="n">
        <v>0</v>
      </c>
      <c r="P506" t="n">
        <v>0</v>
      </c>
      <c r="Q506" t="n">
        <v>1</v>
      </c>
      <c r="R506" s="2" t="inlineStr">
        <is>
          <t>Kungsfågel</t>
        </is>
      </c>
      <c r="S506">
        <f>HYPERLINK("https://klasma.github.io/Logging_0191/artfynd/A 64345-2023 artfynd.xlsx", "A 64345-2023")</f>
        <v/>
      </c>
      <c r="T506">
        <f>HYPERLINK("https://klasma.github.io/Logging_0191/kartor/A 64345-2023 karta.png", "A 64345-2023")</f>
        <v/>
      </c>
      <c r="V506">
        <f>HYPERLINK("https://klasma.github.io/Logging_0191/klagomål/A 64345-2023 FSC-klagomål.docx", "A 64345-2023")</f>
        <v/>
      </c>
      <c r="W506">
        <f>HYPERLINK("https://klasma.github.io/Logging_0191/klagomålsmail/A 64345-2023 FSC-klagomål mail.docx", "A 64345-2023")</f>
        <v/>
      </c>
      <c r="X506">
        <f>HYPERLINK("https://klasma.github.io/Logging_0191/tillsyn/A 64345-2023 tillsynsbegäran.docx", "A 64345-2023")</f>
        <v/>
      </c>
      <c r="Y506">
        <f>HYPERLINK("https://klasma.github.io/Logging_0191/tillsynsmail/A 64345-2023 tillsynsbegäran mail.docx", "A 64345-2023")</f>
        <v/>
      </c>
      <c r="Z506">
        <f>HYPERLINK("https://klasma.github.io/Logging_0191/fåglar/A 64345-2023 prioriterade fågelarter.docx", "A 64345-2023")</f>
        <v/>
      </c>
    </row>
    <row r="507" ht="15" customHeight="1">
      <c r="A507" t="inlineStr">
        <is>
          <t>A 64456-2023</t>
        </is>
      </c>
      <c r="B507" s="1" t="n">
        <v>45280</v>
      </c>
      <c r="C507" s="1" t="n">
        <v>45661</v>
      </c>
      <c r="D507" t="inlineStr">
        <is>
          <t>STOCKHOLMS LÄN</t>
        </is>
      </c>
      <c r="E507" t="inlineStr">
        <is>
          <t>NORRTÄLJE</t>
        </is>
      </c>
      <c r="G507" t="n">
        <v>2.5</v>
      </c>
      <c r="H507" t="n">
        <v>0</v>
      </c>
      <c r="I507" t="n">
        <v>1</v>
      </c>
      <c r="J507" t="n">
        <v>0</v>
      </c>
      <c r="K507" t="n">
        <v>0</v>
      </c>
      <c r="L507" t="n">
        <v>0</v>
      </c>
      <c r="M507" t="n">
        <v>0</v>
      </c>
      <c r="N507" t="n">
        <v>0</v>
      </c>
      <c r="O507" t="n">
        <v>0</v>
      </c>
      <c r="P507" t="n">
        <v>0</v>
      </c>
      <c r="Q507" t="n">
        <v>1</v>
      </c>
      <c r="R507" s="2" t="inlineStr">
        <is>
          <t>Rödgul trumpetsvamp</t>
        </is>
      </c>
      <c r="S507">
        <f>HYPERLINK("https://klasma.github.io/Logging_0188/artfynd/A 64456-2023 artfynd.xlsx", "A 64456-2023")</f>
        <v/>
      </c>
      <c r="T507">
        <f>HYPERLINK("https://klasma.github.io/Logging_0188/kartor/A 64456-2023 karta.png", "A 64456-2023")</f>
        <v/>
      </c>
      <c r="V507">
        <f>HYPERLINK("https://klasma.github.io/Logging_0188/klagomål/A 64456-2023 FSC-klagomål.docx", "A 64456-2023")</f>
        <v/>
      </c>
      <c r="W507">
        <f>HYPERLINK("https://klasma.github.io/Logging_0188/klagomålsmail/A 64456-2023 FSC-klagomål mail.docx", "A 64456-2023")</f>
        <v/>
      </c>
      <c r="X507">
        <f>HYPERLINK("https://klasma.github.io/Logging_0188/tillsyn/A 64456-2023 tillsynsbegäran.docx", "A 64456-2023")</f>
        <v/>
      </c>
      <c r="Y507">
        <f>HYPERLINK("https://klasma.github.io/Logging_0188/tillsynsmail/A 64456-2023 tillsynsbegäran mail.docx", "A 64456-2023")</f>
        <v/>
      </c>
    </row>
    <row r="508" ht="15" customHeight="1">
      <c r="A508" t="inlineStr">
        <is>
          <t>A 64441-2023</t>
        </is>
      </c>
      <c r="B508" s="1" t="n">
        <v>45280</v>
      </c>
      <c r="C508" s="1" t="n">
        <v>45661</v>
      </c>
      <c r="D508" t="inlineStr">
        <is>
          <t>STOCKHOLMS LÄN</t>
        </is>
      </c>
      <c r="E508" t="inlineStr">
        <is>
          <t>UPPLANDS VÄSBY</t>
        </is>
      </c>
      <c r="G508" t="n">
        <v>6.4</v>
      </c>
      <c r="H508" t="n">
        <v>0</v>
      </c>
      <c r="I508" t="n">
        <v>0</v>
      </c>
      <c r="J508" t="n">
        <v>1</v>
      </c>
      <c r="K508" t="n">
        <v>0</v>
      </c>
      <c r="L508" t="n">
        <v>0</v>
      </c>
      <c r="M508" t="n">
        <v>0</v>
      </c>
      <c r="N508" t="n">
        <v>0</v>
      </c>
      <c r="O508" t="n">
        <v>1</v>
      </c>
      <c r="P508" t="n">
        <v>0</v>
      </c>
      <c r="Q508" t="n">
        <v>1</v>
      </c>
      <c r="R508" s="2" t="inlineStr">
        <is>
          <t>Säfferot</t>
        </is>
      </c>
      <c r="S508">
        <f>HYPERLINK("https://klasma.github.io/Logging_0114/artfynd/A 64441-2023 artfynd.xlsx", "A 64441-2023")</f>
        <v/>
      </c>
      <c r="T508">
        <f>HYPERLINK("https://klasma.github.io/Logging_0114/kartor/A 64441-2023 karta.png", "A 64441-2023")</f>
        <v/>
      </c>
      <c r="V508">
        <f>HYPERLINK("https://klasma.github.io/Logging_0114/klagomål/A 64441-2023 FSC-klagomål.docx", "A 64441-2023")</f>
        <v/>
      </c>
      <c r="W508">
        <f>HYPERLINK("https://klasma.github.io/Logging_0114/klagomålsmail/A 64441-2023 FSC-klagomål mail.docx", "A 64441-2023")</f>
        <v/>
      </c>
      <c r="X508">
        <f>HYPERLINK("https://klasma.github.io/Logging_0114/tillsyn/A 64441-2023 tillsynsbegäran.docx", "A 64441-2023")</f>
        <v/>
      </c>
      <c r="Y508">
        <f>HYPERLINK("https://klasma.github.io/Logging_0114/tillsynsmail/A 64441-2023 tillsynsbegäran mail.docx", "A 64441-2023")</f>
        <v/>
      </c>
    </row>
    <row r="509" ht="15" customHeight="1">
      <c r="A509" t="inlineStr">
        <is>
          <t>A 3952-2024</t>
        </is>
      </c>
      <c r="B509" s="1" t="n">
        <v>45322</v>
      </c>
      <c r="C509" s="1" t="n">
        <v>45661</v>
      </c>
      <c r="D509" t="inlineStr">
        <is>
          <t>STOCKHOLMS LÄN</t>
        </is>
      </c>
      <c r="E509" t="inlineStr">
        <is>
          <t>HANINGE</t>
        </is>
      </c>
      <c r="G509" t="n">
        <v>1.7</v>
      </c>
      <c r="H509" t="n">
        <v>1</v>
      </c>
      <c r="I509" t="n">
        <v>0</v>
      </c>
      <c r="J509" t="n">
        <v>0</v>
      </c>
      <c r="K509" t="n">
        <v>0</v>
      </c>
      <c r="L509" t="n">
        <v>0</v>
      </c>
      <c r="M509" t="n">
        <v>0</v>
      </c>
      <c r="N509" t="n">
        <v>0</v>
      </c>
      <c r="O509" t="n">
        <v>0</v>
      </c>
      <c r="P509" t="n">
        <v>0</v>
      </c>
      <c r="Q509" t="n">
        <v>1</v>
      </c>
      <c r="R509" s="2" t="inlineStr">
        <is>
          <t>Sångsvan</t>
        </is>
      </c>
      <c r="S509">
        <f>HYPERLINK("https://klasma.github.io/Logging_0136/artfynd/A 3952-2024 artfynd.xlsx", "A 3952-2024")</f>
        <v/>
      </c>
      <c r="T509">
        <f>HYPERLINK("https://klasma.github.io/Logging_0136/kartor/A 3952-2024 karta.png", "A 3952-2024")</f>
        <v/>
      </c>
      <c r="V509">
        <f>HYPERLINK("https://klasma.github.io/Logging_0136/klagomål/A 3952-2024 FSC-klagomål.docx", "A 3952-2024")</f>
        <v/>
      </c>
      <c r="W509">
        <f>HYPERLINK("https://klasma.github.io/Logging_0136/klagomålsmail/A 3952-2024 FSC-klagomål mail.docx", "A 3952-2024")</f>
        <v/>
      </c>
      <c r="X509">
        <f>HYPERLINK("https://klasma.github.io/Logging_0136/tillsyn/A 3952-2024 tillsynsbegäran.docx", "A 3952-2024")</f>
        <v/>
      </c>
      <c r="Y509">
        <f>HYPERLINK("https://klasma.github.io/Logging_0136/tillsynsmail/A 3952-2024 tillsynsbegäran mail.docx", "A 3952-2024")</f>
        <v/>
      </c>
      <c r="Z509">
        <f>HYPERLINK("https://klasma.github.io/Logging_0136/fåglar/A 3952-2024 prioriterade fågelarter.docx", "A 3952-2024")</f>
        <v/>
      </c>
    </row>
    <row r="510" ht="15" customHeight="1">
      <c r="A510" t="inlineStr">
        <is>
          <t>A 5946-2024</t>
        </is>
      </c>
      <c r="B510" s="1" t="n">
        <v>45336</v>
      </c>
      <c r="C510" s="1" t="n">
        <v>45661</v>
      </c>
      <c r="D510" t="inlineStr">
        <is>
          <t>STOCKHOLMS LÄN</t>
        </is>
      </c>
      <c r="E510" t="inlineStr">
        <is>
          <t>NYNÄSHAMN</t>
        </is>
      </c>
      <c r="G510" t="n">
        <v>15</v>
      </c>
      <c r="H510" t="n">
        <v>0</v>
      </c>
      <c r="I510" t="n">
        <v>1</v>
      </c>
      <c r="J510" t="n">
        <v>0</v>
      </c>
      <c r="K510" t="n">
        <v>0</v>
      </c>
      <c r="L510" t="n">
        <v>0</v>
      </c>
      <c r="M510" t="n">
        <v>0</v>
      </c>
      <c r="N510" t="n">
        <v>0</v>
      </c>
      <c r="O510" t="n">
        <v>0</v>
      </c>
      <c r="P510" t="n">
        <v>0</v>
      </c>
      <c r="Q510" t="n">
        <v>1</v>
      </c>
      <c r="R510" s="2" t="inlineStr">
        <is>
          <t>Grönpyrola</t>
        </is>
      </c>
      <c r="S510">
        <f>HYPERLINK("https://klasma.github.io/Logging_0192/artfynd/A 5946-2024 artfynd.xlsx", "A 5946-2024")</f>
        <v/>
      </c>
      <c r="T510">
        <f>HYPERLINK("https://klasma.github.io/Logging_0192/kartor/A 5946-2024 karta.png", "A 5946-2024")</f>
        <v/>
      </c>
      <c r="V510">
        <f>HYPERLINK("https://klasma.github.io/Logging_0192/klagomål/A 5946-2024 FSC-klagomål.docx", "A 5946-2024")</f>
        <v/>
      </c>
      <c r="W510">
        <f>HYPERLINK("https://klasma.github.io/Logging_0192/klagomålsmail/A 5946-2024 FSC-klagomål mail.docx", "A 5946-2024")</f>
        <v/>
      </c>
      <c r="X510">
        <f>HYPERLINK("https://klasma.github.io/Logging_0192/tillsyn/A 5946-2024 tillsynsbegäran.docx", "A 5946-2024")</f>
        <v/>
      </c>
      <c r="Y510">
        <f>HYPERLINK("https://klasma.github.io/Logging_0192/tillsynsmail/A 5946-2024 tillsynsbegäran mail.docx", "A 5946-2024")</f>
        <v/>
      </c>
    </row>
    <row r="511" ht="15" customHeight="1">
      <c r="A511" t="inlineStr">
        <is>
          <t>A 6412-2024</t>
        </is>
      </c>
      <c r="B511" s="1" t="n">
        <v>45338</v>
      </c>
      <c r="C511" s="1" t="n">
        <v>45661</v>
      </c>
      <c r="D511" t="inlineStr">
        <is>
          <t>STOCKHOLMS LÄN</t>
        </is>
      </c>
      <c r="E511" t="inlineStr">
        <is>
          <t>VÄRMDÖ</t>
        </is>
      </c>
      <c r="G511" t="n">
        <v>2.4</v>
      </c>
      <c r="H511" t="n">
        <v>1</v>
      </c>
      <c r="I511" t="n">
        <v>1</v>
      </c>
      <c r="J511" t="n">
        <v>0</v>
      </c>
      <c r="K511" t="n">
        <v>0</v>
      </c>
      <c r="L511" t="n">
        <v>0</v>
      </c>
      <c r="M511" t="n">
        <v>0</v>
      </c>
      <c r="N511" t="n">
        <v>0</v>
      </c>
      <c r="O511" t="n">
        <v>0</v>
      </c>
      <c r="P511" t="n">
        <v>0</v>
      </c>
      <c r="Q511" t="n">
        <v>1</v>
      </c>
      <c r="R511" s="2" t="inlineStr">
        <is>
          <t>Skogsknipprot</t>
        </is>
      </c>
      <c r="S511">
        <f>HYPERLINK("https://klasma.github.io/Logging_0120/artfynd/A 6412-2024 artfynd.xlsx", "A 6412-2024")</f>
        <v/>
      </c>
      <c r="T511">
        <f>HYPERLINK("https://klasma.github.io/Logging_0120/kartor/A 6412-2024 karta.png", "A 6412-2024")</f>
        <v/>
      </c>
      <c r="V511">
        <f>HYPERLINK("https://klasma.github.io/Logging_0120/klagomål/A 6412-2024 FSC-klagomål.docx", "A 6412-2024")</f>
        <v/>
      </c>
      <c r="W511">
        <f>HYPERLINK("https://klasma.github.io/Logging_0120/klagomålsmail/A 6412-2024 FSC-klagomål mail.docx", "A 6412-2024")</f>
        <v/>
      </c>
      <c r="X511">
        <f>HYPERLINK("https://klasma.github.io/Logging_0120/tillsyn/A 6412-2024 tillsynsbegäran.docx", "A 6412-2024")</f>
        <v/>
      </c>
      <c r="Y511">
        <f>HYPERLINK("https://klasma.github.io/Logging_0120/tillsynsmail/A 6412-2024 tillsynsbegäran mail.docx", "A 6412-2024")</f>
        <v/>
      </c>
    </row>
    <row r="512" ht="15" customHeight="1">
      <c r="A512" t="inlineStr">
        <is>
          <t>A 6950-2024</t>
        </is>
      </c>
      <c r="B512" s="1" t="n">
        <v>45343</v>
      </c>
      <c r="C512" s="1" t="n">
        <v>45661</v>
      </c>
      <c r="D512" t="inlineStr">
        <is>
          <t>STOCKHOLMS LÄN</t>
        </is>
      </c>
      <c r="E512" t="inlineStr">
        <is>
          <t>NORRTÄLJE</t>
        </is>
      </c>
      <c r="G512" t="n">
        <v>26.8</v>
      </c>
      <c r="H512" t="n">
        <v>1</v>
      </c>
      <c r="I512" t="n">
        <v>0</v>
      </c>
      <c r="J512" t="n">
        <v>0</v>
      </c>
      <c r="K512" t="n">
        <v>0</v>
      </c>
      <c r="L512" t="n">
        <v>0</v>
      </c>
      <c r="M512" t="n">
        <v>0</v>
      </c>
      <c r="N512" t="n">
        <v>0</v>
      </c>
      <c r="O512" t="n">
        <v>0</v>
      </c>
      <c r="P512" t="n">
        <v>0</v>
      </c>
      <c r="Q512" t="n">
        <v>1</v>
      </c>
      <c r="R512" s="2" t="inlineStr">
        <is>
          <t>Blåsippa</t>
        </is>
      </c>
      <c r="S512">
        <f>HYPERLINK("https://klasma.github.io/Logging_0188/artfynd/A 6950-2024 artfynd.xlsx", "A 6950-2024")</f>
        <v/>
      </c>
      <c r="T512">
        <f>HYPERLINK("https://klasma.github.io/Logging_0188/kartor/A 6950-2024 karta.png", "A 6950-2024")</f>
        <v/>
      </c>
      <c r="V512">
        <f>HYPERLINK("https://klasma.github.io/Logging_0188/klagomål/A 6950-2024 FSC-klagomål.docx", "A 6950-2024")</f>
        <v/>
      </c>
      <c r="W512">
        <f>HYPERLINK("https://klasma.github.io/Logging_0188/klagomålsmail/A 6950-2024 FSC-klagomål mail.docx", "A 6950-2024")</f>
        <v/>
      </c>
      <c r="X512">
        <f>HYPERLINK("https://klasma.github.io/Logging_0188/tillsyn/A 6950-2024 tillsynsbegäran.docx", "A 6950-2024")</f>
        <v/>
      </c>
      <c r="Y512">
        <f>HYPERLINK("https://klasma.github.io/Logging_0188/tillsynsmail/A 6950-2024 tillsynsbegäran mail.docx", "A 6950-2024")</f>
        <v/>
      </c>
    </row>
    <row r="513" ht="15" customHeight="1">
      <c r="A513" t="inlineStr">
        <is>
          <t>A 11388-2024</t>
        </is>
      </c>
      <c r="B513" s="1" t="n">
        <v>45372</v>
      </c>
      <c r="C513" s="1" t="n">
        <v>45661</v>
      </c>
      <c r="D513" t="inlineStr">
        <is>
          <t>STOCKHOLMS LÄN</t>
        </is>
      </c>
      <c r="E513" t="inlineStr">
        <is>
          <t>NYKVARN</t>
        </is>
      </c>
      <c r="G513" t="n">
        <v>4</v>
      </c>
      <c r="H513" t="n">
        <v>0</v>
      </c>
      <c r="I513" t="n">
        <v>0</v>
      </c>
      <c r="J513" t="n">
        <v>1</v>
      </c>
      <c r="K513" t="n">
        <v>0</v>
      </c>
      <c r="L513" t="n">
        <v>0</v>
      </c>
      <c r="M513" t="n">
        <v>0</v>
      </c>
      <c r="N513" t="n">
        <v>0</v>
      </c>
      <c r="O513" t="n">
        <v>1</v>
      </c>
      <c r="P513" t="n">
        <v>0</v>
      </c>
      <c r="Q513" t="n">
        <v>1</v>
      </c>
      <c r="R513" s="2" t="inlineStr">
        <is>
          <t>Igelkott</t>
        </is>
      </c>
      <c r="S513">
        <f>HYPERLINK("https://klasma.github.io/Logging_0140/artfynd/A 11388-2024 artfynd.xlsx", "A 11388-2024")</f>
        <v/>
      </c>
      <c r="T513">
        <f>HYPERLINK("https://klasma.github.io/Logging_0140/kartor/A 11388-2024 karta.png", "A 11388-2024")</f>
        <v/>
      </c>
      <c r="V513">
        <f>HYPERLINK("https://klasma.github.io/Logging_0140/klagomål/A 11388-2024 FSC-klagomål.docx", "A 11388-2024")</f>
        <v/>
      </c>
      <c r="W513">
        <f>HYPERLINK("https://klasma.github.io/Logging_0140/klagomålsmail/A 11388-2024 FSC-klagomål mail.docx", "A 11388-2024")</f>
        <v/>
      </c>
      <c r="X513">
        <f>HYPERLINK("https://klasma.github.io/Logging_0140/tillsyn/A 11388-2024 tillsynsbegäran.docx", "A 11388-2024")</f>
        <v/>
      </c>
      <c r="Y513">
        <f>HYPERLINK("https://klasma.github.io/Logging_0140/tillsynsmail/A 11388-2024 tillsynsbegäran mail.docx", "A 11388-2024")</f>
        <v/>
      </c>
    </row>
    <row r="514" ht="15" customHeight="1">
      <c r="A514" t="inlineStr">
        <is>
          <t>A 12968-2024</t>
        </is>
      </c>
      <c r="B514" s="1" t="n">
        <v>45385</v>
      </c>
      <c r="C514" s="1" t="n">
        <v>45661</v>
      </c>
      <c r="D514" t="inlineStr">
        <is>
          <t>STOCKHOLMS LÄN</t>
        </is>
      </c>
      <c r="E514" t="inlineStr">
        <is>
          <t>SÖDERTÄLJE</t>
        </is>
      </c>
      <c r="F514" t="inlineStr">
        <is>
          <t>Kommuner</t>
        </is>
      </c>
      <c r="G514" t="n">
        <v>5.5</v>
      </c>
      <c r="H514" t="n">
        <v>0</v>
      </c>
      <c r="I514" t="n">
        <v>0</v>
      </c>
      <c r="J514" t="n">
        <v>0</v>
      </c>
      <c r="K514" t="n">
        <v>0</v>
      </c>
      <c r="L514" t="n">
        <v>1</v>
      </c>
      <c r="M514" t="n">
        <v>0</v>
      </c>
      <c r="N514" t="n">
        <v>0</v>
      </c>
      <c r="O514" t="n">
        <v>1</v>
      </c>
      <c r="P514" t="n">
        <v>1</v>
      </c>
      <c r="Q514" t="n">
        <v>1</v>
      </c>
      <c r="R514" s="2" t="inlineStr">
        <is>
          <t>Ask</t>
        </is>
      </c>
      <c r="S514">
        <f>HYPERLINK("https://klasma.github.io/Logging_0181/artfynd/A 12968-2024 artfynd.xlsx", "A 12968-2024")</f>
        <v/>
      </c>
      <c r="T514">
        <f>HYPERLINK("https://klasma.github.io/Logging_0181/kartor/A 12968-2024 karta.png", "A 12968-2024")</f>
        <v/>
      </c>
      <c r="V514">
        <f>HYPERLINK("https://klasma.github.io/Logging_0181/klagomål/A 12968-2024 FSC-klagomål.docx", "A 12968-2024")</f>
        <v/>
      </c>
      <c r="W514">
        <f>HYPERLINK("https://klasma.github.io/Logging_0181/klagomålsmail/A 12968-2024 FSC-klagomål mail.docx", "A 12968-2024")</f>
        <v/>
      </c>
      <c r="X514">
        <f>HYPERLINK("https://klasma.github.io/Logging_0181/tillsyn/A 12968-2024 tillsynsbegäran.docx", "A 12968-2024")</f>
        <v/>
      </c>
      <c r="Y514">
        <f>HYPERLINK("https://klasma.github.io/Logging_0181/tillsynsmail/A 12968-2024 tillsynsbegäran mail.docx", "A 12968-2024")</f>
        <v/>
      </c>
    </row>
    <row r="515" ht="15" customHeight="1">
      <c r="A515" t="inlineStr">
        <is>
          <t>A 13136-2024</t>
        </is>
      </c>
      <c r="B515" s="1" t="n">
        <v>45386</v>
      </c>
      <c r="C515" s="1" t="n">
        <v>45661</v>
      </c>
      <c r="D515" t="inlineStr">
        <is>
          <t>STOCKHOLMS LÄN</t>
        </is>
      </c>
      <c r="E515" t="inlineStr">
        <is>
          <t>NYKVARN</t>
        </is>
      </c>
      <c r="F515" t="inlineStr">
        <is>
          <t>Sveaskog</t>
        </is>
      </c>
      <c r="G515" t="n">
        <v>6.2</v>
      </c>
      <c r="H515" t="n">
        <v>0</v>
      </c>
      <c r="I515" t="n">
        <v>0</v>
      </c>
      <c r="J515" t="n">
        <v>1</v>
      </c>
      <c r="K515" t="n">
        <v>0</v>
      </c>
      <c r="L515" t="n">
        <v>0</v>
      </c>
      <c r="M515" t="n">
        <v>0</v>
      </c>
      <c r="N515" t="n">
        <v>0</v>
      </c>
      <c r="O515" t="n">
        <v>1</v>
      </c>
      <c r="P515" t="n">
        <v>0</v>
      </c>
      <c r="Q515" t="n">
        <v>1</v>
      </c>
      <c r="R515" s="2" t="inlineStr">
        <is>
          <t>Motaggsvamp</t>
        </is>
      </c>
      <c r="S515">
        <f>HYPERLINK("https://klasma.github.io/Logging_0140/artfynd/A 13136-2024 artfynd.xlsx", "A 13136-2024")</f>
        <v/>
      </c>
      <c r="T515">
        <f>HYPERLINK("https://klasma.github.io/Logging_0140/kartor/A 13136-2024 karta.png", "A 13136-2024")</f>
        <v/>
      </c>
      <c r="V515">
        <f>HYPERLINK("https://klasma.github.io/Logging_0140/klagomål/A 13136-2024 FSC-klagomål.docx", "A 13136-2024")</f>
        <v/>
      </c>
      <c r="W515">
        <f>HYPERLINK("https://klasma.github.io/Logging_0140/klagomålsmail/A 13136-2024 FSC-klagomål mail.docx", "A 13136-2024")</f>
        <v/>
      </c>
      <c r="X515">
        <f>HYPERLINK("https://klasma.github.io/Logging_0140/tillsyn/A 13136-2024 tillsynsbegäran.docx", "A 13136-2024")</f>
        <v/>
      </c>
      <c r="Y515">
        <f>HYPERLINK("https://klasma.github.io/Logging_0140/tillsynsmail/A 13136-2024 tillsynsbegäran mail.docx", "A 13136-2024")</f>
        <v/>
      </c>
    </row>
    <row r="516" ht="15" customHeight="1">
      <c r="A516" t="inlineStr">
        <is>
          <t>A 14506-2024</t>
        </is>
      </c>
      <c r="B516" s="1" t="n">
        <v>45394</v>
      </c>
      <c r="C516" s="1" t="n">
        <v>45661</v>
      </c>
      <c r="D516" t="inlineStr">
        <is>
          <t>STOCKHOLMS LÄN</t>
        </is>
      </c>
      <c r="E516" t="inlineStr">
        <is>
          <t>VALLENTUNA</t>
        </is>
      </c>
      <c r="G516" t="n">
        <v>13.2</v>
      </c>
      <c r="H516" t="n">
        <v>0</v>
      </c>
      <c r="I516" t="n">
        <v>0</v>
      </c>
      <c r="J516" t="n">
        <v>0</v>
      </c>
      <c r="K516" t="n">
        <v>1</v>
      </c>
      <c r="L516" t="n">
        <v>0</v>
      </c>
      <c r="M516" t="n">
        <v>0</v>
      </c>
      <c r="N516" t="n">
        <v>0</v>
      </c>
      <c r="O516" t="n">
        <v>1</v>
      </c>
      <c r="P516" t="n">
        <v>1</v>
      </c>
      <c r="Q516" t="n">
        <v>1</v>
      </c>
      <c r="R516" s="2" t="inlineStr">
        <is>
          <t>Violgubbe</t>
        </is>
      </c>
      <c r="S516">
        <f>HYPERLINK("https://klasma.github.io/Logging_0115/artfynd/A 14506-2024 artfynd.xlsx", "A 14506-2024")</f>
        <v/>
      </c>
      <c r="T516">
        <f>HYPERLINK("https://klasma.github.io/Logging_0115/kartor/A 14506-2024 karta.png", "A 14506-2024")</f>
        <v/>
      </c>
      <c r="V516">
        <f>HYPERLINK("https://klasma.github.io/Logging_0115/klagomål/A 14506-2024 FSC-klagomål.docx", "A 14506-2024")</f>
        <v/>
      </c>
      <c r="W516">
        <f>HYPERLINK("https://klasma.github.io/Logging_0115/klagomålsmail/A 14506-2024 FSC-klagomål mail.docx", "A 14506-2024")</f>
        <v/>
      </c>
      <c r="X516">
        <f>HYPERLINK("https://klasma.github.io/Logging_0115/tillsyn/A 14506-2024 tillsynsbegäran.docx", "A 14506-2024")</f>
        <v/>
      </c>
      <c r="Y516">
        <f>HYPERLINK("https://klasma.github.io/Logging_0115/tillsynsmail/A 14506-2024 tillsynsbegäran mail.docx", "A 14506-2024")</f>
        <v/>
      </c>
    </row>
    <row r="517" ht="15" customHeight="1">
      <c r="A517" t="inlineStr">
        <is>
          <t>A 14508-2024</t>
        </is>
      </c>
      <c r="B517" s="1" t="n">
        <v>45394</v>
      </c>
      <c r="C517" s="1" t="n">
        <v>45661</v>
      </c>
      <c r="D517" t="inlineStr">
        <is>
          <t>STOCKHOLMS LÄN</t>
        </is>
      </c>
      <c r="E517" t="inlineStr">
        <is>
          <t>VALLENTUNA</t>
        </is>
      </c>
      <c r="G517" t="n">
        <v>1.7</v>
      </c>
      <c r="H517" t="n">
        <v>1</v>
      </c>
      <c r="I517" t="n">
        <v>0</v>
      </c>
      <c r="J517" t="n">
        <v>1</v>
      </c>
      <c r="K517" t="n">
        <v>0</v>
      </c>
      <c r="L517" t="n">
        <v>0</v>
      </c>
      <c r="M517" t="n">
        <v>0</v>
      </c>
      <c r="N517" t="n">
        <v>0</v>
      </c>
      <c r="O517" t="n">
        <v>1</v>
      </c>
      <c r="P517" t="n">
        <v>0</v>
      </c>
      <c r="Q517" t="n">
        <v>1</v>
      </c>
      <c r="R517" s="2" t="inlineStr">
        <is>
          <t>Mindre hackspett</t>
        </is>
      </c>
      <c r="S517">
        <f>HYPERLINK("https://klasma.github.io/Logging_0115/artfynd/A 14508-2024 artfynd.xlsx", "A 14508-2024")</f>
        <v/>
      </c>
      <c r="T517">
        <f>HYPERLINK("https://klasma.github.io/Logging_0115/kartor/A 14508-2024 karta.png", "A 14508-2024")</f>
        <v/>
      </c>
      <c r="V517">
        <f>HYPERLINK("https://klasma.github.io/Logging_0115/klagomål/A 14508-2024 FSC-klagomål.docx", "A 14508-2024")</f>
        <v/>
      </c>
      <c r="W517">
        <f>HYPERLINK("https://klasma.github.io/Logging_0115/klagomålsmail/A 14508-2024 FSC-klagomål mail.docx", "A 14508-2024")</f>
        <v/>
      </c>
      <c r="X517">
        <f>HYPERLINK("https://klasma.github.io/Logging_0115/tillsyn/A 14508-2024 tillsynsbegäran.docx", "A 14508-2024")</f>
        <v/>
      </c>
      <c r="Y517">
        <f>HYPERLINK("https://klasma.github.io/Logging_0115/tillsynsmail/A 14508-2024 tillsynsbegäran mail.docx", "A 14508-2024")</f>
        <v/>
      </c>
      <c r="Z517">
        <f>HYPERLINK("https://klasma.github.io/Logging_0115/fåglar/A 14508-2024 prioriterade fågelarter.docx", "A 14508-2024")</f>
        <v/>
      </c>
    </row>
    <row r="518" ht="15" customHeight="1">
      <c r="A518" t="inlineStr">
        <is>
          <t>A 14511-2024</t>
        </is>
      </c>
      <c r="B518" s="1" t="n">
        <v>45394</v>
      </c>
      <c r="C518" s="1" t="n">
        <v>45661</v>
      </c>
      <c r="D518" t="inlineStr">
        <is>
          <t>STOCKHOLMS LÄN</t>
        </is>
      </c>
      <c r="E518" t="inlineStr">
        <is>
          <t>VALLENTUNA</t>
        </is>
      </c>
      <c r="G518" t="n">
        <v>2.7</v>
      </c>
      <c r="H518" t="n">
        <v>1</v>
      </c>
      <c r="I518" t="n">
        <v>0</v>
      </c>
      <c r="J518" t="n">
        <v>0</v>
      </c>
      <c r="K518" t="n">
        <v>1</v>
      </c>
      <c r="L518" t="n">
        <v>0</v>
      </c>
      <c r="M518" t="n">
        <v>0</v>
      </c>
      <c r="N518" t="n">
        <v>0</v>
      </c>
      <c r="O518" t="n">
        <v>1</v>
      </c>
      <c r="P518" t="n">
        <v>1</v>
      </c>
      <c r="Q518" t="n">
        <v>1</v>
      </c>
      <c r="R518" s="2" t="inlineStr">
        <is>
          <t>Knärot</t>
        </is>
      </c>
      <c r="S518">
        <f>HYPERLINK("https://klasma.github.io/Logging_0115/artfynd/A 14511-2024 artfynd.xlsx", "A 14511-2024")</f>
        <v/>
      </c>
      <c r="T518">
        <f>HYPERLINK("https://klasma.github.io/Logging_0115/kartor/A 14511-2024 karta.png", "A 14511-2024")</f>
        <v/>
      </c>
      <c r="U518">
        <f>HYPERLINK("https://klasma.github.io/Logging_0115/knärot/A 14511-2024 karta knärot.png", "A 14511-2024")</f>
        <v/>
      </c>
      <c r="V518">
        <f>HYPERLINK("https://klasma.github.io/Logging_0115/klagomål/A 14511-2024 FSC-klagomål.docx", "A 14511-2024")</f>
        <v/>
      </c>
      <c r="W518">
        <f>HYPERLINK("https://klasma.github.io/Logging_0115/klagomålsmail/A 14511-2024 FSC-klagomål mail.docx", "A 14511-2024")</f>
        <v/>
      </c>
      <c r="X518">
        <f>HYPERLINK("https://klasma.github.io/Logging_0115/tillsyn/A 14511-2024 tillsynsbegäran.docx", "A 14511-2024")</f>
        <v/>
      </c>
      <c r="Y518">
        <f>HYPERLINK("https://klasma.github.io/Logging_0115/tillsynsmail/A 14511-2024 tillsynsbegäran mail.docx", "A 14511-2024")</f>
        <v/>
      </c>
    </row>
    <row r="519" ht="15" customHeight="1">
      <c r="A519" t="inlineStr">
        <is>
          <t>A 19793-2024</t>
        </is>
      </c>
      <c r="B519" s="1" t="n">
        <v>45432</v>
      </c>
      <c r="C519" s="1" t="n">
        <v>45661</v>
      </c>
      <c r="D519" t="inlineStr">
        <is>
          <t>STOCKHOLMS LÄN</t>
        </is>
      </c>
      <c r="E519" t="inlineStr">
        <is>
          <t>SÖDERTÄLJE</t>
        </is>
      </c>
      <c r="F519" t="inlineStr">
        <is>
          <t>Övriga Aktiebolag</t>
        </is>
      </c>
      <c r="G519" t="n">
        <v>4.1</v>
      </c>
      <c r="H519" t="n">
        <v>0</v>
      </c>
      <c r="I519" t="n">
        <v>1</v>
      </c>
      <c r="J519" t="n">
        <v>0</v>
      </c>
      <c r="K519" t="n">
        <v>0</v>
      </c>
      <c r="L519" t="n">
        <v>0</v>
      </c>
      <c r="M519" t="n">
        <v>0</v>
      </c>
      <c r="N519" t="n">
        <v>0</v>
      </c>
      <c r="O519" t="n">
        <v>0</v>
      </c>
      <c r="P519" t="n">
        <v>0</v>
      </c>
      <c r="Q519" t="n">
        <v>1</v>
      </c>
      <c r="R519" s="2" t="inlineStr">
        <is>
          <t>Fjällig taggsvamp s.str.</t>
        </is>
      </c>
      <c r="S519">
        <f>HYPERLINK("https://klasma.github.io/Logging_0181/artfynd/A 19793-2024 artfynd.xlsx", "A 19793-2024")</f>
        <v/>
      </c>
      <c r="T519">
        <f>HYPERLINK("https://klasma.github.io/Logging_0181/kartor/A 19793-2024 karta.png", "A 19793-2024")</f>
        <v/>
      </c>
      <c r="V519">
        <f>HYPERLINK("https://klasma.github.io/Logging_0181/klagomål/A 19793-2024 FSC-klagomål.docx", "A 19793-2024")</f>
        <v/>
      </c>
      <c r="W519">
        <f>HYPERLINK("https://klasma.github.io/Logging_0181/klagomålsmail/A 19793-2024 FSC-klagomål mail.docx", "A 19793-2024")</f>
        <v/>
      </c>
      <c r="X519">
        <f>HYPERLINK("https://klasma.github.io/Logging_0181/tillsyn/A 19793-2024 tillsynsbegäran.docx", "A 19793-2024")</f>
        <v/>
      </c>
      <c r="Y519">
        <f>HYPERLINK("https://klasma.github.io/Logging_0181/tillsynsmail/A 19793-2024 tillsynsbegäran mail.docx", "A 19793-2024")</f>
        <v/>
      </c>
    </row>
    <row r="520" ht="15" customHeight="1">
      <c r="A520" t="inlineStr">
        <is>
          <t>A 20468-2024</t>
        </is>
      </c>
      <c r="B520" s="1" t="n">
        <v>45435</v>
      </c>
      <c r="C520" s="1" t="n">
        <v>45661</v>
      </c>
      <c r="D520" t="inlineStr">
        <is>
          <t>STOCKHOLMS LÄN</t>
        </is>
      </c>
      <c r="E520" t="inlineStr">
        <is>
          <t>NORRTÄLJE</t>
        </is>
      </c>
      <c r="G520" t="n">
        <v>2.2</v>
      </c>
      <c r="H520" t="n">
        <v>0</v>
      </c>
      <c r="I520" t="n">
        <v>0</v>
      </c>
      <c r="J520" t="n">
        <v>0</v>
      </c>
      <c r="K520" t="n">
        <v>0</v>
      </c>
      <c r="L520" t="n">
        <v>1</v>
      </c>
      <c r="M520" t="n">
        <v>0</v>
      </c>
      <c r="N520" t="n">
        <v>0</v>
      </c>
      <c r="O520" t="n">
        <v>1</v>
      </c>
      <c r="P520" t="n">
        <v>1</v>
      </c>
      <c r="Q520" t="n">
        <v>1</v>
      </c>
      <c r="R520" s="2" t="inlineStr">
        <is>
          <t>Fältgentiana</t>
        </is>
      </c>
      <c r="S520">
        <f>HYPERLINK("https://klasma.github.io/Logging_0188/artfynd/A 20468-2024 artfynd.xlsx", "A 20468-2024")</f>
        <v/>
      </c>
      <c r="T520">
        <f>HYPERLINK("https://klasma.github.io/Logging_0188/kartor/A 20468-2024 karta.png", "A 20468-2024")</f>
        <v/>
      </c>
      <c r="V520">
        <f>HYPERLINK("https://klasma.github.io/Logging_0188/klagomål/A 20468-2024 FSC-klagomål.docx", "A 20468-2024")</f>
        <v/>
      </c>
      <c r="W520">
        <f>HYPERLINK("https://klasma.github.io/Logging_0188/klagomålsmail/A 20468-2024 FSC-klagomål mail.docx", "A 20468-2024")</f>
        <v/>
      </c>
      <c r="X520">
        <f>HYPERLINK("https://klasma.github.io/Logging_0188/tillsyn/A 20468-2024 tillsynsbegäran.docx", "A 20468-2024")</f>
        <v/>
      </c>
      <c r="Y520">
        <f>HYPERLINK("https://klasma.github.io/Logging_0188/tillsynsmail/A 20468-2024 tillsynsbegäran mail.docx", "A 20468-2024")</f>
        <v/>
      </c>
    </row>
    <row r="521" ht="15" customHeight="1">
      <c r="A521" t="inlineStr">
        <is>
          <t>A 22830-2024</t>
        </is>
      </c>
      <c r="B521" s="1" t="n">
        <v>45448</v>
      </c>
      <c r="C521" s="1" t="n">
        <v>45661</v>
      </c>
      <c r="D521" t="inlineStr">
        <is>
          <t>STOCKHOLMS LÄN</t>
        </is>
      </c>
      <c r="E521" t="inlineStr">
        <is>
          <t>VALLENTUNA</t>
        </is>
      </c>
      <c r="G521" t="n">
        <v>0.3</v>
      </c>
      <c r="H521" t="n">
        <v>0</v>
      </c>
      <c r="I521" t="n">
        <v>0</v>
      </c>
      <c r="J521" t="n">
        <v>1</v>
      </c>
      <c r="K521" t="n">
        <v>0</v>
      </c>
      <c r="L521" t="n">
        <v>0</v>
      </c>
      <c r="M521" t="n">
        <v>0</v>
      </c>
      <c r="N521" t="n">
        <v>0</v>
      </c>
      <c r="O521" t="n">
        <v>1</v>
      </c>
      <c r="P521" t="n">
        <v>0</v>
      </c>
      <c r="Q521" t="n">
        <v>1</v>
      </c>
      <c r="R521" s="2" t="inlineStr">
        <is>
          <t>Tallticka</t>
        </is>
      </c>
      <c r="S521">
        <f>HYPERLINK("https://klasma.github.io/Logging_0115/artfynd/A 22830-2024 artfynd.xlsx", "A 22830-2024")</f>
        <v/>
      </c>
      <c r="T521">
        <f>HYPERLINK("https://klasma.github.io/Logging_0115/kartor/A 22830-2024 karta.png", "A 22830-2024")</f>
        <v/>
      </c>
      <c r="V521">
        <f>HYPERLINK("https://klasma.github.io/Logging_0115/klagomål/A 22830-2024 FSC-klagomål.docx", "A 22830-2024")</f>
        <v/>
      </c>
      <c r="W521">
        <f>HYPERLINK("https://klasma.github.io/Logging_0115/klagomålsmail/A 22830-2024 FSC-klagomål mail.docx", "A 22830-2024")</f>
        <v/>
      </c>
      <c r="X521">
        <f>HYPERLINK("https://klasma.github.io/Logging_0115/tillsyn/A 22830-2024 tillsynsbegäran.docx", "A 22830-2024")</f>
        <v/>
      </c>
      <c r="Y521">
        <f>HYPERLINK("https://klasma.github.io/Logging_0115/tillsynsmail/A 22830-2024 tillsynsbegäran mail.docx", "A 22830-2024")</f>
        <v/>
      </c>
    </row>
    <row r="522" ht="15" customHeight="1">
      <c r="A522" t="inlineStr">
        <is>
          <t>A 23146-2024</t>
        </is>
      </c>
      <c r="B522" s="1" t="n">
        <v>45450</v>
      </c>
      <c r="C522" s="1" t="n">
        <v>45661</v>
      </c>
      <c r="D522" t="inlineStr">
        <is>
          <t>STOCKHOLMS LÄN</t>
        </is>
      </c>
      <c r="E522" t="inlineStr">
        <is>
          <t>NORRTÄLJE</t>
        </is>
      </c>
      <c r="F522" t="inlineStr">
        <is>
          <t>Kommuner</t>
        </is>
      </c>
      <c r="G522" t="n">
        <v>6</v>
      </c>
      <c r="H522" t="n">
        <v>0</v>
      </c>
      <c r="I522" t="n">
        <v>0</v>
      </c>
      <c r="J522" t="n">
        <v>1</v>
      </c>
      <c r="K522" t="n">
        <v>0</v>
      </c>
      <c r="L522" t="n">
        <v>0</v>
      </c>
      <c r="M522" t="n">
        <v>0</v>
      </c>
      <c r="N522" t="n">
        <v>0</v>
      </c>
      <c r="O522" t="n">
        <v>1</v>
      </c>
      <c r="P522" t="n">
        <v>0</v>
      </c>
      <c r="Q522" t="n">
        <v>1</v>
      </c>
      <c r="R522" s="2" t="inlineStr">
        <is>
          <t>Motaggsvamp</t>
        </is>
      </c>
      <c r="S522">
        <f>HYPERLINK("https://klasma.github.io/Logging_0188/artfynd/A 23146-2024 artfynd.xlsx", "A 23146-2024")</f>
        <v/>
      </c>
      <c r="T522">
        <f>HYPERLINK("https://klasma.github.io/Logging_0188/kartor/A 23146-2024 karta.png", "A 23146-2024")</f>
        <v/>
      </c>
      <c r="V522">
        <f>HYPERLINK("https://klasma.github.io/Logging_0188/klagomål/A 23146-2024 FSC-klagomål.docx", "A 23146-2024")</f>
        <v/>
      </c>
      <c r="W522">
        <f>HYPERLINK("https://klasma.github.io/Logging_0188/klagomålsmail/A 23146-2024 FSC-klagomål mail.docx", "A 23146-2024")</f>
        <v/>
      </c>
      <c r="X522">
        <f>HYPERLINK("https://klasma.github.io/Logging_0188/tillsyn/A 23146-2024 tillsynsbegäran.docx", "A 23146-2024")</f>
        <v/>
      </c>
      <c r="Y522">
        <f>HYPERLINK("https://klasma.github.io/Logging_0188/tillsynsmail/A 23146-2024 tillsynsbegäran mail.docx", "A 23146-2024")</f>
        <v/>
      </c>
    </row>
    <row r="523" ht="15" customHeight="1">
      <c r="A523" t="inlineStr">
        <is>
          <t>A 23099-2024</t>
        </is>
      </c>
      <c r="B523" s="1" t="n">
        <v>45450</v>
      </c>
      <c r="C523" s="1" t="n">
        <v>45661</v>
      </c>
      <c r="D523" t="inlineStr">
        <is>
          <t>STOCKHOLMS LÄN</t>
        </is>
      </c>
      <c r="E523" t="inlineStr">
        <is>
          <t>UPPLANDS-BRO</t>
        </is>
      </c>
      <c r="F523" t="inlineStr">
        <is>
          <t>Övriga statliga verk och myndigheter</t>
        </is>
      </c>
      <c r="G523" t="n">
        <v>0.7</v>
      </c>
      <c r="H523" t="n">
        <v>0</v>
      </c>
      <c r="I523" t="n">
        <v>0</v>
      </c>
      <c r="J523" t="n">
        <v>1</v>
      </c>
      <c r="K523" t="n">
        <v>0</v>
      </c>
      <c r="L523" t="n">
        <v>0</v>
      </c>
      <c r="M523" t="n">
        <v>0</v>
      </c>
      <c r="N523" t="n">
        <v>0</v>
      </c>
      <c r="O523" t="n">
        <v>1</v>
      </c>
      <c r="P523" t="n">
        <v>0</v>
      </c>
      <c r="Q523" t="n">
        <v>1</v>
      </c>
      <c r="R523" s="2" t="inlineStr">
        <is>
          <t>Mindre bastardsvärmare</t>
        </is>
      </c>
      <c r="S523">
        <f>HYPERLINK("https://klasma.github.io/Logging_0139/artfynd/A 23099-2024 artfynd.xlsx", "A 23099-2024")</f>
        <v/>
      </c>
      <c r="T523">
        <f>HYPERLINK("https://klasma.github.io/Logging_0139/kartor/A 23099-2024 karta.png", "A 23099-2024")</f>
        <v/>
      </c>
      <c r="V523">
        <f>HYPERLINK("https://klasma.github.io/Logging_0139/klagomål/A 23099-2024 FSC-klagomål.docx", "A 23099-2024")</f>
        <v/>
      </c>
      <c r="W523">
        <f>HYPERLINK("https://klasma.github.io/Logging_0139/klagomålsmail/A 23099-2024 FSC-klagomål mail.docx", "A 23099-2024")</f>
        <v/>
      </c>
      <c r="X523">
        <f>HYPERLINK("https://klasma.github.io/Logging_0139/tillsyn/A 23099-2024 tillsynsbegäran.docx", "A 23099-2024")</f>
        <v/>
      </c>
      <c r="Y523">
        <f>HYPERLINK("https://klasma.github.io/Logging_0139/tillsynsmail/A 23099-2024 tillsynsbegäran mail.docx", "A 23099-2024")</f>
        <v/>
      </c>
    </row>
    <row r="524" ht="15" customHeight="1">
      <c r="A524" t="inlineStr">
        <is>
          <t>A 24577-2024</t>
        </is>
      </c>
      <c r="B524" s="1" t="n">
        <v>45460</v>
      </c>
      <c r="C524" s="1" t="n">
        <v>45661</v>
      </c>
      <c r="D524" t="inlineStr">
        <is>
          <t>STOCKHOLMS LÄN</t>
        </is>
      </c>
      <c r="E524" t="inlineStr">
        <is>
          <t>NORRTÄLJE</t>
        </is>
      </c>
      <c r="G524" t="n">
        <v>3.8</v>
      </c>
      <c r="H524" t="n">
        <v>0</v>
      </c>
      <c r="I524" t="n">
        <v>1</v>
      </c>
      <c r="J524" t="n">
        <v>0</v>
      </c>
      <c r="K524" t="n">
        <v>0</v>
      </c>
      <c r="L524" t="n">
        <v>0</v>
      </c>
      <c r="M524" t="n">
        <v>0</v>
      </c>
      <c r="N524" t="n">
        <v>0</v>
      </c>
      <c r="O524" t="n">
        <v>0</v>
      </c>
      <c r="P524" t="n">
        <v>0</v>
      </c>
      <c r="Q524" t="n">
        <v>1</v>
      </c>
      <c r="R524" s="2" t="inlineStr">
        <is>
          <t>Rostfläck</t>
        </is>
      </c>
      <c r="S524">
        <f>HYPERLINK("https://klasma.github.io/Logging_0188/artfynd/A 24577-2024 artfynd.xlsx", "A 24577-2024")</f>
        <v/>
      </c>
      <c r="T524">
        <f>HYPERLINK("https://klasma.github.io/Logging_0188/kartor/A 24577-2024 karta.png", "A 24577-2024")</f>
        <v/>
      </c>
      <c r="V524">
        <f>HYPERLINK("https://klasma.github.io/Logging_0188/klagomål/A 24577-2024 FSC-klagomål.docx", "A 24577-2024")</f>
        <v/>
      </c>
      <c r="W524">
        <f>HYPERLINK("https://klasma.github.io/Logging_0188/klagomålsmail/A 24577-2024 FSC-klagomål mail.docx", "A 24577-2024")</f>
        <v/>
      </c>
      <c r="X524">
        <f>HYPERLINK("https://klasma.github.io/Logging_0188/tillsyn/A 24577-2024 tillsynsbegäran.docx", "A 24577-2024")</f>
        <v/>
      </c>
      <c r="Y524">
        <f>HYPERLINK("https://klasma.github.io/Logging_0188/tillsynsmail/A 24577-2024 tillsynsbegäran mail.docx", "A 24577-2024")</f>
        <v/>
      </c>
    </row>
    <row r="525" ht="15" customHeight="1">
      <c r="A525" t="inlineStr">
        <is>
          <t>A 24528-2024</t>
        </is>
      </c>
      <c r="B525" s="1" t="n">
        <v>45460</v>
      </c>
      <c r="C525" s="1" t="n">
        <v>45661</v>
      </c>
      <c r="D525" t="inlineStr">
        <is>
          <t>STOCKHOLMS LÄN</t>
        </is>
      </c>
      <c r="E525" t="inlineStr">
        <is>
          <t>NORRTÄLJE</t>
        </is>
      </c>
      <c r="G525" t="n">
        <v>1.4</v>
      </c>
      <c r="H525" t="n">
        <v>1</v>
      </c>
      <c r="I525" t="n">
        <v>0</v>
      </c>
      <c r="J525" t="n">
        <v>0</v>
      </c>
      <c r="K525" t="n">
        <v>1</v>
      </c>
      <c r="L525" t="n">
        <v>0</v>
      </c>
      <c r="M525" t="n">
        <v>0</v>
      </c>
      <c r="N525" t="n">
        <v>0</v>
      </c>
      <c r="O525" t="n">
        <v>1</v>
      </c>
      <c r="P525" t="n">
        <v>1</v>
      </c>
      <c r="Q525" t="n">
        <v>1</v>
      </c>
      <c r="R525" s="2" t="inlineStr">
        <is>
          <t>Hällebräcka</t>
        </is>
      </c>
      <c r="S525">
        <f>HYPERLINK("https://klasma.github.io/Logging_0188/artfynd/A 24528-2024 artfynd.xlsx", "A 24528-2024")</f>
        <v/>
      </c>
      <c r="T525">
        <f>HYPERLINK("https://klasma.github.io/Logging_0188/kartor/A 24528-2024 karta.png", "A 24528-2024")</f>
        <v/>
      </c>
      <c r="V525">
        <f>HYPERLINK("https://klasma.github.io/Logging_0188/klagomål/A 24528-2024 FSC-klagomål.docx", "A 24528-2024")</f>
        <v/>
      </c>
      <c r="W525">
        <f>HYPERLINK("https://klasma.github.io/Logging_0188/klagomålsmail/A 24528-2024 FSC-klagomål mail.docx", "A 24528-2024")</f>
        <v/>
      </c>
      <c r="X525">
        <f>HYPERLINK("https://klasma.github.io/Logging_0188/tillsyn/A 24528-2024 tillsynsbegäran.docx", "A 24528-2024")</f>
        <v/>
      </c>
      <c r="Y525">
        <f>HYPERLINK("https://klasma.github.io/Logging_0188/tillsynsmail/A 24528-2024 tillsynsbegäran mail.docx", "A 24528-2024")</f>
        <v/>
      </c>
    </row>
    <row r="526" ht="15" customHeight="1">
      <c r="A526" t="inlineStr">
        <is>
          <t>A 25335-2024</t>
        </is>
      </c>
      <c r="B526" s="1" t="n">
        <v>45462</v>
      </c>
      <c r="C526" s="1" t="n">
        <v>45661</v>
      </c>
      <c r="D526" t="inlineStr">
        <is>
          <t>STOCKHOLMS LÄN</t>
        </is>
      </c>
      <c r="E526" t="inlineStr">
        <is>
          <t>SIGTUNA</t>
        </is>
      </c>
      <c r="G526" t="n">
        <v>3.8</v>
      </c>
      <c r="H526" t="n">
        <v>1</v>
      </c>
      <c r="I526" t="n">
        <v>0</v>
      </c>
      <c r="J526" t="n">
        <v>0</v>
      </c>
      <c r="K526" t="n">
        <v>0</v>
      </c>
      <c r="L526" t="n">
        <v>0</v>
      </c>
      <c r="M526" t="n">
        <v>0</v>
      </c>
      <c r="N526" t="n">
        <v>0</v>
      </c>
      <c r="O526" t="n">
        <v>0</v>
      </c>
      <c r="P526" t="n">
        <v>0</v>
      </c>
      <c r="Q526" t="n">
        <v>1</v>
      </c>
      <c r="R526" s="2" t="inlineStr">
        <is>
          <t>Vanlig groda</t>
        </is>
      </c>
      <c r="S526">
        <f>HYPERLINK("https://klasma.github.io/Logging_0191/artfynd/A 25335-2024 artfynd.xlsx", "A 25335-2024")</f>
        <v/>
      </c>
      <c r="T526">
        <f>HYPERLINK("https://klasma.github.io/Logging_0191/kartor/A 25335-2024 karta.png", "A 25335-2024")</f>
        <v/>
      </c>
      <c r="V526">
        <f>HYPERLINK("https://klasma.github.io/Logging_0191/klagomål/A 25335-2024 FSC-klagomål.docx", "A 25335-2024")</f>
        <v/>
      </c>
      <c r="W526">
        <f>HYPERLINK("https://klasma.github.io/Logging_0191/klagomålsmail/A 25335-2024 FSC-klagomål mail.docx", "A 25335-2024")</f>
        <v/>
      </c>
      <c r="X526">
        <f>HYPERLINK("https://klasma.github.io/Logging_0191/tillsyn/A 25335-2024 tillsynsbegäran.docx", "A 25335-2024")</f>
        <v/>
      </c>
      <c r="Y526">
        <f>HYPERLINK("https://klasma.github.io/Logging_0191/tillsynsmail/A 25335-2024 tillsynsbegäran mail.docx", "A 25335-2024")</f>
        <v/>
      </c>
    </row>
    <row r="527" ht="15" customHeight="1">
      <c r="A527" t="inlineStr">
        <is>
          <t>A 25612-2024</t>
        </is>
      </c>
      <c r="B527" s="1" t="n">
        <v>45463</v>
      </c>
      <c r="C527" s="1" t="n">
        <v>45661</v>
      </c>
      <c r="D527" t="inlineStr">
        <is>
          <t>STOCKHOLMS LÄN</t>
        </is>
      </c>
      <c r="E527" t="inlineStr">
        <is>
          <t>NACKA</t>
        </is>
      </c>
      <c r="G527" t="n">
        <v>1.5</v>
      </c>
      <c r="H527" t="n">
        <v>0</v>
      </c>
      <c r="I527" t="n">
        <v>1</v>
      </c>
      <c r="J527" t="n">
        <v>0</v>
      </c>
      <c r="K527" t="n">
        <v>0</v>
      </c>
      <c r="L527" t="n">
        <v>0</v>
      </c>
      <c r="M527" t="n">
        <v>0</v>
      </c>
      <c r="N527" t="n">
        <v>0</v>
      </c>
      <c r="O527" t="n">
        <v>0</v>
      </c>
      <c r="P527" t="n">
        <v>0</v>
      </c>
      <c r="Q527" t="n">
        <v>1</v>
      </c>
      <c r="R527" s="2" t="inlineStr">
        <is>
          <t>Tibast</t>
        </is>
      </c>
      <c r="S527">
        <f>HYPERLINK("https://klasma.github.io/Logging_0182/artfynd/A 25612-2024 artfynd.xlsx", "A 25612-2024")</f>
        <v/>
      </c>
      <c r="T527">
        <f>HYPERLINK("https://klasma.github.io/Logging_0182/kartor/A 25612-2024 karta.png", "A 25612-2024")</f>
        <v/>
      </c>
      <c r="V527">
        <f>HYPERLINK("https://klasma.github.io/Logging_0182/klagomål/A 25612-2024 FSC-klagomål.docx", "A 25612-2024")</f>
        <v/>
      </c>
      <c r="W527">
        <f>HYPERLINK("https://klasma.github.io/Logging_0182/klagomålsmail/A 25612-2024 FSC-klagomål mail.docx", "A 25612-2024")</f>
        <v/>
      </c>
      <c r="X527">
        <f>HYPERLINK("https://klasma.github.io/Logging_0182/tillsyn/A 25612-2024 tillsynsbegäran.docx", "A 25612-2024")</f>
        <v/>
      </c>
      <c r="Y527">
        <f>HYPERLINK("https://klasma.github.io/Logging_0182/tillsynsmail/A 25612-2024 tillsynsbegäran mail.docx", "A 25612-2024")</f>
        <v/>
      </c>
    </row>
    <row r="528" ht="15" customHeight="1">
      <c r="A528" t="inlineStr">
        <is>
          <t>A 26120-2024</t>
        </is>
      </c>
      <c r="B528" s="1" t="n">
        <v>45468</v>
      </c>
      <c r="C528" s="1" t="n">
        <v>45661</v>
      </c>
      <c r="D528" t="inlineStr">
        <is>
          <t>STOCKHOLMS LÄN</t>
        </is>
      </c>
      <c r="E528" t="inlineStr">
        <is>
          <t>NORRTÄLJE</t>
        </is>
      </c>
      <c r="G528" t="n">
        <v>1.8</v>
      </c>
      <c r="H528" t="n">
        <v>0</v>
      </c>
      <c r="I528" t="n">
        <v>0</v>
      </c>
      <c r="J528" t="n">
        <v>1</v>
      </c>
      <c r="K528" t="n">
        <v>0</v>
      </c>
      <c r="L528" t="n">
        <v>0</v>
      </c>
      <c r="M528" t="n">
        <v>0</v>
      </c>
      <c r="N528" t="n">
        <v>0</v>
      </c>
      <c r="O528" t="n">
        <v>1</v>
      </c>
      <c r="P528" t="n">
        <v>0</v>
      </c>
      <c r="Q528" t="n">
        <v>1</v>
      </c>
      <c r="R528" s="2" t="inlineStr">
        <is>
          <t>Majviva</t>
        </is>
      </c>
      <c r="S528">
        <f>HYPERLINK("https://klasma.github.io/Logging_0188/artfynd/A 26120-2024 artfynd.xlsx", "A 26120-2024")</f>
        <v/>
      </c>
      <c r="T528">
        <f>HYPERLINK("https://klasma.github.io/Logging_0188/kartor/A 26120-2024 karta.png", "A 26120-2024")</f>
        <v/>
      </c>
      <c r="V528">
        <f>HYPERLINK("https://klasma.github.io/Logging_0188/klagomål/A 26120-2024 FSC-klagomål.docx", "A 26120-2024")</f>
        <v/>
      </c>
      <c r="W528">
        <f>HYPERLINK("https://klasma.github.io/Logging_0188/klagomålsmail/A 26120-2024 FSC-klagomål mail.docx", "A 26120-2024")</f>
        <v/>
      </c>
      <c r="X528">
        <f>HYPERLINK("https://klasma.github.io/Logging_0188/tillsyn/A 26120-2024 tillsynsbegäran.docx", "A 26120-2024")</f>
        <v/>
      </c>
      <c r="Y528">
        <f>HYPERLINK("https://klasma.github.io/Logging_0188/tillsynsmail/A 26120-2024 tillsynsbegäran mail.docx", "A 26120-2024")</f>
        <v/>
      </c>
    </row>
    <row r="529" ht="15" customHeight="1">
      <c r="A529" t="inlineStr">
        <is>
          <t>A 27538-2024</t>
        </is>
      </c>
      <c r="B529" s="1" t="n">
        <v>45474</v>
      </c>
      <c r="C529" s="1" t="n">
        <v>45661</v>
      </c>
      <c r="D529" t="inlineStr">
        <is>
          <t>STOCKHOLMS LÄN</t>
        </is>
      </c>
      <c r="E529" t="inlineStr">
        <is>
          <t>NORRTÄLJE</t>
        </is>
      </c>
      <c r="G529" t="n">
        <v>1.5</v>
      </c>
      <c r="H529" t="n">
        <v>1</v>
      </c>
      <c r="I529" t="n">
        <v>1</v>
      </c>
      <c r="J529" t="n">
        <v>0</v>
      </c>
      <c r="K529" t="n">
        <v>0</v>
      </c>
      <c r="L529" t="n">
        <v>0</v>
      </c>
      <c r="M529" t="n">
        <v>0</v>
      </c>
      <c r="N529" t="n">
        <v>0</v>
      </c>
      <c r="O529" t="n">
        <v>0</v>
      </c>
      <c r="P529" t="n">
        <v>0</v>
      </c>
      <c r="Q529" t="n">
        <v>1</v>
      </c>
      <c r="R529" s="2" t="inlineStr">
        <is>
          <t>Skogsknipprot</t>
        </is>
      </c>
      <c r="S529">
        <f>HYPERLINK("https://klasma.github.io/Logging_0188/artfynd/A 27538-2024 artfynd.xlsx", "A 27538-2024")</f>
        <v/>
      </c>
      <c r="T529">
        <f>HYPERLINK("https://klasma.github.io/Logging_0188/kartor/A 27538-2024 karta.png", "A 27538-2024")</f>
        <v/>
      </c>
      <c r="V529">
        <f>HYPERLINK("https://klasma.github.io/Logging_0188/klagomål/A 27538-2024 FSC-klagomål.docx", "A 27538-2024")</f>
        <v/>
      </c>
      <c r="W529">
        <f>HYPERLINK("https://klasma.github.io/Logging_0188/klagomålsmail/A 27538-2024 FSC-klagomål mail.docx", "A 27538-2024")</f>
        <v/>
      </c>
      <c r="X529">
        <f>HYPERLINK("https://klasma.github.io/Logging_0188/tillsyn/A 27538-2024 tillsynsbegäran.docx", "A 27538-2024")</f>
        <v/>
      </c>
      <c r="Y529">
        <f>HYPERLINK("https://klasma.github.io/Logging_0188/tillsynsmail/A 27538-2024 tillsynsbegäran mail.docx", "A 27538-2024")</f>
        <v/>
      </c>
    </row>
    <row r="530" ht="15" customHeight="1">
      <c r="A530" t="inlineStr">
        <is>
          <t>A 28817-2024</t>
        </is>
      </c>
      <c r="B530" s="1" t="n">
        <v>45478</v>
      </c>
      <c r="C530" s="1" t="n">
        <v>45661</v>
      </c>
      <c r="D530" t="inlineStr">
        <is>
          <t>STOCKHOLMS LÄN</t>
        </is>
      </c>
      <c r="E530" t="inlineStr">
        <is>
          <t>UPPLANDS-BRO</t>
        </is>
      </c>
      <c r="F530" t="inlineStr">
        <is>
          <t>Allmännings- och besparingsskogar</t>
        </is>
      </c>
      <c r="G530" t="n">
        <v>3.7</v>
      </c>
      <c r="H530" t="n">
        <v>0</v>
      </c>
      <c r="I530" t="n">
        <v>0</v>
      </c>
      <c r="J530" t="n">
        <v>1</v>
      </c>
      <c r="K530" t="n">
        <v>0</v>
      </c>
      <c r="L530" t="n">
        <v>0</v>
      </c>
      <c r="M530" t="n">
        <v>0</v>
      </c>
      <c r="N530" t="n">
        <v>0</v>
      </c>
      <c r="O530" t="n">
        <v>1</v>
      </c>
      <c r="P530" t="n">
        <v>0</v>
      </c>
      <c r="Q530" t="n">
        <v>1</v>
      </c>
      <c r="R530" s="2" t="inlineStr">
        <is>
          <t>Tallticka</t>
        </is>
      </c>
      <c r="S530">
        <f>HYPERLINK("https://klasma.github.io/Logging_0139/artfynd/A 28817-2024 artfynd.xlsx", "A 28817-2024")</f>
        <v/>
      </c>
      <c r="T530">
        <f>HYPERLINK("https://klasma.github.io/Logging_0139/kartor/A 28817-2024 karta.png", "A 28817-2024")</f>
        <v/>
      </c>
      <c r="V530">
        <f>HYPERLINK("https://klasma.github.io/Logging_0139/klagomål/A 28817-2024 FSC-klagomål.docx", "A 28817-2024")</f>
        <v/>
      </c>
      <c r="W530">
        <f>HYPERLINK("https://klasma.github.io/Logging_0139/klagomålsmail/A 28817-2024 FSC-klagomål mail.docx", "A 28817-2024")</f>
        <v/>
      </c>
      <c r="X530">
        <f>HYPERLINK("https://klasma.github.io/Logging_0139/tillsyn/A 28817-2024 tillsynsbegäran.docx", "A 28817-2024")</f>
        <v/>
      </c>
      <c r="Y530">
        <f>HYPERLINK("https://klasma.github.io/Logging_0139/tillsynsmail/A 28817-2024 tillsynsbegäran mail.docx", "A 28817-2024")</f>
        <v/>
      </c>
    </row>
    <row r="531" ht="15" customHeight="1">
      <c r="A531" t="inlineStr">
        <is>
          <t>A 30721-2024</t>
        </is>
      </c>
      <c r="B531" s="1" t="n">
        <v>45496</v>
      </c>
      <c r="C531" s="1" t="n">
        <v>45661</v>
      </c>
      <c r="D531" t="inlineStr">
        <is>
          <t>STOCKHOLMS LÄN</t>
        </is>
      </c>
      <c r="E531" t="inlineStr">
        <is>
          <t>UPPLANDS-BRO</t>
        </is>
      </c>
      <c r="G531" t="n">
        <v>1.9</v>
      </c>
      <c r="H531" t="n">
        <v>0</v>
      </c>
      <c r="I531" t="n">
        <v>0</v>
      </c>
      <c r="J531" t="n">
        <v>1</v>
      </c>
      <c r="K531" t="n">
        <v>0</v>
      </c>
      <c r="L531" t="n">
        <v>0</v>
      </c>
      <c r="M531" t="n">
        <v>0</v>
      </c>
      <c r="N531" t="n">
        <v>0</v>
      </c>
      <c r="O531" t="n">
        <v>1</v>
      </c>
      <c r="P531" t="n">
        <v>0</v>
      </c>
      <c r="Q531" t="n">
        <v>1</v>
      </c>
      <c r="R531" s="2" t="inlineStr">
        <is>
          <t>Persiljespindling</t>
        </is>
      </c>
      <c r="S531">
        <f>HYPERLINK("https://klasma.github.io/Logging_0139/artfynd/A 30721-2024 artfynd.xlsx", "A 30721-2024")</f>
        <v/>
      </c>
      <c r="T531">
        <f>HYPERLINK("https://klasma.github.io/Logging_0139/kartor/A 30721-2024 karta.png", "A 30721-2024")</f>
        <v/>
      </c>
      <c r="V531">
        <f>HYPERLINK("https://klasma.github.io/Logging_0139/klagomål/A 30721-2024 FSC-klagomål.docx", "A 30721-2024")</f>
        <v/>
      </c>
      <c r="W531">
        <f>HYPERLINK("https://klasma.github.io/Logging_0139/klagomålsmail/A 30721-2024 FSC-klagomål mail.docx", "A 30721-2024")</f>
        <v/>
      </c>
      <c r="X531">
        <f>HYPERLINK("https://klasma.github.io/Logging_0139/tillsyn/A 30721-2024 tillsynsbegäran.docx", "A 30721-2024")</f>
        <v/>
      </c>
      <c r="Y531">
        <f>HYPERLINK("https://klasma.github.io/Logging_0139/tillsynsmail/A 30721-2024 tillsynsbegäran mail.docx", "A 30721-2024")</f>
        <v/>
      </c>
    </row>
    <row r="532" ht="15" customHeight="1">
      <c r="A532" t="inlineStr">
        <is>
          <t>A 31006-2024</t>
        </is>
      </c>
      <c r="B532" s="1" t="n">
        <v>45499</v>
      </c>
      <c r="C532" s="1" t="n">
        <v>45661</v>
      </c>
      <c r="D532" t="inlineStr">
        <is>
          <t>STOCKHOLMS LÄN</t>
        </is>
      </c>
      <c r="E532" t="inlineStr">
        <is>
          <t>SÖDERTÄLJE</t>
        </is>
      </c>
      <c r="F532" t="inlineStr">
        <is>
          <t>Kommuner</t>
        </is>
      </c>
      <c r="G532" t="n">
        <v>2.7</v>
      </c>
      <c r="H532" t="n">
        <v>0</v>
      </c>
      <c r="I532" t="n">
        <v>1</v>
      </c>
      <c r="J532" t="n">
        <v>0</v>
      </c>
      <c r="K532" t="n">
        <v>0</v>
      </c>
      <c r="L532" t="n">
        <v>0</v>
      </c>
      <c r="M532" t="n">
        <v>0</v>
      </c>
      <c r="N532" t="n">
        <v>0</v>
      </c>
      <c r="O532" t="n">
        <v>0</v>
      </c>
      <c r="P532" t="n">
        <v>0</v>
      </c>
      <c r="Q532" t="n">
        <v>1</v>
      </c>
      <c r="R532" s="2" t="inlineStr">
        <is>
          <t>Mindre märgborre</t>
        </is>
      </c>
      <c r="S532">
        <f>HYPERLINK("https://klasma.github.io/Logging_0181/artfynd/A 31006-2024 artfynd.xlsx", "A 31006-2024")</f>
        <v/>
      </c>
      <c r="T532">
        <f>HYPERLINK("https://klasma.github.io/Logging_0181/kartor/A 31006-2024 karta.png", "A 31006-2024")</f>
        <v/>
      </c>
      <c r="V532">
        <f>HYPERLINK("https://klasma.github.io/Logging_0181/klagomål/A 31006-2024 FSC-klagomål.docx", "A 31006-2024")</f>
        <v/>
      </c>
      <c r="W532">
        <f>HYPERLINK("https://klasma.github.io/Logging_0181/klagomålsmail/A 31006-2024 FSC-klagomål mail.docx", "A 31006-2024")</f>
        <v/>
      </c>
      <c r="X532">
        <f>HYPERLINK("https://klasma.github.io/Logging_0181/tillsyn/A 31006-2024 tillsynsbegäran.docx", "A 31006-2024")</f>
        <v/>
      </c>
      <c r="Y532">
        <f>HYPERLINK("https://klasma.github.io/Logging_0181/tillsynsmail/A 31006-2024 tillsynsbegäran mail.docx", "A 31006-2024")</f>
        <v/>
      </c>
    </row>
    <row r="533" ht="15" customHeight="1">
      <c r="A533" t="inlineStr">
        <is>
          <t>A 31371-2024</t>
        </is>
      </c>
      <c r="B533" s="1" t="n">
        <v>45505</v>
      </c>
      <c r="C533" s="1" t="n">
        <v>45661</v>
      </c>
      <c r="D533" t="inlineStr">
        <is>
          <t>STOCKHOLMS LÄN</t>
        </is>
      </c>
      <c r="E533" t="inlineStr">
        <is>
          <t>SÖDERTÄLJE</t>
        </is>
      </c>
      <c r="F533" t="inlineStr">
        <is>
          <t>Kommuner</t>
        </is>
      </c>
      <c r="G533" t="n">
        <v>3.5</v>
      </c>
      <c r="H533" t="n">
        <v>0</v>
      </c>
      <c r="I533" t="n">
        <v>0</v>
      </c>
      <c r="J533" t="n">
        <v>1</v>
      </c>
      <c r="K533" t="n">
        <v>0</v>
      </c>
      <c r="L533" t="n">
        <v>0</v>
      </c>
      <c r="M533" t="n">
        <v>0</v>
      </c>
      <c r="N533" t="n">
        <v>0</v>
      </c>
      <c r="O533" t="n">
        <v>1</v>
      </c>
      <c r="P533" t="n">
        <v>0</v>
      </c>
      <c r="Q533" t="n">
        <v>1</v>
      </c>
      <c r="R533" s="2" t="inlineStr">
        <is>
          <t>Dofttaggsvamp</t>
        </is>
      </c>
      <c r="S533">
        <f>HYPERLINK("https://klasma.github.io/Logging_0181/artfynd/A 31371-2024 artfynd.xlsx", "A 31371-2024")</f>
        <v/>
      </c>
      <c r="T533">
        <f>HYPERLINK("https://klasma.github.io/Logging_0181/kartor/A 31371-2024 karta.png", "A 31371-2024")</f>
        <v/>
      </c>
      <c r="V533">
        <f>HYPERLINK("https://klasma.github.io/Logging_0181/klagomål/A 31371-2024 FSC-klagomål.docx", "A 31371-2024")</f>
        <v/>
      </c>
      <c r="W533">
        <f>HYPERLINK("https://klasma.github.io/Logging_0181/klagomålsmail/A 31371-2024 FSC-klagomål mail.docx", "A 31371-2024")</f>
        <v/>
      </c>
      <c r="X533">
        <f>HYPERLINK("https://klasma.github.io/Logging_0181/tillsyn/A 31371-2024 tillsynsbegäran.docx", "A 31371-2024")</f>
        <v/>
      </c>
      <c r="Y533">
        <f>HYPERLINK("https://klasma.github.io/Logging_0181/tillsynsmail/A 31371-2024 tillsynsbegäran mail.docx", "A 31371-2024")</f>
        <v/>
      </c>
    </row>
    <row r="534" ht="15" customHeight="1">
      <c r="A534" t="inlineStr">
        <is>
          <t>A 33751-2024</t>
        </is>
      </c>
      <c r="B534" s="1" t="n">
        <v>45520</v>
      </c>
      <c r="C534" s="1" t="n">
        <v>45661</v>
      </c>
      <c r="D534" t="inlineStr">
        <is>
          <t>STOCKHOLMS LÄN</t>
        </is>
      </c>
      <c r="E534" t="inlineStr">
        <is>
          <t>SIGTUNA</t>
        </is>
      </c>
      <c r="F534" t="inlineStr">
        <is>
          <t>Allmännings- och besparingsskogar</t>
        </is>
      </c>
      <c r="G534" t="n">
        <v>1.5</v>
      </c>
      <c r="H534" t="n">
        <v>1</v>
      </c>
      <c r="I534" t="n">
        <v>0</v>
      </c>
      <c r="J534" t="n">
        <v>0</v>
      </c>
      <c r="K534" t="n">
        <v>0</v>
      </c>
      <c r="L534" t="n">
        <v>1</v>
      </c>
      <c r="M534" t="n">
        <v>0</v>
      </c>
      <c r="N534" t="n">
        <v>0</v>
      </c>
      <c r="O534" t="n">
        <v>1</v>
      </c>
      <c r="P534" t="n">
        <v>1</v>
      </c>
      <c r="Q534" t="n">
        <v>1</v>
      </c>
      <c r="R534" s="2" t="inlineStr">
        <is>
          <t>Grönfink</t>
        </is>
      </c>
      <c r="S534">
        <f>HYPERLINK("https://klasma.github.io/Logging_0191/artfynd/A 33751-2024 artfynd.xlsx", "A 33751-2024")</f>
        <v/>
      </c>
      <c r="T534">
        <f>HYPERLINK("https://klasma.github.io/Logging_0191/kartor/A 33751-2024 karta.png", "A 33751-2024")</f>
        <v/>
      </c>
      <c r="V534">
        <f>HYPERLINK("https://klasma.github.io/Logging_0191/klagomål/A 33751-2024 FSC-klagomål.docx", "A 33751-2024")</f>
        <v/>
      </c>
      <c r="W534">
        <f>HYPERLINK("https://klasma.github.io/Logging_0191/klagomålsmail/A 33751-2024 FSC-klagomål mail.docx", "A 33751-2024")</f>
        <v/>
      </c>
      <c r="X534">
        <f>HYPERLINK("https://klasma.github.io/Logging_0191/tillsyn/A 33751-2024 tillsynsbegäran.docx", "A 33751-2024")</f>
        <v/>
      </c>
      <c r="Y534">
        <f>HYPERLINK("https://klasma.github.io/Logging_0191/tillsynsmail/A 33751-2024 tillsynsbegäran mail.docx", "A 33751-2024")</f>
        <v/>
      </c>
      <c r="Z534">
        <f>HYPERLINK("https://klasma.github.io/Logging_0191/fåglar/A 33751-2024 prioriterade fågelarter.docx", "A 33751-2024")</f>
        <v/>
      </c>
    </row>
    <row r="535" ht="15" customHeight="1">
      <c r="A535" t="inlineStr">
        <is>
          <t>A 35013-2024</t>
        </is>
      </c>
      <c r="B535" s="1" t="n">
        <v>45527</v>
      </c>
      <c r="C535" s="1" t="n">
        <v>45661</v>
      </c>
      <c r="D535" t="inlineStr">
        <is>
          <t>STOCKHOLMS LÄN</t>
        </is>
      </c>
      <c r="E535" t="inlineStr">
        <is>
          <t>SÖDERTÄLJE</t>
        </is>
      </c>
      <c r="F535" t="inlineStr">
        <is>
          <t>Sveaskog</t>
        </is>
      </c>
      <c r="G535" t="n">
        <v>5.8</v>
      </c>
      <c r="H535" t="n">
        <v>0</v>
      </c>
      <c r="I535" t="n">
        <v>1</v>
      </c>
      <c r="J535" t="n">
        <v>0</v>
      </c>
      <c r="K535" t="n">
        <v>0</v>
      </c>
      <c r="L535" t="n">
        <v>0</v>
      </c>
      <c r="M535" t="n">
        <v>0</v>
      </c>
      <c r="N535" t="n">
        <v>0</v>
      </c>
      <c r="O535" t="n">
        <v>0</v>
      </c>
      <c r="P535" t="n">
        <v>0</v>
      </c>
      <c r="Q535" t="n">
        <v>1</v>
      </c>
      <c r="R535" s="2" t="inlineStr">
        <is>
          <t>Platt fjädermossa</t>
        </is>
      </c>
      <c r="S535">
        <f>HYPERLINK("https://klasma.github.io/Logging_0181/artfynd/A 35013-2024 artfynd.xlsx", "A 35013-2024")</f>
        <v/>
      </c>
      <c r="T535">
        <f>HYPERLINK("https://klasma.github.io/Logging_0181/kartor/A 35013-2024 karta.png", "A 35013-2024")</f>
        <v/>
      </c>
      <c r="V535">
        <f>HYPERLINK("https://klasma.github.io/Logging_0181/klagomål/A 35013-2024 FSC-klagomål.docx", "A 35013-2024")</f>
        <v/>
      </c>
      <c r="W535">
        <f>HYPERLINK("https://klasma.github.io/Logging_0181/klagomålsmail/A 35013-2024 FSC-klagomål mail.docx", "A 35013-2024")</f>
        <v/>
      </c>
      <c r="X535">
        <f>HYPERLINK("https://klasma.github.io/Logging_0181/tillsyn/A 35013-2024 tillsynsbegäran.docx", "A 35013-2024")</f>
        <v/>
      </c>
      <c r="Y535">
        <f>HYPERLINK("https://klasma.github.io/Logging_0181/tillsynsmail/A 35013-2024 tillsynsbegäran mail.docx", "A 35013-2024")</f>
        <v/>
      </c>
    </row>
    <row r="536" ht="15" customHeight="1">
      <c r="A536" t="inlineStr">
        <is>
          <t>A 35764-2024</t>
        </is>
      </c>
      <c r="B536" s="1" t="n">
        <v>45532</v>
      </c>
      <c r="C536" s="1" t="n">
        <v>45661</v>
      </c>
      <c r="D536" t="inlineStr">
        <is>
          <t>STOCKHOLMS LÄN</t>
        </is>
      </c>
      <c r="E536" t="inlineStr">
        <is>
          <t>NORRTÄLJE</t>
        </is>
      </c>
      <c r="G536" t="n">
        <v>14.2</v>
      </c>
      <c r="H536" t="n">
        <v>1</v>
      </c>
      <c r="I536" t="n">
        <v>0</v>
      </c>
      <c r="J536" t="n">
        <v>0</v>
      </c>
      <c r="K536" t="n">
        <v>1</v>
      </c>
      <c r="L536" t="n">
        <v>0</v>
      </c>
      <c r="M536" t="n">
        <v>0</v>
      </c>
      <c r="N536" t="n">
        <v>0</v>
      </c>
      <c r="O536" t="n">
        <v>1</v>
      </c>
      <c r="P536" t="n">
        <v>1</v>
      </c>
      <c r="Q536" t="n">
        <v>1</v>
      </c>
      <c r="R536" s="2" t="inlineStr">
        <is>
          <t>Knärot</t>
        </is>
      </c>
      <c r="S536">
        <f>HYPERLINK("https://klasma.github.io/Logging_0188/artfynd/A 35764-2024 artfynd.xlsx", "A 35764-2024")</f>
        <v/>
      </c>
      <c r="T536">
        <f>HYPERLINK("https://klasma.github.io/Logging_0188/kartor/A 35764-2024 karta.png", "A 35764-2024")</f>
        <v/>
      </c>
      <c r="U536">
        <f>HYPERLINK("https://klasma.github.io/Logging_0188/knärot/A 35764-2024 karta knärot.png", "A 35764-2024")</f>
        <v/>
      </c>
      <c r="V536">
        <f>HYPERLINK("https://klasma.github.io/Logging_0188/klagomål/A 35764-2024 FSC-klagomål.docx", "A 35764-2024")</f>
        <v/>
      </c>
      <c r="W536">
        <f>HYPERLINK("https://klasma.github.io/Logging_0188/klagomålsmail/A 35764-2024 FSC-klagomål mail.docx", "A 35764-2024")</f>
        <v/>
      </c>
      <c r="X536">
        <f>HYPERLINK("https://klasma.github.io/Logging_0188/tillsyn/A 35764-2024 tillsynsbegäran.docx", "A 35764-2024")</f>
        <v/>
      </c>
      <c r="Y536">
        <f>HYPERLINK("https://klasma.github.io/Logging_0188/tillsynsmail/A 35764-2024 tillsynsbegäran mail.docx", "A 35764-2024")</f>
        <v/>
      </c>
    </row>
    <row r="537" ht="15" customHeight="1">
      <c r="A537" t="inlineStr">
        <is>
          <t>A 37529-2024</t>
        </is>
      </c>
      <c r="B537" s="1" t="n">
        <v>45541</v>
      </c>
      <c r="C537" s="1" t="n">
        <v>45661</v>
      </c>
      <c r="D537" t="inlineStr">
        <is>
          <t>STOCKHOLMS LÄN</t>
        </is>
      </c>
      <c r="E537" t="inlineStr">
        <is>
          <t>SÖDERTÄLJE</t>
        </is>
      </c>
      <c r="G537" t="n">
        <v>3.7</v>
      </c>
      <c r="H537" t="n">
        <v>0</v>
      </c>
      <c r="I537" t="n">
        <v>1</v>
      </c>
      <c r="J537" t="n">
        <v>0</v>
      </c>
      <c r="K537" t="n">
        <v>0</v>
      </c>
      <c r="L537" t="n">
        <v>0</v>
      </c>
      <c r="M537" t="n">
        <v>0</v>
      </c>
      <c r="N537" t="n">
        <v>0</v>
      </c>
      <c r="O537" t="n">
        <v>0</v>
      </c>
      <c r="P537" t="n">
        <v>0</v>
      </c>
      <c r="Q537" t="n">
        <v>1</v>
      </c>
      <c r="R537" s="2" t="inlineStr">
        <is>
          <t>Blåmossa</t>
        </is>
      </c>
      <c r="S537">
        <f>HYPERLINK("https://klasma.github.io/Logging_0181/artfynd/A 37529-2024 artfynd.xlsx", "A 37529-2024")</f>
        <v/>
      </c>
      <c r="T537">
        <f>HYPERLINK("https://klasma.github.io/Logging_0181/kartor/A 37529-2024 karta.png", "A 37529-2024")</f>
        <v/>
      </c>
      <c r="V537">
        <f>HYPERLINK("https://klasma.github.io/Logging_0181/klagomål/A 37529-2024 FSC-klagomål.docx", "A 37529-2024")</f>
        <v/>
      </c>
      <c r="W537">
        <f>HYPERLINK("https://klasma.github.io/Logging_0181/klagomålsmail/A 37529-2024 FSC-klagomål mail.docx", "A 37529-2024")</f>
        <v/>
      </c>
      <c r="X537">
        <f>HYPERLINK("https://klasma.github.io/Logging_0181/tillsyn/A 37529-2024 tillsynsbegäran.docx", "A 37529-2024")</f>
        <v/>
      </c>
      <c r="Y537">
        <f>HYPERLINK("https://klasma.github.io/Logging_0181/tillsynsmail/A 37529-2024 tillsynsbegäran mail.docx", "A 37529-2024")</f>
        <v/>
      </c>
    </row>
    <row r="538" ht="15" customHeight="1">
      <c r="A538" t="inlineStr">
        <is>
          <t>A 37574-2024</t>
        </is>
      </c>
      <c r="B538" s="1" t="n">
        <v>45541</v>
      </c>
      <c r="C538" s="1" t="n">
        <v>45661</v>
      </c>
      <c r="D538" t="inlineStr">
        <is>
          <t>STOCKHOLMS LÄN</t>
        </is>
      </c>
      <c r="E538" t="inlineStr">
        <is>
          <t>SÖDERTÄLJE</t>
        </is>
      </c>
      <c r="G538" t="n">
        <v>2.7</v>
      </c>
      <c r="H538" t="n">
        <v>1</v>
      </c>
      <c r="I538" t="n">
        <v>0</v>
      </c>
      <c r="J538" t="n">
        <v>0</v>
      </c>
      <c r="K538" t="n">
        <v>0</v>
      </c>
      <c r="L538" t="n">
        <v>0</v>
      </c>
      <c r="M538" t="n">
        <v>0</v>
      </c>
      <c r="N538" t="n">
        <v>0</v>
      </c>
      <c r="O538" t="n">
        <v>0</v>
      </c>
      <c r="P538" t="n">
        <v>0</v>
      </c>
      <c r="Q538" t="n">
        <v>1</v>
      </c>
      <c r="R538" s="2" t="inlineStr">
        <is>
          <t>Revlummer</t>
        </is>
      </c>
      <c r="S538">
        <f>HYPERLINK("https://klasma.github.io/Logging_0181/artfynd/A 37574-2024 artfynd.xlsx", "A 37574-2024")</f>
        <v/>
      </c>
      <c r="T538">
        <f>HYPERLINK("https://klasma.github.io/Logging_0181/kartor/A 37574-2024 karta.png", "A 37574-2024")</f>
        <v/>
      </c>
      <c r="V538">
        <f>HYPERLINK("https://klasma.github.io/Logging_0181/klagomål/A 37574-2024 FSC-klagomål.docx", "A 37574-2024")</f>
        <v/>
      </c>
      <c r="W538">
        <f>HYPERLINK("https://klasma.github.io/Logging_0181/klagomålsmail/A 37574-2024 FSC-klagomål mail.docx", "A 37574-2024")</f>
        <v/>
      </c>
      <c r="X538">
        <f>HYPERLINK("https://klasma.github.io/Logging_0181/tillsyn/A 37574-2024 tillsynsbegäran.docx", "A 37574-2024")</f>
        <v/>
      </c>
      <c r="Y538">
        <f>HYPERLINK("https://klasma.github.io/Logging_0181/tillsynsmail/A 37574-2024 tillsynsbegäran mail.docx", "A 37574-2024")</f>
        <v/>
      </c>
    </row>
    <row r="539" ht="15" customHeight="1">
      <c r="A539" t="inlineStr">
        <is>
          <t>A 37918-2024</t>
        </is>
      </c>
      <c r="B539" s="1" t="n">
        <v>45544</v>
      </c>
      <c r="C539" s="1" t="n">
        <v>45661</v>
      </c>
      <c r="D539" t="inlineStr">
        <is>
          <t>STOCKHOLMS LÄN</t>
        </is>
      </c>
      <c r="E539" t="inlineStr">
        <is>
          <t>NORRTÄLJE</t>
        </is>
      </c>
      <c r="F539" t="inlineStr">
        <is>
          <t>Holmen skog AB</t>
        </is>
      </c>
      <c r="G539" t="n">
        <v>8.4</v>
      </c>
      <c r="H539" t="n">
        <v>1</v>
      </c>
      <c r="I539" t="n">
        <v>0</v>
      </c>
      <c r="J539" t="n">
        <v>0</v>
      </c>
      <c r="K539" t="n">
        <v>0</v>
      </c>
      <c r="L539" t="n">
        <v>1</v>
      </c>
      <c r="M539" t="n">
        <v>0</v>
      </c>
      <c r="N539" t="n">
        <v>0</v>
      </c>
      <c r="O539" t="n">
        <v>1</v>
      </c>
      <c r="P539" t="n">
        <v>1</v>
      </c>
      <c r="Q539" t="n">
        <v>1</v>
      </c>
      <c r="R539" s="2" t="inlineStr">
        <is>
          <t>Asknätfjäril</t>
        </is>
      </c>
      <c r="S539">
        <f>HYPERLINK("https://klasma.github.io/Logging_0188/artfynd/A 37918-2024 artfynd.xlsx", "A 37918-2024")</f>
        <v/>
      </c>
      <c r="T539">
        <f>HYPERLINK("https://klasma.github.io/Logging_0188/kartor/A 37918-2024 karta.png", "A 37918-2024")</f>
        <v/>
      </c>
      <c r="V539">
        <f>HYPERLINK("https://klasma.github.io/Logging_0188/klagomål/A 37918-2024 FSC-klagomål.docx", "A 37918-2024")</f>
        <v/>
      </c>
      <c r="W539">
        <f>HYPERLINK("https://klasma.github.io/Logging_0188/klagomålsmail/A 37918-2024 FSC-klagomål mail.docx", "A 37918-2024")</f>
        <v/>
      </c>
      <c r="X539">
        <f>HYPERLINK("https://klasma.github.io/Logging_0188/tillsyn/A 37918-2024 tillsynsbegäran.docx", "A 37918-2024")</f>
        <v/>
      </c>
      <c r="Y539">
        <f>HYPERLINK("https://klasma.github.io/Logging_0188/tillsynsmail/A 37918-2024 tillsynsbegäran mail.docx", "A 37918-2024")</f>
        <v/>
      </c>
    </row>
    <row r="540" ht="15" customHeight="1">
      <c r="A540" t="inlineStr">
        <is>
          <t>A 39752-2024</t>
        </is>
      </c>
      <c r="B540" s="1" t="n">
        <v>45552</v>
      </c>
      <c r="C540" s="1" t="n">
        <v>45661</v>
      </c>
      <c r="D540" t="inlineStr">
        <is>
          <t>STOCKHOLMS LÄN</t>
        </is>
      </c>
      <c r="E540" t="inlineStr">
        <is>
          <t>UPPLANDS-BRO</t>
        </is>
      </c>
      <c r="G540" t="n">
        <v>7.2</v>
      </c>
      <c r="H540" t="n">
        <v>1</v>
      </c>
      <c r="I540" t="n">
        <v>0</v>
      </c>
      <c r="J540" t="n">
        <v>1</v>
      </c>
      <c r="K540" t="n">
        <v>0</v>
      </c>
      <c r="L540" t="n">
        <v>0</v>
      </c>
      <c r="M540" t="n">
        <v>0</v>
      </c>
      <c r="N540" t="n">
        <v>0</v>
      </c>
      <c r="O540" t="n">
        <v>1</v>
      </c>
      <c r="P540" t="n">
        <v>0</v>
      </c>
      <c r="Q540" t="n">
        <v>1</v>
      </c>
      <c r="R540" s="2" t="inlineStr">
        <is>
          <t>Talltita</t>
        </is>
      </c>
      <c r="S540">
        <f>HYPERLINK("https://klasma.github.io/Logging_0139/artfynd/A 39752-2024 artfynd.xlsx", "A 39752-2024")</f>
        <v/>
      </c>
      <c r="T540">
        <f>HYPERLINK("https://klasma.github.io/Logging_0139/kartor/A 39752-2024 karta.png", "A 39752-2024")</f>
        <v/>
      </c>
      <c r="V540">
        <f>HYPERLINK("https://klasma.github.io/Logging_0139/klagomål/A 39752-2024 FSC-klagomål.docx", "A 39752-2024")</f>
        <v/>
      </c>
      <c r="W540">
        <f>HYPERLINK("https://klasma.github.io/Logging_0139/klagomålsmail/A 39752-2024 FSC-klagomål mail.docx", "A 39752-2024")</f>
        <v/>
      </c>
      <c r="X540">
        <f>HYPERLINK("https://klasma.github.io/Logging_0139/tillsyn/A 39752-2024 tillsynsbegäran.docx", "A 39752-2024")</f>
        <v/>
      </c>
      <c r="Y540">
        <f>HYPERLINK("https://klasma.github.io/Logging_0139/tillsynsmail/A 39752-2024 tillsynsbegäran mail.docx", "A 39752-2024")</f>
        <v/>
      </c>
      <c r="Z540">
        <f>HYPERLINK("https://klasma.github.io/Logging_0139/fåglar/A 39752-2024 prioriterade fågelarter.docx", "A 39752-2024")</f>
        <v/>
      </c>
    </row>
    <row r="541" ht="15" customHeight="1">
      <c r="A541" t="inlineStr">
        <is>
          <t>A 40806-2024</t>
        </is>
      </c>
      <c r="B541" s="1" t="n">
        <v>45558</v>
      </c>
      <c r="C541" s="1" t="n">
        <v>45661</v>
      </c>
      <c r="D541" t="inlineStr">
        <is>
          <t>STOCKHOLMS LÄN</t>
        </is>
      </c>
      <c r="E541" t="inlineStr">
        <is>
          <t>NYNÄSHAMN</t>
        </is>
      </c>
      <c r="G541" t="n">
        <v>7.2</v>
      </c>
      <c r="H541" t="n">
        <v>0</v>
      </c>
      <c r="I541" t="n">
        <v>0</v>
      </c>
      <c r="J541" t="n">
        <v>1</v>
      </c>
      <c r="K541" t="n">
        <v>0</v>
      </c>
      <c r="L541" t="n">
        <v>0</v>
      </c>
      <c r="M541" t="n">
        <v>0</v>
      </c>
      <c r="N541" t="n">
        <v>0</v>
      </c>
      <c r="O541" t="n">
        <v>1</v>
      </c>
      <c r="P541" t="n">
        <v>0</v>
      </c>
      <c r="Q541" t="n">
        <v>1</v>
      </c>
      <c r="R541" s="2" t="inlineStr">
        <is>
          <t>Kandelabersvamp</t>
        </is>
      </c>
      <c r="S541">
        <f>HYPERLINK("https://klasma.github.io/Logging_0192/artfynd/A 40806-2024 artfynd.xlsx", "A 40806-2024")</f>
        <v/>
      </c>
      <c r="T541">
        <f>HYPERLINK("https://klasma.github.io/Logging_0192/kartor/A 40806-2024 karta.png", "A 40806-2024")</f>
        <v/>
      </c>
      <c r="V541">
        <f>HYPERLINK("https://klasma.github.io/Logging_0192/klagomål/A 40806-2024 FSC-klagomål.docx", "A 40806-2024")</f>
        <v/>
      </c>
      <c r="W541">
        <f>HYPERLINK("https://klasma.github.io/Logging_0192/klagomålsmail/A 40806-2024 FSC-klagomål mail.docx", "A 40806-2024")</f>
        <v/>
      </c>
      <c r="X541">
        <f>HYPERLINK("https://klasma.github.io/Logging_0192/tillsyn/A 40806-2024 tillsynsbegäran.docx", "A 40806-2024")</f>
        <v/>
      </c>
      <c r="Y541">
        <f>HYPERLINK("https://klasma.github.io/Logging_0192/tillsynsmail/A 40806-2024 tillsynsbegäran mail.docx", "A 40806-2024")</f>
        <v/>
      </c>
    </row>
    <row r="542" ht="15" customHeight="1">
      <c r="A542" t="inlineStr">
        <is>
          <t>A 40986-2024</t>
        </is>
      </c>
      <c r="B542" s="1" t="n">
        <v>45558</v>
      </c>
      <c r="C542" s="1" t="n">
        <v>45661</v>
      </c>
      <c r="D542" t="inlineStr">
        <is>
          <t>STOCKHOLMS LÄN</t>
        </is>
      </c>
      <c r="E542" t="inlineStr">
        <is>
          <t>SÖDERTÄLJE</t>
        </is>
      </c>
      <c r="G542" t="n">
        <v>4.4</v>
      </c>
      <c r="H542" t="n">
        <v>0</v>
      </c>
      <c r="I542" t="n">
        <v>0</v>
      </c>
      <c r="J542" t="n">
        <v>0</v>
      </c>
      <c r="K542" t="n">
        <v>1</v>
      </c>
      <c r="L542" t="n">
        <v>0</v>
      </c>
      <c r="M542" t="n">
        <v>0</v>
      </c>
      <c r="N542" t="n">
        <v>0</v>
      </c>
      <c r="O542" t="n">
        <v>1</v>
      </c>
      <c r="P542" t="n">
        <v>1</v>
      </c>
      <c r="Q542" t="n">
        <v>1</v>
      </c>
      <c r="R542" s="2" t="inlineStr">
        <is>
          <t>Vit kattost</t>
        </is>
      </c>
      <c r="S542">
        <f>HYPERLINK("https://klasma.github.io/Logging_0181/artfynd/A 40986-2024 artfynd.xlsx", "A 40986-2024")</f>
        <v/>
      </c>
      <c r="T542">
        <f>HYPERLINK("https://klasma.github.io/Logging_0181/kartor/A 40986-2024 karta.png", "A 40986-2024")</f>
        <v/>
      </c>
      <c r="V542">
        <f>HYPERLINK("https://klasma.github.io/Logging_0181/klagomål/A 40986-2024 FSC-klagomål.docx", "A 40986-2024")</f>
        <v/>
      </c>
      <c r="W542">
        <f>HYPERLINK("https://klasma.github.io/Logging_0181/klagomålsmail/A 40986-2024 FSC-klagomål mail.docx", "A 40986-2024")</f>
        <v/>
      </c>
      <c r="X542">
        <f>HYPERLINK("https://klasma.github.io/Logging_0181/tillsyn/A 40986-2024 tillsynsbegäran.docx", "A 40986-2024")</f>
        <v/>
      </c>
      <c r="Y542">
        <f>HYPERLINK("https://klasma.github.io/Logging_0181/tillsynsmail/A 40986-2024 tillsynsbegäran mail.docx", "A 40986-2024")</f>
        <v/>
      </c>
    </row>
    <row r="543" ht="15" customHeight="1">
      <c r="A543" t="inlineStr">
        <is>
          <t>A 44547-2024</t>
        </is>
      </c>
      <c r="B543" s="1" t="n">
        <v>45574</v>
      </c>
      <c r="C543" s="1" t="n">
        <v>45661</v>
      </c>
      <c r="D543" t="inlineStr">
        <is>
          <t>STOCKHOLMS LÄN</t>
        </is>
      </c>
      <c r="E543" t="inlineStr">
        <is>
          <t>NORRTÄLJE</t>
        </is>
      </c>
      <c r="G543" t="n">
        <v>11.1</v>
      </c>
      <c r="H543" t="n">
        <v>0</v>
      </c>
      <c r="I543" t="n">
        <v>0</v>
      </c>
      <c r="J543" t="n">
        <v>1</v>
      </c>
      <c r="K543" t="n">
        <v>0</v>
      </c>
      <c r="L543" t="n">
        <v>0</v>
      </c>
      <c r="M543" t="n">
        <v>0</v>
      </c>
      <c r="N543" t="n">
        <v>0</v>
      </c>
      <c r="O543" t="n">
        <v>1</v>
      </c>
      <c r="P543" t="n">
        <v>0</v>
      </c>
      <c r="Q543" t="n">
        <v>1</v>
      </c>
      <c r="R543" s="2" t="inlineStr">
        <is>
          <t>Skogsklocka</t>
        </is>
      </c>
      <c r="S543">
        <f>HYPERLINK("https://klasma.github.io/Logging_0188/artfynd/A 44547-2024 artfynd.xlsx", "A 44547-2024")</f>
        <v/>
      </c>
      <c r="T543">
        <f>HYPERLINK("https://klasma.github.io/Logging_0188/kartor/A 44547-2024 karta.png", "A 44547-2024")</f>
        <v/>
      </c>
      <c r="V543">
        <f>HYPERLINK("https://klasma.github.io/Logging_0188/klagomål/A 44547-2024 FSC-klagomål.docx", "A 44547-2024")</f>
        <v/>
      </c>
      <c r="W543">
        <f>HYPERLINK("https://klasma.github.io/Logging_0188/klagomålsmail/A 44547-2024 FSC-klagomål mail.docx", "A 44547-2024")</f>
        <v/>
      </c>
      <c r="X543">
        <f>HYPERLINK("https://klasma.github.io/Logging_0188/tillsyn/A 44547-2024 tillsynsbegäran.docx", "A 44547-2024")</f>
        <v/>
      </c>
      <c r="Y543">
        <f>HYPERLINK("https://klasma.github.io/Logging_0188/tillsynsmail/A 44547-2024 tillsynsbegäran mail.docx", "A 44547-2024")</f>
        <v/>
      </c>
    </row>
    <row r="544" ht="15" customHeight="1">
      <c r="A544" t="inlineStr">
        <is>
          <t>A 47262-2024</t>
        </is>
      </c>
      <c r="B544" s="1" t="n">
        <v>45586</v>
      </c>
      <c r="C544" s="1" t="n">
        <v>45661</v>
      </c>
      <c r="D544" t="inlineStr">
        <is>
          <t>STOCKHOLMS LÄN</t>
        </is>
      </c>
      <c r="E544" t="inlineStr">
        <is>
          <t>SALEM</t>
        </is>
      </c>
      <c r="G544" t="n">
        <v>2</v>
      </c>
      <c r="H544" t="n">
        <v>1</v>
      </c>
      <c r="I544" t="n">
        <v>0</v>
      </c>
      <c r="J544" t="n">
        <v>1</v>
      </c>
      <c r="K544" t="n">
        <v>0</v>
      </c>
      <c r="L544" t="n">
        <v>0</v>
      </c>
      <c r="M544" t="n">
        <v>0</v>
      </c>
      <c r="N544" t="n">
        <v>0</v>
      </c>
      <c r="O544" t="n">
        <v>1</v>
      </c>
      <c r="P544" t="n">
        <v>0</v>
      </c>
      <c r="Q544" t="n">
        <v>1</v>
      </c>
      <c r="R544" s="2" t="inlineStr">
        <is>
          <t>Spillkråka</t>
        </is>
      </c>
      <c r="S544">
        <f>HYPERLINK("https://klasma.github.io/Logging_0128/artfynd/A 47262-2024 artfynd.xlsx", "A 47262-2024")</f>
        <v/>
      </c>
      <c r="T544">
        <f>HYPERLINK("https://klasma.github.io/Logging_0128/kartor/A 47262-2024 karta.png", "A 47262-2024")</f>
        <v/>
      </c>
      <c r="V544">
        <f>HYPERLINK("https://klasma.github.io/Logging_0128/klagomål/A 47262-2024 FSC-klagomål.docx", "A 47262-2024")</f>
        <v/>
      </c>
      <c r="W544">
        <f>HYPERLINK("https://klasma.github.io/Logging_0128/klagomålsmail/A 47262-2024 FSC-klagomål mail.docx", "A 47262-2024")</f>
        <v/>
      </c>
      <c r="X544">
        <f>HYPERLINK("https://klasma.github.io/Logging_0128/tillsyn/A 47262-2024 tillsynsbegäran.docx", "A 47262-2024")</f>
        <v/>
      </c>
      <c r="Y544">
        <f>HYPERLINK("https://klasma.github.io/Logging_0128/tillsynsmail/A 47262-2024 tillsynsbegäran mail.docx", "A 47262-2024")</f>
        <v/>
      </c>
      <c r="Z544">
        <f>HYPERLINK("https://klasma.github.io/Logging_0128/fåglar/A 47262-2024 prioriterade fågelarter.docx", "A 47262-2024")</f>
        <v/>
      </c>
    </row>
    <row r="545" ht="15" customHeight="1">
      <c r="A545" t="inlineStr">
        <is>
          <t>A 50435-2024</t>
        </is>
      </c>
      <c r="B545" s="1" t="n">
        <v>45601</v>
      </c>
      <c r="C545" s="1" t="n">
        <v>45661</v>
      </c>
      <c r="D545" t="inlineStr">
        <is>
          <t>STOCKHOLMS LÄN</t>
        </is>
      </c>
      <c r="E545" t="inlineStr">
        <is>
          <t>VALLENTUNA</t>
        </is>
      </c>
      <c r="F545" t="inlineStr">
        <is>
          <t>Allmännings- och besparingsskogar</t>
        </is>
      </c>
      <c r="G545" t="n">
        <v>2.3</v>
      </c>
      <c r="H545" t="n">
        <v>0</v>
      </c>
      <c r="I545" t="n">
        <v>1</v>
      </c>
      <c r="J545" t="n">
        <v>0</v>
      </c>
      <c r="K545" t="n">
        <v>0</v>
      </c>
      <c r="L545" t="n">
        <v>0</v>
      </c>
      <c r="M545" t="n">
        <v>0</v>
      </c>
      <c r="N545" t="n">
        <v>0</v>
      </c>
      <c r="O545" t="n">
        <v>0</v>
      </c>
      <c r="P545" t="n">
        <v>0</v>
      </c>
      <c r="Q545" t="n">
        <v>1</v>
      </c>
      <c r="R545" s="2" t="inlineStr">
        <is>
          <t>Tibast</t>
        </is>
      </c>
      <c r="S545">
        <f>HYPERLINK("https://klasma.github.io/Logging_0115/artfynd/A 50435-2024 artfynd.xlsx", "A 50435-2024")</f>
        <v/>
      </c>
      <c r="T545">
        <f>HYPERLINK("https://klasma.github.io/Logging_0115/kartor/A 50435-2024 karta.png", "A 50435-2024")</f>
        <v/>
      </c>
      <c r="V545">
        <f>HYPERLINK("https://klasma.github.io/Logging_0115/klagomål/A 50435-2024 FSC-klagomål.docx", "A 50435-2024")</f>
        <v/>
      </c>
      <c r="W545">
        <f>HYPERLINK("https://klasma.github.io/Logging_0115/klagomålsmail/A 50435-2024 FSC-klagomål mail.docx", "A 50435-2024")</f>
        <v/>
      </c>
      <c r="X545">
        <f>HYPERLINK("https://klasma.github.io/Logging_0115/tillsyn/A 50435-2024 tillsynsbegäran.docx", "A 50435-2024")</f>
        <v/>
      </c>
      <c r="Y545">
        <f>HYPERLINK("https://klasma.github.io/Logging_0115/tillsynsmail/A 50435-2024 tillsynsbegäran mail.docx", "A 50435-2024")</f>
        <v/>
      </c>
    </row>
    <row r="546" ht="15" customHeight="1">
      <c r="A546" t="inlineStr">
        <is>
          <t>A 52363-2024</t>
        </is>
      </c>
      <c r="B546" s="1" t="n">
        <v>45609</v>
      </c>
      <c r="C546" s="1" t="n">
        <v>45661</v>
      </c>
      <c r="D546" t="inlineStr">
        <is>
          <t>STOCKHOLMS LÄN</t>
        </is>
      </c>
      <c r="E546" t="inlineStr">
        <is>
          <t>NORRTÄLJE</t>
        </is>
      </c>
      <c r="G546" t="n">
        <v>9.199999999999999</v>
      </c>
      <c r="H546" t="n">
        <v>1</v>
      </c>
      <c r="I546" t="n">
        <v>0</v>
      </c>
      <c r="J546" t="n">
        <v>0</v>
      </c>
      <c r="K546" t="n">
        <v>0</v>
      </c>
      <c r="L546" t="n">
        <v>0</v>
      </c>
      <c r="M546" t="n">
        <v>0</v>
      </c>
      <c r="N546" t="n">
        <v>0</v>
      </c>
      <c r="O546" t="n">
        <v>0</v>
      </c>
      <c r="P546" t="n">
        <v>0</v>
      </c>
      <c r="Q546" t="n">
        <v>1</v>
      </c>
      <c r="R546" s="2" t="inlineStr">
        <is>
          <t>Revlummer</t>
        </is>
      </c>
      <c r="S546">
        <f>HYPERLINK("https://klasma.github.io/Logging_0188/artfynd/A 52363-2024 artfynd.xlsx", "A 52363-2024")</f>
        <v/>
      </c>
      <c r="T546">
        <f>HYPERLINK("https://klasma.github.io/Logging_0188/kartor/A 52363-2024 karta.png", "A 52363-2024")</f>
        <v/>
      </c>
      <c r="V546">
        <f>HYPERLINK("https://klasma.github.io/Logging_0188/klagomål/A 52363-2024 FSC-klagomål.docx", "A 52363-2024")</f>
        <v/>
      </c>
      <c r="W546">
        <f>HYPERLINK("https://klasma.github.io/Logging_0188/klagomålsmail/A 52363-2024 FSC-klagomål mail.docx", "A 52363-2024")</f>
        <v/>
      </c>
      <c r="X546">
        <f>HYPERLINK("https://klasma.github.io/Logging_0188/tillsyn/A 52363-2024 tillsynsbegäran.docx", "A 52363-2024")</f>
        <v/>
      </c>
      <c r="Y546">
        <f>HYPERLINK("https://klasma.github.io/Logging_0188/tillsynsmail/A 52363-2024 tillsynsbegäran mail.docx", "A 52363-2024")</f>
        <v/>
      </c>
    </row>
    <row r="547" ht="15" customHeight="1">
      <c r="A547" t="inlineStr">
        <is>
          <t>A 52545-2024</t>
        </is>
      </c>
      <c r="B547" s="1" t="n">
        <v>45609</v>
      </c>
      <c r="C547" s="1" t="n">
        <v>45661</v>
      </c>
      <c r="D547" t="inlineStr">
        <is>
          <t>STOCKHOLMS LÄN</t>
        </is>
      </c>
      <c r="E547" t="inlineStr">
        <is>
          <t>EKERÖ</t>
        </is>
      </c>
      <c r="G547" t="n">
        <v>2.8</v>
      </c>
      <c r="H547" t="n">
        <v>1</v>
      </c>
      <c r="I547" t="n">
        <v>1</v>
      </c>
      <c r="J547" t="n">
        <v>0</v>
      </c>
      <c r="K547" t="n">
        <v>0</v>
      </c>
      <c r="L547" t="n">
        <v>0</v>
      </c>
      <c r="M547" t="n">
        <v>0</v>
      </c>
      <c r="N547" t="n">
        <v>0</v>
      </c>
      <c r="O547" t="n">
        <v>0</v>
      </c>
      <c r="P547" t="n">
        <v>0</v>
      </c>
      <c r="Q547" t="n">
        <v>1</v>
      </c>
      <c r="R547" s="2" t="inlineStr">
        <is>
          <t>Grön sköldmossa</t>
        </is>
      </c>
      <c r="S547">
        <f>HYPERLINK("https://klasma.github.io/Logging_0125/artfynd/A 52545-2024 artfynd.xlsx", "A 52545-2024")</f>
        <v/>
      </c>
      <c r="T547">
        <f>HYPERLINK("https://klasma.github.io/Logging_0125/kartor/A 52545-2024 karta.png", "A 52545-2024")</f>
        <v/>
      </c>
      <c r="V547">
        <f>HYPERLINK("https://klasma.github.io/Logging_0125/klagomål/A 52545-2024 FSC-klagomål.docx", "A 52545-2024")</f>
        <v/>
      </c>
      <c r="W547">
        <f>HYPERLINK("https://klasma.github.io/Logging_0125/klagomålsmail/A 52545-2024 FSC-klagomål mail.docx", "A 52545-2024")</f>
        <v/>
      </c>
      <c r="X547">
        <f>HYPERLINK("https://klasma.github.io/Logging_0125/tillsyn/A 52545-2024 tillsynsbegäran.docx", "A 52545-2024")</f>
        <v/>
      </c>
      <c r="Y547">
        <f>HYPERLINK("https://klasma.github.io/Logging_0125/tillsynsmail/A 52545-2024 tillsynsbegäran mail.docx", "A 52545-2024")</f>
        <v/>
      </c>
    </row>
    <row r="548" ht="15" customHeight="1">
      <c r="A548" t="inlineStr">
        <is>
          <t>A 52611-2024</t>
        </is>
      </c>
      <c r="B548" s="1" t="n">
        <v>45609</v>
      </c>
      <c r="C548" s="1" t="n">
        <v>45661</v>
      </c>
      <c r="D548" t="inlineStr">
        <is>
          <t>STOCKHOLMS LÄN</t>
        </is>
      </c>
      <c r="E548" t="inlineStr">
        <is>
          <t>NORRTÄLJE</t>
        </is>
      </c>
      <c r="G548" t="n">
        <v>10.6</v>
      </c>
      <c r="H548" t="n">
        <v>1</v>
      </c>
      <c r="I548" t="n">
        <v>0</v>
      </c>
      <c r="J548" t="n">
        <v>0</v>
      </c>
      <c r="K548" t="n">
        <v>0</v>
      </c>
      <c r="L548" t="n">
        <v>0</v>
      </c>
      <c r="M548" t="n">
        <v>0</v>
      </c>
      <c r="N548" t="n">
        <v>0</v>
      </c>
      <c r="O548" t="n">
        <v>0</v>
      </c>
      <c r="P548" t="n">
        <v>0</v>
      </c>
      <c r="Q548" t="n">
        <v>1</v>
      </c>
      <c r="R548" s="2" t="inlineStr">
        <is>
          <t>Blåsippa</t>
        </is>
      </c>
      <c r="S548">
        <f>HYPERLINK("https://klasma.github.io/Logging_0188/artfynd/A 52611-2024 artfynd.xlsx", "A 52611-2024")</f>
        <v/>
      </c>
      <c r="T548">
        <f>HYPERLINK("https://klasma.github.io/Logging_0188/kartor/A 52611-2024 karta.png", "A 52611-2024")</f>
        <v/>
      </c>
      <c r="V548">
        <f>HYPERLINK("https://klasma.github.io/Logging_0188/klagomål/A 52611-2024 FSC-klagomål.docx", "A 52611-2024")</f>
        <v/>
      </c>
      <c r="W548">
        <f>HYPERLINK("https://klasma.github.io/Logging_0188/klagomålsmail/A 52611-2024 FSC-klagomål mail.docx", "A 52611-2024")</f>
        <v/>
      </c>
      <c r="X548">
        <f>HYPERLINK("https://klasma.github.io/Logging_0188/tillsyn/A 52611-2024 tillsynsbegäran.docx", "A 52611-2024")</f>
        <v/>
      </c>
      <c r="Y548">
        <f>HYPERLINK("https://klasma.github.io/Logging_0188/tillsynsmail/A 52611-2024 tillsynsbegäran mail.docx", "A 52611-2024")</f>
        <v/>
      </c>
    </row>
    <row r="549" ht="15" customHeight="1">
      <c r="A549" t="inlineStr">
        <is>
          <t>A 52791-2024</t>
        </is>
      </c>
      <c r="B549" s="1" t="n">
        <v>45610</v>
      </c>
      <c r="C549" s="1" t="n">
        <v>45661</v>
      </c>
      <c r="D549" t="inlineStr">
        <is>
          <t>STOCKHOLMS LÄN</t>
        </is>
      </c>
      <c r="E549" t="inlineStr">
        <is>
          <t>SÖDERTÄLJE</t>
        </is>
      </c>
      <c r="G549" t="n">
        <v>0.7</v>
      </c>
      <c r="H549" t="n">
        <v>1</v>
      </c>
      <c r="I549" t="n">
        <v>0</v>
      </c>
      <c r="J549" t="n">
        <v>1</v>
      </c>
      <c r="K549" t="n">
        <v>0</v>
      </c>
      <c r="L549" t="n">
        <v>0</v>
      </c>
      <c r="M549" t="n">
        <v>0</v>
      </c>
      <c r="N549" t="n">
        <v>0</v>
      </c>
      <c r="O549" t="n">
        <v>1</v>
      </c>
      <c r="P549" t="n">
        <v>0</v>
      </c>
      <c r="Q549" t="n">
        <v>1</v>
      </c>
      <c r="R549" s="2" t="inlineStr">
        <is>
          <t>Spillkråka</t>
        </is>
      </c>
      <c r="S549">
        <f>HYPERLINK("https://klasma.github.io/Logging_0181/artfynd/A 52791-2024 artfynd.xlsx", "A 52791-2024")</f>
        <v/>
      </c>
      <c r="T549">
        <f>HYPERLINK("https://klasma.github.io/Logging_0181/kartor/A 52791-2024 karta.png", "A 52791-2024")</f>
        <v/>
      </c>
      <c r="V549">
        <f>HYPERLINK("https://klasma.github.io/Logging_0181/klagomål/A 52791-2024 FSC-klagomål.docx", "A 52791-2024")</f>
        <v/>
      </c>
      <c r="W549">
        <f>HYPERLINK("https://klasma.github.io/Logging_0181/klagomålsmail/A 52791-2024 FSC-klagomål mail.docx", "A 52791-2024")</f>
        <v/>
      </c>
      <c r="X549">
        <f>HYPERLINK("https://klasma.github.io/Logging_0181/tillsyn/A 52791-2024 tillsynsbegäran.docx", "A 52791-2024")</f>
        <v/>
      </c>
      <c r="Y549">
        <f>HYPERLINK("https://klasma.github.io/Logging_0181/tillsynsmail/A 52791-2024 tillsynsbegäran mail.docx", "A 52791-2024")</f>
        <v/>
      </c>
      <c r="Z549">
        <f>HYPERLINK("https://klasma.github.io/Logging_0181/fåglar/A 52791-2024 prioriterade fågelarter.docx", "A 52791-2024")</f>
        <v/>
      </c>
    </row>
    <row r="550" ht="15" customHeight="1">
      <c r="A550" t="inlineStr">
        <is>
          <t>A 52924-2024</t>
        </is>
      </c>
      <c r="B550" s="1" t="n">
        <v>45610</v>
      </c>
      <c r="C550" s="1" t="n">
        <v>45661</v>
      </c>
      <c r="D550" t="inlineStr">
        <is>
          <t>STOCKHOLMS LÄN</t>
        </is>
      </c>
      <c r="E550" t="inlineStr">
        <is>
          <t>NYNÄSHAMN</t>
        </is>
      </c>
      <c r="G550" t="n">
        <v>3</v>
      </c>
      <c r="H550" t="n">
        <v>1</v>
      </c>
      <c r="I550" t="n">
        <v>0</v>
      </c>
      <c r="J550" t="n">
        <v>1</v>
      </c>
      <c r="K550" t="n">
        <v>0</v>
      </c>
      <c r="L550" t="n">
        <v>0</v>
      </c>
      <c r="M550" t="n">
        <v>0</v>
      </c>
      <c r="N550" t="n">
        <v>0</v>
      </c>
      <c r="O550" t="n">
        <v>1</v>
      </c>
      <c r="P550" t="n">
        <v>0</v>
      </c>
      <c r="Q550" t="n">
        <v>1</v>
      </c>
      <c r="R550" s="2" t="inlineStr">
        <is>
          <t>Spillkråka</t>
        </is>
      </c>
      <c r="S550">
        <f>HYPERLINK("https://klasma.github.io/Logging_0192/artfynd/A 52924-2024 artfynd.xlsx", "A 52924-2024")</f>
        <v/>
      </c>
      <c r="T550">
        <f>HYPERLINK("https://klasma.github.io/Logging_0192/kartor/A 52924-2024 karta.png", "A 52924-2024")</f>
        <v/>
      </c>
      <c r="V550">
        <f>HYPERLINK("https://klasma.github.io/Logging_0192/klagomål/A 52924-2024 FSC-klagomål.docx", "A 52924-2024")</f>
        <v/>
      </c>
      <c r="W550">
        <f>HYPERLINK("https://klasma.github.io/Logging_0192/klagomålsmail/A 52924-2024 FSC-klagomål mail.docx", "A 52924-2024")</f>
        <v/>
      </c>
      <c r="X550">
        <f>HYPERLINK("https://klasma.github.io/Logging_0192/tillsyn/A 52924-2024 tillsynsbegäran.docx", "A 52924-2024")</f>
        <v/>
      </c>
      <c r="Y550">
        <f>HYPERLINK("https://klasma.github.io/Logging_0192/tillsynsmail/A 52924-2024 tillsynsbegäran mail.docx", "A 52924-2024")</f>
        <v/>
      </c>
      <c r="Z550">
        <f>HYPERLINK("https://klasma.github.io/Logging_0192/fåglar/A 52924-2024 prioriterade fågelarter.docx", "A 52924-2024")</f>
        <v/>
      </c>
    </row>
    <row r="551" ht="15" customHeight="1">
      <c r="A551" t="inlineStr">
        <is>
          <t>A 56792-2024</t>
        </is>
      </c>
      <c r="B551" s="1" t="n">
        <v>45628</v>
      </c>
      <c r="C551" s="1" t="n">
        <v>45661</v>
      </c>
      <c r="D551" t="inlineStr">
        <is>
          <t>STOCKHOLMS LÄN</t>
        </is>
      </c>
      <c r="E551" t="inlineStr">
        <is>
          <t>NORRTÄLJE</t>
        </is>
      </c>
      <c r="G551" t="n">
        <v>9.699999999999999</v>
      </c>
      <c r="H551" t="n">
        <v>0</v>
      </c>
      <c r="I551" t="n">
        <v>0</v>
      </c>
      <c r="J551" t="n">
        <v>1</v>
      </c>
      <c r="K551" t="n">
        <v>0</v>
      </c>
      <c r="L551" t="n">
        <v>0</v>
      </c>
      <c r="M551" t="n">
        <v>0</v>
      </c>
      <c r="N551" t="n">
        <v>0</v>
      </c>
      <c r="O551" t="n">
        <v>1</v>
      </c>
      <c r="P551" t="n">
        <v>0</v>
      </c>
      <c r="Q551" t="n">
        <v>1</v>
      </c>
      <c r="R551" s="2" t="inlineStr">
        <is>
          <t>Kandelabersvamp</t>
        </is>
      </c>
      <c r="S551">
        <f>HYPERLINK("https://klasma.github.io/Logging_0188/artfynd/A 56792-2024 artfynd.xlsx", "A 56792-2024")</f>
        <v/>
      </c>
      <c r="T551">
        <f>HYPERLINK("https://klasma.github.io/Logging_0188/kartor/A 56792-2024 karta.png", "A 56792-2024")</f>
        <v/>
      </c>
      <c r="V551">
        <f>HYPERLINK("https://klasma.github.io/Logging_0188/klagomål/A 56792-2024 FSC-klagomål.docx", "A 56792-2024")</f>
        <v/>
      </c>
      <c r="W551">
        <f>HYPERLINK("https://klasma.github.io/Logging_0188/klagomålsmail/A 56792-2024 FSC-klagomål mail.docx", "A 56792-2024")</f>
        <v/>
      </c>
      <c r="X551">
        <f>HYPERLINK("https://klasma.github.io/Logging_0188/tillsyn/A 56792-2024 tillsynsbegäran.docx", "A 56792-2024")</f>
        <v/>
      </c>
      <c r="Y551">
        <f>HYPERLINK("https://klasma.github.io/Logging_0188/tillsynsmail/A 56792-2024 tillsynsbegäran mail.docx", "A 56792-2024")</f>
        <v/>
      </c>
    </row>
    <row r="552" ht="15" customHeight="1">
      <c r="A552" t="inlineStr">
        <is>
          <t>A 26-2025</t>
        </is>
      </c>
      <c r="B552" s="1" t="n">
        <v>45659</v>
      </c>
      <c r="C552" s="1" t="n">
        <v>45661</v>
      </c>
      <c r="D552" t="inlineStr">
        <is>
          <t>STOCKHOLMS LÄN</t>
        </is>
      </c>
      <c r="E552" t="inlineStr">
        <is>
          <t>BOTKYRKA</t>
        </is>
      </c>
      <c r="G552" t="n">
        <v>1.7</v>
      </c>
      <c r="H552" t="n">
        <v>0</v>
      </c>
      <c r="I552" t="n">
        <v>0</v>
      </c>
      <c r="J552" t="n">
        <v>1</v>
      </c>
      <c r="K552" t="n">
        <v>0</v>
      </c>
      <c r="L552" t="n">
        <v>0</v>
      </c>
      <c r="M552" t="n">
        <v>0</v>
      </c>
      <c r="N552" t="n">
        <v>0</v>
      </c>
      <c r="O552" t="n">
        <v>1</v>
      </c>
      <c r="P552" t="n">
        <v>0</v>
      </c>
      <c r="Q552" t="n">
        <v>1</v>
      </c>
      <c r="R552" s="2" t="inlineStr">
        <is>
          <t>Granticka</t>
        </is>
      </c>
      <c r="S552">
        <f>HYPERLINK("https://klasma.github.io/Logging_0127/artfynd/A 26-2025 artfynd.xlsx", "A 26-2025")</f>
        <v/>
      </c>
      <c r="T552">
        <f>HYPERLINK("https://klasma.github.io/Logging_0127/kartor/A 26-2025 karta.png", "A 26-2025")</f>
        <v/>
      </c>
      <c r="V552">
        <f>HYPERLINK("https://klasma.github.io/Logging_0127/klagomål/A 26-2025 FSC-klagomål.docx", "A 26-2025")</f>
        <v/>
      </c>
      <c r="W552">
        <f>HYPERLINK("https://klasma.github.io/Logging_0127/klagomålsmail/A 26-2025 FSC-klagomål mail.docx", "A 26-2025")</f>
        <v/>
      </c>
      <c r="X552">
        <f>HYPERLINK("https://klasma.github.io/Logging_0127/tillsyn/A 26-2025 tillsynsbegäran.docx", "A 26-2025")</f>
        <v/>
      </c>
      <c r="Y552">
        <f>HYPERLINK("https://klasma.github.io/Logging_0127/tillsynsmail/A 26-2025 tillsynsbegäran mail.docx", "A 26-2025")</f>
        <v/>
      </c>
    </row>
    <row r="553" ht="15" customHeight="1">
      <c r="A553" t="inlineStr">
        <is>
          <t>A 17752-2019</t>
        </is>
      </c>
      <c r="B553" s="1" t="n">
        <v>43556</v>
      </c>
      <c r="C553" s="1" t="n">
        <v>45661</v>
      </c>
      <c r="D553" t="inlineStr">
        <is>
          <t>STOCKHOLMS LÄN</t>
        </is>
      </c>
      <c r="E553" t="inlineStr">
        <is>
          <t>NORRTÄLJE</t>
        </is>
      </c>
      <c r="G553" t="n">
        <v>3</v>
      </c>
      <c r="H553" t="n">
        <v>0</v>
      </c>
      <c r="I553" t="n">
        <v>0</v>
      </c>
      <c r="J553" t="n">
        <v>0</v>
      </c>
      <c r="K553" t="n">
        <v>0</v>
      </c>
      <c r="L553" t="n">
        <v>0</v>
      </c>
      <c r="M553" t="n">
        <v>0</v>
      </c>
      <c r="N553" t="n">
        <v>0</v>
      </c>
      <c r="O553" t="n">
        <v>0</v>
      </c>
      <c r="P553" t="n">
        <v>0</v>
      </c>
      <c r="Q553" t="n">
        <v>0</v>
      </c>
      <c r="R553" s="2" t="inlineStr"/>
    </row>
    <row r="554" ht="15" customHeight="1">
      <c r="A554" t="inlineStr">
        <is>
          <t>A 17795-2019</t>
        </is>
      </c>
      <c r="B554" s="1" t="n">
        <v>43556</v>
      </c>
      <c r="C554" s="1" t="n">
        <v>45661</v>
      </c>
      <c r="D554" t="inlineStr">
        <is>
          <t>STOCKHOLMS LÄN</t>
        </is>
      </c>
      <c r="E554" t="inlineStr">
        <is>
          <t>NORRTÄLJE</t>
        </is>
      </c>
      <c r="G554" t="n">
        <v>0.8</v>
      </c>
      <c r="H554" t="n">
        <v>0</v>
      </c>
      <c r="I554" t="n">
        <v>0</v>
      </c>
      <c r="J554" t="n">
        <v>0</v>
      </c>
      <c r="K554" t="n">
        <v>0</v>
      </c>
      <c r="L554" t="n">
        <v>0</v>
      </c>
      <c r="M554" t="n">
        <v>0</v>
      </c>
      <c r="N554" t="n">
        <v>0</v>
      </c>
      <c r="O554" t="n">
        <v>0</v>
      </c>
      <c r="P554" t="n">
        <v>0</v>
      </c>
      <c r="Q554" t="n">
        <v>0</v>
      </c>
      <c r="R554" s="2" t="inlineStr"/>
    </row>
    <row r="555" ht="15" customHeight="1">
      <c r="A555" t="inlineStr">
        <is>
          <t>A 17757-2019</t>
        </is>
      </c>
      <c r="B555" s="1" t="n">
        <v>43556</v>
      </c>
      <c r="C555" s="1" t="n">
        <v>45661</v>
      </c>
      <c r="D555" t="inlineStr">
        <is>
          <t>STOCKHOLMS LÄN</t>
        </is>
      </c>
      <c r="E555" t="inlineStr">
        <is>
          <t>NORRTÄLJE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17963-2019</t>
        </is>
      </c>
      <c r="B556" s="1" t="n">
        <v>43557</v>
      </c>
      <c r="C556" s="1" t="n">
        <v>45661</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18378-2019</t>
        </is>
      </c>
      <c r="B557" s="1" t="n">
        <v>43559</v>
      </c>
      <c r="C557" s="1" t="n">
        <v>45661</v>
      </c>
      <c r="D557" t="inlineStr">
        <is>
          <t>STOCKHOLMS LÄN</t>
        </is>
      </c>
      <c r="E557" t="inlineStr">
        <is>
          <t>NORRTÄLJE</t>
        </is>
      </c>
      <c r="G557" t="n">
        <v>5.8</v>
      </c>
      <c r="H557" t="n">
        <v>0</v>
      </c>
      <c r="I557" t="n">
        <v>0</v>
      </c>
      <c r="J557" t="n">
        <v>0</v>
      </c>
      <c r="K557" t="n">
        <v>0</v>
      </c>
      <c r="L557" t="n">
        <v>0</v>
      </c>
      <c r="M557" t="n">
        <v>0</v>
      </c>
      <c r="N557" t="n">
        <v>0</v>
      </c>
      <c r="O557" t="n">
        <v>0</v>
      </c>
      <c r="P557" t="n">
        <v>0</v>
      </c>
      <c r="Q557" t="n">
        <v>0</v>
      </c>
      <c r="R557" s="2" t="inlineStr"/>
    </row>
    <row r="558" ht="15" customHeight="1">
      <c r="A558" t="inlineStr">
        <is>
          <t>A 18664-2019</t>
        </is>
      </c>
      <c r="B558" s="1" t="n">
        <v>43560</v>
      </c>
      <c r="C558" s="1" t="n">
        <v>45661</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18767-2019</t>
        </is>
      </c>
      <c r="B559" s="1" t="n">
        <v>43560</v>
      </c>
      <c r="C559" s="1" t="n">
        <v>45661</v>
      </c>
      <c r="D559" t="inlineStr">
        <is>
          <t>STOCKHOLMS LÄN</t>
        </is>
      </c>
      <c r="E559" t="inlineStr">
        <is>
          <t>NORRTÄLJE</t>
        </is>
      </c>
      <c r="G559" t="n">
        <v>4</v>
      </c>
      <c r="H559" t="n">
        <v>0</v>
      </c>
      <c r="I559" t="n">
        <v>0</v>
      </c>
      <c r="J559" t="n">
        <v>0</v>
      </c>
      <c r="K559" t="n">
        <v>0</v>
      </c>
      <c r="L559" t="n">
        <v>0</v>
      </c>
      <c r="M559" t="n">
        <v>0</v>
      </c>
      <c r="N559" t="n">
        <v>0</v>
      </c>
      <c r="O559" t="n">
        <v>0</v>
      </c>
      <c r="P559" t="n">
        <v>0</v>
      </c>
      <c r="Q559" t="n">
        <v>0</v>
      </c>
      <c r="R559" s="2" t="inlineStr"/>
    </row>
    <row r="560" ht="15" customHeight="1">
      <c r="A560" t="inlineStr">
        <is>
          <t>A 18820-2019</t>
        </is>
      </c>
      <c r="B560" s="1" t="n">
        <v>43563</v>
      </c>
      <c r="C560" s="1" t="n">
        <v>45661</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18890-2019</t>
        </is>
      </c>
      <c r="B561" s="1" t="n">
        <v>43563</v>
      </c>
      <c r="C561" s="1" t="n">
        <v>45661</v>
      </c>
      <c r="D561" t="inlineStr">
        <is>
          <t>STOCKHOLMS LÄN</t>
        </is>
      </c>
      <c r="E561" t="inlineStr">
        <is>
          <t>NORRTÄLJE</t>
        </is>
      </c>
      <c r="G561" t="n">
        <v>4.7</v>
      </c>
      <c r="H561" t="n">
        <v>0</v>
      </c>
      <c r="I561" t="n">
        <v>0</v>
      </c>
      <c r="J561" t="n">
        <v>0</v>
      </c>
      <c r="K561" t="n">
        <v>0</v>
      </c>
      <c r="L561" t="n">
        <v>0</v>
      </c>
      <c r="M561" t="n">
        <v>0</v>
      </c>
      <c r="N561" t="n">
        <v>0</v>
      </c>
      <c r="O561" t="n">
        <v>0</v>
      </c>
      <c r="P561" t="n">
        <v>0</v>
      </c>
      <c r="Q561" t="n">
        <v>0</v>
      </c>
      <c r="R561" s="2" t="inlineStr"/>
    </row>
    <row r="562" ht="15" customHeight="1">
      <c r="A562" t="inlineStr">
        <is>
          <t>A 18909-2019</t>
        </is>
      </c>
      <c r="B562" s="1" t="n">
        <v>43563</v>
      </c>
      <c r="C562" s="1" t="n">
        <v>45661</v>
      </c>
      <c r="D562" t="inlineStr">
        <is>
          <t>STOCKHOLMS LÄN</t>
        </is>
      </c>
      <c r="E562" t="inlineStr">
        <is>
          <t>NORRTÄLJE</t>
        </is>
      </c>
      <c r="G562" t="n">
        <v>2.9</v>
      </c>
      <c r="H562" t="n">
        <v>0</v>
      </c>
      <c r="I562" t="n">
        <v>0</v>
      </c>
      <c r="J562" t="n">
        <v>0</v>
      </c>
      <c r="K562" t="n">
        <v>0</v>
      </c>
      <c r="L562" t="n">
        <v>0</v>
      </c>
      <c r="M562" t="n">
        <v>0</v>
      </c>
      <c r="N562" t="n">
        <v>0</v>
      </c>
      <c r="O562" t="n">
        <v>0</v>
      </c>
      <c r="P562" t="n">
        <v>0</v>
      </c>
      <c r="Q562" t="n">
        <v>0</v>
      </c>
      <c r="R562" s="2" t="inlineStr"/>
    </row>
    <row r="563" ht="15" customHeight="1">
      <c r="A563" t="inlineStr">
        <is>
          <t>A 19026-2019</t>
        </is>
      </c>
      <c r="B563" s="1" t="n">
        <v>43563</v>
      </c>
      <c r="C563" s="1" t="n">
        <v>45661</v>
      </c>
      <c r="D563" t="inlineStr">
        <is>
          <t>STOCKHOLMS LÄN</t>
        </is>
      </c>
      <c r="E563" t="inlineStr">
        <is>
          <t>NORRTÄLJE</t>
        </is>
      </c>
      <c r="G563" t="n">
        <v>4.4</v>
      </c>
      <c r="H563" t="n">
        <v>0</v>
      </c>
      <c r="I563" t="n">
        <v>0</v>
      </c>
      <c r="J563" t="n">
        <v>0</v>
      </c>
      <c r="K563" t="n">
        <v>0</v>
      </c>
      <c r="L563" t="n">
        <v>0</v>
      </c>
      <c r="M563" t="n">
        <v>0</v>
      </c>
      <c r="N563" t="n">
        <v>0</v>
      </c>
      <c r="O563" t="n">
        <v>0</v>
      </c>
      <c r="P563" t="n">
        <v>0</v>
      </c>
      <c r="Q563" t="n">
        <v>0</v>
      </c>
      <c r="R563" s="2" t="inlineStr"/>
    </row>
    <row r="564" ht="15" customHeight="1">
      <c r="A564" t="inlineStr">
        <is>
          <t>A 19014-2019</t>
        </is>
      </c>
      <c r="B564" s="1" t="n">
        <v>43563</v>
      </c>
      <c r="C564" s="1" t="n">
        <v>45661</v>
      </c>
      <c r="D564" t="inlineStr">
        <is>
          <t>STOCKHOLMS LÄN</t>
        </is>
      </c>
      <c r="E564" t="inlineStr">
        <is>
          <t>NORRTÄLJE</t>
        </is>
      </c>
      <c r="G564" t="n">
        <v>2.2</v>
      </c>
      <c r="H564" t="n">
        <v>0</v>
      </c>
      <c r="I564" t="n">
        <v>0</v>
      </c>
      <c r="J564" t="n">
        <v>0</v>
      </c>
      <c r="K564" t="n">
        <v>0</v>
      </c>
      <c r="L564" t="n">
        <v>0</v>
      </c>
      <c r="M564" t="n">
        <v>0</v>
      </c>
      <c r="N564" t="n">
        <v>0</v>
      </c>
      <c r="O564" t="n">
        <v>0</v>
      </c>
      <c r="P564" t="n">
        <v>0</v>
      </c>
      <c r="Q564" t="n">
        <v>0</v>
      </c>
      <c r="R564" s="2" t="inlineStr"/>
    </row>
    <row r="565" ht="15" customHeight="1">
      <c r="A565" t="inlineStr">
        <is>
          <t>A 19247-2019</t>
        </is>
      </c>
      <c r="B565" s="1" t="n">
        <v>43564</v>
      </c>
      <c r="C565" s="1" t="n">
        <v>45661</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19170-2019</t>
        </is>
      </c>
      <c r="B566" s="1" t="n">
        <v>43564</v>
      </c>
      <c r="C566" s="1" t="n">
        <v>45661</v>
      </c>
      <c r="D566" t="inlineStr">
        <is>
          <t>STOCKHOLMS LÄN</t>
        </is>
      </c>
      <c r="E566" t="inlineStr">
        <is>
          <t>ÖSTERÅKER</t>
        </is>
      </c>
      <c r="G566" t="n">
        <v>2.2</v>
      </c>
      <c r="H566" t="n">
        <v>0</v>
      </c>
      <c r="I566" t="n">
        <v>0</v>
      </c>
      <c r="J566" t="n">
        <v>0</v>
      </c>
      <c r="K566" t="n">
        <v>0</v>
      </c>
      <c r="L566" t="n">
        <v>0</v>
      </c>
      <c r="M566" t="n">
        <v>0</v>
      </c>
      <c r="N566" t="n">
        <v>0</v>
      </c>
      <c r="O566" t="n">
        <v>0</v>
      </c>
      <c r="P566" t="n">
        <v>0</v>
      </c>
      <c r="Q566" t="n">
        <v>0</v>
      </c>
      <c r="R566" s="2" t="inlineStr"/>
    </row>
    <row r="567" ht="15" customHeight="1">
      <c r="A567" t="inlineStr">
        <is>
          <t>A 19255-2019</t>
        </is>
      </c>
      <c r="B567" s="1" t="n">
        <v>43564</v>
      </c>
      <c r="C567" s="1" t="n">
        <v>45661</v>
      </c>
      <c r="D567" t="inlineStr">
        <is>
          <t>STOCKHOLMS LÄN</t>
        </is>
      </c>
      <c r="E567" t="inlineStr">
        <is>
          <t>NORRTÄLJE</t>
        </is>
      </c>
      <c r="G567" t="n">
        <v>2.6</v>
      </c>
      <c r="H567" t="n">
        <v>0</v>
      </c>
      <c r="I567" t="n">
        <v>0</v>
      </c>
      <c r="J567" t="n">
        <v>0</v>
      </c>
      <c r="K567" t="n">
        <v>0</v>
      </c>
      <c r="L567" t="n">
        <v>0</v>
      </c>
      <c r="M567" t="n">
        <v>0</v>
      </c>
      <c r="N567" t="n">
        <v>0</v>
      </c>
      <c r="O567" t="n">
        <v>0</v>
      </c>
      <c r="P567" t="n">
        <v>0</v>
      </c>
      <c r="Q567" t="n">
        <v>0</v>
      </c>
      <c r="R567" s="2" t="inlineStr"/>
    </row>
    <row r="568" ht="15" customHeight="1">
      <c r="A568" t="inlineStr">
        <is>
          <t>A 19198-2019</t>
        </is>
      </c>
      <c r="B568" s="1" t="n">
        <v>43564</v>
      </c>
      <c r="C568" s="1" t="n">
        <v>45661</v>
      </c>
      <c r="D568" t="inlineStr">
        <is>
          <t>STOCKHOLMS LÄN</t>
        </is>
      </c>
      <c r="E568" t="inlineStr">
        <is>
          <t>VALLENTUNA</t>
        </is>
      </c>
      <c r="G568" t="n">
        <v>0.9</v>
      </c>
      <c r="H568" t="n">
        <v>0</v>
      </c>
      <c r="I568" t="n">
        <v>0</v>
      </c>
      <c r="J568" t="n">
        <v>0</v>
      </c>
      <c r="K568" t="n">
        <v>0</v>
      </c>
      <c r="L568" t="n">
        <v>0</v>
      </c>
      <c r="M568" t="n">
        <v>0</v>
      </c>
      <c r="N568" t="n">
        <v>0</v>
      </c>
      <c r="O568" t="n">
        <v>0</v>
      </c>
      <c r="P568" t="n">
        <v>0</v>
      </c>
      <c r="Q568" t="n">
        <v>0</v>
      </c>
      <c r="R568" s="2" t="inlineStr"/>
    </row>
    <row r="569" ht="15" customHeight="1">
      <c r="A569" t="inlineStr">
        <is>
          <t>A 19302-2019</t>
        </is>
      </c>
      <c r="B569" s="1" t="n">
        <v>43565</v>
      </c>
      <c r="C569" s="1" t="n">
        <v>45661</v>
      </c>
      <c r="D569" t="inlineStr">
        <is>
          <t>STOCKHOLMS LÄN</t>
        </is>
      </c>
      <c r="E569" t="inlineStr">
        <is>
          <t>NORRTÄLJE</t>
        </is>
      </c>
      <c r="F569" t="inlineStr">
        <is>
          <t>Kommuner</t>
        </is>
      </c>
      <c r="G569" t="n">
        <v>4.2</v>
      </c>
      <c r="H569" t="n">
        <v>0</v>
      </c>
      <c r="I569" t="n">
        <v>0</v>
      </c>
      <c r="J569" t="n">
        <v>0</v>
      </c>
      <c r="K569" t="n">
        <v>0</v>
      </c>
      <c r="L569" t="n">
        <v>0</v>
      </c>
      <c r="M569" t="n">
        <v>0</v>
      </c>
      <c r="N569" t="n">
        <v>0</v>
      </c>
      <c r="O569" t="n">
        <v>0</v>
      </c>
      <c r="P569" t="n">
        <v>0</v>
      </c>
      <c r="Q569" t="n">
        <v>0</v>
      </c>
      <c r="R569" s="2" t="inlineStr"/>
    </row>
    <row r="570" ht="15" customHeight="1">
      <c r="A570" t="inlineStr">
        <is>
          <t>A 19301-2019</t>
        </is>
      </c>
      <c r="B570" s="1" t="n">
        <v>43565</v>
      </c>
      <c r="C570" s="1" t="n">
        <v>45661</v>
      </c>
      <c r="D570" t="inlineStr">
        <is>
          <t>STOCKHOLMS LÄN</t>
        </is>
      </c>
      <c r="E570" t="inlineStr">
        <is>
          <t>NORRTÄLJE</t>
        </is>
      </c>
      <c r="F570" t="inlineStr">
        <is>
          <t>Kommuner</t>
        </is>
      </c>
      <c r="G570" t="n">
        <v>3.9</v>
      </c>
      <c r="H570" t="n">
        <v>0</v>
      </c>
      <c r="I570" t="n">
        <v>0</v>
      </c>
      <c r="J570" t="n">
        <v>0</v>
      </c>
      <c r="K570" t="n">
        <v>0</v>
      </c>
      <c r="L570" t="n">
        <v>0</v>
      </c>
      <c r="M570" t="n">
        <v>0</v>
      </c>
      <c r="N570" t="n">
        <v>0</v>
      </c>
      <c r="O570" t="n">
        <v>0</v>
      </c>
      <c r="P570" t="n">
        <v>0</v>
      </c>
      <c r="Q570" t="n">
        <v>0</v>
      </c>
      <c r="R570" s="2" t="inlineStr"/>
    </row>
    <row r="571" ht="15" customHeight="1">
      <c r="A571" t="inlineStr">
        <is>
          <t>A 19297-2019</t>
        </is>
      </c>
      <c r="B571" s="1" t="n">
        <v>43565</v>
      </c>
      <c r="C571" s="1" t="n">
        <v>45661</v>
      </c>
      <c r="D571" t="inlineStr">
        <is>
          <t>STOCKHOLMS LÄN</t>
        </is>
      </c>
      <c r="E571" t="inlineStr">
        <is>
          <t>NORRTÄLJE</t>
        </is>
      </c>
      <c r="F571" t="inlineStr">
        <is>
          <t>Kommuner</t>
        </is>
      </c>
      <c r="G571" t="n">
        <v>1.2</v>
      </c>
      <c r="H571" t="n">
        <v>0</v>
      </c>
      <c r="I571" t="n">
        <v>0</v>
      </c>
      <c r="J571" t="n">
        <v>0</v>
      </c>
      <c r="K571" t="n">
        <v>0</v>
      </c>
      <c r="L571" t="n">
        <v>0</v>
      </c>
      <c r="M571" t="n">
        <v>0</v>
      </c>
      <c r="N571" t="n">
        <v>0</v>
      </c>
      <c r="O571" t="n">
        <v>0</v>
      </c>
      <c r="P571" t="n">
        <v>0</v>
      </c>
      <c r="Q571" t="n">
        <v>0</v>
      </c>
      <c r="R571" s="2" t="inlineStr"/>
    </row>
    <row r="572" ht="15" customHeight="1">
      <c r="A572" t="inlineStr">
        <is>
          <t>A 19537-2019</t>
        </is>
      </c>
      <c r="B572" s="1" t="n">
        <v>43565</v>
      </c>
      <c r="C572" s="1" t="n">
        <v>45661</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19539-2019</t>
        </is>
      </c>
      <c r="B573" s="1" t="n">
        <v>43565</v>
      </c>
      <c r="C573" s="1" t="n">
        <v>45661</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19377-2019</t>
        </is>
      </c>
      <c r="B574" s="1" t="n">
        <v>43565</v>
      </c>
      <c r="C574" s="1" t="n">
        <v>45661</v>
      </c>
      <c r="D574" t="inlineStr">
        <is>
          <t>STOCKHOLMS LÄN</t>
        </is>
      </c>
      <c r="E574" t="inlineStr">
        <is>
          <t>NYKVARN</t>
        </is>
      </c>
      <c r="G574" t="n">
        <v>2.9</v>
      </c>
      <c r="H574" t="n">
        <v>0</v>
      </c>
      <c r="I574" t="n">
        <v>0</v>
      </c>
      <c r="J574" t="n">
        <v>0</v>
      </c>
      <c r="K574" t="n">
        <v>0</v>
      </c>
      <c r="L574" t="n">
        <v>0</v>
      </c>
      <c r="M574" t="n">
        <v>0</v>
      </c>
      <c r="N574" t="n">
        <v>0</v>
      </c>
      <c r="O574" t="n">
        <v>0</v>
      </c>
      <c r="P574" t="n">
        <v>0</v>
      </c>
      <c r="Q574" t="n">
        <v>0</v>
      </c>
      <c r="R574" s="2" t="inlineStr"/>
    </row>
    <row r="575" ht="15" customHeight="1">
      <c r="A575" t="inlineStr">
        <is>
          <t>A 19540-2019</t>
        </is>
      </c>
      <c r="B575" s="1" t="n">
        <v>43565</v>
      </c>
      <c r="C575" s="1" t="n">
        <v>45661</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19638-2019</t>
        </is>
      </c>
      <c r="B576" s="1" t="n">
        <v>43566</v>
      </c>
      <c r="C576" s="1" t="n">
        <v>45661</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19593-2019</t>
        </is>
      </c>
      <c r="B577" s="1" t="n">
        <v>43566</v>
      </c>
      <c r="C577" s="1" t="n">
        <v>45661</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19563-2019</t>
        </is>
      </c>
      <c r="B578" s="1" t="n">
        <v>43566</v>
      </c>
      <c r="C578" s="1" t="n">
        <v>45661</v>
      </c>
      <c r="D578" t="inlineStr">
        <is>
          <t>STOCKHOLMS LÄN</t>
        </is>
      </c>
      <c r="E578" t="inlineStr">
        <is>
          <t>SIGTUNA</t>
        </is>
      </c>
      <c r="G578" t="n">
        <v>7.8</v>
      </c>
      <c r="H578" t="n">
        <v>0</v>
      </c>
      <c r="I578" t="n">
        <v>0</v>
      </c>
      <c r="J578" t="n">
        <v>0</v>
      </c>
      <c r="K578" t="n">
        <v>0</v>
      </c>
      <c r="L578" t="n">
        <v>0</v>
      </c>
      <c r="M578" t="n">
        <v>0</v>
      </c>
      <c r="N578" t="n">
        <v>0</v>
      </c>
      <c r="O578" t="n">
        <v>0</v>
      </c>
      <c r="P578" t="n">
        <v>0</v>
      </c>
      <c r="Q578" t="n">
        <v>0</v>
      </c>
      <c r="R578" s="2" t="inlineStr"/>
    </row>
    <row r="579" ht="15" customHeight="1">
      <c r="A579" t="inlineStr">
        <is>
          <t>A 19872-2019</t>
        </is>
      </c>
      <c r="B579" s="1" t="n">
        <v>43567</v>
      </c>
      <c r="C579" s="1" t="n">
        <v>45661</v>
      </c>
      <c r="D579" t="inlineStr">
        <is>
          <t>STOCKHOLMS LÄN</t>
        </is>
      </c>
      <c r="E579" t="inlineStr">
        <is>
          <t>NORRTÄLJE</t>
        </is>
      </c>
      <c r="G579" t="n">
        <v>1.8</v>
      </c>
      <c r="H579" t="n">
        <v>0</v>
      </c>
      <c r="I579" t="n">
        <v>0</v>
      </c>
      <c r="J579" t="n">
        <v>0</v>
      </c>
      <c r="K579" t="n">
        <v>0</v>
      </c>
      <c r="L579" t="n">
        <v>0</v>
      </c>
      <c r="M579" t="n">
        <v>0</v>
      </c>
      <c r="N579" t="n">
        <v>0</v>
      </c>
      <c r="O579" t="n">
        <v>0</v>
      </c>
      <c r="P579" t="n">
        <v>0</v>
      </c>
      <c r="Q579" t="n">
        <v>0</v>
      </c>
      <c r="R579" s="2" t="inlineStr"/>
    </row>
    <row r="580" ht="15" customHeight="1">
      <c r="A580" t="inlineStr">
        <is>
          <t>A 19811-2019</t>
        </is>
      </c>
      <c r="B580" s="1" t="n">
        <v>43567</v>
      </c>
      <c r="C580" s="1" t="n">
        <v>45661</v>
      </c>
      <c r="D580" t="inlineStr">
        <is>
          <t>STOCKHOLMS LÄN</t>
        </is>
      </c>
      <c r="E580" t="inlineStr">
        <is>
          <t>NORRTÄLJE</t>
        </is>
      </c>
      <c r="F580" t="inlineStr">
        <is>
          <t>Kommuner</t>
        </is>
      </c>
      <c r="G580" t="n">
        <v>1.6</v>
      </c>
      <c r="H580" t="n">
        <v>0</v>
      </c>
      <c r="I580" t="n">
        <v>0</v>
      </c>
      <c r="J580" t="n">
        <v>0</v>
      </c>
      <c r="K580" t="n">
        <v>0</v>
      </c>
      <c r="L580" t="n">
        <v>0</v>
      </c>
      <c r="M580" t="n">
        <v>0</v>
      </c>
      <c r="N580" t="n">
        <v>0</v>
      </c>
      <c r="O580" t="n">
        <v>0</v>
      </c>
      <c r="P580" t="n">
        <v>0</v>
      </c>
      <c r="Q580" t="n">
        <v>0</v>
      </c>
      <c r="R580" s="2" t="inlineStr"/>
    </row>
    <row r="581" ht="15" customHeight="1">
      <c r="A581" t="inlineStr">
        <is>
          <t>A 19812-2019</t>
        </is>
      </c>
      <c r="B581" s="1" t="n">
        <v>43567</v>
      </c>
      <c r="C581" s="1" t="n">
        <v>45661</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19931-2019</t>
        </is>
      </c>
      <c r="B582" s="1" t="n">
        <v>43568</v>
      </c>
      <c r="C582" s="1" t="n">
        <v>45661</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20033-2019</t>
        </is>
      </c>
      <c r="B583" s="1" t="n">
        <v>43570</v>
      </c>
      <c r="C583" s="1" t="n">
        <v>45661</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20020-2019</t>
        </is>
      </c>
      <c r="B584" s="1" t="n">
        <v>43570</v>
      </c>
      <c r="C584" s="1" t="n">
        <v>45661</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20051-2019</t>
        </is>
      </c>
      <c r="B585" s="1" t="n">
        <v>43570</v>
      </c>
      <c r="C585" s="1" t="n">
        <v>45661</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20137-2019</t>
        </is>
      </c>
      <c r="B586" s="1" t="n">
        <v>43570</v>
      </c>
      <c r="C586" s="1" t="n">
        <v>45661</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20007-2019</t>
        </is>
      </c>
      <c r="B587" s="1" t="n">
        <v>43570</v>
      </c>
      <c r="C587" s="1" t="n">
        <v>45661</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20052-2019</t>
        </is>
      </c>
      <c r="B588" s="1" t="n">
        <v>43570</v>
      </c>
      <c r="C588" s="1" t="n">
        <v>45661</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20159-2019</t>
        </is>
      </c>
      <c r="B589" s="1" t="n">
        <v>43570</v>
      </c>
      <c r="C589" s="1" t="n">
        <v>45661</v>
      </c>
      <c r="D589" t="inlineStr">
        <is>
          <t>STOCKHOLMS LÄN</t>
        </is>
      </c>
      <c r="E589" t="inlineStr">
        <is>
          <t>NORRTÄLJE</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20181-2019</t>
        </is>
      </c>
      <c r="B590" s="1" t="n">
        <v>43570</v>
      </c>
      <c r="C590" s="1" t="n">
        <v>45661</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20184-2019</t>
        </is>
      </c>
      <c r="B591" s="1" t="n">
        <v>43570</v>
      </c>
      <c r="C591" s="1" t="n">
        <v>45661</v>
      </c>
      <c r="D591" t="inlineStr">
        <is>
          <t>STOCKHOLMS LÄN</t>
        </is>
      </c>
      <c r="E591" t="inlineStr">
        <is>
          <t>NORRTÄLJE</t>
        </is>
      </c>
      <c r="G591" t="n">
        <v>2.8</v>
      </c>
      <c r="H591" t="n">
        <v>0</v>
      </c>
      <c r="I591" t="n">
        <v>0</v>
      </c>
      <c r="J591" t="n">
        <v>0</v>
      </c>
      <c r="K591" t="n">
        <v>0</v>
      </c>
      <c r="L591" t="n">
        <v>0</v>
      </c>
      <c r="M591" t="n">
        <v>0</v>
      </c>
      <c r="N591" t="n">
        <v>0</v>
      </c>
      <c r="O591" t="n">
        <v>0</v>
      </c>
      <c r="P591" t="n">
        <v>0</v>
      </c>
      <c r="Q591" t="n">
        <v>0</v>
      </c>
      <c r="R591" s="2" t="inlineStr"/>
    </row>
    <row r="592" ht="15" customHeight="1">
      <c r="A592" t="inlineStr">
        <is>
          <t>A 20193-2019</t>
        </is>
      </c>
      <c r="B592" s="1" t="n">
        <v>43570</v>
      </c>
      <c r="C592" s="1" t="n">
        <v>45661</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20090-2019</t>
        </is>
      </c>
      <c r="B593" s="1" t="n">
        <v>43570</v>
      </c>
      <c r="C593" s="1" t="n">
        <v>45661</v>
      </c>
      <c r="D593" t="inlineStr">
        <is>
          <t>STOCKHOLMS LÄN</t>
        </is>
      </c>
      <c r="E593" t="inlineStr">
        <is>
          <t>NORRTÄLJE</t>
        </is>
      </c>
      <c r="F593" t="inlineStr">
        <is>
          <t>Kommuner</t>
        </is>
      </c>
      <c r="G593" t="n">
        <v>1.3</v>
      </c>
      <c r="H593" t="n">
        <v>0</v>
      </c>
      <c r="I593" t="n">
        <v>0</v>
      </c>
      <c r="J593" t="n">
        <v>0</v>
      </c>
      <c r="K593" t="n">
        <v>0</v>
      </c>
      <c r="L593" t="n">
        <v>0</v>
      </c>
      <c r="M593" t="n">
        <v>0</v>
      </c>
      <c r="N593" t="n">
        <v>0</v>
      </c>
      <c r="O593" t="n">
        <v>0</v>
      </c>
      <c r="P593" t="n">
        <v>0</v>
      </c>
      <c r="Q593" t="n">
        <v>0</v>
      </c>
      <c r="R593" s="2" t="inlineStr"/>
    </row>
    <row r="594" ht="15" customHeight="1">
      <c r="A594" t="inlineStr">
        <is>
          <t>A 20165-2019</t>
        </is>
      </c>
      <c r="B594" s="1" t="n">
        <v>43570</v>
      </c>
      <c r="C594" s="1" t="n">
        <v>45661</v>
      </c>
      <c r="D594" t="inlineStr">
        <is>
          <t>STOCKHOLMS LÄN</t>
        </is>
      </c>
      <c r="E594" t="inlineStr">
        <is>
          <t>NORRTÄLJE</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20023-2019</t>
        </is>
      </c>
      <c r="B595" s="1" t="n">
        <v>43570</v>
      </c>
      <c r="C595" s="1" t="n">
        <v>45661</v>
      </c>
      <c r="D595" t="inlineStr">
        <is>
          <t>STOCKHOLMS LÄN</t>
        </is>
      </c>
      <c r="E595" t="inlineStr">
        <is>
          <t>NORRTÄLJE</t>
        </is>
      </c>
      <c r="G595" t="n">
        <v>5.1</v>
      </c>
      <c r="H595" t="n">
        <v>0</v>
      </c>
      <c r="I595" t="n">
        <v>0</v>
      </c>
      <c r="J595" t="n">
        <v>0</v>
      </c>
      <c r="K595" t="n">
        <v>0</v>
      </c>
      <c r="L595" t="n">
        <v>0</v>
      </c>
      <c r="M595" t="n">
        <v>0</v>
      </c>
      <c r="N595" t="n">
        <v>0</v>
      </c>
      <c r="O595" t="n">
        <v>0</v>
      </c>
      <c r="P595" t="n">
        <v>0</v>
      </c>
      <c r="Q595" t="n">
        <v>0</v>
      </c>
      <c r="R595" s="2" t="inlineStr"/>
    </row>
    <row r="596" ht="15" customHeight="1">
      <c r="A596" t="inlineStr">
        <is>
          <t>A 20531-2019</t>
        </is>
      </c>
      <c r="B596" s="1" t="n">
        <v>43572</v>
      </c>
      <c r="C596" s="1" t="n">
        <v>45661</v>
      </c>
      <c r="D596" t="inlineStr">
        <is>
          <t>STOCKHOLMS LÄN</t>
        </is>
      </c>
      <c r="E596" t="inlineStr">
        <is>
          <t>NORRTÄLJE</t>
        </is>
      </c>
      <c r="G596" t="n">
        <v>2</v>
      </c>
      <c r="H596" t="n">
        <v>0</v>
      </c>
      <c r="I596" t="n">
        <v>0</v>
      </c>
      <c r="J596" t="n">
        <v>0</v>
      </c>
      <c r="K596" t="n">
        <v>0</v>
      </c>
      <c r="L596" t="n">
        <v>0</v>
      </c>
      <c r="M596" t="n">
        <v>0</v>
      </c>
      <c r="N596" t="n">
        <v>0</v>
      </c>
      <c r="O596" t="n">
        <v>0</v>
      </c>
      <c r="P596" t="n">
        <v>0</v>
      </c>
      <c r="Q596" t="n">
        <v>0</v>
      </c>
      <c r="R596" s="2" t="inlineStr"/>
    </row>
    <row r="597" ht="15" customHeight="1">
      <c r="A597" t="inlineStr">
        <is>
          <t>A 20743-2019</t>
        </is>
      </c>
      <c r="B597" s="1" t="n">
        <v>43573</v>
      </c>
      <c r="C597" s="1" t="n">
        <v>45661</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20809-2019</t>
        </is>
      </c>
      <c r="B598" s="1" t="n">
        <v>43573</v>
      </c>
      <c r="C598" s="1" t="n">
        <v>45661</v>
      </c>
      <c r="D598" t="inlineStr">
        <is>
          <t>STOCKHOLMS LÄN</t>
        </is>
      </c>
      <c r="E598" t="inlineStr">
        <is>
          <t>NORRTÄLJE</t>
        </is>
      </c>
      <c r="F598" t="inlineStr">
        <is>
          <t>Kommuner</t>
        </is>
      </c>
      <c r="G598" t="n">
        <v>2.2</v>
      </c>
      <c r="H598" t="n">
        <v>0</v>
      </c>
      <c r="I598" t="n">
        <v>0</v>
      </c>
      <c r="J598" t="n">
        <v>0</v>
      </c>
      <c r="K598" t="n">
        <v>0</v>
      </c>
      <c r="L598" t="n">
        <v>0</v>
      </c>
      <c r="M598" t="n">
        <v>0</v>
      </c>
      <c r="N598" t="n">
        <v>0</v>
      </c>
      <c r="O598" t="n">
        <v>0</v>
      </c>
      <c r="P598" t="n">
        <v>0</v>
      </c>
      <c r="Q598" t="n">
        <v>0</v>
      </c>
      <c r="R598" s="2" t="inlineStr"/>
    </row>
    <row r="599" ht="15" customHeight="1">
      <c r="A599" t="inlineStr">
        <is>
          <t>A 20925-2019</t>
        </is>
      </c>
      <c r="B599" s="1" t="n">
        <v>43578</v>
      </c>
      <c r="C599" s="1" t="n">
        <v>45661</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21062-2019</t>
        </is>
      </c>
      <c r="B600" s="1" t="n">
        <v>43578</v>
      </c>
      <c r="C600" s="1" t="n">
        <v>45661</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21441-2019</t>
        </is>
      </c>
      <c r="B601" s="1" t="n">
        <v>43580</v>
      </c>
      <c r="C601" s="1" t="n">
        <v>45661</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21521-2019</t>
        </is>
      </c>
      <c r="B602" s="1" t="n">
        <v>43580</v>
      </c>
      <c r="C602" s="1" t="n">
        <v>45661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21508-2019</t>
        </is>
      </c>
      <c r="B603" s="1" t="n">
        <v>43580</v>
      </c>
      <c r="C603" s="1" t="n">
        <v>45661</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21457-2019</t>
        </is>
      </c>
      <c r="B604" s="1" t="n">
        <v>43580</v>
      </c>
      <c r="C604" s="1" t="n">
        <v>45661</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21501-2019</t>
        </is>
      </c>
      <c r="B605" s="1" t="n">
        <v>43580</v>
      </c>
      <c r="C605" s="1" t="n">
        <v>45661</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21616-2019</t>
        </is>
      </c>
      <c r="B606" s="1" t="n">
        <v>43581</v>
      </c>
      <c r="C606" s="1" t="n">
        <v>45661</v>
      </c>
      <c r="D606" t="inlineStr">
        <is>
          <t>STOCKHOLMS LÄN</t>
        </is>
      </c>
      <c r="E606" t="inlineStr">
        <is>
          <t>NORRTÄLJE</t>
        </is>
      </c>
      <c r="G606" t="n">
        <v>5.3</v>
      </c>
      <c r="H606" t="n">
        <v>0</v>
      </c>
      <c r="I606" t="n">
        <v>0</v>
      </c>
      <c r="J606" t="n">
        <v>0</v>
      </c>
      <c r="K606" t="n">
        <v>0</v>
      </c>
      <c r="L606" t="n">
        <v>0</v>
      </c>
      <c r="M606" t="n">
        <v>0</v>
      </c>
      <c r="N606" t="n">
        <v>0</v>
      </c>
      <c r="O606" t="n">
        <v>0</v>
      </c>
      <c r="P606" t="n">
        <v>0</v>
      </c>
      <c r="Q606" t="n">
        <v>0</v>
      </c>
      <c r="R606" s="2" t="inlineStr"/>
    </row>
    <row r="607" ht="15" customHeight="1">
      <c r="A607" t="inlineStr">
        <is>
          <t>A 21662-2019</t>
        </is>
      </c>
      <c r="B607" s="1" t="n">
        <v>43581</v>
      </c>
      <c r="C607" s="1" t="n">
        <v>45661</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21720-2019</t>
        </is>
      </c>
      <c r="B608" s="1" t="n">
        <v>43581</v>
      </c>
      <c r="C608" s="1" t="n">
        <v>45661</v>
      </c>
      <c r="D608" t="inlineStr">
        <is>
          <t>STOCKHOLMS LÄN</t>
        </is>
      </c>
      <c r="E608" t="inlineStr">
        <is>
          <t>NORRTÄLJE</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21692-2019</t>
        </is>
      </c>
      <c r="B609" s="1" t="n">
        <v>43581</v>
      </c>
      <c r="C609" s="1" t="n">
        <v>45661</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21811-2019</t>
        </is>
      </c>
      <c r="B610" s="1" t="n">
        <v>43582</v>
      </c>
      <c r="C610" s="1" t="n">
        <v>45661</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22207-2019</t>
        </is>
      </c>
      <c r="B611" s="1" t="n">
        <v>43585</v>
      </c>
      <c r="C611" s="1" t="n">
        <v>45661</v>
      </c>
      <c r="D611" t="inlineStr">
        <is>
          <t>STOCKHOLMS LÄN</t>
        </is>
      </c>
      <c r="E611" t="inlineStr">
        <is>
          <t>NORRTÄLJE</t>
        </is>
      </c>
      <c r="G611" t="n">
        <v>0.8</v>
      </c>
      <c r="H611" t="n">
        <v>0</v>
      </c>
      <c r="I611" t="n">
        <v>0</v>
      </c>
      <c r="J611" t="n">
        <v>0</v>
      </c>
      <c r="K611" t="n">
        <v>0</v>
      </c>
      <c r="L611" t="n">
        <v>0</v>
      </c>
      <c r="M611" t="n">
        <v>0</v>
      </c>
      <c r="N611" t="n">
        <v>0</v>
      </c>
      <c r="O611" t="n">
        <v>0</v>
      </c>
      <c r="P611" t="n">
        <v>0</v>
      </c>
      <c r="Q611" t="n">
        <v>0</v>
      </c>
      <c r="R611" s="2" t="inlineStr"/>
    </row>
    <row r="612" ht="15" customHeight="1">
      <c r="A612" t="inlineStr">
        <is>
          <t>A 22211-2019</t>
        </is>
      </c>
      <c r="B612" s="1" t="n">
        <v>43585</v>
      </c>
      <c r="C612" s="1" t="n">
        <v>45661</v>
      </c>
      <c r="D612" t="inlineStr">
        <is>
          <t>STOCKHOLMS LÄN</t>
        </is>
      </c>
      <c r="E612" t="inlineStr">
        <is>
          <t>NORRTÄLJE</t>
        </is>
      </c>
      <c r="G612" t="n">
        <v>6.8</v>
      </c>
      <c r="H612" t="n">
        <v>0</v>
      </c>
      <c r="I612" t="n">
        <v>0</v>
      </c>
      <c r="J612" t="n">
        <v>0</v>
      </c>
      <c r="K612" t="n">
        <v>0</v>
      </c>
      <c r="L612" t="n">
        <v>0</v>
      </c>
      <c r="M612" t="n">
        <v>0</v>
      </c>
      <c r="N612" t="n">
        <v>0</v>
      </c>
      <c r="O612" t="n">
        <v>0</v>
      </c>
      <c r="P612" t="n">
        <v>0</v>
      </c>
      <c r="Q612" t="n">
        <v>0</v>
      </c>
      <c r="R612" s="2" t="inlineStr"/>
    </row>
    <row r="613" ht="15" customHeight="1">
      <c r="A613" t="inlineStr">
        <is>
          <t>A 22254-2019</t>
        </is>
      </c>
      <c r="B613" s="1" t="n">
        <v>43585</v>
      </c>
      <c r="C613" s="1" t="n">
        <v>45661</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22218-2019</t>
        </is>
      </c>
      <c r="B614" s="1" t="n">
        <v>43585</v>
      </c>
      <c r="C614" s="1" t="n">
        <v>45661</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22331-2019</t>
        </is>
      </c>
      <c r="B615" s="1" t="n">
        <v>43586</v>
      </c>
      <c r="C615" s="1" t="n">
        <v>45661</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22359-2019</t>
        </is>
      </c>
      <c r="B616" s="1" t="n">
        <v>43587</v>
      </c>
      <c r="C616" s="1" t="n">
        <v>45661</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22422-2019</t>
        </is>
      </c>
      <c r="B617" s="1" t="n">
        <v>43587</v>
      </c>
      <c r="C617" s="1" t="n">
        <v>45661</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22490-2019</t>
        </is>
      </c>
      <c r="B618" s="1" t="n">
        <v>43587</v>
      </c>
      <c r="C618" s="1" t="n">
        <v>45661</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22496-2019</t>
        </is>
      </c>
      <c r="B619" s="1" t="n">
        <v>43587</v>
      </c>
      <c r="C619" s="1" t="n">
        <v>45661</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23783-2019</t>
        </is>
      </c>
      <c r="B620" s="1" t="n">
        <v>43592</v>
      </c>
      <c r="C620" s="1" t="n">
        <v>45661</v>
      </c>
      <c r="D620" t="inlineStr">
        <is>
          <t>STOCKHOLMS LÄN</t>
        </is>
      </c>
      <c r="E620" t="inlineStr">
        <is>
          <t>NYNÄSHAMN</t>
        </is>
      </c>
      <c r="F620" t="inlineStr">
        <is>
          <t>Övriga statliga verk och myndigheter</t>
        </is>
      </c>
      <c r="G620" t="n">
        <v>7.3</v>
      </c>
      <c r="H620" t="n">
        <v>0</v>
      </c>
      <c r="I620" t="n">
        <v>0</v>
      </c>
      <c r="J620" t="n">
        <v>0</v>
      </c>
      <c r="K620" t="n">
        <v>0</v>
      </c>
      <c r="L620" t="n">
        <v>0</v>
      </c>
      <c r="M620" t="n">
        <v>0</v>
      </c>
      <c r="N620" t="n">
        <v>0</v>
      </c>
      <c r="O620" t="n">
        <v>0</v>
      </c>
      <c r="P620" t="n">
        <v>0</v>
      </c>
      <c r="Q620" t="n">
        <v>0</v>
      </c>
      <c r="R620" s="2" t="inlineStr"/>
    </row>
    <row r="621" ht="15" customHeight="1">
      <c r="A621" t="inlineStr">
        <is>
          <t>A 23444-2019</t>
        </is>
      </c>
      <c r="B621" s="1" t="n">
        <v>43592</v>
      </c>
      <c r="C621" s="1" t="n">
        <v>45661</v>
      </c>
      <c r="D621" t="inlineStr">
        <is>
          <t>STOCKHOLMS LÄN</t>
        </is>
      </c>
      <c r="E621" t="inlineStr">
        <is>
          <t>NYNÄSHAMN</t>
        </is>
      </c>
      <c r="F621" t="inlineStr">
        <is>
          <t>Övriga statliga verk och myndigheter</t>
        </is>
      </c>
      <c r="G621" t="n">
        <v>6.9</v>
      </c>
      <c r="H621" t="n">
        <v>0</v>
      </c>
      <c r="I621" t="n">
        <v>0</v>
      </c>
      <c r="J621" t="n">
        <v>0</v>
      </c>
      <c r="K621" t="n">
        <v>0</v>
      </c>
      <c r="L621" t="n">
        <v>0</v>
      </c>
      <c r="M621" t="n">
        <v>0</v>
      </c>
      <c r="N621" t="n">
        <v>0</v>
      </c>
      <c r="O621" t="n">
        <v>0</v>
      </c>
      <c r="P621" t="n">
        <v>0</v>
      </c>
      <c r="Q621" t="n">
        <v>0</v>
      </c>
      <c r="R621" s="2" t="inlineStr"/>
    </row>
    <row r="622" ht="15" customHeight="1">
      <c r="A622" t="inlineStr">
        <is>
          <t>A 23342-2019</t>
        </is>
      </c>
      <c r="B622" s="1" t="n">
        <v>43593</v>
      </c>
      <c r="C622" s="1" t="n">
        <v>45661</v>
      </c>
      <c r="D622" t="inlineStr">
        <is>
          <t>STOCKHOLMS LÄN</t>
        </is>
      </c>
      <c r="E622" t="inlineStr">
        <is>
          <t>VÄRMDÖ</t>
        </is>
      </c>
      <c r="G622" t="n">
        <v>4</v>
      </c>
      <c r="H622" t="n">
        <v>0</v>
      </c>
      <c r="I622" t="n">
        <v>0</v>
      </c>
      <c r="J622" t="n">
        <v>0</v>
      </c>
      <c r="K622" t="n">
        <v>0</v>
      </c>
      <c r="L622" t="n">
        <v>0</v>
      </c>
      <c r="M622" t="n">
        <v>0</v>
      </c>
      <c r="N622" t="n">
        <v>0</v>
      </c>
      <c r="O622" t="n">
        <v>0</v>
      </c>
      <c r="P622" t="n">
        <v>0</v>
      </c>
      <c r="Q622" t="n">
        <v>0</v>
      </c>
      <c r="R622" s="2" t="inlineStr"/>
    </row>
    <row r="623" ht="15" customHeight="1">
      <c r="A623" t="inlineStr">
        <is>
          <t>A 23711-2019</t>
        </is>
      </c>
      <c r="B623" s="1" t="n">
        <v>43594</v>
      </c>
      <c r="C623" s="1" t="n">
        <v>45661</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23710-2019</t>
        </is>
      </c>
      <c r="B624" s="1" t="n">
        <v>43594</v>
      </c>
      <c r="C624" s="1" t="n">
        <v>45661</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23862-2019</t>
        </is>
      </c>
      <c r="B625" s="1" t="n">
        <v>43595</v>
      </c>
      <c r="C625" s="1" t="n">
        <v>45661</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23878-2019</t>
        </is>
      </c>
      <c r="B626" s="1" t="n">
        <v>43595</v>
      </c>
      <c r="C626" s="1" t="n">
        <v>45661</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23961-2019</t>
        </is>
      </c>
      <c r="B627" s="1" t="n">
        <v>43597</v>
      </c>
      <c r="C627" s="1" t="n">
        <v>45661</v>
      </c>
      <c r="D627" t="inlineStr">
        <is>
          <t>STOCKHOLMS LÄN</t>
        </is>
      </c>
      <c r="E627" t="inlineStr">
        <is>
          <t>NORRTÄLJE</t>
        </is>
      </c>
      <c r="G627" t="n">
        <v>17.6</v>
      </c>
      <c r="H627" t="n">
        <v>0</v>
      </c>
      <c r="I627" t="n">
        <v>0</v>
      </c>
      <c r="J627" t="n">
        <v>0</v>
      </c>
      <c r="K627" t="n">
        <v>0</v>
      </c>
      <c r="L627" t="n">
        <v>0</v>
      </c>
      <c r="M627" t="n">
        <v>0</v>
      </c>
      <c r="N627" t="n">
        <v>0</v>
      </c>
      <c r="O627" t="n">
        <v>0</v>
      </c>
      <c r="P627" t="n">
        <v>0</v>
      </c>
      <c r="Q627" t="n">
        <v>0</v>
      </c>
      <c r="R627" s="2" t="inlineStr"/>
    </row>
    <row r="628" ht="15" customHeight="1">
      <c r="A628" t="inlineStr">
        <is>
          <t>A 23965-2019</t>
        </is>
      </c>
      <c r="B628" s="1" t="n">
        <v>43597</v>
      </c>
      <c r="C628" s="1" t="n">
        <v>45661</v>
      </c>
      <c r="D628" t="inlineStr">
        <is>
          <t>STOCKHOLMS LÄN</t>
        </is>
      </c>
      <c r="E628" t="inlineStr">
        <is>
          <t>NORRTÄLJE</t>
        </is>
      </c>
      <c r="G628" t="n">
        <v>6.1</v>
      </c>
      <c r="H628" t="n">
        <v>0</v>
      </c>
      <c r="I628" t="n">
        <v>0</v>
      </c>
      <c r="J628" t="n">
        <v>0</v>
      </c>
      <c r="K628" t="n">
        <v>0</v>
      </c>
      <c r="L628" t="n">
        <v>0</v>
      </c>
      <c r="M628" t="n">
        <v>0</v>
      </c>
      <c r="N628" t="n">
        <v>0</v>
      </c>
      <c r="O628" t="n">
        <v>0</v>
      </c>
      <c r="P628" t="n">
        <v>0</v>
      </c>
      <c r="Q628" t="n">
        <v>0</v>
      </c>
      <c r="R628" s="2" t="inlineStr"/>
    </row>
    <row r="629" ht="15" customHeight="1">
      <c r="A629" t="inlineStr">
        <is>
          <t>A 23963-2019</t>
        </is>
      </c>
      <c r="B629" s="1" t="n">
        <v>43597</v>
      </c>
      <c r="C629" s="1" t="n">
        <v>45661</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24124-2019</t>
        </is>
      </c>
      <c r="B630" s="1" t="n">
        <v>43598</v>
      </c>
      <c r="C630" s="1" t="n">
        <v>45661</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24058-2019</t>
        </is>
      </c>
      <c r="B631" s="1" t="n">
        <v>43598</v>
      </c>
      <c r="C631" s="1" t="n">
        <v>45661</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24360-2019</t>
        </is>
      </c>
      <c r="B632" s="1" t="n">
        <v>43599</v>
      </c>
      <c r="C632" s="1" t="n">
        <v>45661</v>
      </c>
      <c r="D632" t="inlineStr">
        <is>
          <t>STOCKHOLMS LÄN</t>
        </is>
      </c>
      <c r="E632" t="inlineStr">
        <is>
          <t>NYNÄSHAMN</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24562-2019</t>
        </is>
      </c>
      <c r="B633" s="1" t="n">
        <v>43600</v>
      </c>
      <c r="C633" s="1" t="n">
        <v>45661</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24657-2019</t>
        </is>
      </c>
      <c r="B634" s="1" t="n">
        <v>43601</v>
      </c>
      <c r="C634" s="1" t="n">
        <v>45661</v>
      </c>
      <c r="D634" t="inlineStr">
        <is>
          <t>STOCKHOLMS LÄN</t>
        </is>
      </c>
      <c r="E634" t="inlineStr">
        <is>
          <t>SÖDERTÄLJE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24721-2019</t>
        </is>
      </c>
      <c r="B635" s="1" t="n">
        <v>43601</v>
      </c>
      <c r="C635" s="1" t="n">
        <v>45661</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25284-2019</t>
        </is>
      </c>
      <c r="B636" s="1" t="n">
        <v>43605</v>
      </c>
      <c r="C636" s="1" t="n">
        <v>45661</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25535-2019</t>
        </is>
      </c>
      <c r="B637" s="1" t="n">
        <v>43606</v>
      </c>
      <c r="C637" s="1" t="n">
        <v>45661</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25316-2019</t>
        </is>
      </c>
      <c r="B638" s="1" t="n">
        <v>43606</v>
      </c>
      <c r="C638" s="1" t="n">
        <v>45661</v>
      </c>
      <c r="D638" t="inlineStr">
        <is>
          <t>STOCKHOLMS LÄN</t>
        </is>
      </c>
      <c r="E638" t="inlineStr">
        <is>
          <t>NORRTÄLJE</t>
        </is>
      </c>
      <c r="G638" t="n">
        <v>1.6</v>
      </c>
      <c r="H638" t="n">
        <v>0</v>
      </c>
      <c r="I638" t="n">
        <v>0</v>
      </c>
      <c r="J638" t="n">
        <v>0</v>
      </c>
      <c r="K638" t="n">
        <v>0</v>
      </c>
      <c r="L638" t="n">
        <v>0</v>
      </c>
      <c r="M638" t="n">
        <v>0</v>
      </c>
      <c r="N638" t="n">
        <v>0</v>
      </c>
      <c r="O638" t="n">
        <v>0</v>
      </c>
      <c r="P638" t="n">
        <v>0</v>
      </c>
      <c r="Q638" t="n">
        <v>0</v>
      </c>
      <c r="R638" s="2" t="inlineStr"/>
    </row>
    <row r="639" ht="15" customHeight="1">
      <c r="A639" t="inlineStr">
        <is>
          <t>A 26374-2019</t>
        </is>
      </c>
      <c r="B639" s="1" t="n">
        <v>43606</v>
      </c>
      <c r="C639" s="1" t="n">
        <v>45661</v>
      </c>
      <c r="D639" t="inlineStr">
        <is>
          <t>STOCKHOLMS LÄN</t>
        </is>
      </c>
      <c r="E639" t="inlineStr">
        <is>
          <t>NORRTÄLJE</t>
        </is>
      </c>
      <c r="G639" t="n">
        <v>11.6</v>
      </c>
      <c r="H639" t="n">
        <v>0</v>
      </c>
      <c r="I639" t="n">
        <v>0</v>
      </c>
      <c r="J639" t="n">
        <v>0</v>
      </c>
      <c r="K639" t="n">
        <v>0</v>
      </c>
      <c r="L639" t="n">
        <v>0</v>
      </c>
      <c r="M639" t="n">
        <v>0</v>
      </c>
      <c r="N639" t="n">
        <v>0</v>
      </c>
      <c r="O639" t="n">
        <v>0</v>
      </c>
      <c r="P639" t="n">
        <v>0</v>
      </c>
      <c r="Q639" t="n">
        <v>0</v>
      </c>
      <c r="R639" s="2" t="inlineStr"/>
    </row>
    <row r="640" ht="15" customHeight="1">
      <c r="A640" t="inlineStr">
        <is>
          <t>A 25315-2019</t>
        </is>
      </c>
      <c r="B640" s="1" t="n">
        <v>43606</v>
      </c>
      <c r="C640" s="1" t="n">
        <v>45661</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25625-2019</t>
        </is>
      </c>
      <c r="B641" s="1" t="n">
        <v>43607</v>
      </c>
      <c r="C641" s="1" t="n">
        <v>45661</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26235-2019</t>
        </is>
      </c>
      <c r="B642" s="1" t="n">
        <v>43609</v>
      </c>
      <c r="C642" s="1" t="n">
        <v>45661</v>
      </c>
      <c r="D642" t="inlineStr">
        <is>
          <t>STOCKHOLMS LÄN</t>
        </is>
      </c>
      <c r="E642" t="inlineStr">
        <is>
          <t>NYKVARN</t>
        </is>
      </c>
      <c r="G642" t="n">
        <v>0.6</v>
      </c>
      <c r="H642" t="n">
        <v>0</v>
      </c>
      <c r="I642" t="n">
        <v>0</v>
      </c>
      <c r="J642" t="n">
        <v>0</v>
      </c>
      <c r="K642" t="n">
        <v>0</v>
      </c>
      <c r="L642" t="n">
        <v>0</v>
      </c>
      <c r="M642" t="n">
        <v>0</v>
      </c>
      <c r="N642" t="n">
        <v>0</v>
      </c>
      <c r="O642" t="n">
        <v>0</v>
      </c>
      <c r="P642" t="n">
        <v>0</v>
      </c>
      <c r="Q642" t="n">
        <v>0</v>
      </c>
      <c r="R642" s="2" t="inlineStr"/>
    </row>
    <row r="643" ht="15" customHeight="1">
      <c r="A643" t="inlineStr">
        <is>
          <t>A 26272-2019</t>
        </is>
      </c>
      <c r="B643" s="1" t="n">
        <v>43611</v>
      </c>
      <c r="C643" s="1" t="n">
        <v>45661</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26620-2019</t>
        </is>
      </c>
      <c r="B644" s="1" t="n">
        <v>43612</v>
      </c>
      <c r="C644" s="1" t="n">
        <v>45661</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26566-2019</t>
        </is>
      </c>
      <c r="B645" s="1" t="n">
        <v>43612</v>
      </c>
      <c r="C645" s="1" t="n">
        <v>45661</v>
      </c>
      <c r="D645" t="inlineStr">
        <is>
          <t>STOCKHOLMS LÄN</t>
        </is>
      </c>
      <c r="E645" t="inlineStr">
        <is>
          <t>SÖDERTÄLJE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26391-2019</t>
        </is>
      </c>
      <c r="B646" s="1" t="n">
        <v>43612</v>
      </c>
      <c r="C646" s="1" t="n">
        <v>45661</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26933-2019</t>
        </is>
      </c>
      <c r="B647" s="1" t="n">
        <v>43613</v>
      </c>
      <c r="C647" s="1" t="n">
        <v>45661</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26830-2019</t>
        </is>
      </c>
      <c r="B648" s="1" t="n">
        <v>43613</v>
      </c>
      <c r="C648" s="1" t="n">
        <v>45661</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27095-2019</t>
        </is>
      </c>
      <c r="B649" s="1" t="n">
        <v>43614</v>
      </c>
      <c r="C649" s="1" t="n">
        <v>45661</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28157-2019</t>
        </is>
      </c>
      <c r="B650" s="1" t="n">
        <v>43614</v>
      </c>
      <c r="C650" s="1" t="n">
        <v>45661</v>
      </c>
      <c r="D650" t="inlineStr">
        <is>
          <t>STOCKHOLMS LÄN</t>
        </is>
      </c>
      <c r="E650" t="inlineStr">
        <is>
          <t>NORRTÄLJE</t>
        </is>
      </c>
      <c r="F650" t="inlineStr">
        <is>
          <t>Kyrkan</t>
        </is>
      </c>
      <c r="G650" t="n">
        <v>0.5</v>
      </c>
      <c r="H650" t="n">
        <v>0</v>
      </c>
      <c r="I650" t="n">
        <v>0</v>
      </c>
      <c r="J650" t="n">
        <v>0</v>
      </c>
      <c r="K650" t="n">
        <v>0</v>
      </c>
      <c r="L650" t="n">
        <v>0</v>
      </c>
      <c r="M650" t="n">
        <v>0</v>
      </c>
      <c r="N650" t="n">
        <v>0</v>
      </c>
      <c r="O650" t="n">
        <v>0</v>
      </c>
      <c r="P650" t="n">
        <v>0</v>
      </c>
      <c r="Q650" t="n">
        <v>0</v>
      </c>
      <c r="R650" s="2" t="inlineStr"/>
    </row>
    <row r="651" ht="15" customHeight="1">
      <c r="A651" t="inlineStr">
        <is>
          <t>A 28481-2019</t>
        </is>
      </c>
      <c r="B651" s="1" t="n">
        <v>43614</v>
      </c>
      <c r="C651" s="1" t="n">
        <v>45661</v>
      </c>
      <c r="D651" t="inlineStr">
        <is>
          <t>STOCKHOLMS LÄN</t>
        </is>
      </c>
      <c r="E651" t="inlineStr">
        <is>
          <t>UPPLANDS-BRO</t>
        </is>
      </c>
      <c r="F651" t="inlineStr">
        <is>
          <t>Allmännings- och besparingsskogar</t>
        </is>
      </c>
      <c r="G651" t="n">
        <v>1.8</v>
      </c>
      <c r="H651" t="n">
        <v>0</v>
      </c>
      <c r="I651" t="n">
        <v>0</v>
      </c>
      <c r="J651" t="n">
        <v>0</v>
      </c>
      <c r="K651" t="n">
        <v>0</v>
      </c>
      <c r="L651" t="n">
        <v>0</v>
      </c>
      <c r="M651" t="n">
        <v>0</v>
      </c>
      <c r="N651" t="n">
        <v>0</v>
      </c>
      <c r="O651" t="n">
        <v>0</v>
      </c>
      <c r="P651" t="n">
        <v>0</v>
      </c>
      <c r="Q651" t="n">
        <v>0</v>
      </c>
      <c r="R651" s="2" t="inlineStr"/>
    </row>
    <row r="652" ht="15" customHeight="1">
      <c r="A652" t="inlineStr">
        <is>
          <t>A 27264-2019</t>
        </is>
      </c>
      <c r="B652" s="1" t="n">
        <v>43615</v>
      </c>
      <c r="C652" s="1" t="n">
        <v>45661</v>
      </c>
      <c r="D652" t="inlineStr">
        <is>
          <t>STOCKHOLMS LÄN</t>
        </is>
      </c>
      <c r="E652" t="inlineStr">
        <is>
          <t>NORRTÄLJE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27505-2019</t>
        </is>
      </c>
      <c r="B653" s="1" t="n">
        <v>43619</v>
      </c>
      <c r="C653" s="1" t="n">
        <v>45661</v>
      </c>
      <c r="D653" t="inlineStr">
        <is>
          <t>STOCKHOLMS LÄN</t>
        </is>
      </c>
      <c r="E653" t="inlineStr">
        <is>
          <t>SÖDERTÄLJE</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27502-2019</t>
        </is>
      </c>
      <c r="B654" s="1" t="n">
        <v>43619</v>
      </c>
      <c r="C654" s="1" t="n">
        <v>45661</v>
      </c>
      <c r="D654" t="inlineStr">
        <is>
          <t>STOCKHOLMS LÄN</t>
        </is>
      </c>
      <c r="E654" t="inlineStr">
        <is>
          <t>SÖDERTÄLJE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27611-2019</t>
        </is>
      </c>
      <c r="B655" s="1" t="n">
        <v>43619</v>
      </c>
      <c r="C655" s="1" t="n">
        <v>45661</v>
      </c>
      <c r="D655" t="inlineStr">
        <is>
          <t>STOCKHOLMS LÄN</t>
        </is>
      </c>
      <c r="E655" t="inlineStr">
        <is>
          <t>NYKVARN</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27623-2019</t>
        </is>
      </c>
      <c r="B656" s="1" t="n">
        <v>43619</v>
      </c>
      <c r="C656" s="1" t="n">
        <v>45661</v>
      </c>
      <c r="D656" t="inlineStr">
        <is>
          <t>STOCKHOLMS LÄN</t>
        </is>
      </c>
      <c r="E656" t="inlineStr">
        <is>
          <t>NYKVARN</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27971-2019</t>
        </is>
      </c>
      <c r="B657" s="1" t="n">
        <v>43620</v>
      </c>
      <c r="C657" s="1" t="n">
        <v>45661</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27967-2019</t>
        </is>
      </c>
      <c r="B658" s="1" t="n">
        <v>43620</v>
      </c>
      <c r="C658" s="1" t="n">
        <v>45661</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24679-2019</t>
        </is>
      </c>
      <c r="B659" s="1" t="n">
        <v>43621</v>
      </c>
      <c r="C659" s="1" t="n">
        <v>45661</v>
      </c>
      <c r="D659" t="inlineStr">
        <is>
          <t>STOCKHOLMS LÄN</t>
        </is>
      </c>
      <c r="E659" t="inlineStr">
        <is>
          <t>VALLENTUNA</t>
        </is>
      </c>
      <c r="F659" t="inlineStr">
        <is>
          <t>Kommuner</t>
        </is>
      </c>
      <c r="G659" t="n">
        <v>31.6</v>
      </c>
      <c r="H659" t="n">
        <v>0</v>
      </c>
      <c r="I659" t="n">
        <v>0</v>
      </c>
      <c r="J659" t="n">
        <v>0</v>
      </c>
      <c r="K659" t="n">
        <v>0</v>
      </c>
      <c r="L659" t="n">
        <v>0</v>
      </c>
      <c r="M659" t="n">
        <v>0</v>
      </c>
      <c r="N659" t="n">
        <v>0</v>
      </c>
      <c r="O659" t="n">
        <v>0</v>
      </c>
      <c r="P659" t="n">
        <v>0</v>
      </c>
      <c r="Q659" t="n">
        <v>0</v>
      </c>
      <c r="R659" s="2" t="inlineStr"/>
    </row>
    <row r="660" ht="15" customHeight="1">
      <c r="A660" t="inlineStr">
        <is>
          <t>A 28121-2019</t>
        </is>
      </c>
      <c r="B660" s="1" t="n">
        <v>43621</v>
      </c>
      <c r="C660" s="1" t="n">
        <v>45661</v>
      </c>
      <c r="D660" t="inlineStr">
        <is>
          <t>STOCKHOLMS LÄN</t>
        </is>
      </c>
      <c r="E660" t="inlineStr">
        <is>
          <t>NORRTÄLJE</t>
        </is>
      </c>
      <c r="F660" t="inlineStr">
        <is>
          <t>Kyrkan</t>
        </is>
      </c>
      <c r="G660" t="n">
        <v>2.5</v>
      </c>
      <c r="H660" t="n">
        <v>0</v>
      </c>
      <c r="I660" t="n">
        <v>0</v>
      </c>
      <c r="J660" t="n">
        <v>0</v>
      </c>
      <c r="K660" t="n">
        <v>0</v>
      </c>
      <c r="L660" t="n">
        <v>0</v>
      </c>
      <c r="M660" t="n">
        <v>0</v>
      </c>
      <c r="N660" t="n">
        <v>0</v>
      </c>
      <c r="O660" t="n">
        <v>0</v>
      </c>
      <c r="P660" t="n">
        <v>0</v>
      </c>
      <c r="Q660" t="n">
        <v>0</v>
      </c>
      <c r="R660" s="2" t="inlineStr"/>
    </row>
    <row r="661" ht="15" customHeight="1">
      <c r="A661" t="inlineStr">
        <is>
          <t>A 28289-2019</t>
        </is>
      </c>
      <c r="B661" s="1" t="n">
        <v>43623</v>
      </c>
      <c r="C661" s="1" t="n">
        <v>45661</v>
      </c>
      <c r="D661" t="inlineStr">
        <is>
          <t>STOCKHOLMS LÄN</t>
        </is>
      </c>
      <c r="E661" t="inlineStr">
        <is>
          <t>NORRTÄLJE</t>
        </is>
      </c>
      <c r="G661" t="n">
        <v>7.7</v>
      </c>
      <c r="H661" t="n">
        <v>0</v>
      </c>
      <c r="I661" t="n">
        <v>0</v>
      </c>
      <c r="J661" t="n">
        <v>0</v>
      </c>
      <c r="K661" t="n">
        <v>0</v>
      </c>
      <c r="L661" t="n">
        <v>0</v>
      </c>
      <c r="M661" t="n">
        <v>0</v>
      </c>
      <c r="N661" t="n">
        <v>0</v>
      </c>
      <c r="O661" t="n">
        <v>0</v>
      </c>
      <c r="P661" t="n">
        <v>0</v>
      </c>
      <c r="Q661" t="n">
        <v>0</v>
      </c>
      <c r="R661" s="2" t="inlineStr"/>
    </row>
    <row r="662" ht="15" customHeight="1">
      <c r="A662" t="inlineStr">
        <is>
          <t>A 28330-2019</t>
        </is>
      </c>
      <c r="B662" s="1" t="n">
        <v>43623</v>
      </c>
      <c r="C662" s="1" t="n">
        <v>45661</v>
      </c>
      <c r="D662" t="inlineStr">
        <is>
          <t>STOCKHOLMS LÄN</t>
        </is>
      </c>
      <c r="E662" t="inlineStr">
        <is>
          <t>SIGTUNA</t>
        </is>
      </c>
      <c r="G662" t="n">
        <v>6.3</v>
      </c>
      <c r="H662" t="n">
        <v>0</v>
      </c>
      <c r="I662" t="n">
        <v>0</v>
      </c>
      <c r="J662" t="n">
        <v>0</v>
      </c>
      <c r="K662" t="n">
        <v>0</v>
      </c>
      <c r="L662" t="n">
        <v>0</v>
      </c>
      <c r="M662" t="n">
        <v>0</v>
      </c>
      <c r="N662" t="n">
        <v>0</v>
      </c>
      <c r="O662" t="n">
        <v>0</v>
      </c>
      <c r="P662" t="n">
        <v>0</v>
      </c>
      <c r="Q662" t="n">
        <v>0</v>
      </c>
      <c r="R662" s="2" t="inlineStr"/>
    </row>
    <row r="663" ht="15" customHeight="1">
      <c r="A663" t="inlineStr">
        <is>
          <t>A 28519-2019</t>
        </is>
      </c>
      <c r="B663" s="1" t="n">
        <v>43626</v>
      </c>
      <c r="C663" s="1" t="n">
        <v>45661</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28495-2019</t>
        </is>
      </c>
      <c r="B664" s="1" t="n">
        <v>43626</v>
      </c>
      <c r="C664" s="1" t="n">
        <v>45661</v>
      </c>
      <c r="D664" t="inlineStr">
        <is>
          <t>STOCKHOLMS LÄN</t>
        </is>
      </c>
      <c r="E664" t="inlineStr">
        <is>
          <t>NORRTÄLJE</t>
        </is>
      </c>
      <c r="G664" t="n">
        <v>14.7</v>
      </c>
      <c r="H664" t="n">
        <v>0</v>
      </c>
      <c r="I664" t="n">
        <v>0</v>
      </c>
      <c r="J664" t="n">
        <v>0</v>
      </c>
      <c r="K664" t="n">
        <v>0</v>
      </c>
      <c r="L664" t="n">
        <v>0</v>
      </c>
      <c r="M664" t="n">
        <v>0</v>
      </c>
      <c r="N664" t="n">
        <v>0</v>
      </c>
      <c r="O664" t="n">
        <v>0</v>
      </c>
      <c r="P664" t="n">
        <v>0</v>
      </c>
      <c r="Q664" t="n">
        <v>0</v>
      </c>
      <c r="R664" s="2" t="inlineStr"/>
    </row>
    <row r="665" ht="15" customHeight="1">
      <c r="A665" t="inlineStr">
        <is>
          <t>A 28394-2019</t>
        </is>
      </c>
      <c r="B665" s="1" t="n">
        <v>43626</v>
      </c>
      <c r="C665" s="1" t="n">
        <v>45661</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28560-2019</t>
        </is>
      </c>
      <c r="B666" s="1" t="n">
        <v>43626</v>
      </c>
      <c r="C666" s="1" t="n">
        <v>45661</v>
      </c>
      <c r="D666" t="inlineStr">
        <is>
          <t>STOCKHOLMS LÄN</t>
        </is>
      </c>
      <c r="E666" t="inlineStr">
        <is>
          <t>SIGTUNA</t>
        </is>
      </c>
      <c r="G666" t="n">
        <v>1.4</v>
      </c>
      <c r="H666" t="n">
        <v>0</v>
      </c>
      <c r="I666" t="n">
        <v>0</v>
      </c>
      <c r="J666" t="n">
        <v>0</v>
      </c>
      <c r="K666" t="n">
        <v>0</v>
      </c>
      <c r="L666" t="n">
        <v>0</v>
      </c>
      <c r="M666" t="n">
        <v>0</v>
      </c>
      <c r="N666" t="n">
        <v>0</v>
      </c>
      <c r="O666" t="n">
        <v>0</v>
      </c>
      <c r="P666" t="n">
        <v>0</v>
      </c>
      <c r="Q666" t="n">
        <v>0</v>
      </c>
      <c r="R666" s="2" t="inlineStr"/>
    </row>
    <row r="667" ht="15" customHeight="1">
      <c r="A667" t="inlineStr">
        <is>
          <t>A 28384-2019</t>
        </is>
      </c>
      <c r="B667" s="1" t="n">
        <v>43626</v>
      </c>
      <c r="C667" s="1" t="n">
        <v>45661</v>
      </c>
      <c r="D667" t="inlineStr">
        <is>
          <t>STOCKHOLMS LÄN</t>
        </is>
      </c>
      <c r="E667" t="inlineStr">
        <is>
          <t>SIGTUNA</t>
        </is>
      </c>
      <c r="G667" t="n">
        <v>6.3</v>
      </c>
      <c r="H667" t="n">
        <v>0</v>
      </c>
      <c r="I667" t="n">
        <v>0</v>
      </c>
      <c r="J667" t="n">
        <v>0</v>
      </c>
      <c r="K667" t="n">
        <v>0</v>
      </c>
      <c r="L667" t="n">
        <v>0</v>
      </c>
      <c r="M667" t="n">
        <v>0</v>
      </c>
      <c r="N667" t="n">
        <v>0</v>
      </c>
      <c r="O667" t="n">
        <v>0</v>
      </c>
      <c r="P667" t="n">
        <v>0</v>
      </c>
      <c r="Q667" t="n">
        <v>0</v>
      </c>
      <c r="R667" s="2" t="inlineStr"/>
    </row>
    <row r="668" ht="15" customHeight="1">
      <c r="A668" t="inlineStr">
        <is>
          <t>A 29260-2019</t>
        </is>
      </c>
      <c r="B668" s="1" t="n">
        <v>43629</v>
      </c>
      <c r="C668" s="1" t="n">
        <v>45661</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29953-2019</t>
        </is>
      </c>
      <c r="B669" s="1" t="n">
        <v>43629</v>
      </c>
      <c r="C669" s="1" t="n">
        <v>45661</v>
      </c>
      <c r="D669" t="inlineStr">
        <is>
          <t>STOCKHOLMS LÄN</t>
        </is>
      </c>
      <c r="E669" t="inlineStr">
        <is>
          <t>VALLENTUNA</t>
        </is>
      </c>
      <c r="G669" t="n">
        <v>1.6</v>
      </c>
      <c r="H669" t="n">
        <v>0</v>
      </c>
      <c r="I669" t="n">
        <v>0</v>
      </c>
      <c r="J669" t="n">
        <v>0</v>
      </c>
      <c r="K669" t="n">
        <v>0</v>
      </c>
      <c r="L669" t="n">
        <v>0</v>
      </c>
      <c r="M669" t="n">
        <v>0</v>
      </c>
      <c r="N669" t="n">
        <v>0</v>
      </c>
      <c r="O669" t="n">
        <v>0</v>
      </c>
      <c r="P669" t="n">
        <v>0</v>
      </c>
      <c r="Q669" t="n">
        <v>0</v>
      </c>
      <c r="R669" s="2" t="inlineStr"/>
    </row>
    <row r="670" ht="15" customHeight="1">
      <c r="A670" t="inlineStr">
        <is>
          <t>A 29312-2019</t>
        </is>
      </c>
      <c r="B670" s="1" t="n">
        <v>43629</v>
      </c>
      <c r="C670" s="1" t="n">
        <v>45661</v>
      </c>
      <c r="D670" t="inlineStr">
        <is>
          <t>STOCKHOLMS LÄN</t>
        </is>
      </c>
      <c r="E670" t="inlineStr">
        <is>
          <t>NORRTÄLJE</t>
        </is>
      </c>
      <c r="G670" t="n">
        <v>7.1</v>
      </c>
      <c r="H670" t="n">
        <v>0</v>
      </c>
      <c r="I670" t="n">
        <v>0</v>
      </c>
      <c r="J670" t="n">
        <v>0</v>
      </c>
      <c r="K670" t="n">
        <v>0</v>
      </c>
      <c r="L670" t="n">
        <v>0</v>
      </c>
      <c r="M670" t="n">
        <v>0</v>
      </c>
      <c r="N670" t="n">
        <v>0</v>
      </c>
      <c r="O670" t="n">
        <v>0</v>
      </c>
      <c r="P670" t="n">
        <v>0</v>
      </c>
      <c r="Q670" t="n">
        <v>0</v>
      </c>
      <c r="R670" s="2" t="inlineStr"/>
    </row>
    <row r="671" ht="15" customHeight="1">
      <c r="A671" t="inlineStr">
        <is>
          <t>A 29759-2019</t>
        </is>
      </c>
      <c r="B671" s="1" t="n">
        <v>43631</v>
      </c>
      <c r="C671" s="1" t="n">
        <v>45661</v>
      </c>
      <c r="D671" t="inlineStr">
        <is>
          <t>STOCKHOLMS LÄN</t>
        </is>
      </c>
      <c r="E671" t="inlineStr">
        <is>
          <t>NORRTÄLJE</t>
        </is>
      </c>
      <c r="G671" t="n">
        <v>0.8</v>
      </c>
      <c r="H671" t="n">
        <v>0</v>
      </c>
      <c r="I671" t="n">
        <v>0</v>
      </c>
      <c r="J671" t="n">
        <v>0</v>
      </c>
      <c r="K671" t="n">
        <v>0</v>
      </c>
      <c r="L671" t="n">
        <v>0</v>
      </c>
      <c r="M671" t="n">
        <v>0</v>
      </c>
      <c r="N671" t="n">
        <v>0</v>
      </c>
      <c r="O671" t="n">
        <v>0</v>
      </c>
      <c r="P671" t="n">
        <v>0</v>
      </c>
      <c r="Q671" t="n">
        <v>0</v>
      </c>
      <c r="R671" s="2" t="inlineStr"/>
    </row>
    <row r="672" ht="15" customHeight="1">
      <c r="A672" t="inlineStr">
        <is>
          <t>A 29973-2019</t>
        </is>
      </c>
      <c r="B672" s="1" t="n">
        <v>43633</v>
      </c>
      <c r="C672" s="1" t="n">
        <v>45661</v>
      </c>
      <c r="D672" t="inlineStr">
        <is>
          <t>STOCKHOLMS LÄN</t>
        </is>
      </c>
      <c r="E672" t="inlineStr">
        <is>
          <t>ÖSTERÅKER</t>
        </is>
      </c>
      <c r="G672" t="n">
        <v>0.4</v>
      </c>
      <c r="H672" t="n">
        <v>0</v>
      </c>
      <c r="I672" t="n">
        <v>0</v>
      </c>
      <c r="J672" t="n">
        <v>0</v>
      </c>
      <c r="K672" t="n">
        <v>0</v>
      </c>
      <c r="L672" t="n">
        <v>0</v>
      </c>
      <c r="M672" t="n">
        <v>0</v>
      </c>
      <c r="N672" t="n">
        <v>0</v>
      </c>
      <c r="O672" t="n">
        <v>0</v>
      </c>
      <c r="P672" t="n">
        <v>0</v>
      </c>
      <c r="Q672" t="n">
        <v>0</v>
      </c>
      <c r="R672" s="2" t="inlineStr"/>
    </row>
    <row r="673" ht="15" customHeight="1">
      <c r="A673" t="inlineStr">
        <is>
          <t>A 30000-2019</t>
        </is>
      </c>
      <c r="B673" s="1" t="n">
        <v>43633</v>
      </c>
      <c r="C673" s="1" t="n">
        <v>45661</v>
      </c>
      <c r="D673" t="inlineStr">
        <is>
          <t>STOCKHOLMS LÄN</t>
        </is>
      </c>
      <c r="E673" t="inlineStr">
        <is>
          <t>NORRTÄLJE</t>
        </is>
      </c>
      <c r="G673" t="n">
        <v>5.4</v>
      </c>
      <c r="H673" t="n">
        <v>0</v>
      </c>
      <c r="I673" t="n">
        <v>0</v>
      </c>
      <c r="J673" t="n">
        <v>0</v>
      </c>
      <c r="K673" t="n">
        <v>0</v>
      </c>
      <c r="L673" t="n">
        <v>0</v>
      </c>
      <c r="M673" t="n">
        <v>0</v>
      </c>
      <c r="N673" t="n">
        <v>0</v>
      </c>
      <c r="O673" t="n">
        <v>0</v>
      </c>
      <c r="P673" t="n">
        <v>0</v>
      </c>
      <c r="Q673" t="n">
        <v>0</v>
      </c>
      <c r="R673" s="2" t="inlineStr"/>
    </row>
    <row r="674" ht="15" customHeight="1">
      <c r="A674" t="inlineStr">
        <is>
          <t>A 30529-2019</t>
        </is>
      </c>
      <c r="B674" s="1" t="n">
        <v>43635</v>
      </c>
      <c r="C674" s="1" t="n">
        <v>45661</v>
      </c>
      <c r="D674" t="inlineStr">
        <is>
          <t>STOCKHOLMS LÄN</t>
        </is>
      </c>
      <c r="E674" t="inlineStr">
        <is>
          <t>VÄRMDÖ</t>
        </is>
      </c>
      <c r="G674" t="n">
        <v>2.6</v>
      </c>
      <c r="H674" t="n">
        <v>0</v>
      </c>
      <c r="I674" t="n">
        <v>0</v>
      </c>
      <c r="J674" t="n">
        <v>0</v>
      </c>
      <c r="K674" t="n">
        <v>0</v>
      </c>
      <c r="L674" t="n">
        <v>0</v>
      </c>
      <c r="M674" t="n">
        <v>0</v>
      </c>
      <c r="N674" t="n">
        <v>0</v>
      </c>
      <c r="O674" t="n">
        <v>0</v>
      </c>
      <c r="P674" t="n">
        <v>0</v>
      </c>
      <c r="Q674" t="n">
        <v>0</v>
      </c>
      <c r="R674" s="2" t="inlineStr"/>
    </row>
    <row r="675" ht="15" customHeight="1">
      <c r="A675" t="inlineStr">
        <is>
          <t>A 31171-2019</t>
        </is>
      </c>
      <c r="B675" s="1" t="n">
        <v>43635</v>
      </c>
      <c r="C675" s="1" t="n">
        <v>45661</v>
      </c>
      <c r="D675" t="inlineStr">
        <is>
          <t>STOCKHOLMS LÄN</t>
        </is>
      </c>
      <c r="E675" t="inlineStr">
        <is>
          <t>EKERÖ</t>
        </is>
      </c>
      <c r="F675" t="inlineStr">
        <is>
          <t>Övriga statliga verk och myndigheter</t>
        </is>
      </c>
      <c r="G675" t="n">
        <v>2.6</v>
      </c>
      <c r="H675" t="n">
        <v>0</v>
      </c>
      <c r="I675" t="n">
        <v>0</v>
      </c>
      <c r="J675" t="n">
        <v>0</v>
      </c>
      <c r="K675" t="n">
        <v>0</v>
      </c>
      <c r="L675" t="n">
        <v>0</v>
      </c>
      <c r="M675" t="n">
        <v>0</v>
      </c>
      <c r="N675" t="n">
        <v>0</v>
      </c>
      <c r="O675" t="n">
        <v>0</v>
      </c>
      <c r="P675" t="n">
        <v>0</v>
      </c>
      <c r="Q675" t="n">
        <v>0</v>
      </c>
      <c r="R675" s="2" t="inlineStr"/>
    </row>
    <row r="676" ht="15" customHeight="1">
      <c r="A676" t="inlineStr">
        <is>
          <t>A 30833-2019</t>
        </is>
      </c>
      <c r="B676" s="1" t="n">
        <v>43636</v>
      </c>
      <c r="C676" s="1" t="n">
        <v>45661</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31215-2019</t>
        </is>
      </c>
      <c r="B677" s="1" t="n">
        <v>43640</v>
      </c>
      <c r="C677" s="1" t="n">
        <v>45661</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31211-2019</t>
        </is>
      </c>
      <c r="B678" s="1" t="n">
        <v>43640</v>
      </c>
      <c r="C678" s="1" t="n">
        <v>45661</v>
      </c>
      <c r="D678" t="inlineStr">
        <is>
          <t>STOCKHOLMS LÄN</t>
        </is>
      </c>
      <c r="E678" t="inlineStr">
        <is>
          <t>VÄRMDÖ</t>
        </is>
      </c>
      <c r="G678" t="n">
        <v>1.3</v>
      </c>
      <c r="H678" t="n">
        <v>0</v>
      </c>
      <c r="I678" t="n">
        <v>0</v>
      </c>
      <c r="J678" t="n">
        <v>0</v>
      </c>
      <c r="K678" t="n">
        <v>0</v>
      </c>
      <c r="L678" t="n">
        <v>0</v>
      </c>
      <c r="M678" t="n">
        <v>0</v>
      </c>
      <c r="N678" t="n">
        <v>0</v>
      </c>
      <c r="O678" t="n">
        <v>0</v>
      </c>
      <c r="P678" t="n">
        <v>0</v>
      </c>
      <c r="Q678" t="n">
        <v>0</v>
      </c>
      <c r="R678" s="2" t="inlineStr"/>
    </row>
    <row r="679" ht="15" customHeight="1">
      <c r="A679" t="inlineStr">
        <is>
          <t>A 31017-2019</t>
        </is>
      </c>
      <c r="B679" s="1" t="n">
        <v>43640</v>
      </c>
      <c r="C679" s="1" t="n">
        <v>45661</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31382-2019</t>
        </is>
      </c>
      <c r="B680" s="1" t="n">
        <v>43641</v>
      </c>
      <c r="C680" s="1" t="n">
        <v>45661</v>
      </c>
      <c r="D680" t="inlineStr">
        <is>
          <t>STOCKHOLMS LÄN</t>
        </is>
      </c>
      <c r="E680" t="inlineStr">
        <is>
          <t>NYNÄSHAMN</t>
        </is>
      </c>
      <c r="G680" t="n">
        <v>7</v>
      </c>
      <c r="H680" t="n">
        <v>0</v>
      </c>
      <c r="I680" t="n">
        <v>0</v>
      </c>
      <c r="J680" t="n">
        <v>0</v>
      </c>
      <c r="K680" t="n">
        <v>0</v>
      </c>
      <c r="L680" t="n">
        <v>0</v>
      </c>
      <c r="M680" t="n">
        <v>0</v>
      </c>
      <c r="N680" t="n">
        <v>0</v>
      </c>
      <c r="O680" t="n">
        <v>0</v>
      </c>
      <c r="P680" t="n">
        <v>0</v>
      </c>
      <c r="Q680" t="n">
        <v>0</v>
      </c>
      <c r="R680" s="2" t="inlineStr"/>
    </row>
    <row r="681" ht="15" customHeight="1">
      <c r="A681" t="inlineStr">
        <is>
          <t>A 31662-2019</t>
        </is>
      </c>
      <c r="B681" s="1" t="n">
        <v>43642</v>
      </c>
      <c r="C681" s="1" t="n">
        <v>45661</v>
      </c>
      <c r="D681" t="inlineStr">
        <is>
          <t>STOCKHOLMS LÄN</t>
        </is>
      </c>
      <c r="E681" t="inlineStr">
        <is>
          <t>SÖDERTÄLJE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31966-2019</t>
        </is>
      </c>
      <c r="B682" s="1" t="n">
        <v>43643</v>
      </c>
      <c r="C682" s="1" t="n">
        <v>45661</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31971-2019</t>
        </is>
      </c>
      <c r="B683" s="1" t="n">
        <v>43643</v>
      </c>
      <c r="C683" s="1" t="n">
        <v>45661</v>
      </c>
      <c r="D683" t="inlineStr">
        <is>
          <t>STOCKHOLMS LÄN</t>
        </is>
      </c>
      <c r="E683" t="inlineStr">
        <is>
          <t>NYNÄSHAMN</t>
        </is>
      </c>
      <c r="G683" t="n">
        <v>3.1</v>
      </c>
      <c r="H683" t="n">
        <v>0</v>
      </c>
      <c r="I683" t="n">
        <v>0</v>
      </c>
      <c r="J683" t="n">
        <v>0</v>
      </c>
      <c r="K683" t="n">
        <v>0</v>
      </c>
      <c r="L683" t="n">
        <v>0</v>
      </c>
      <c r="M683" t="n">
        <v>0</v>
      </c>
      <c r="N683" t="n">
        <v>0</v>
      </c>
      <c r="O683" t="n">
        <v>0</v>
      </c>
      <c r="P683" t="n">
        <v>0</v>
      </c>
      <c r="Q683" t="n">
        <v>0</v>
      </c>
      <c r="R683" s="2" t="inlineStr"/>
    </row>
    <row r="684" ht="15" customHeight="1">
      <c r="A684" t="inlineStr">
        <is>
          <t>A 31976-2019</t>
        </is>
      </c>
      <c r="B684" s="1" t="n">
        <v>43643</v>
      </c>
      <c r="C684" s="1" t="n">
        <v>45661</v>
      </c>
      <c r="D684" t="inlineStr">
        <is>
          <t>STOCKHOLMS LÄN</t>
        </is>
      </c>
      <c r="E684" t="inlineStr">
        <is>
          <t>NYNÄSHAMN</t>
        </is>
      </c>
      <c r="G684" t="n">
        <v>7.6</v>
      </c>
      <c r="H684" t="n">
        <v>0</v>
      </c>
      <c r="I684" t="n">
        <v>0</v>
      </c>
      <c r="J684" t="n">
        <v>0</v>
      </c>
      <c r="K684" t="n">
        <v>0</v>
      </c>
      <c r="L684" t="n">
        <v>0</v>
      </c>
      <c r="M684" t="n">
        <v>0</v>
      </c>
      <c r="N684" t="n">
        <v>0</v>
      </c>
      <c r="O684" t="n">
        <v>0</v>
      </c>
      <c r="P684" t="n">
        <v>0</v>
      </c>
      <c r="Q684" t="n">
        <v>0</v>
      </c>
      <c r="R684" s="2" t="inlineStr"/>
    </row>
    <row r="685" ht="15" customHeight="1">
      <c r="A685" t="inlineStr">
        <is>
          <t>A 33732-2019</t>
        </is>
      </c>
      <c r="B685" s="1" t="n">
        <v>43644</v>
      </c>
      <c r="C685" s="1" t="n">
        <v>45661</v>
      </c>
      <c r="D685" t="inlineStr">
        <is>
          <t>STOCKHOLMS LÄN</t>
        </is>
      </c>
      <c r="E685" t="inlineStr">
        <is>
          <t>UPPLANDS-BRO</t>
        </is>
      </c>
      <c r="G685" t="n">
        <v>0.9</v>
      </c>
      <c r="H685" t="n">
        <v>0</v>
      </c>
      <c r="I685" t="n">
        <v>0</v>
      </c>
      <c r="J685" t="n">
        <v>0</v>
      </c>
      <c r="K685" t="n">
        <v>0</v>
      </c>
      <c r="L685" t="n">
        <v>0</v>
      </c>
      <c r="M685" t="n">
        <v>0</v>
      </c>
      <c r="N685" t="n">
        <v>0</v>
      </c>
      <c r="O685" t="n">
        <v>0</v>
      </c>
      <c r="P685" t="n">
        <v>0</v>
      </c>
      <c r="Q685" t="n">
        <v>0</v>
      </c>
      <c r="R685" s="2" t="inlineStr"/>
    </row>
    <row r="686" ht="15" customHeight="1">
      <c r="A686" t="inlineStr">
        <is>
          <t>A 32725-2019</t>
        </is>
      </c>
      <c r="B686" s="1" t="n">
        <v>43647</v>
      </c>
      <c r="C686" s="1" t="n">
        <v>45661</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32726-2019</t>
        </is>
      </c>
      <c r="B687" s="1" t="n">
        <v>43647</v>
      </c>
      <c r="C687" s="1" t="n">
        <v>45661</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32813-2019</t>
        </is>
      </c>
      <c r="B688" s="1" t="n">
        <v>43648</v>
      </c>
      <c r="C688" s="1" t="n">
        <v>45661</v>
      </c>
      <c r="D688" t="inlineStr">
        <is>
          <t>STOCKHOLMS LÄN</t>
        </is>
      </c>
      <c r="E688" t="inlineStr">
        <is>
          <t>SIGTUNA</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33196-2019</t>
        </is>
      </c>
      <c r="B689" s="1" t="n">
        <v>43649</v>
      </c>
      <c r="C689" s="1" t="n">
        <v>45661</v>
      </c>
      <c r="D689" t="inlineStr">
        <is>
          <t>STOCKHOLMS LÄN</t>
        </is>
      </c>
      <c r="E689" t="inlineStr">
        <is>
          <t>NYKVARN</t>
        </is>
      </c>
      <c r="G689" t="n">
        <v>0.9</v>
      </c>
      <c r="H689" t="n">
        <v>0</v>
      </c>
      <c r="I689" t="n">
        <v>0</v>
      </c>
      <c r="J689" t="n">
        <v>0</v>
      </c>
      <c r="K689" t="n">
        <v>0</v>
      </c>
      <c r="L689" t="n">
        <v>0</v>
      </c>
      <c r="M689" t="n">
        <v>0</v>
      </c>
      <c r="N689" t="n">
        <v>0</v>
      </c>
      <c r="O689" t="n">
        <v>0</v>
      </c>
      <c r="P689" t="n">
        <v>0</v>
      </c>
      <c r="Q689" t="n">
        <v>0</v>
      </c>
      <c r="R689" s="2" t="inlineStr"/>
    </row>
    <row r="690" ht="15" customHeight="1">
      <c r="A690" t="inlineStr">
        <is>
          <t>A 33207-2019</t>
        </is>
      </c>
      <c r="B690" s="1" t="n">
        <v>43649</v>
      </c>
      <c r="C690" s="1" t="n">
        <v>45661</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35301-2019</t>
        </is>
      </c>
      <c r="B691" s="1" t="n">
        <v>43651</v>
      </c>
      <c r="C691" s="1" t="n">
        <v>45661</v>
      </c>
      <c r="D691" t="inlineStr">
        <is>
          <t>STOCKHOLMS LÄN</t>
        </is>
      </c>
      <c r="E691" t="inlineStr">
        <is>
          <t>VALLENTUNA</t>
        </is>
      </c>
      <c r="G691" t="n">
        <v>4.7</v>
      </c>
      <c r="H691" t="n">
        <v>0</v>
      </c>
      <c r="I691" t="n">
        <v>0</v>
      </c>
      <c r="J691" t="n">
        <v>0</v>
      </c>
      <c r="K691" t="n">
        <v>0</v>
      </c>
      <c r="L691" t="n">
        <v>0</v>
      </c>
      <c r="M691" t="n">
        <v>0</v>
      </c>
      <c r="N691" t="n">
        <v>0</v>
      </c>
      <c r="O691" t="n">
        <v>0</v>
      </c>
      <c r="P691" t="n">
        <v>0</v>
      </c>
      <c r="Q691" t="n">
        <v>0</v>
      </c>
      <c r="R691" s="2" t="inlineStr"/>
    </row>
    <row r="692" ht="15" customHeight="1">
      <c r="A692" t="inlineStr">
        <is>
          <t>A 35303-2019</t>
        </is>
      </c>
      <c r="B692" s="1" t="n">
        <v>43651</v>
      </c>
      <c r="C692" s="1" t="n">
        <v>45661</v>
      </c>
      <c r="D692" t="inlineStr">
        <is>
          <t>STOCKHOLMS LÄN</t>
        </is>
      </c>
      <c r="E692" t="inlineStr">
        <is>
          <t>VALLENTUNA</t>
        </is>
      </c>
      <c r="G692" t="n">
        <v>7</v>
      </c>
      <c r="H692" t="n">
        <v>0</v>
      </c>
      <c r="I692" t="n">
        <v>0</v>
      </c>
      <c r="J692" t="n">
        <v>0</v>
      </c>
      <c r="K692" t="n">
        <v>0</v>
      </c>
      <c r="L692" t="n">
        <v>0</v>
      </c>
      <c r="M692" t="n">
        <v>0</v>
      </c>
      <c r="N692" t="n">
        <v>0</v>
      </c>
      <c r="O692" t="n">
        <v>0</v>
      </c>
      <c r="P692" t="n">
        <v>0</v>
      </c>
      <c r="Q692" t="n">
        <v>0</v>
      </c>
      <c r="R692" s="2" t="inlineStr"/>
    </row>
    <row r="693" ht="15" customHeight="1">
      <c r="A693" t="inlineStr">
        <is>
          <t>A 33955-2019</t>
        </is>
      </c>
      <c r="B693" s="1" t="n">
        <v>43654</v>
      </c>
      <c r="C693" s="1" t="n">
        <v>45661</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33966-2019</t>
        </is>
      </c>
      <c r="B694" s="1" t="n">
        <v>43654</v>
      </c>
      <c r="C694" s="1" t="n">
        <v>45661</v>
      </c>
      <c r="D694" t="inlineStr">
        <is>
          <t>STOCKHOLMS LÄN</t>
        </is>
      </c>
      <c r="E694" t="inlineStr">
        <is>
          <t>NORRTÄLJE</t>
        </is>
      </c>
      <c r="G694" t="n">
        <v>3.2</v>
      </c>
      <c r="H694" t="n">
        <v>0</v>
      </c>
      <c r="I694" t="n">
        <v>0</v>
      </c>
      <c r="J694" t="n">
        <v>0</v>
      </c>
      <c r="K694" t="n">
        <v>0</v>
      </c>
      <c r="L694" t="n">
        <v>0</v>
      </c>
      <c r="M694" t="n">
        <v>0</v>
      </c>
      <c r="N694" t="n">
        <v>0</v>
      </c>
      <c r="O694" t="n">
        <v>0</v>
      </c>
      <c r="P694" t="n">
        <v>0</v>
      </c>
      <c r="Q694" t="n">
        <v>0</v>
      </c>
      <c r="R694" s="2" t="inlineStr"/>
    </row>
    <row r="695" ht="15" customHeight="1">
      <c r="A695" t="inlineStr">
        <is>
          <t>A 35247-2019</t>
        </is>
      </c>
      <c r="B695" s="1" t="n">
        <v>43656</v>
      </c>
      <c r="C695" s="1" t="n">
        <v>45661</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35244-2019</t>
        </is>
      </c>
      <c r="B696" s="1" t="n">
        <v>43656</v>
      </c>
      <c r="C696" s="1" t="n">
        <v>45661</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35249-2019</t>
        </is>
      </c>
      <c r="B697" s="1" t="n">
        <v>43656</v>
      </c>
      <c r="C697" s="1" t="n">
        <v>45661</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35251-2019</t>
        </is>
      </c>
      <c r="B698" s="1" t="n">
        <v>43656</v>
      </c>
      <c r="C698" s="1" t="n">
        <v>45661</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34656-2019</t>
        </is>
      </c>
      <c r="B699" s="1" t="n">
        <v>43657</v>
      </c>
      <c r="C699" s="1" t="n">
        <v>45661</v>
      </c>
      <c r="D699" t="inlineStr">
        <is>
          <t>STOCKHOLMS LÄN</t>
        </is>
      </c>
      <c r="E699" t="inlineStr">
        <is>
          <t>HANINGE</t>
        </is>
      </c>
      <c r="F699" t="inlineStr">
        <is>
          <t>Kommuner</t>
        </is>
      </c>
      <c r="G699" t="n">
        <v>5</v>
      </c>
      <c r="H699" t="n">
        <v>0</v>
      </c>
      <c r="I699" t="n">
        <v>0</v>
      </c>
      <c r="J699" t="n">
        <v>0</v>
      </c>
      <c r="K699" t="n">
        <v>0</v>
      </c>
      <c r="L699" t="n">
        <v>0</v>
      </c>
      <c r="M699" t="n">
        <v>0</v>
      </c>
      <c r="N699" t="n">
        <v>0</v>
      </c>
      <c r="O699" t="n">
        <v>0</v>
      </c>
      <c r="P699" t="n">
        <v>0</v>
      </c>
      <c r="Q699" t="n">
        <v>0</v>
      </c>
      <c r="R699" s="2" t="inlineStr"/>
    </row>
    <row r="700" ht="15" customHeight="1">
      <c r="A700" t="inlineStr">
        <is>
          <t>A 34756-2019</t>
        </is>
      </c>
      <c r="B700" s="1" t="n">
        <v>43658</v>
      </c>
      <c r="C700" s="1" t="n">
        <v>45661</v>
      </c>
      <c r="D700" t="inlineStr">
        <is>
          <t>STOCKHOLMS LÄN</t>
        </is>
      </c>
      <c r="E700" t="inlineStr">
        <is>
          <t>NYKVARN</t>
        </is>
      </c>
      <c r="G700" t="n">
        <v>11.5</v>
      </c>
      <c r="H700" t="n">
        <v>0</v>
      </c>
      <c r="I700" t="n">
        <v>0</v>
      </c>
      <c r="J700" t="n">
        <v>0</v>
      </c>
      <c r="K700" t="n">
        <v>0</v>
      </c>
      <c r="L700" t="n">
        <v>0</v>
      </c>
      <c r="M700" t="n">
        <v>0</v>
      </c>
      <c r="N700" t="n">
        <v>0</v>
      </c>
      <c r="O700" t="n">
        <v>0</v>
      </c>
      <c r="P700" t="n">
        <v>0</v>
      </c>
      <c r="Q700" t="n">
        <v>0</v>
      </c>
      <c r="R700" s="2" t="inlineStr"/>
    </row>
    <row r="701" ht="15" customHeight="1">
      <c r="A701" t="inlineStr">
        <is>
          <t>A 35187-2019</t>
        </is>
      </c>
      <c r="B701" s="1" t="n">
        <v>43661</v>
      </c>
      <c r="C701" s="1" t="n">
        <v>45661</v>
      </c>
      <c r="D701" t="inlineStr">
        <is>
          <t>STOCKHOLMS LÄN</t>
        </is>
      </c>
      <c r="E701" t="inlineStr">
        <is>
          <t>UPPLANDS-BRO</t>
        </is>
      </c>
      <c r="F701" t="inlineStr">
        <is>
          <t>Allmännings- och besparingsskogar</t>
        </is>
      </c>
      <c r="G701" t="n">
        <v>0.7</v>
      </c>
      <c r="H701" t="n">
        <v>0</v>
      </c>
      <c r="I701" t="n">
        <v>0</v>
      </c>
      <c r="J701" t="n">
        <v>0</v>
      </c>
      <c r="K701" t="n">
        <v>0</v>
      </c>
      <c r="L701" t="n">
        <v>0</v>
      </c>
      <c r="M701" t="n">
        <v>0</v>
      </c>
      <c r="N701" t="n">
        <v>0</v>
      </c>
      <c r="O701" t="n">
        <v>0</v>
      </c>
      <c r="P701" t="n">
        <v>0</v>
      </c>
      <c r="Q701" t="n">
        <v>0</v>
      </c>
      <c r="R701" s="2" t="inlineStr"/>
    </row>
    <row r="702" ht="15" customHeight="1">
      <c r="A702" t="inlineStr">
        <is>
          <t>A 35492-2019</t>
        </is>
      </c>
      <c r="B702" s="1" t="n">
        <v>43663</v>
      </c>
      <c r="C702" s="1" t="n">
        <v>45661</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35770-2019</t>
        </is>
      </c>
      <c r="B703" s="1" t="n">
        <v>43665</v>
      </c>
      <c r="C703" s="1" t="n">
        <v>45661</v>
      </c>
      <c r="D703" t="inlineStr">
        <is>
          <t>STOCKHOLMS LÄN</t>
        </is>
      </c>
      <c r="E703" t="inlineStr">
        <is>
          <t>NORRTÄLJE</t>
        </is>
      </c>
      <c r="G703" t="n">
        <v>6.3</v>
      </c>
      <c r="H703" t="n">
        <v>0</v>
      </c>
      <c r="I703" t="n">
        <v>0</v>
      </c>
      <c r="J703" t="n">
        <v>0</v>
      </c>
      <c r="K703" t="n">
        <v>0</v>
      </c>
      <c r="L703" t="n">
        <v>0</v>
      </c>
      <c r="M703" t="n">
        <v>0</v>
      </c>
      <c r="N703" t="n">
        <v>0</v>
      </c>
      <c r="O703" t="n">
        <v>0</v>
      </c>
      <c r="P703" t="n">
        <v>0</v>
      </c>
      <c r="Q703" t="n">
        <v>0</v>
      </c>
      <c r="R703" s="2" t="inlineStr"/>
    </row>
    <row r="704" ht="15" customHeight="1">
      <c r="A704" t="inlineStr">
        <is>
          <t>A 35766-2019</t>
        </is>
      </c>
      <c r="B704" s="1" t="n">
        <v>43665</v>
      </c>
      <c r="C704" s="1" t="n">
        <v>45661</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36135-2019</t>
        </is>
      </c>
      <c r="B705" s="1" t="n">
        <v>43668</v>
      </c>
      <c r="C705" s="1" t="n">
        <v>45661</v>
      </c>
      <c r="D705" t="inlineStr">
        <is>
          <t>STOCKHOLMS LÄN</t>
        </is>
      </c>
      <c r="E705" t="inlineStr">
        <is>
          <t>NYNÄSHAMN</t>
        </is>
      </c>
      <c r="G705" t="n">
        <v>4.8</v>
      </c>
      <c r="H705" t="n">
        <v>0</v>
      </c>
      <c r="I705" t="n">
        <v>0</v>
      </c>
      <c r="J705" t="n">
        <v>0</v>
      </c>
      <c r="K705" t="n">
        <v>0</v>
      </c>
      <c r="L705" t="n">
        <v>0</v>
      </c>
      <c r="M705" t="n">
        <v>0</v>
      </c>
      <c r="N705" t="n">
        <v>0</v>
      </c>
      <c r="O705" t="n">
        <v>0</v>
      </c>
      <c r="P705" t="n">
        <v>0</v>
      </c>
      <c r="Q705" t="n">
        <v>0</v>
      </c>
      <c r="R705" s="2" t="inlineStr"/>
    </row>
    <row r="706" ht="15" customHeight="1">
      <c r="A706" t="inlineStr">
        <is>
          <t>A 36418-2019</t>
        </is>
      </c>
      <c r="B706" s="1" t="n">
        <v>43670</v>
      </c>
      <c r="C706" s="1" t="n">
        <v>45661</v>
      </c>
      <c r="D706" t="inlineStr">
        <is>
          <t>STOCKHOLMS LÄN</t>
        </is>
      </c>
      <c r="E706" t="inlineStr">
        <is>
          <t>NORRTÄLJE</t>
        </is>
      </c>
      <c r="G706" t="n">
        <v>16.8</v>
      </c>
      <c r="H706" t="n">
        <v>0</v>
      </c>
      <c r="I706" t="n">
        <v>0</v>
      </c>
      <c r="J706" t="n">
        <v>0</v>
      </c>
      <c r="K706" t="n">
        <v>0</v>
      </c>
      <c r="L706" t="n">
        <v>0</v>
      </c>
      <c r="M706" t="n">
        <v>0</v>
      </c>
      <c r="N706" t="n">
        <v>0</v>
      </c>
      <c r="O706" t="n">
        <v>0</v>
      </c>
      <c r="P706" t="n">
        <v>0</v>
      </c>
      <c r="Q706" t="n">
        <v>0</v>
      </c>
      <c r="R706" s="2" t="inlineStr"/>
    </row>
    <row r="707" ht="15" customHeight="1">
      <c r="A707" t="inlineStr">
        <is>
          <t>A 36722-2019</t>
        </is>
      </c>
      <c r="B707" s="1" t="n">
        <v>43671</v>
      </c>
      <c r="C707" s="1" t="n">
        <v>45661</v>
      </c>
      <c r="D707" t="inlineStr">
        <is>
          <t>STOCKHOLMS LÄN</t>
        </is>
      </c>
      <c r="E707" t="inlineStr">
        <is>
          <t>UPPLANDS-BRO</t>
        </is>
      </c>
      <c r="G707" t="n">
        <v>1.6</v>
      </c>
      <c r="H707" t="n">
        <v>0</v>
      </c>
      <c r="I707" t="n">
        <v>0</v>
      </c>
      <c r="J707" t="n">
        <v>0</v>
      </c>
      <c r="K707" t="n">
        <v>0</v>
      </c>
      <c r="L707" t="n">
        <v>0</v>
      </c>
      <c r="M707" t="n">
        <v>0</v>
      </c>
      <c r="N707" t="n">
        <v>0</v>
      </c>
      <c r="O707" t="n">
        <v>0</v>
      </c>
      <c r="P707" t="n">
        <v>0</v>
      </c>
      <c r="Q707" t="n">
        <v>0</v>
      </c>
      <c r="R707" s="2" t="inlineStr"/>
    </row>
    <row r="708" ht="15" customHeight="1">
      <c r="A708" t="inlineStr">
        <is>
          <t>A 36725-2019</t>
        </is>
      </c>
      <c r="B708" s="1" t="n">
        <v>43671</v>
      </c>
      <c r="C708" s="1" t="n">
        <v>45661</v>
      </c>
      <c r="D708" t="inlineStr">
        <is>
          <t>STOCKHOLMS LÄN</t>
        </is>
      </c>
      <c r="E708" t="inlineStr">
        <is>
          <t>UPPLANDS-BRO</t>
        </is>
      </c>
      <c r="G708" t="n">
        <v>2.7</v>
      </c>
      <c r="H708" t="n">
        <v>0</v>
      </c>
      <c r="I708" t="n">
        <v>0</v>
      </c>
      <c r="J708" t="n">
        <v>0</v>
      </c>
      <c r="K708" t="n">
        <v>0</v>
      </c>
      <c r="L708" t="n">
        <v>0</v>
      </c>
      <c r="M708" t="n">
        <v>0</v>
      </c>
      <c r="N708" t="n">
        <v>0</v>
      </c>
      <c r="O708" t="n">
        <v>0</v>
      </c>
      <c r="P708" t="n">
        <v>0</v>
      </c>
      <c r="Q708" t="n">
        <v>0</v>
      </c>
      <c r="R708" s="2" t="inlineStr"/>
    </row>
    <row r="709" ht="15" customHeight="1">
      <c r="A709" t="inlineStr">
        <is>
          <t>A 36728-2019</t>
        </is>
      </c>
      <c r="B709" s="1" t="n">
        <v>43671</v>
      </c>
      <c r="C709" s="1" t="n">
        <v>45661</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36882-2019</t>
        </is>
      </c>
      <c r="B710" s="1" t="n">
        <v>43675</v>
      </c>
      <c r="C710" s="1" t="n">
        <v>45661</v>
      </c>
      <c r="D710" t="inlineStr">
        <is>
          <t>STOCKHOLMS LÄN</t>
        </is>
      </c>
      <c r="E710" t="inlineStr">
        <is>
          <t>SÖDERTÄLJE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37227-2019</t>
        </is>
      </c>
      <c r="B711" s="1" t="n">
        <v>43677</v>
      </c>
      <c r="C711" s="1" t="n">
        <v>45661</v>
      </c>
      <c r="D711" t="inlineStr">
        <is>
          <t>STOCKHOLMS LÄN</t>
        </is>
      </c>
      <c r="E711" t="inlineStr">
        <is>
          <t>SÖDERTÄLJE</t>
        </is>
      </c>
      <c r="G711" t="n">
        <v>1.1</v>
      </c>
      <c r="H711" t="n">
        <v>0</v>
      </c>
      <c r="I711" t="n">
        <v>0</v>
      </c>
      <c r="J711" t="n">
        <v>0</v>
      </c>
      <c r="K711" t="n">
        <v>0</v>
      </c>
      <c r="L711" t="n">
        <v>0</v>
      </c>
      <c r="M711" t="n">
        <v>0</v>
      </c>
      <c r="N711" t="n">
        <v>0</v>
      </c>
      <c r="O711" t="n">
        <v>0</v>
      </c>
      <c r="P711" t="n">
        <v>0</v>
      </c>
      <c r="Q711" t="n">
        <v>0</v>
      </c>
      <c r="R711" s="2" t="inlineStr"/>
    </row>
    <row r="712" ht="15" customHeight="1">
      <c r="A712" t="inlineStr">
        <is>
          <t>A 37561-2019</t>
        </is>
      </c>
      <c r="B712" s="1" t="n">
        <v>43678</v>
      </c>
      <c r="C712" s="1" t="n">
        <v>45661</v>
      </c>
      <c r="D712" t="inlineStr">
        <is>
          <t>STOCKHOLMS LÄN</t>
        </is>
      </c>
      <c r="E712" t="inlineStr">
        <is>
          <t>VALLENTUNA</t>
        </is>
      </c>
      <c r="G712" t="n">
        <v>4</v>
      </c>
      <c r="H712" t="n">
        <v>0</v>
      </c>
      <c r="I712" t="n">
        <v>0</v>
      </c>
      <c r="J712" t="n">
        <v>0</v>
      </c>
      <c r="K712" t="n">
        <v>0</v>
      </c>
      <c r="L712" t="n">
        <v>0</v>
      </c>
      <c r="M712" t="n">
        <v>0</v>
      </c>
      <c r="N712" t="n">
        <v>0</v>
      </c>
      <c r="O712" t="n">
        <v>0</v>
      </c>
      <c r="P712" t="n">
        <v>0</v>
      </c>
      <c r="Q712" t="n">
        <v>0</v>
      </c>
      <c r="R712" s="2" t="inlineStr"/>
    </row>
    <row r="713" ht="15" customHeight="1">
      <c r="A713" t="inlineStr">
        <is>
          <t>A 37401-2019</t>
        </is>
      </c>
      <c r="B713" s="1" t="n">
        <v>43678</v>
      </c>
      <c r="C713" s="1" t="n">
        <v>45661</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37365-2019</t>
        </is>
      </c>
      <c r="B714" s="1" t="n">
        <v>43678</v>
      </c>
      <c r="C714" s="1" t="n">
        <v>45661</v>
      </c>
      <c r="D714" t="inlineStr">
        <is>
          <t>STOCKHOLMS LÄN</t>
        </is>
      </c>
      <c r="E714" t="inlineStr">
        <is>
          <t>UPPLANDS VÄSBY</t>
        </is>
      </c>
      <c r="G714" t="n">
        <v>1.3</v>
      </c>
      <c r="H714" t="n">
        <v>0</v>
      </c>
      <c r="I714" t="n">
        <v>0</v>
      </c>
      <c r="J714" t="n">
        <v>0</v>
      </c>
      <c r="K714" t="n">
        <v>0</v>
      </c>
      <c r="L714" t="n">
        <v>0</v>
      </c>
      <c r="M714" t="n">
        <v>0</v>
      </c>
      <c r="N714" t="n">
        <v>0</v>
      </c>
      <c r="O714" t="n">
        <v>0</v>
      </c>
      <c r="P714" t="n">
        <v>0</v>
      </c>
      <c r="Q714" t="n">
        <v>0</v>
      </c>
      <c r="R714" s="2" t="inlineStr"/>
    </row>
    <row r="715" ht="15" customHeight="1">
      <c r="A715" t="inlineStr">
        <is>
          <t>A 37662-2019</t>
        </is>
      </c>
      <c r="B715" s="1" t="n">
        <v>43682</v>
      </c>
      <c r="C715" s="1" t="n">
        <v>45661</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38144-2019</t>
        </is>
      </c>
      <c r="B716" s="1" t="n">
        <v>43684</v>
      </c>
      <c r="C716" s="1" t="n">
        <v>45661</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38139-2019</t>
        </is>
      </c>
      <c r="B717" s="1" t="n">
        <v>43684</v>
      </c>
      <c r="C717" s="1" t="n">
        <v>45661</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38145-2019</t>
        </is>
      </c>
      <c r="B718" s="1" t="n">
        <v>43684</v>
      </c>
      <c r="C718" s="1" t="n">
        <v>45661</v>
      </c>
      <c r="D718" t="inlineStr">
        <is>
          <t>STOCKHOLMS LÄN</t>
        </is>
      </c>
      <c r="E718" t="inlineStr">
        <is>
          <t>NORRTÄLJE</t>
        </is>
      </c>
      <c r="G718" t="n">
        <v>9.9</v>
      </c>
      <c r="H718" t="n">
        <v>0</v>
      </c>
      <c r="I718" t="n">
        <v>0</v>
      </c>
      <c r="J718" t="n">
        <v>0</v>
      </c>
      <c r="K718" t="n">
        <v>0</v>
      </c>
      <c r="L718" t="n">
        <v>0</v>
      </c>
      <c r="M718" t="n">
        <v>0</v>
      </c>
      <c r="N718" t="n">
        <v>0</v>
      </c>
      <c r="O718" t="n">
        <v>0</v>
      </c>
      <c r="P718" t="n">
        <v>0</v>
      </c>
      <c r="Q718" t="n">
        <v>0</v>
      </c>
      <c r="R718" s="2" t="inlineStr"/>
    </row>
    <row r="719" ht="15" customHeight="1">
      <c r="A719" t="inlineStr">
        <is>
          <t>A 38216-2019</t>
        </is>
      </c>
      <c r="B719" s="1" t="n">
        <v>43684</v>
      </c>
      <c r="C719" s="1" t="n">
        <v>45661</v>
      </c>
      <c r="D719" t="inlineStr">
        <is>
          <t>STOCKHOLMS LÄN</t>
        </is>
      </c>
      <c r="E719" t="inlineStr">
        <is>
          <t>NYKVARN</t>
        </is>
      </c>
      <c r="G719" t="n">
        <v>2.7</v>
      </c>
      <c r="H719" t="n">
        <v>0</v>
      </c>
      <c r="I719" t="n">
        <v>0</v>
      </c>
      <c r="J719" t="n">
        <v>0</v>
      </c>
      <c r="K719" t="n">
        <v>0</v>
      </c>
      <c r="L719" t="n">
        <v>0</v>
      </c>
      <c r="M719" t="n">
        <v>0</v>
      </c>
      <c r="N719" t="n">
        <v>0</v>
      </c>
      <c r="O719" t="n">
        <v>0</v>
      </c>
      <c r="P719" t="n">
        <v>0</v>
      </c>
      <c r="Q719" t="n">
        <v>0</v>
      </c>
      <c r="R719" s="2" t="inlineStr"/>
    </row>
    <row r="720" ht="15" customHeight="1">
      <c r="A720" t="inlineStr">
        <is>
          <t>A 38140-2019</t>
        </is>
      </c>
      <c r="B720" s="1" t="n">
        <v>43684</v>
      </c>
      <c r="C720" s="1" t="n">
        <v>45661</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38143-2019</t>
        </is>
      </c>
      <c r="B721" s="1" t="n">
        <v>43684</v>
      </c>
      <c r="C721" s="1" t="n">
        <v>45661</v>
      </c>
      <c r="D721" t="inlineStr">
        <is>
          <t>STOCKHOLMS LÄN</t>
        </is>
      </c>
      <c r="E721" t="inlineStr">
        <is>
          <t>NORRTÄLJE</t>
        </is>
      </c>
      <c r="G721" t="n">
        <v>12.7</v>
      </c>
      <c r="H721" t="n">
        <v>0</v>
      </c>
      <c r="I721" t="n">
        <v>0</v>
      </c>
      <c r="J721" t="n">
        <v>0</v>
      </c>
      <c r="K721" t="n">
        <v>0</v>
      </c>
      <c r="L721" t="n">
        <v>0</v>
      </c>
      <c r="M721" t="n">
        <v>0</v>
      </c>
      <c r="N721" t="n">
        <v>0</v>
      </c>
      <c r="O721" t="n">
        <v>0</v>
      </c>
      <c r="P721" t="n">
        <v>0</v>
      </c>
      <c r="Q721" t="n">
        <v>0</v>
      </c>
      <c r="R721" s="2" t="inlineStr"/>
    </row>
    <row r="722" ht="15" customHeight="1">
      <c r="A722" t="inlineStr">
        <is>
          <t>A 38506-2019</t>
        </is>
      </c>
      <c r="B722" s="1" t="n">
        <v>43685</v>
      </c>
      <c r="C722" s="1" t="n">
        <v>45661</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38605-2019</t>
        </is>
      </c>
      <c r="B723" s="1" t="n">
        <v>43686</v>
      </c>
      <c r="C723" s="1" t="n">
        <v>45661</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38737-2019</t>
        </is>
      </c>
      <c r="B724" s="1" t="n">
        <v>43686</v>
      </c>
      <c r="C724" s="1" t="n">
        <v>45661</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39090-2019</t>
        </is>
      </c>
      <c r="B725" s="1" t="n">
        <v>43689</v>
      </c>
      <c r="C725" s="1" t="n">
        <v>45661</v>
      </c>
      <c r="D725" t="inlineStr">
        <is>
          <t>STOCKHOLMS LÄN</t>
        </is>
      </c>
      <c r="E725" t="inlineStr">
        <is>
          <t>SÖDERTÄLJE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39083-2019</t>
        </is>
      </c>
      <c r="B726" s="1" t="n">
        <v>43689</v>
      </c>
      <c r="C726" s="1" t="n">
        <v>45661</v>
      </c>
      <c r="D726" t="inlineStr">
        <is>
          <t>STOCKHOLMS LÄN</t>
        </is>
      </c>
      <c r="E726" t="inlineStr">
        <is>
          <t>SÖDERTÄLJE</t>
        </is>
      </c>
      <c r="G726" t="n">
        <v>6.2</v>
      </c>
      <c r="H726" t="n">
        <v>0</v>
      </c>
      <c r="I726" t="n">
        <v>0</v>
      </c>
      <c r="J726" t="n">
        <v>0</v>
      </c>
      <c r="K726" t="n">
        <v>0</v>
      </c>
      <c r="L726" t="n">
        <v>0</v>
      </c>
      <c r="M726" t="n">
        <v>0</v>
      </c>
      <c r="N726" t="n">
        <v>0</v>
      </c>
      <c r="O726" t="n">
        <v>0</v>
      </c>
      <c r="P726" t="n">
        <v>0</v>
      </c>
      <c r="Q726" t="n">
        <v>0</v>
      </c>
      <c r="R726" s="2" t="inlineStr"/>
    </row>
    <row r="727" ht="15" customHeight="1">
      <c r="A727" t="inlineStr">
        <is>
          <t>A 39472-2019</t>
        </is>
      </c>
      <c r="B727" s="1" t="n">
        <v>43691</v>
      </c>
      <c r="C727" s="1" t="n">
        <v>45661</v>
      </c>
      <c r="D727" t="inlineStr">
        <is>
          <t>STOCKHOLMS LÄN</t>
        </is>
      </c>
      <c r="E727" t="inlineStr">
        <is>
          <t>UPPLANDS-BRO</t>
        </is>
      </c>
      <c r="G727" t="n">
        <v>0.9</v>
      </c>
      <c r="H727" t="n">
        <v>0</v>
      </c>
      <c r="I727" t="n">
        <v>0</v>
      </c>
      <c r="J727" t="n">
        <v>0</v>
      </c>
      <c r="K727" t="n">
        <v>0</v>
      </c>
      <c r="L727" t="n">
        <v>0</v>
      </c>
      <c r="M727" t="n">
        <v>0</v>
      </c>
      <c r="N727" t="n">
        <v>0</v>
      </c>
      <c r="O727" t="n">
        <v>0</v>
      </c>
      <c r="P727" t="n">
        <v>0</v>
      </c>
      <c r="Q727" t="n">
        <v>0</v>
      </c>
      <c r="R727" s="2" t="inlineStr"/>
    </row>
    <row r="728" ht="15" customHeight="1">
      <c r="A728" t="inlineStr">
        <is>
          <t>A 39663-2019</t>
        </is>
      </c>
      <c r="B728" s="1" t="n">
        <v>43691</v>
      </c>
      <c r="C728" s="1" t="n">
        <v>45661</v>
      </c>
      <c r="D728" t="inlineStr">
        <is>
          <t>STOCKHOLMS LÄN</t>
        </is>
      </c>
      <c r="E728" t="inlineStr">
        <is>
          <t>NYNÄSHAMN</t>
        </is>
      </c>
      <c r="F728" t="inlineStr">
        <is>
          <t>Övriga statliga verk och myndigheter</t>
        </is>
      </c>
      <c r="G728" t="n">
        <v>1.4</v>
      </c>
      <c r="H728" t="n">
        <v>0</v>
      </c>
      <c r="I728" t="n">
        <v>0</v>
      </c>
      <c r="J728" t="n">
        <v>0</v>
      </c>
      <c r="K728" t="n">
        <v>0</v>
      </c>
      <c r="L728" t="n">
        <v>0</v>
      </c>
      <c r="M728" t="n">
        <v>0</v>
      </c>
      <c r="N728" t="n">
        <v>0</v>
      </c>
      <c r="O728" t="n">
        <v>0</v>
      </c>
      <c r="P728" t="n">
        <v>0</v>
      </c>
      <c r="Q728" t="n">
        <v>0</v>
      </c>
      <c r="R728" s="2" t="inlineStr"/>
    </row>
    <row r="729" ht="15" customHeight="1">
      <c r="A729" t="inlineStr">
        <is>
          <t>A 40571-2019</t>
        </is>
      </c>
      <c r="B729" s="1" t="n">
        <v>43696</v>
      </c>
      <c r="C729" s="1" t="n">
        <v>45661</v>
      </c>
      <c r="D729" t="inlineStr">
        <is>
          <t>STOCKHOLMS LÄN</t>
        </is>
      </c>
      <c r="E729" t="inlineStr">
        <is>
          <t>NORRTÄLJE</t>
        </is>
      </c>
      <c r="G729" t="n">
        <v>2.8</v>
      </c>
      <c r="H729" t="n">
        <v>0</v>
      </c>
      <c r="I729" t="n">
        <v>0</v>
      </c>
      <c r="J729" t="n">
        <v>0</v>
      </c>
      <c r="K729" t="n">
        <v>0</v>
      </c>
      <c r="L729" t="n">
        <v>0</v>
      </c>
      <c r="M729" t="n">
        <v>0</v>
      </c>
      <c r="N729" t="n">
        <v>0</v>
      </c>
      <c r="O729" t="n">
        <v>0</v>
      </c>
      <c r="P729" t="n">
        <v>0</v>
      </c>
      <c r="Q729" t="n">
        <v>0</v>
      </c>
      <c r="R729" s="2" t="inlineStr"/>
    </row>
    <row r="730" ht="15" customHeight="1">
      <c r="A730" t="inlineStr">
        <is>
          <t>A 40642-2019</t>
        </is>
      </c>
      <c r="B730" s="1" t="n">
        <v>43696</v>
      </c>
      <c r="C730" s="1" t="n">
        <v>45661</v>
      </c>
      <c r="D730" t="inlineStr">
        <is>
          <t>STOCKHOLMS LÄN</t>
        </is>
      </c>
      <c r="E730" t="inlineStr">
        <is>
          <t>BOTKYRKA</t>
        </is>
      </c>
      <c r="G730" t="n">
        <v>4.1</v>
      </c>
      <c r="H730" t="n">
        <v>0</v>
      </c>
      <c r="I730" t="n">
        <v>0</v>
      </c>
      <c r="J730" t="n">
        <v>0</v>
      </c>
      <c r="K730" t="n">
        <v>0</v>
      </c>
      <c r="L730" t="n">
        <v>0</v>
      </c>
      <c r="M730" t="n">
        <v>0</v>
      </c>
      <c r="N730" t="n">
        <v>0</v>
      </c>
      <c r="O730" t="n">
        <v>0</v>
      </c>
      <c r="P730" t="n">
        <v>0</v>
      </c>
      <c r="Q730" t="n">
        <v>0</v>
      </c>
      <c r="R730" s="2" t="inlineStr"/>
    </row>
    <row r="731" ht="15" customHeight="1">
      <c r="A731" t="inlineStr">
        <is>
          <t>A 40641-2019</t>
        </is>
      </c>
      <c r="B731" s="1" t="n">
        <v>43696</v>
      </c>
      <c r="C731" s="1" t="n">
        <v>45661</v>
      </c>
      <c r="D731" t="inlineStr">
        <is>
          <t>STOCKHOLMS LÄN</t>
        </is>
      </c>
      <c r="E731" t="inlineStr">
        <is>
          <t>BOTKYRKA</t>
        </is>
      </c>
      <c r="G731" t="n">
        <v>5.3</v>
      </c>
      <c r="H731" t="n">
        <v>0</v>
      </c>
      <c r="I731" t="n">
        <v>0</v>
      </c>
      <c r="J731" t="n">
        <v>0</v>
      </c>
      <c r="K731" t="n">
        <v>0</v>
      </c>
      <c r="L731" t="n">
        <v>0</v>
      </c>
      <c r="M731" t="n">
        <v>0</v>
      </c>
      <c r="N731" t="n">
        <v>0</v>
      </c>
      <c r="O731" t="n">
        <v>0</v>
      </c>
      <c r="P731" t="n">
        <v>0</v>
      </c>
      <c r="Q731" t="n">
        <v>0</v>
      </c>
      <c r="R731" s="2" t="inlineStr"/>
    </row>
    <row r="732" ht="15" customHeight="1">
      <c r="A732" t="inlineStr">
        <is>
          <t>A 41065-2019</t>
        </is>
      </c>
      <c r="B732" s="1" t="n">
        <v>43697</v>
      </c>
      <c r="C732" s="1" t="n">
        <v>45661</v>
      </c>
      <c r="D732" t="inlineStr">
        <is>
          <t>STOCKHOLMS LÄN</t>
        </is>
      </c>
      <c r="E732" t="inlineStr">
        <is>
          <t>SÖDERTÄLJE</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42330-2019</t>
        </is>
      </c>
      <c r="B733" s="1" t="n">
        <v>43703</v>
      </c>
      <c r="C733" s="1" t="n">
        <v>45661</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43379-2019</t>
        </is>
      </c>
      <c r="B734" s="1" t="n">
        <v>43703</v>
      </c>
      <c r="C734" s="1" t="n">
        <v>45661</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42448-2019</t>
        </is>
      </c>
      <c r="B735" s="1" t="n">
        <v>43704</v>
      </c>
      <c r="C735" s="1" t="n">
        <v>45661</v>
      </c>
      <c r="D735" t="inlineStr">
        <is>
          <t>STOCKHOLMS LÄN</t>
        </is>
      </c>
      <c r="E735" t="inlineStr">
        <is>
          <t>BOTKYRKA</t>
        </is>
      </c>
      <c r="G735" t="n">
        <v>3.4</v>
      </c>
      <c r="H735" t="n">
        <v>0</v>
      </c>
      <c r="I735" t="n">
        <v>0</v>
      </c>
      <c r="J735" t="n">
        <v>0</v>
      </c>
      <c r="K735" t="n">
        <v>0</v>
      </c>
      <c r="L735" t="n">
        <v>0</v>
      </c>
      <c r="M735" t="n">
        <v>0</v>
      </c>
      <c r="N735" t="n">
        <v>0</v>
      </c>
      <c r="O735" t="n">
        <v>0</v>
      </c>
      <c r="P735" t="n">
        <v>0</v>
      </c>
      <c r="Q735" t="n">
        <v>0</v>
      </c>
      <c r="R735" s="2" t="inlineStr"/>
    </row>
    <row r="736" ht="15" customHeight="1">
      <c r="A736" t="inlineStr">
        <is>
          <t>A 42669-2019</t>
        </is>
      </c>
      <c r="B736" s="1" t="n">
        <v>43704</v>
      </c>
      <c r="C736" s="1" t="n">
        <v>45661</v>
      </c>
      <c r="D736" t="inlineStr">
        <is>
          <t>STOCKHOLMS LÄN</t>
        </is>
      </c>
      <c r="E736" t="inlineStr">
        <is>
          <t>SÖDERTÄLJE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43296-2019</t>
        </is>
      </c>
      <c r="B737" s="1" t="n">
        <v>43706</v>
      </c>
      <c r="C737" s="1" t="n">
        <v>45661</v>
      </c>
      <c r="D737" t="inlineStr">
        <is>
          <t>STOCKHOLMS LÄN</t>
        </is>
      </c>
      <c r="E737" t="inlineStr">
        <is>
          <t>NORRTÄLJE</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43574-2019</t>
        </is>
      </c>
      <c r="B738" s="1" t="n">
        <v>43706</v>
      </c>
      <c r="C738" s="1" t="n">
        <v>45661</v>
      </c>
      <c r="D738" t="inlineStr">
        <is>
          <t>STOCKHOLMS LÄN</t>
        </is>
      </c>
      <c r="E738" t="inlineStr">
        <is>
          <t>VALLENTUNA</t>
        </is>
      </c>
      <c r="G738" t="n">
        <v>1</v>
      </c>
      <c r="H738" t="n">
        <v>0</v>
      </c>
      <c r="I738" t="n">
        <v>0</v>
      </c>
      <c r="J738" t="n">
        <v>0</v>
      </c>
      <c r="K738" t="n">
        <v>0</v>
      </c>
      <c r="L738" t="n">
        <v>0</v>
      </c>
      <c r="M738" t="n">
        <v>0</v>
      </c>
      <c r="N738" t="n">
        <v>0</v>
      </c>
      <c r="O738" t="n">
        <v>0</v>
      </c>
      <c r="P738" t="n">
        <v>0</v>
      </c>
      <c r="Q738" t="n">
        <v>0</v>
      </c>
      <c r="R738" s="2" t="inlineStr"/>
    </row>
    <row r="739" ht="15" customHeight="1">
      <c r="A739" t="inlineStr">
        <is>
          <t>A 43573-2019</t>
        </is>
      </c>
      <c r="B739" s="1" t="n">
        <v>43706</v>
      </c>
      <c r="C739" s="1" t="n">
        <v>45661</v>
      </c>
      <c r="D739" t="inlineStr">
        <is>
          <t>STOCKHOLMS LÄN</t>
        </is>
      </c>
      <c r="E739" t="inlineStr">
        <is>
          <t>VALLENTUNA</t>
        </is>
      </c>
      <c r="G739" t="n">
        <v>0.8</v>
      </c>
      <c r="H739" t="n">
        <v>0</v>
      </c>
      <c r="I739" t="n">
        <v>0</v>
      </c>
      <c r="J739" t="n">
        <v>0</v>
      </c>
      <c r="K739" t="n">
        <v>0</v>
      </c>
      <c r="L739" t="n">
        <v>0</v>
      </c>
      <c r="M739" t="n">
        <v>0</v>
      </c>
      <c r="N739" t="n">
        <v>0</v>
      </c>
      <c r="O739" t="n">
        <v>0</v>
      </c>
      <c r="P739" t="n">
        <v>0</v>
      </c>
      <c r="Q739" t="n">
        <v>0</v>
      </c>
      <c r="R739" s="2" t="inlineStr"/>
    </row>
    <row r="740" ht="15" customHeight="1">
      <c r="A740" t="inlineStr">
        <is>
          <t>A 43930-2019</t>
        </is>
      </c>
      <c r="B740" s="1" t="n">
        <v>43707</v>
      </c>
      <c r="C740" s="1" t="n">
        <v>45661</v>
      </c>
      <c r="D740" t="inlineStr">
        <is>
          <t>STOCKHOLMS LÄN</t>
        </is>
      </c>
      <c r="E740" t="inlineStr">
        <is>
          <t>HANINGE</t>
        </is>
      </c>
      <c r="G740" t="n">
        <v>1</v>
      </c>
      <c r="H740" t="n">
        <v>0</v>
      </c>
      <c r="I740" t="n">
        <v>0</v>
      </c>
      <c r="J740" t="n">
        <v>0</v>
      </c>
      <c r="K740" t="n">
        <v>0</v>
      </c>
      <c r="L740" t="n">
        <v>0</v>
      </c>
      <c r="M740" t="n">
        <v>0</v>
      </c>
      <c r="N740" t="n">
        <v>0</v>
      </c>
      <c r="O740" t="n">
        <v>0</v>
      </c>
      <c r="P740" t="n">
        <v>0</v>
      </c>
      <c r="Q740" t="n">
        <v>0</v>
      </c>
      <c r="R740" s="2" t="inlineStr"/>
    </row>
    <row r="741" ht="15" customHeight="1">
      <c r="A741" t="inlineStr">
        <is>
          <t>A 43809-2019</t>
        </is>
      </c>
      <c r="B741" s="1" t="n">
        <v>43707</v>
      </c>
      <c r="C741" s="1" t="n">
        <v>45661</v>
      </c>
      <c r="D741" t="inlineStr">
        <is>
          <t>STOCKHOLMS LÄN</t>
        </is>
      </c>
      <c r="E741" t="inlineStr">
        <is>
          <t>VALLENTUNA</t>
        </is>
      </c>
      <c r="G741" t="n">
        <v>3.6</v>
      </c>
      <c r="H741" t="n">
        <v>0</v>
      </c>
      <c r="I741" t="n">
        <v>0</v>
      </c>
      <c r="J741" t="n">
        <v>0</v>
      </c>
      <c r="K741" t="n">
        <v>0</v>
      </c>
      <c r="L741" t="n">
        <v>0</v>
      </c>
      <c r="M741" t="n">
        <v>0</v>
      </c>
      <c r="N741" t="n">
        <v>0</v>
      </c>
      <c r="O741" t="n">
        <v>0</v>
      </c>
      <c r="P741" t="n">
        <v>0</v>
      </c>
      <c r="Q741" t="n">
        <v>0</v>
      </c>
      <c r="R741" s="2" t="inlineStr"/>
    </row>
    <row r="742" ht="15" customHeight="1">
      <c r="A742" t="inlineStr">
        <is>
          <t>A 44453-2019</t>
        </is>
      </c>
      <c r="B742" s="1" t="n">
        <v>43711</v>
      </c>
      <c r="C742" s="1" t="n">
        <v>45661</v>
      </c>
      <c r="D742" t="inlineStr">
        <is>
          <t>STOCKHOLMS LÄN</t>
        </is>
      </c>
      <c r="E742" t="inlineStr">
        <is>
          <t>NYNÄSHAMN</t>
        </is>
      </c>
      <c r="G742" t="n">
        <v>8.9</v>
      </c>
      <c r="H742" t="n">
        <v>0</v>
      </c>
      <c r="I742" t="n">
        <v>0</v>
      </c>
      <c r="J742" t="n">
        <v>0</v>
      </c>
      <c r="K742" t="n">
        <v>0</v>
      </c>
      <c r="L742" t="n">
        <v>0</v>
      </c>
      <c r="M742" t="n">
        <v>0</v>
      </c>
      <c r="N742" t="n">
        <v>0</v>
      </c>
      <c r="O742" t="n">
        <v>0</v>
      </c>
      <c r="P742" t="n">
        <v>0</v>
      </c>
      <c r="Q742" t="n">
        <v>0</v>
      </c>
      <c r="R742" s="2" t="inlineStr"/>
    </row>
    <row r="743" ht="15" customHeight="1">
      <c r="A743" t="inlineStr">
        <is>
          <t>A 44643-2019</t>
        </is>
      </c>
      <c r="B743" s="1" t="n">
        <v>43712</v>
      </c>
      <c r="C743" s="1" t="n">
        <v>45661</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44921-2019</t>
        </is>
      </c>
      <c r="B744" s="1" t="n">
        <v>43712</v>
      </c>
      <c r="C744" s="1" t="n">
        <v>45661</v>
      </c>
      <c r="D744" t="inlineStr">
        <is>
          <t>STOCKHOLMS LÄN</t>
        </is>
      </c>
      <c r="E744" t="inlineStr">
        <is>
          <t>SÖDERTÄLJE</t>
        </is>
      </c>
      <c r="G744" t="n">
        <v>4.3</v>
      </c>
      <c r="H744" t="n">
        <v>0</v>
      </c>
      <c r="I744" t="n">
        <v>0</v>
      </c>
      <c r="J744" t="n">
        <v>0</v>
      </c>
      <c r="K744" t="n">
        <v>0</v>
      </c>
      <c r="L744" t="n">
        <v>0</v>
      </c>
      <c r="M744" t="n">
        <v>0</v>
      </c>
      <c r="N744" t="n">
        <v>0</v>
      </c>
      <c r="O744" t="n">
        <v>0</v>
      </c>
      <c r="P744" t="n">
        <v>0</v>
      </c>
      <c r="Q744" t="n">
        <v>0</v>
      </c>
      <c r="R744" s="2" t="inlineStr"/>
    </row>
    <row r="745" ht="15" customHeight="1">
      <c r="A745" t="inlineStr">
        <is>
          <t>A 45306-2019</t>
        </is>
      </c>
      <c r="B745" s="1" t="n">
        <v>43713</v>
      </c>
      <c r="C745" s="1" t="n">
        <v>45661</v>
      </c>
      <c r="D745" t="inlineStr">
        <is>
          <t>STOCKHOLMS LÄN</t>
        </is>
      </c>
      <c r="E745" t="inlineStr">
        <is>
          <t>SÖDERTÄLJE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45463-2019</t>
        </is>
      </c>
      <c r="B746" s="1" t="n">
        <v>43714</v>
      </c>
      <c r="C746" s="1" t="n">
        <v>45661</v>
      </c>
      <c r="D746" t="inlineStr">
        <is>
          <t>STOCKHOLMS LÄN</t>
        </is>
      </c>
      <c r="E746" t="inlineStr">
        <is>
          <t>NORRTÄLJE</t>
        </is>
      </c>
      <c r="F746" t="inlineStr">
        <is>
          <t>Övriga statliga verk och myndigheter</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45477-2019</t>
        </is>
      </c>
      <c r="B747" s="1" t="n">
        <v>43714</v>
      </c>
      <c r="C747" s="1" t="n">
        <v>45661</v>
      </c>
      <c r="D747" t="inlineStr">
        <is>
          <t>STOCKHOLMS LÄN</t>
        </is>
      </c>
      <c r="E747" t="inlineStr">
        <is>
          <t>NORRTÄLJE</t>
        </is>
      </c>
      <c r="F747" t="inlineStr">
        <is>
          <t>Övriga statliga verk och myndigheter</t>
        </is>
      </c>
      <c r="G747" t="n">
        <v>8.9</v>
      </c>
      <c r="H747" t="n">
        <v>0</v>
      </c>
      <c r="I747" t="n">
        <v>0</v>
      </c>
      <c r="J747" t="n">
        <v>0</v>
      </c>
      <c r="K747" t="n">
        <v>0</v>
      </c>
      <c r="L747" t="n">
        <v>0</v>
      </c>
      <c r="M747" t="n">
        <v>0</v>
      </c>
      <c r="N747" t="n">
        <v>0</v>
      </c>
      <c r="O747" t="n">
        <v>0</v>
      </c>
      <c r="P747" t="n">
        <v>0</v>
      </c>
      <c r="Q747" t="n">
        <v>0</v>
      </c>
      <c r="R747" s="2" t="inlineStr"/>
    </row>
    <row r="748" ht="15" customHeight="1">
      <c r="A748" t="inlineStr">
        <is>
          <t>A 46327-2019</t>
        </is>
      </c>
      <c r="B748" s="1" t="n">
        <v>43718</v>
      </c>
      <c r="C748" s="1" t="n">
        <v>45661</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47242-2019</t>
        </is>
      </c>
      <c r="B749" s="1" t="n">
        <v>43721</v>
      </c>
      <c r="C749" s="1" t="n">
        <v>45661</v>
      </c>
      <c r="D749" t="inlineStr">
        <is>
          <t>STOCKHOLMS LÄN</t>
        </is>
      </c>
      <c r="E749" t="inlineStr">
        <is>
          <t>ÖSTERÅKER</t>
        </is>
      </c>
      <c r="G749" t="n">
        <v>3.7</v>
      </c>
      <c r="H749" t="n">
        <v>0</v>
      </c>
      <c r="I749" t="n">
        <v>0</v>
      </c>
      <c r="J749" t="n">
        <v>0</v>
      </c>
      <c r="K749" t="n">
        <v>0</v>
      </c>
      <c r="L749" t="n">
        <v>0</v>
      </c>
      <c r="M749" t="n">
        <v>0</v>
      </c>
      <c r="N749" t="n">
        <v>0</v>
      </c>
      <c r="O749" t="n">
        <v>0</v>
      </c>
      <c r="P749" t="n">
        <v>0</v>
      </c>
      <c r="Q749" t="n">
        <v>0</v>
      </c>
      <c r="R749" s="2" t="inlineStr"/>
    </row>
    <row r="750" ht="15" customHeight="1">
      <c r="A750" t="inlineStr">
        <is>
          <t>A 47583-2019</t>
        </is>
      </c>
      <c r="B750" s="1" t="n">
        <v>43724</v>
      </c>
      <c r="C750" s="1" t="n">
        <v>45661</v>
      </c>
      <c r="D750" t="inlineStr">
        <is>
          <t>STOCKHOLMS LÄN</t>
        </is>
      </c>
      <c r="E750" t="inlineStr">
        <is>
          <t>NYKVARN</t>
        </is>
      </c>
      <c r="G750" t="n">
        <v>2.9</v>
      </c>
      <c r="H750" t="n">
        <v>0</v>
      </c>
      <c r="I750" t="n">
        <v>0</v>
      </c>
      <c r="J750" t="n">
        <v>0</v>
      </c>
      <c r="K750" t="n">
        <v>0</v>
      </c>
      <c r="L750" t="n">
        <v>0</v>
      </c>
      <c r="M750" t="n">
        <v>0</v>
      </c>
      <c r="N750" t="n">
        <v>0</v>
      </c>
      <c r="O750" t="n">
        <v>0</v>
      </c>
      <c r="P750" t="n">
        <v>0</v>
      </c>
      <c r="Q750" t="n">
        <v>0</v>
      </c>
      <c r="R750" s="2" t="inlineStr"/>
    </row>
    <row r="751" ht="15" customHeight="1">
      <c r="A751" t="inlineStr">
        <is>
          <t>A 47876-2019</t>
        </is>
      </c>
      <c r="B751" s="1" t="n">
        <v>43725</v>
      </c>
      <c r="C751" s="1" t="n">
        <v>45661</v>
      </c>
      <c r="D751" t="inlineStr">
        <is>
          <t>STOCKHOLMS LÄN</t>
        </is>
      </c>
      <c r="E751" t="inlineStr">
        <is>
          <t>NORRTÄLJE</t>
        </is>
      </c>
      <c r="G751" t="n">
        <v>11.4</v>
      </c>
      <c r="H751" t="n">
        <v>0</v>
      </c>
      <c r="I751" t="n">
        <v>0</v>
      </c>
      <c r="J751" t="n">
        <v>0</v>
      </c>
      <c r="K751" t="n">
        <v>0</v>
      </c>
      <c r="L751" t="n">
        <v>0</v>
      </c>
      <c r="M751" t="n">
        <v>0</v>
      </c>
      <c r="N751" t="n">
        <v>0</v>
      </c>
      <c r="O751" t="n">
        <v>0</v>
      </c>
      <c r="P751" t="n">
        <v>0</v>
      </c>
      <c r="Q751" t="n">
        <v>0</v>
      </c>
      <c r="R751" s="2" t="inlineStr"/>
    </row>
    <row r="752" ht="15" customHeight="1">
      <c r="A752" t="inlineStr">
        <is>
          <t>A 47877-2019</t>
        </is>
      </c>
      <c r="B752" s="1" t="n">
        <v>43725</v>
      </c>
      <c r="C752" s="1" t="n">
        <v>45661</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47903-2019</t>
        </is>
      </c>
      <c r="B753" s="1" t="n">
        <v>43725</v>
      </c>
      <c r="C753" s="1" t="n">
        <v>45661</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47901-2019</t>
        </is>
      </c>
      <c r="B754" s="1" t="n">
        <v>43725</v>
      </c>
      <c r="C754" s="1" t="n">
        <v>45661</v>
      </c>
      <c r="D754" t="inlineStr">
        <is>
          <t>STOCKHOLMS LÄN</t>
        </is>
      </c>
      <c r="E754" t="inlineStr">
        <is>
          <t>NORRTÄLJE</t>
        </is>
      </c>
      <c r="G754" t="n">
        <v>3</v>
      </c>
      <c r="H754" t="n">
        <v>0</v>
      </c>
      <c r="I754" t="n">
        <v>0</v>
      </c>
      <c r="J754" t="n">
        <v>0</v>
      </c>
      <c r="K754" t="n">
        <v>0</v>
      </c>
      <c r="L754" t="n">
        <v>0</v>
      </c>
      <c r="M754" t="n">
        <v>0</v>
      </c>
      <c r="N754" t="n">
        <v>0</v>
      </c>
      <c r="O754" t="n">
        <v>0</v>
      </c>
      <c r="P754" t="n">
        <v>0</v>
      </c>
      <c r="Q754" t="n">
        <v>0</v>
      </c>
      <c r="R754" s="2" t="inlineStr"/>
    </row>
    <row r="755" ht="15" customHeight="1">
      <c r="A755" t="inlineStr">
        <is>
          <t>A 47939-2019</t>
        </is>
      </c>
      <c r="B755" s="1" t="n">
        <v>43725</v>
      </c>
      <c r="C755" s="1" t="n">
        <v>45661</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47941-2019</t>
        </is>
      </c>
      <c r="B756" s="1" t="n">
        <v>43725</v>
      </c>
      <c r="C756" s="1" t="n">
        <v>45661</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47879-2019</t>
        </is>
      </c>
      <c r="B757" s="1" t="n">
        <v>43725</v>
      </c>
      <c r="C757" s="1" t="n">
        <v>45661</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48609-2019</t>
        </is>
      </c>
      <c r="B758" s="1" t="n">
        <v>43727</v>
      </c>
      <c r="C758" s="1" t="n">
        <v>45661</v>
      </c>
      <c r="D758" t="inlineStr">
        <is>
          <t>STOCKHOLMS LÄN</t>
        </is>
      </c>
      <c r="E758" t="inlineStr">
        <is>
          <t>HANINGE</t>
        </is>
      </c>
      <c r="G758" t="n">
        <v>2.5</v>
      </c>
      <c r="H758" t="n">
        <v>0</v>
      </c>
      <c r="I758" t="n">
        <v>0</v>
      </c>
      <c r="J758" t="n">
        <v>0</v>
      </c>
      <c r="K758" t="n">
        <v>0</v>
      </c>
      <c r="L758" t="n">
        <v>0</v>
      </c>
      <c r="M758" t="n">
        <v>0</v>
      </c>
      <c r="N758" t="n">
        <v>0</v>
      </c>
      <c r="O758" t="n">
        <v>0</v>
      </c>
      <c r="P758" t="n">
        <v>0</v>
      </c>
      <c r="Q758" t="n">
        <v>0</v>
      </c>
      <c r="R758" s="2" t="inlineStr"/>
    </row>
    <row r="759" ht="15" customHeight="1">
      <c r="A759" t="inlineStr">
        <is>
          <t>A 48932-2019</t>
        </is>
      </c>
      <c r="B759" s="1" t="n">
        <v>43728</v>
      </c>
      <c r="C759" s="1" t="n">
        <v>45661</v>
      </c>
      <c r="D759" t="inlineStr">
        <is>
          <t>STOCKHOLMS LÄN</t>
        </is>
      </c>
      <c r="E759" t="inlineStr">
        <is>
          <t>ÖSTERÅKER</t>
        </is>
      </c>
      <c r="G759" t="n">
        <v>5.9</v>
      </c>
      <c r="H759" t="n">
        <v>0</v>
      </c>
      <c r="I759" t="n">
        <v>0</v>
      </c>
      <c r="J759" t="n">
        <v>0</v>
      </c>
      <c r="K759" t="n">
        <v>0</v>
      </c>
      <c r="L759" t="n">
        <v>0</v>
      </c>
      <c r="M759" t="n">
        <v>0</v>
      </c>
      <c r="N759" t="n">
        <v>0</v>
      </c>
      <c r="O759" t="n">
        <v>0</v>
      </c>
      <c r="P759" t="n">
        <v>0</v>
      </c>
      <c r="Q759" t="n">
        <v>0</v>
      </c>
      <c r="R759" s="2" t="inlineStr"/>
    </row>
    <row r="760" ht="15" customHeight="1">
      <c r="A760" t="inlineStr">
        <is>
          <t>A 48906-2019</t>
        </is>
      </c>
      <c r="B760" s="1" t="n">
        <v>43728</v>
      </c>
      <c r="C760" s="1" t="n">
        <v>45661</v>
      </c>
      <c r="D760" t="inlineStr">
        <is>
          <t>STOCKHOLMS LÄN</t>
        </is>
      </c>
      <c r="E760" t="inlineStr">
        <is>
          <t>ÖSTERÅKER</t>
        </is>
      </c>
      <c r="G760" t="n">
        <v>6</v>
      </c>
      <c r="H760" t="n">
        <v>0</v>
      </c>
      <c r="I760" t="n">
        <v>0</v>
      </c>
      <c r="J760" t="n">
        <v>0</v>
      </c>
      <c r="K760" t="n">
        <v>0</v>
      </c>
      <c r="L760" t="n">
        <v>0</v>
      </c>
      <c r="M760" t="n">
        <v>0</v>
      </c>
      <c r="N760" t="n">
        <v>0</v>
      </c>
      <c r="O760" t="n">
        <v>0</v>
      </c>
      <c r="P760" t="n">
        <v>0</v>
      </c>
      <c r="Q760" t="n">
        <v>0</v>
      </c>
      <c r="R760" s="2" t="inlineStr"/>
    </row>
    <row r="761" ht="15" customHeight="1">
      <c r="A761" t="inlineStr">
        <is>
          <t>A 48730-2019</t>
        </is>
      </c>
      <c r="B761" s="1" t="n">
        <v>43728</v>
      </c>
      <c r="C761" s="1" t="n">
        <v>45661</v>
      </c>
      <c r="D761" t="inlineStr">
        <is>
          <t>STOCKHOLMS LÄN</t>
        </is>
      </c>
      <c r="E761" t="inlineStr">
        <is>
          <t>NORRTÄLJE</t>
        </is>
      </c>
      <c r="F761" t="inlineStr">
        <is>
          <t>Övriga statliga verk och myndigheter</t>
        </is>
      </c>
      <c r="G761" t="n">
        <v>1.3</v>
      </c>
      <c r="H761" t="n">
        <v>0</v>
      </c>
      <c r="I761" t="n">
        <v>0</v>
      </c>
      <c r="J761" t="n">
        <v>0</v>
      </c>
      <c r="K761" t="n">
        <v>0</v>
      </c>
      <c r="L761" t="n">
        <v>0</v>
      </c>
      <c r="M761" t="n">
        <v>0</v>
      </c>
      <c r="N761" t="n">
        <v>0</v>
      </c>
      <c r="O761" t="n">
        <v>0</v>
      </c>
      <c r="P761" t="n">
        <v>0</v>
      </c>
      <c r="Q761" t="n">
        <v>0</v>
      </c>
      <c r="R761" s="2" t="inlineStr"/>
    </row>
    <row r="762" ht="15" customHeight="1">
      <c r="A762" t="inlineStr">
        <is>
          <t>A 49121-2019</t>
        </is>
      </c>
      <c r="B762" s="1" t="n">
        <v>43731</v>
      </c>
      <c r="C762" s="1" t="n">
        <v>45661</v>
      </c>
      <c r="D762" t="inlineStr">
        <is>
          <t>STOCKHOLMS LÄN</t>
        </is>
      </c>
      <c r="E762" t="inlineStr">
        <is>
          <t>NYKVARN</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49130-2019</t>
        </is>
      </c>
      <c r="B763" s="1" t="n">
        <v>43731</v>
      </c>
      <c r="C763" s="1" t="n">
        <v>45661</v>
      </c>
      <c r="D763" t="inlineStr">
        <is>
          <t>STOCKHOLMS LÄN</t>
        </is>
      </c>
      <c r="E763" t="inlineStr">
        <is>
          <t>SÖDERTÄLJE</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49118-2019</t>
        </is>
      </c>
      <c r="B764" s="1" t="n">
        <v>43731</v>
      </c>
      <c r="C764" s="1" t="n">
        <v>45661</v>
      </c>
      <c r="D764" t="inlineStr">
        <is>
          <t>STOCKHOLMS LÄN</t>
        </is>
      </c>
      <c r="E764" t="inlineStr">
        <is>
          <t>NYKVARN</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49131-2019</t>
        </is>
      </c>
      <c r="B765" s="1" t="n">
        <v>43731</v>
      </c>
      <c r="C765" s="1" t="n">
        <v>45661</v>
      </c>
      <c r="D765" t="inlineStr">
        <is>
          <t>STOCKHOLMS LÄN</t>
        </is>
      </c>
      <c r="E765" t="inlineStr">
        <is>
          <t>SÖDERTÄLJE</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49096-2019</t>
        </is>
      </c>
      <c r="B766" s="1" t="n">
        <v>43731</v>
      </c>
      <c r="C766" s="1" t="n">
        <v>45661</v>
      </c>
      <c r="D766" t="inlineStr">
        <is>
          <t>STOCKHOLMS LÄN</t>
        </is>
      </c>
      <c r="E766" t="inlineStr">
        <is>
          <t>NYKVARN</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49252-2019</t>
        </is>
      </c>
      <c r="B767" s="1" t="n">
        <v>43731</v>
      </c>
      <c r="C767" s="1" t="n">
        <v>45661</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49268-2019</t>
        </is>
      </c>
      <c r="B768" s="1" t="n">
        <v>43731</v>
      </c>
      <c r="C768" s="1" t="n">
        <v>45661</v>
      </c>
      <c r="D768" t="inlineStr">
        <is>
          <t>STOCKHOLMS LÄN</t>
        </is>
      </c>
      <c r="E768" t="inlineStr">
        <is>
          <t>SIGTUNA</t>
        </is>
      </c>
      <c r="G768" t="n">
        <v>2.1</v>
      </c>
      <c r="H768" t="n">
        <v>0</v>
      </c>
      <c r="I768" t="n">
        <v>0</v>
      </c>
      <c r="J768" t="n">
        <v>0</v>
      </c>
      <c r="K768" t="n">
        <v>0</v>
      </c>
      <c r="L768" t="n">
        <v>0</v>
      </c>
      <c r="M768" t="n">
        <v>0</v>
      </c>
      <c r="N768" t="n">
        <v>0</v>
      </c>
      <c r="O768" t="n">
        <v>0</v>
      </c>
      <c r="P768" t="n">
        <v>0</v>
      </c>
      <c r="Q768" t="n">
        <v>0</v>
      </c>
      <c r="R768" s="2" t="inlineStr"/>
    </row>
    <row r="769" ht="15" customHeight="1">
      <c r="A769" t="inlineStr">
        <is>
          <t>A 49349-2019</t>
        </is>
      </c>
      <c r="B769" s="1" t="n">
        <v>43731</v>
      </c>
      <c r="C769" s="1" t="n">
        <v>45661</v>
      </c>
      <c r="D769" t="inlineStr">
        <is>
          <t>STOCKHOLMS LÄN</t>
        </is>
      </c>
      <c r="E769" t="inlineStr">
        <is>
          <t>HANINGE</t>
        </is>
      </c>
      <c r="G769" t="n">
        <v>2.1</v>
      </c>
      <c r="H769" t="n">
        <v>0</v>
      </c>
      <c r="I769" t="n">
        <v>0</v>
      </c>
      <c r="J769" t="n">
        <v>0</v>
      </c>
      <c r="K769" t="n">
        <v>0</v>
      </c>
      <c r="L769" t="n">
        <v>0</v>
      </c>
      <c r="M769" t="n">
        <v>0</v>
      </c>
      <c r="N769" t="n">
        <v>0</v>
      </c>
      <c r="O769" t="n">
        <v>0</v>
      </c>
      <c r="P769" t="n">
        <v>0</v>
      </c>
      <c r="Q769" t="n">
        <v>0</v>
      </c>
      <c r="R769" s="2" t="inlineStr"/>
    </row>
    <row r="770" ht="15" customHeight="1">
      <c r="A770" t="inlineStr">
        <is>
          <t>A 49840-2019</t>
        </is>
      </c>
      <c r="B770" s="1" t="n">
        <v>43733</v>
      </c>
      <c r="C770" s="1" t="n">
        <v>45661</v>
      </c>
      <c r="D770" t="inlineStr">
        <is>
          <t>STOCKHOLMS LÄN</t>
        </is>
      </c>
      <c r="E770" t="inlineStr">
        <is>
          <t>NYNÄSHAMN</t>
        </is>
      </c>
      <c r="F770" t="inlineStr">
        <is>
          <t>Kommuner</t>
        </is>
      </c>
      <c r="G770" t="n">
        <v>1.9</v>
      </c>
      <c r="H770" t="n">
        <v>0</v>
      </c>
      <c r="I770" t="n">
        <v>0</v>
      </c>
      <c r="J770" t="n">
        <v>0</v>
      </c>
      <c r="K770" t="n">
        <v>0</v>
      </c>
      <c r="L770" t="n">
        <v>0</v>
      </c>
      <c r="M770" t="n">
        <v>0</v>
      </c>
      <c r="N770" t="n">
        <v>0</v>
      </c>
      <c r="O770" t="n">
        <v>0</v>
      </c>
      <c r="P770" t="n">
        <v>0</v>
      </c>
      <c r="Q770" t="n">
        <v>0</v>
      </c>
      <c r="R770" s="2" t="inlineStr"/>
    </row>
    <row r="771" ht="15" customHeight="1">
      <c r="A771" t="inlineStr">
        <is>
          <t>A 50396-2019</t>
        </is>
      </c>
      <c r="B771" s="1" t="n">
        <v>43735</v>
      </c>
      <c r="C771" s="1" t="n">
        <v>45661</v>
      </c>
      <c r="D771" t="inlineStr">
        <is>
          <t>STOCKHOLMS LÄN</t>
        </is>
      </c>
      <c r="E771" t="inlineStr">
        <is>
          <t>SÖDERTÄLJE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50435-2019</t>
        </is>
      </c>
      <c r="B772" s="1" t="n">
        <v>43735</v>
      </c>
      <c r="C772" s="1" t="n">
        <v>45661</v>
      </c>
      <c r="D772" t="inlineStr">
        <is>
          <t>STOCKHOLMS LÄN</t>
        </is>
      </c>
      <c r="E772" t="inlineStr">
        <is>
          <t>SÖDERTÄLJE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50443-2019</t>
        </is>
      </c>
      <c r="B773" s="1" t="n">
        <v>43735</v>
      </c>
      <c r="C773" s="1" t="n">
        <v>45661</v>
      </c>
      <c r="D773" t="inlineStr">
        <is>
          <t>STOCKHOLMS LÄN</t>
        </is>
      </c>
      <c r="E773" t="inlineStr">
        <is>
          <t>SÖDERTÄLJE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50389-2019</t>
        </is>
      </c>
      <c r="B774" s="1" t="n">
        <v>43735</v>
      </c>
      <c r="C774" s="1" t="n">
        <v>45661</v>
      </c>
      <c r="D774" t="inlineStr">
        <is>
          <t>STOCKHOLMS LÄN</t>
        </is>
      </c>
      <c r="E774" t="inlineStr">
        <is>
          <t>SÖDERTÄLJE</t>
        </is>
      </c>
      <c r="G774" t="n">
        <v>5.9</v>
      </c>
      <c r="H774" t="n">
        <v>0</v>
      </c>
      <c r="I774" t="n">
        <v>0</v>
      </c>
      <c r="J774" t="n">
        <v>0</v>
      </c>
      <c r="K774" t="n">
        <v>0</v>
      </c>
      <c r="L774" t="n">
        <v>0</v>
      </c>
      <c r="M774" t="n">
        <v>0</v>
      </c>
      <c r="N774" t="n">
        <v>0</v>
      </c>
      <c r="O774" t="n">
        <v>0</v>
      </c>
      <c r="P774" t="n">
        <v>0</v>
      </c>
      <c r="Q774" t="n">
        <v>0</v>
      </c>
      <c r="R774" s="2" t="inlineStr"/>
    </row>
    <row r="775" ht="15" customHeight="1">
      <c r="A775" t="inlineStr">
        <is>
          <t>A 50425-2019</t>
        </is>
      </c>
      <c r="B775" s="1" t="n">
        <v>43735</v>
      </c>
      <c r="C775" s="1" t="n">
        <v>45661</v>
      </c>
      <c r="D775" t="inlineStr">
        <is>
          <t>STOCKHOLMS LÄN</t>
        </is>
      </c>
      <c r="E775" t="inlineStr">
        <is>
          <t>SÖDERTÄLJE</t>
        </is>
      </c>
      <c r="G775" t="n">
        <v>3.8</v>
      </c>
      <c r="H775" t="n">
        <v>0</v>
      </c>
      <c r="I775" t="n">
        <v>0</v>
      </c>
      <c r="J775" t="n">
        <v>0</v>
      </c>
      <c r="K775" t="n">
        <v>0</v>
      </c>
      <c r="L775" t="n">
        <v>0</v>
      </c>
      <c r="M775" t="n">
        <v>0</v>
      </c>
      <c r="N775" t="n">
        <v>0</v>
      </c>
      <c r="O775" t="n">
        <v>0</v>
      </c>
      <c r="P775" t="n">
        <v>0</v>
      </c>
      <c r="Q775" t="n">
        <v>0</v>
      </c>
      <c r="R775" s="2" t="inlineStr"/>
    </row>
    <row r="776" ht="15" customHeight="1">
      <c r="A776" t="inlineStr">
        <is>
          <t>A 50446-2019</t>
        </is>
      </c>
      <c r="B776" s="1" t="n">
        <v>43735</v>
      </c>
      <c r="C776" s="1" t="n">
        <v>45661</v>
      </c>
      <c r="D776" t="inlineStr">
        <is>
          <t>STOCKHOLMS LÄN</t>
        </is>
      </c>
      <c r="E776" t="inlineStr">
        <is>
          <t>SÖDERTÄLJE</t>
        </is>
      </c>
      <c r="G776" t="n">
        <v>0.5</v>
      </c>
      <c r="H776" t="n">
        <v>0</v>
      </c>
      <c r="I776" t="n">
        <v>0</v>
      </c>
      <c r="J776" t="n">
        <v>0</v>
      </c>
      <c r="K776" t="n">
        <v>0</v>
      </c>
      <c r="L776" t="n">
        <v>0</v>
      </c>
      <c r="M776" t="n">
        <v>0</v>
      </c>
      <c r="N776" t="n">
        <v>0</v>
      </c>
      <c r="O776" t="n">
        <v>0</v>
      </c>
      <c r="P776" t="n">
        <v>0</v>
      </c>
      <c r="Q776" t="n">
        <v>0</v>
      </c>
      <c r="R776" s="2" t="inlineStr"/>
    </row>
    <row r="777" ht="15" customHeight="1">
      <c r="A777" t="inlineStr">
        <is>
          <t>A 50441-2019</t>
        </is>
      </c>
      <c r="B777" s="1" t="n">
        <v>43735</v>
      </c>
      <c r="C777" s="1" t="n">
        <v>45661</v>
      </c>
      <c r="D777" t="inlineStr">
        <is>
          <t>STOCKHOLMS LÄN</t>
        </is>
      </c>
      <c r="E777" t="inlineStr">
        <is>
          <t>SÖDERTÄLJE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50419-2019</t>
        </is>
      </c>
      <c r="B778" s="1" t="n">
        <v>43735</v>
      </c>
      <c r="C778" s="1" t="n">
        <v>45661</v>
      </c>
      <c r="D778" t="inlineStr">
        <is>
          <t>STOCKHOLMS LÄN</t>
        </is>
      </c>
      <c r="E778" t="inlineStr">
        <is>
          <t>SÖDERTÄLJE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50737-2019</t>
        </is>
      </c>
      <c r="B779" s="1" t="n">
        <v>43738</v>
      </c>
      <c r="C779" s="1" t="n">
        <v>45661</v>
      </c>
      <c r="D779" t="inlineStr">
        <is>
          <t>STOCKHOLMS LÄN</t>
        </is>
      </c>
      <c r="E779" t="inlineStr">
        <is>
          <t>SIGTUNA</t>
        </is>
      </c>
      <c r="G779" t="n">
        <v>0.8</v>
      </c>
      <c r="H779" t="n">
        <v>0</v>
      </c>
      <c r="I779" t="n">
        <v>0</v>
      </c>
      <c r="J779" t="n">
        <v>0</v>
      </c>
      <c r="K779" t="n">
        <v>0</v>
      </c>
      <c r="L779" t="n">
        <v>0</v>
      </c>
      <c r="M779" t="n">
        <v>0</v>
      </c>
      <c r="N779" t="n">
        <v>0</v>
      </c>
      <c r="O779" t="n">
        <v>0</v>
      </c>
      <c r="P779" t="n">
        <v>0</v>
      </c>
      <c r="Q779" t="n">
        <v>0</v>
      </c>
      <c r="R779" s="2" t="inlineStr"/>
    </row>
    <row r="780" ht="15" customHeight="1">
      <c r="A780" t="inlineStr">
        <is>
          <t>A 50755-2019</t>
        </is>
      </c>
      <c r="B780" s="1" t="n">
        <v>43738</v>
      </c>
      <c r="C780" s="1" t="n">
        <v>45661</v>
      </c>
      <c r="D780" t="inlineStr">
        <is>
          <t>STOCKHOLMS LÄN</t>
        </is>
      </c>
      <c r="E780" t="inlineStr">
        <is>
          <t>SIGTUNA</t>
        </is>
      </c>
      <c r="G780" t="n">
        <v>0.7</v>
      </c>
      <c r="H780" t="n">
        <v>0</v>
      </c>
      <c r="I780" t="n">
        <v>0</v>
      </c>
      <c r="J780" t="n">
        <v>0</v>
      </c>
      <c r="K780" t="n">
        <v>0</v>
      </c>
      <c r="L780" t="n">
        <v>0</v>
      </c>
      <c r="M780" t="n">
        <v>0</v>
      </c>
      <c r="N780" t="n">
        <v>0</v>
      </c>
      <c r="O780" t="n">
        <v>0</v>
      </c>
      <c r="P780" t="n">
        <v>0</v>
      </c>
      <c r="Q780" t="n">
        <v>0</v>
      </c>
      <c r="R780" s="2" t="inlineStr"/>
    </row>
    <row r="781" ht="15" customHeight="1">
      <c r="A781" t="inlineStr">
        <is>
          <t>A 51184-2019</t>
        </is>
      </c>
      <c r="B781" s="1" t="n">
        <v>43739</v>
      </c>
      <c r="C781" s="1" t="n">
        <v>45661</v>
      </c>
      <c r="D781" t="inlineStr">
        <is>
          <t>STOCKHOLMS LÄN</t>
        </is>
      </c>
      <c r="E781" t="inlineStr">
        <is>
          <t>VALLENTUNA</t>
        </is>
      </c>
      <c r="G781" t="n">
        <v>2</v>
      </c>
      <c r="H781" t="n">
        <v>0</v>
      </c>
      <c r="I781" t="n">
        <v>0</v>
      </c>
      <c r="J781" t="n">
        <v>0</v>
      </c>
      <c r="K781" t="n">
        <v>0</v>
      </c>
      <c r="L781" t="n">
        <v>0</v>
      </c>
      <c r="M781" t="n">
        <v>0</v>
      </c>
      <c r="N781" t="n">
        <v>0</v>
      </c>
      <c r="O781" t="n">
        <v>0</v>
      </c>
      <c r="P781" t="n">
        <v>0</v>
      </c>
      <c r="Q781" t="n">
        <v>0</v>
      </c>
      <c r="R781" s="2" t="inlineStr"/>
    </row>
    <row r="782" ht="15" customHeight="1">
      <c r="A782" t="inlineStr">
        <is>
          <t>A 51387-2019</t>
        </is>
      </c>
      <c r="B782" s="1" t="n">
        <v>43740</v>
      </c>
      <c r="C782" s="1" t="n">
        <v>45661</v>
      </c>
      <c r="D782" t="inlineStr">
        <is>
          <t>STOCKHOLMS LÄN</t>
        </is>
      </c>
      <c r="E782" t="inlineStr">
        <is>
          <t>BOTKYRKA</t>
        </is>
      </c>
      <c r="G782" t="n">
        <v>2.3</v>
      </c>
      <c r="H782" t="n">
        <v>0</v>
      </c>
      <c r="I782" t="n">
        <v>0</v>
      </c>
      <c r="J782" t="n">
        <v>0</v>
      </c>
      <c r="K782" t="n">
        <v>0</v>
      </c>
      <c r="L782" t="n">
        <v>0</v>
      </c>
      <c r="M782" t="n">
        <v>0</v>
      </c>
      <c r="N782" t="n">
        <v>0</v>
      </c>
      <c r="O782" t="n">
        <v>0</v>
      </c>
      <c r="P782" t="n">
        <v>0</v>
      </c>
      <c r="Q782" t="n">
        <v>0</v>
      </c>
      <c r="R782" s="2" t="inlineStr"/>
    </row>
    <row r="783" ht="15" customHeight="1">
      <c r="A783" t="inlineStr">
        <is>
          <t>A 51571-2019</t>
        </is>
      </c>
      <c r="B783" s="1" t="n">
        <v>43740</v>
      </c>
      <c r="C783" s="1" t="n">
        <v>45661</v>
      </c>
      <c r="D783" t="inlineStr">
        <is>
          <t>STOCKHOLMS LÄN</t>
        </is>
      </c>
      <c r="E783" t="inlineStr">
        <is>
          <t>NYKVARN</t>
        </is>
      </c>
      <c r="G783" t="n">
        <v>2.5</v>
      </c>
      <c r="H783" t="n">
        <v>0</v>
      </c>
      <c r="I783" t="n">
        <v>0</v>
      </c>
      <c r="J783" t="n">
        <v>0</v>
      </c>
      <c r="K783" t="n">
        <v>0</v>
      </c>
      <c r="L783" t="n">
        <v>0</v>
      </c>
      <c r="M783" t="n">
        <v>0</v>
      </c>
      <c r="N783" t="n">
        <v>0</v>
      </c>
      <c r="O783" t="n">
        <v>0</v>
      </c>
      <c r="P783" t="n">
        <v>0</v>
      </c>
      <c r="Q783" t="n">
        <v>0</v>
      </c>
      <c r="R783" s="2" t="inlineStr"/>
    </row>
    <row r="784" ht="15" customHeight="1">
      <c r="A784" t="inlineStr">
        <is>
          <t>A 51938-2019</t>
        </is>
      </c>
      <c r="B784" s="1" t="n">
        <v>43741</v>
      </c>
      <c r="C784" s="1" t="n">
        <v>45661</v>
      </c>
      <c r="D784" t="inlineStr">
        <is>
          <t>STOCKHOLMS LÄN</t>
        </is>
      </c>
      <c r="E784" t="inlineStr">
        <is>
          <t>VÄRMDÖ</t>
        </is>
      </c>
      <c r="G784" t="n">
        <v>1.1</v>
      </c>
      <c r="H784" t="n">
        <v>0</v>
      </c>
      <c r="I784" t="n">
        <v>0</v>
      </c>
      <c r="J784" t="n">
        <v>0</v>
      </c>
      <c r="K784" t="n">
        <v>0</v>
      </c>
      <c r="L784" t="n">
        <v>0</v>
      </c>
      <c r="M784" t="n">
        <v>0</v>
      </c>
      <c r="N784" t="n">
        <v>0</v>
      </c>
      <c r="O784" t="n">
        <v>0</v>
      </c>
      <c r="P784" t="n">
        <v>0</v>
      </c>
      <c r="Q784" t="n">
        <v>0</v>
      </c>
      <c r="R784" s="2" t="inlineStr"/>
    </row>
    <row r="785" ht="15" customHeight="1">
      <c r="A785" t="inlineStr">
        <is>
          <t>A 51940-2019</t>
        </is>
      </c>
      <c r="B785" s="1" t="n">
        <v>43741</v>
      </c>
      <c r="C785" s="1" t="n">
        <v>45661</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51942-2019</t>
        </is>
      </c>
      <c r="B786" s="1" t="n">
        <v>43741</v>
      </c>
      <c r="C786" s="1" t="n">
        <v>45661</v>
      </c>
      <c r="D786" t="inlineStr">
        <is>
          <t>STOCKHOLMS LÄN</t>
        </is>
      </c>
      <c r="E786" t="inlineStr">
        <is>
          <t>NORRTÄLJE</t>
        </is>
      </c>
      <c r="G786" t="n">
        <v>5.6</v>
      </c>
      <c r="H786" t="n">
        <v>0</v>
      </c>
      <c r="I786" t="n">
        <v>0</v>
      </c>
      <c r="J786" t="n">
        <v>0</v>
      </c>
      <c r="K786" t="n">
        <v>0</v>
      </c>
      <c r="L786" t="n">
        <v>0</v>
      </c>
      <c r="M786" t="n">
        <v>0</v>
      </c>
      <c r="N786" t="n">
        <v>0</v>
      </c>
      <c r="O786" t="n">
        <v>0</v>
      </c>
      <c r="P786" t="n">
        <v>0</v>
      </c>
      <c r="Q786" t="n">
        <v>0</v>
      </c>
      <c r="R786" s="2" t="inlineStr"/>
    </row>
    <row r="787" ht="15" customHeight="1">
      <c r="A787" t="inlineStr">
        <is>
          <t>A 52139-2019</t>
        </is>
      </c>
      <c r="B787" s="1" t="n">
        <v>43742</v>
      </c>
      <c r="C787" s="1" t="n">
        <v>45661</v>
      </c>
      <c r="D787" t="inlineStr">
        <is>
          <t>STOCKHOLMS LÄN</t>
        </is>
      </c>
      <c r="E787" t="inlineStr">
        <is>
          <t>ÖSTERÅKER</t>
        </is>
      </c>
      <c r="G787" t="n">
        <v>2.2</v>
      </c>
      <c r="H787" t="n">
        <v>0</v>
      </c>
      <c r="I787" t="n">
        <v>0</v>
      </c>
      <c r="J787" t="n">
        <v>0</v>
      </c>
      <c r="K787" t="n">
        <v>0</v>
      </c>
      <c r="L787" t="n">
        <v>0</v>
      </c>
      <c r="M787" t="n">
        <v>0</v>
      </c>
      <c r="N787" t="n">
        <v>0</v>
      </c>
      <c r="O787" t="n">
        <v>0</v>
      </c>
      <c r="P787" t="n">
        <v>0</v>
      </c>
      <c r="Q787" t="n">
        <v>0</v>
      </c>
      <c r="R787" s="2" t="inlineStr"/>
    </row>
    <row r="788" ht="15" customHeight="1">
      <c r="A788" t="inlineStr">
        <is>
          <t>A 54466-2019</t>
        </is>
      </c>
      <c r="B788" s="1" t="n">
        <v>43747</v>
      </c>
      <c r="C788" s="1" t="n">
        <v>45661</v>
      </c>
      <c r="D788" t="inlineStr">
        <is>
          <t>STOCKHOLMS LÄN</t>
        </is>
      </c>
      <c r="E788" t="inlineStr">
        <is>
          <t>VAXHOLM</t>
        </is>
      </c>
      <c r="F788" t="inlineStr">
        <is>
          <t>Övriga statliga verk och myndigheter</t>
        </is>
      </c>
      <c r="G788" t="n">
        <v>2.7</v>
      </c>
      <c r="H788" t="n">
        <v>0</v>
      </c>
      <c r="I788" t="n">
        <v>0</v>
      </c>
      <c r="J788" t="n">
        <v>0</v>
      </c>
      <c r="K788" t="n">
        <v>0</v>
      </c>
      <c r="L788" t="n">
        <v>0</v>
      </c>
      <c r="M788" t="n">
        <v>0</v>
      </c>
      <c r="N788" t="n">
        <v>0</v>
      </c>
      <c r="O788" t="n">
        <v>0</v>
      </c>
      <c r="P788" t="n">
        <v>0</v>
      </c>
      <c r="Q788" t="n">
        <v>0</v>
      </c>
      <c r="R788" s="2" t="inlineStr"/>
    </row>
    <row r="789" ht="15" customHeight="1">
      <c r="A789" t="inlineStr">
        <is>
          <t>A 53815-2019</t>
        </is>
      </c>
      <c r="B789" s="1" t="n">
        <v>43752</v>
      </c>
      <c r="C789" s="1" t="n">
        <v>45661</v>
      </c>
      <c r="D789" t="inlineStr">
        <is>
          <t>STOCKHOLMS LÄN</t>
        </is>
      </c>
      <c r="E789" t="inlineStr">
        <is>
          <t>HANINGE</t>
        </is>
      </c>
      <c r="G789" t="n">
        <v>1.3</v>
      </c>
      <c r="H789" t="n">
        <v>0</v>
      </c>
      <c r="I789" t="n">
        <v>0</v>
      </c>
      <c r="J789" t="n">
        <v>0</v>
      </c>
      <c r="K789" t="n">
        <v>0</v>
      </c>
      <c r="L789" t="n">
        <v>0</v>
      </c>
      <c r="M789" t="n">
        <v>0</v>
      </c>
      <c r="N789" t="n">
        <v>0</v>
      </c>
      <c r="O789" t="n">
        <v>0</v>
      </c>
      <c r="P789" t="n">
        <v>0</v>
      </c>
      <c r="Q789" t="n">
        <v>0</v>
      </c>
      <c r="R789" s="2" t="inlineStr"/>
    </row>
    <row r="790" ht="15" customHeight="1">
      <c r="A790" t="inlineStr">
        <is>
          <t>A 54187-2019</t>
        </is>
      </c>
      <c r="B790" s="1" t="n">
        <v>43753</v>
      </c>
      <c r="C790" s="1" t="n">
        <v>45661</v>
      </c>
      <c r="D790" t="inlineStr">
        <is>
          <t>STOCKHOLMS LÄN</t>
        </is>
      </c>
      <c r="E790" t="inlineStr">
        <is>
          <t>EKERÖ</t>
        </is>
      </c>
      <c r="G790" t="n">
        <v>3.7</v>
      </c>
      <c r="H790" t="n">
        <v>0</v>
      </c>
      <c r="I790" t="n">
        <v>0</v>
      </c>
      <c r="J790" t="n">
        <v>0</v>
      </c>
      <c r="K790" t="n">
        <v>0</v>
      </c>
      <c r="L790" t="n">
        <v>0</v>
      </c>
      <c r="M790" t="n">
        <v>0</v>
      </c>
      <c r="N790" t="n">
        <v>0</v>
      </c>
      <c r="O790" t="n">
        <v>0</v>
      </c>
      <c r="P790" t="n">
        <v>0</v>
      </c>
      <c r="Q790" t="n">
        <v>0</v>
      </c>
      <c r="R790" s="2" t="inlineStr"/>
    </row>
    <row r="791" ht="15" customHeight="1">
      <c r="A791" t="inlineStr">
        <is>
          <t>A 54875-2019</t>
        </is>
      </c>
      <c r="B791" s="1" t="n">
        <v>43755</v>
      </c>
      <c r="C791" s="1" t="n">
        <v>45661</v>
      </c>
      <c r="D791" t="inlineStr">
        <is>
          <t>STOCKHOLMS LÄN</t>
        </is>
      </c>
      <c r="E791" t="inlineStr">
        <is>
          <t>SIGTUNA</t>
        </is>
      </c>
      <c r="G791" t="n">
        <v>0.6</v>
      </c>
      <c r="H791" t="n">
        <v>0</v>
      </c>
      <c r="I791" t="n">
        <v>0</v>
      </c>
      <c r="J791" t="n">
        <v>0</v>
      </c>
      <c r="K791" t="n">
        <v>0</v>
      </c>
      <c r="L791" t="n">
        <v>0</v>
      </c>
      <c r="M791" t="n">
        <v>0</v>
      </c>
      <c r="N791" t="n">
        <v>0</v>
      </c>
      <c r="O791" t="n">
        <v>0</v>
      </c>
      <c r="P791" t="n">
        <v>0</v>
      </c>
      <c r="Q791" t="n">
        <v>0</v>
      </c>
      <c r="R791" s="2" t="inlineStr"/>
    </row>
    <row r="792" ht="15" customHeight="1">
      <c r="A792" t="inlineStr">
        <is>
          <t>A 55974-2019</t>
        </is>
      </c>
      <c r="B792" s="1" t="n">
        <v>43759</v>
      </c>
      <c r="C792" s="1" t="n">
        <v>45661</v>
      </c>
      <c r="D792" t="inlineStr">
        <is>
          <t>STOCKHOLMS LÄN</t>
        </is>
      </c>
      <c r="E792" t="inlineStr">
        <is>
          <t>SÖDERTÄLJE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55866-2019</t>
        </is>
      </c>
      <c r="B793" s="1" t="n">
        <v>43759</v>
      </c>
      <c r="C793" s="1" t="n">
        <v>45661</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55954-2019</t>
        </is>
      </c>
      <c r="B794" s="1" t="n">
        <v>43759</v>
      </c>
      <c r="C794" s="1" t="n">
        <v>45661</v>
      </c>
      <c r="D794" t="inlineStr">
        <is>
          <t>STOCKHOLMS LÄN</t>
        </is>
      </c>
      <c r="E794" t="inlineStr">
        <is>
          <t>SÖDERTÄLJE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55965-2019</t>
        </is>
      </c>
      <c r="B795" s="1" t="n">
        <v>43759</v>
      </c>
      <c r="C795" s="1" t="n">
        <v>45661</v>
      </c>
      <c r="D795" t="inlineStr">
        <is>
          <t>STOCKHOLMS LÄN</t>
        </is>
      </c>
      <c r="E795" t="inlineStr">
        <is>
          <t>SÖDERTÄLJE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55870-2019</t>
        </is>
      </c>
      <c r="B796" s="1" t="n">
        <v>43759</v>
      </c>
      <c r="C796" s="1" t="n">
        <v>45661</v>
      </c>
      <c r="D796" t="inlineStr">
        <is>
          <t>STOCKHOLMS LÄN</t>
        </is>
      </c>
      <c r="E796" t="inlineStr">
        <is>
          <t>SÖDERTÄLJE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55848-2019</t>
        </is>
      </c>
      <c r="B797" s="1" t="n">
        <v>43759</v>
      </c>
      <c r="C797" s="1" t="n">
        <v>45661</v>
      </c>
      <c r="D797" t="inlineStr">
        <is>
          <t>STOCKHOLMS LÄN</t>
        </is>
      </c>
      <c r="E797" t="inlineStr">
        <is>
          <t>SÖDERTÄLJE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55980-2019</t>
        </is>
      </c>
      <c r="B798" s="1" t="n">
        <v>43759</v>
      </c>
      <c r="C798" s="1" t="n">
        <v>45661</v>
      </c>
      <c r="D798" t="inlineStr">
        <is>
          <t>STOCKHOLMS LÄN</t>
        </is>
      </c>
      <c r="E798" t="inlineStr">
        <is>
          <t>SÖDERTÄLJE</t>
        </is>
      </c>
      <c r="G798" t="n">
        <v>6.4</v>
      </c>
      <c r="H798" t="n">
        <v>0</v>
      </c>
      <c r="I798" t="n">
        <v>0</v>
      </c>
      <c r="J798" t="n">
        <v>0</v>
      </c>
      <c r="K798" t="n">
        <v>0</v>
      </c>
      <c r="L798" t="n">
        <v>0</v>
      </c>
      <c r="M798" t="n">
        <v>0</v>
      </c>
      <c r="N798" t="n">
        <v>0</v>
      </c>
      <c r="O798" t="n">
        <v>0</v>
      </c>
      <c r="P798" t="n">
        <v>0</v>
      </c>
      <c r="Q798" t="n">
        <v>0</v>
      </c>
      <c r="R798" s="2" t="inlineStr"/>
    </row>
    <row r="799" ht="15" customHeight="1">
      <c r="A799" t="inlineStr">
        <is>
          <t>A 55481-2019</t>
        </is>
      </c>
      <c r="B799" s="1" t="n">
        <v>43759</v>
      </c>
      <c r="C799" s="1" t="n">
        <v>45661</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55891-2019</t>
        </is>
      </c>
      <c r="B800" s="1" t="n">
        <v>43761</v>
      </c>
      <c r="C800" s="1" t="n">
        <v>45661</v>
      </c>
      <c r="D800" t="inlineStr">
        <is>
          <t>STOCKHOLMS LÄN</t>
        </is>
      </c>
      <c r="E800" t="inlineStr">
        <is>
          <t>NORRTÄLJE</t>
        </is>
      </c>
      <c r="G800" t="n">
        <v>7.6</v>
      </c>
      <c r="H800" t="n">
        <v>0</v>
      </c>
      <c r="I800" t="n">
        <v>0</v>
      </c>
      <c r="J800" t="n">
        <v>0</v>
      </c>
      <c r="K800" t="n">
        <v>0</v>
      </c>
      <c r="L800" t="n">
        <v>0</v>
      </c>
      <c r="M800" t="n">
        <v>0</v>
      </c>
      <c r="N800" t="n">
        <v>0</v>
      </c>
      <c r="O800" t="n">
        <v>0</v>
      </c>
      <c r="P800" t="n">
        <v>0</v>
      </c>
      <c r="Q800" t="n">
        <v>0</v>
      </c>
      <c r="R800" s="2" t="inlineStr"/>
    </row>
    <row r="801" ht="15" customHeight="1">
      <c r="A801" t="inlineStr">
        <is>
          <t>A 56349-2019</t>
        </is>
      </c>
      <c r="B801" s="1" t="n">
        <v>43762</v>
      </c>
      <c r="C801" s="1" t="n">
        <v>45661</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57759-2019</t>
        </is>
      </c>
      <c r="B802" s="1" t="n">
        <v>43763</v>
      </c>
      <c r="C802" s="1" t="n">
        <v>45661</v>
      </c>
      <c r="D802" t="inlineStr">
        <is>
          <t>STOCKHOLMS LÄN</t>
        </is>
      </c>
      <c r="E802" t="inlineStr">
        <is>
          <t>NORRTÄLJE</t>
        </is>
      </c>
      <c r="F802" t="inlineStr">
        <is>
          <t>Övriga Aktiebolag</t>
        </is>
      </c>
      <c r="G802" t="n">
        <v>7.3</v>
      </c>
      <c r="H802" t="n">
        <v>0</v>
      </c>
      <c r="I802" t="n">
        <v>0</v>
      </c>
      <c r="J802" t="n">
        <v>0</v>
      </c>
      <c r="K802" t="n">
        <v>0</v>
      </c>
      <c r="L802" t="n">
        <v>0</v>
      </c>
      <c r="M802" t="n">
        <v>0</v>
      </c>
      <c r="N802" t="n">
        <v>0</v>
      </c>
      <c r="O802" t="n">
        <v>0</v>
      </c>
      <c r="P802" t="n">
        <v>0</v>
      </c>
      <c r="Q802" t="n">
        <v>0</v>
      </c>
      <c r="R802" s="2" t="inlineStr"/>
    </row>
    <row r="803" ht="15" customHeight="1">
      <c r="A803" t="inlineStr">
        <is>
          <t>A 57063-2019</t>
        </is>
      </c>
      <c r="B803" s="1" t="n">
        <v>43766</v>
      </c>
      <c r="C803" s="1" t="n">
        <v>45661</v>
      </c>
      <c r="D803" t="inlineStr">
        <is>
          <t>STOCKHOLMS LÄN</t>
        </is>
      </c>
      <c r="E803" t="inlineStr">
        <is>
          <t>NORRTÄLJE</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56950-2019</t>
        </is>
      </c>
      <c r="B804" s="1" t="n">
        <v>43766</v>
      </c>
      <c r="C804" s="1" t="n">
        <v>45661</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57461-2019</t>
        </is>
      </c>
      <c r="B805" s="1" t="n">
        <v>43767</v>
      </c>
      <c r="C805" s="1" t="n">
        <v>45661</v>
      </c>
      <c r="D805" t="inlineStr">
        <is>
          <t>STOCKHOLMS LÄN</t>
        </is>
      </c>
      <c r="E805" t="inlineStr">
        <is>
          <t>SIGTUNA</t>
        </is>
      </c>
      <c r="G805" t="n">
        <v>4.1</v>
      </c>
      <c r="H805" t="n">
        <v>0</v>
      </c>
      <c r="I805" t="n">
        <v>0</v>
      </c>
      <c r="J805" t="n">
        <v>0</v>
      </c>
      <c r="K805" t="n">
        <v>0</v>
      </c>
      <c r="L805" t="n">
        <v>0</v>
      </c>
      <c r="M805" t="n">
        <v>0</v>
      </c>
      <c r="N805" t="n">
        <v>0</v>
      </c>
      <c r="O805" t="n">
        <v>0</v>
      </c>
      <c r="P805" t="n">
        <v>0</v>
      </c>
      <c r="Q805" t="n">
        <v>0</v>
      </c>
      <c r="R805" s="2" t="inlineStr"/>
    </row>
    <row r="806" ht="15" customHeight="1">
      <c r="A806" t="inlineStr">
        <is>
          <t>A 57605-2019</t>
        </is>
      </c>
      <c r="B806" s="1" t="n">
        <v>43768</v>
      </c>
      <c r="C806" s="1" t="n">
        <v>45661</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58064-2019</t>
        </is>
      </c>
      <c r="B807" s="1" t="n">
        <v>43769</v>
      </c>
      <c r="C807" s="1" t="n">
        <v>45661</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58631-2019</t>
        </is>
      </c>
      <c r="B808" s="1" t="n">
        <v>43773</v>
      </c>
      <c r="C808" s="1" t="n">
        <v>45661</v>
      </c>
      <c r="D808" t="inlineStr">
        <is>
          <t>STOCKHOLMS LÄN</t>
        </is>
      </c>
      <c r="E808" t="inlineStr">
        <is>
          <t>NORRTÄLJE</t>
        </is>
      </c>
      <c r="G808" t="n">
        <v>6</v>
      </c>
      <c r="H808" t="n">
        <v>0</v>
      </c>
      <c r="I808" t="n">
        <v>0</v>
      </c>
      <c r="J808" t="n">
        <v>0</v>
      </c>
      <c r="K808" t="n">
        <v>0</v>
      </c>
      <c r="L808" t="n">
        <v>0</v>
      </c>
      <c r="M808" t="n">
        <v>0</v>
      </c>
      <c r="N808" t="n">
        <v>0</v>
      </c>
      <c r="O808" t="n">
        <v>0</v>
      </c>
      <c r="P808" t="n">
        <v>0</v>
      </c>
      <c r="Q808" t="n">
        <v>0</v>
      </c>
      <c r="R808" s="2" t="inlineStr"/>
    </row>
    <row r="809" ht="15" customHeight="1">
      <c r="A809" t="inlineStr">
        <is>
          <t>A 59155-2019</t>
        </is>
      </c>
      <c r="B809" s="1" t="n">
        <v>43775</v>
      </c>
      <c r="C809" s="1" t="n">
        <v>45661</v>
      </c>
      <c r="D809" t="inlineStr">
        <is>
          <t>STOCKHOLMS LÄN</t>
        </is>
      </c>
      <c r="E809" t="inlineStr">
        <is>
          <t>SÖDERTÄLJE</t>
        </is>
      </c>
      <c r="F809" t="inlineStr">
        <is>
          <t>Kommuner</t>
        </is>
      </c>
      <c r="G809" t="n">
        <v>4.3</v>
      </c>
      <c r="H809" t="n">
        <v>0</v>
      </c>
      <c r="I809" t="n">
        <v>0</v>
      </c>
      <c r="J809" t="n">
        <v>0</v>
      </c>
      <c r="K809" t="n">
        <v>0</v>
      </c>
      <c r="L809" t="n">
        <v>0</v>
      </c>
      <c r="M809" t="n">
        <v>0</v>
      </c>
      <c r="N809" t="n">
        <v>0</v>
      </c>
      <c r="O809" t="n">
        <v>0</v>
      </c>
      <c r="P809" t="n">
        <v>0</v>
      </c>
      <c r="Q809" t="n">
        <v>0</v>
      </c>
      <c r="R809" s="2" t="inlineStr"/>
    </row>
    <row r="810" ht="15" customHeight="1">
      <c r="A810" t="inlineStr">
        <is>
          <t>A 59790-2019</t>
        </is>
      </c>
      <c r="B810" s="1" t="n">
        <v>43776</v>
      </c>
      <c r="C810" s="1" t="n">
        <v>45661</v>
      </c>
      <c r="D810" t="inlineStr">
        <is>
          <t>STOCKHOLMS LÄN</t>
        </is>
      </c>
      <c r="E810" t="inlineStr">
        <is>
          <t>SÖDERTÄLJE</t>
        </is>
      </c>
      <c r="G810" t="n">
        <v>6.2</v>
      </c>
      <c r="H810" t="n">
        <v>0</v>
      </c>
      <c r="I810" t="n">
        <v>0</v>
      </c>
      <c r="J810" t="n">
        <v>0</v>
      </c>
      <c r="K810" t="n">
        <v>0</v>
      </c>
      <c r="L810" t="n">
        <v>0</v>
      </c>
      <c r="M810" t="n">
        <v>0</v>
      </c>
      <c r="N810" t="n">
        <v>0</v>
      </c>
      <c r="O810" t="n">
        <v>0</v>
      </c>
      <c r="P810" t="n">
        <v>0</v>
      </c>
      <c r="Q810" t="n">
        <v>0</v>
      </c>
      <c r="R810" s="2" t="inlineStr"/>
    </row>
    <row r="811" ht="15" customHeight="1">
      <c r="A811" t="inlineStr">
        <is>
          <t>A 60214-2019</t>
        </is>
      </c>
      <c r="B811" s="1" t="n">
        <v>43780</v>
      </c>
      <c r="C811" s="1" t="n">
        <v>45661</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60208-2019</t>
        </is>
      </c>
      <c r="B812" s="1" t="n">
        <v>43780</v>
      </c>
      <c r="C812" s="1" t="n">
        <v>45661</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60842-2019</t>
        </is>
      </c>
      <c r="B813" s="1" t="n">
        <v>43781</v>
      </c>
      <c r="C813" s="1" t="n">
        <v>45661</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60844-2019</t>
        </is>
      </c>
      <c r="B814" s="1" t="n">
        <v>43781</v>
      </c>
      <c r="C814" s="1" t="n">
        <v>45661</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61657-2019</t>
        </is>
      </c>
      <c r="B815" s="1" t="n">
        <v>43784</v>
      </c>
      <c r="C815" s="1" t="n">
        <v>45661</v>
      </c>
      <c r="D815" t="inlineStr">
        <is>
          <t>STOCKHOLMS LÄN</t>
        </is>
      </c>
      <c r="E815" t="inlineStr">
        <is>
          <t>NORRTÄLJE</t>
        </is>
      </c>
      <c r="G815" t="n">
        <v>5</v>
      </c>
      <c r="H815" t="n">
        <v>0</v>
      </c>
      <c r="I815" t="n">
        <v>0</v>
      </c>
      <c r="J815" t="n">
        <v>0</v>
      </c>
      <c r="K815" t="n">
        <v>0</v>
      </c>
      <c r="L815" t="n">
        <v>0</v>
      </c>
      <c r="M815" t="n">
        <v>0</v>
      </c>
      <c r="N815" t="n">
        <v>0</v>
      </c>
      <c r="O815" t="n">
        <v>0</v>
      </c>
      <c r="P815" t="n">
        <v>0</v>
      </c>
      <c r="Q815" t="n">
        <v>0</v>
      </c>
      <c r="R815" s="2" t="inlineStr"/>
    </row>
    <row r="816" ht="15" customHeight="1">
      <c r="A816" t="inlineStr">
        <is>
          <t>A 62980-2019</t>
        </is>
      </c>
      <c r="B816" s="1" t="n">
        <v>43790</v>
      </c>
      <c r="C816" s="1" t="n">
        <v>45661</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63513-2019</t>
        </is>
      </c>
      <c r="B817" s="1" t="n">
        <v>43794</v>
      </c>
      <c r="C817" s="1" t="n">
        <v>45661</v>
      </c>
      <c r="D817" t="inlineStr">
        <is>
          <t>STOCKHOLMS LÄN</t>
        </is>
      </c>
      <c r="E817" t="inlineStr">
        <is>
          <t>NORRTÄLJE</t>
        </is>
      </c>
      <c r="G817" t="n">
        <v>9</v>
      </c>
      <c r="H817" t="n">
        <v>0</v>
      </c>
      <c r="I817" t="n">
        <v>0</v>
      </c>
      <c r="J817" t="n">
        <v>0</v>
      </c>
      <c r="K817" t="n">
        <v>0</v>
      </c>
      <c r="L817" t="n">
        <v>0</v>
      </c>
      <c r="M817" t="n">
        <v>0</v>
      </c>
      <c r="N817" t="n">
        <v>0</v>
      </c>
      <c r="O817" t="n">
        <v>0</v>
      </c>
      <c r="P817" t="n">
        <v>0</v>
      </c>
      <c r="Q817" t="n">
        <v>0</v>
      </c>
      <c r="R817" s="2" t="inlineStr"/>
    </row>
    <row r="818" ht="15" customHeight="1">
      <c r="A818" t="inlineStr">
        <is>
          <t>A 63529-2019</t>
        </is>
      </c>
      <c r="B818" s="1" t="n">
        <v>43794</v>
      </c>
      <c r="C818" s="1" t="n">
        <v>45661</v>
      </c>
      <c r="D818" t="inlineStr">
        <is>
          <t>STOCKHOLMS LÄN</t>
        </is>
      </c>
      <c r="E818" t="inlineStr">
        <is>
          <t>NORRTÄLJE</t>
        </is>
      </c>
      <c r="G818" t="n">
        <v>0.4</v>
      </c>
      <c r="H818" t="n">
        <v>0</v>
      </c>
      <c r="I818" t="n">
        <v>0</v>
      </c>
      <c r="J818" t="n">
        <v>0</v>
      </c>
      <c r="K818" t="n">
        <v>0</v>
      </c>
      <c r="L818" t="n">
        <v>0</v>
      </c>
      <c r="M818" t="n">
        <v>0</v>
      </c>
      <c r="N818" t="n">
        <v>0</v>
      </c>
      <c r="O818" t="n">
        <v>0</v>
      </c>
      <c r="P818" t="n">
        <v>0</v>
      </c>
      <c r="Q818" t="n">
        <v>0</v>
      </c>
      <c r="R818" s="2" t="inlineStr"/>
    </row>
    <row r="819" ht="15" customHeight="1">
      <c r="A819" t="inlineStr">
        <is>
          <t>A 63370-2019</t>
        </is>
      </c>
      <c r="B819" s="1" t="n">
        <v>43794</v>
      </c>
      <c r="C819" s="1" t="n">
        <v>45661</v>
      </c>
      <c r="D819" t="inlineStr">
        <is>
          <t>STOCKHOLMS LÄN</t>
        </is>
      </c>
      <c r="E819" t="inlineStr">
        <is>
          <t>UPPLANDS-BRO</t>
        </is>
      </c>
      <c r="G819" t="n">
        <v>7.2</v>
      </c>
      <c r="H819" t="n">
        <v>0</v>
      </c>
      <c r="I819" t="n">
        <v>0</v>
      </c>
      <c r="J819" t="n">
        <v>0</v>
      </c>
      <c r="K819" t="n">
        <v>0</v>
      </c>
      <c r="L819" t="n">
        <v>0</v>
      </c>
      <c r="M819" t="n">
        <v>0</v>
      </c>
      <c r="N819" t="n">
        <v>0</v>
      </c>
      <c r="O819" t="n">
        <v>0</v>
      </c>
      <c r="P819" t="n">
        <v>0</v>
      </c>
      <c r="Q819" t="n">
        <v>0</v>
      </c>
      <c r="R819" s="2" t="inlineStr"/>
    </row>
    <row r="820" ht="15" customHeight="1">
      <c r="A820" t="inlineStr">
        <is>
          <t>A 63495-2019</t>
        </is>
      </c>
      <c r="B820" s="1" t="n">
        <v>43794</v>
      </c>
      <c r="C820" s="1" t="n">
        <v>45661</v>
      </c>
      <c r="D820" t="inlineStr">
        <is>
          <t>STOCKHOLMS LÄN</t>
        </is>
      </c>
      <c r="E820" t="inlineStr">
        <is>
          <t>NORRTÄLJE</t>
        </is>
      </c>
      <c r="G820" t="n">
        <v>1.8</v>
      </c>
      <c r="H820" t="n">
        <v>0</v>
      </c>
      <c r="I820" t="n">
        <v>0</v>
      </c>
      <c r="J820" t="n">
        <v>0</v>
      </c>
      <c r="K820" t="n">
        <v>0</v>
      </c>
      <c r="L820" t="n">
        <v>0</v>
      </c>
      <c r="M820" t="n">
        <v>0</v>
      </c>
      <c r="N820" t="n">
        <v>0</v>
      </c>
      <c r="O820" t="n">
        <v>0</v>
      </c>
      <c r="P820" t="n">
        <v>0</v>
      </c>
      <c r="Q820" t="n">
        <v>0</v>
      </c>
      <c r="R820" s="2" t="inlineStr"/>
    </row>
    <row r="821" ht="15" customHeight="1">
      <c r="A821" t="inlineStr">
        <is>
          <t>A 63504-2019</t>
        </is>
      </c>
      <c r="B821" s="1" t="n">
        <v>43794</v>
      </c>
      <c r="C821" s="1" t="n">
        <v>45661</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63528-2019</t>
        </is>
      </c>
      <c r="B822" s="1" t="n">
        <v>43794</v>
      </c>
      <c r="C822" s="1" t="n">
        <v>45661</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63515-2019</t>
        </is>
      </c>
      <c r="B823" s="1" t="n">
        <v>43794</v>
      </c>
      <c r="C823" s="1" t="n">
        <v>45661</v>
      </c>
      <c r="D823" t="inlineStr">
        <is>
          <t>STOCKHOLMS LÄN</t>
        </is>
      </c>
      <c r="E823" t="inlineStr">
        <is>
          <t>NORRTÄLJE</t>
        </is>
      </c>
      <c r="G823" t="n">
        <v>7.1</v>
      </c>
      <c r="H823" t="n">
        <v>0</v>
      </c>
      <c r="I823" t="n">
        <v>0</v>
      </c>
      <c r="J823" t="n">
        <v>0</v>
      </c>
      <c r="K823" t="n">
        <v>0</v>
      </c>
      <c r="L823" t="n">
        <v>0</v>
      </c>
      <c r="M823" t="n">
        <v>0</v>
      </c>
      <c r="N823" t="n">
        <v>0</v>
      </c>
      <c r="O823" t="n">
        <v>0</v>
      </c>
      <c r="P823" t="n">
        <v>0</v>
      </c>
      <c r="Q823" t="n">
        <v>0</v>
      </c>
      <c r="R823" s="2" t="inlineStr"/>
    </row>
    <row r="824" ht="15" customHeight="1">
      <c r="A824" t="inlineStr">
        <is>
          <t>A 63745-2019</t>
        </is>
      </c>
      <c r="B824" s="1" t="n">
        <v>43795</v>
      </c>
      <c r="C824" s="1" t="n">
        <v>45661</v>
      </c>
      <c r="D824" t="inlineStr">
        <is>
          <t>STOCKHOLMS LÄN</t>
        </is>
      </c>
      <c r="E824" t="inlineStr">
        <is>
          <t>UPPLANDS-BRO</t>
        </is>
      </c>
      <c r="F824" t="inlineStr">
        <is>
          <t>Övriga statliga verk och myndigheter</t>
        </is>
      </c>
      <c r="G824" t="n">
        <v>12.9</v>
      </c>
      <c r="H824" t="n">
        <v>0</v>
      </c>
      <c r="I824" t="n">
        <v>0</v>
      </c>
      <c r="J824" t="n">
        <v>0</v>
      </c>
      <c r="K824" t="n">
        <v>0</v>
      </c>
      <c r="L824" t="n">
        <v>0</v>
      </c>
      <c r="M824" t="n">
        <v>0</v>
      </c>
      <c r="N824" t="n">
        <v>0</v>
      </c>
      <c r="O824" t="n">
        <v>0</v>
      </c>
      <c r="P824" t="n">
        <v>0</v>
      </c>
      <c r="Q824" t="n">
        <v>0</v>
      </c>
      <c r="R824" s="2" t="inlineStr"/>
    </row>
    <row r="825" ht="15" customHeight="1">
      <c r="A825" t="inlineStr">
        <is>
          <t>A 64293-2019</t>
        </is>
      </c>
      <c r="B825" s="1" t="n">
        <v>43797</v>
      </c>
      <c r="C825" s="1" t="n">
        <v>45661</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64617-2019</t>
        </is>
      </c>
      <c r="B826" s="1" t="n">
        <v>43798</v>
      </c>
      <c r="C826" s="1" t="n">
        <v>45661</v>
      </c>
      <c r="D826" t="inlineStr">
        <is>
          <t>STOCKHOLMS LÄN</t>
        </is>
      </c>
      <c r="E826" t="inlineStr">
        <is>
          <t>NYNÄSHAMN</t>
        </is>
      </c>
      <c r="G826" t="n">
        <v>1</v>
      </c>
      <c r="H826" t="n">
        <v>0</v>
      </c>
      <c r="I826" t="n">
        <v>0</v>
      </c>
      <c r="J826" t="n">
        <v>0</v>
      </c>
      <c r="K826" t="n">
        <v>0</v>
      </c>
      <c r="L826" t="n">
        <v>0</v>
      </c>
      <c r="M826" t="n">
        <v>0</v>
      </c>
      <c r="N826" t="n">
        <v>0</v>
      </c>
      <c r="O826" t="n">
        <v>0</v>
      </c>
      <c r="P826" t="n">
        <v>0</v>
      </c>
      <c r="Q826" t="n">
        <v>0</v>
      </c>
      <c r="R826" s="2" t="inlineStr"/>
    </row>
    <row r="827" ht="15" customHeight="1">
      <c r="A827" t="inlineStr">
        <is>
          <t>A 64490-2019</t>
        </is>
      </c>
      <c r="B827" s="1" t="n">
        <v>43798</v>
      </c>
      <c r="C827" s="1" t="n">
        <v>45661</v>
      </c>
      <c r="D827" t="inlineStr">
        <is>
          <t>STOCKHOLMS LÄN</t>
        </is>
      </c>
      <c r="E827" t="inlineStr">
        <is>
          <t>NYKVARN</t>
        </is>
      </c>
      <c r="G827" t="n">
        <v>0.8</v>
      </c>
      <c r="H827" t="n">
        <v>0</v>
      </c>
      <c r="I827" t="n">
        <v>0</v>
      </c>
      <c r="J827" t="n">
        <v>0</v>
      </c>
      <c r="K827" t="n">
        <v>0</v>
      </c>
      <c r="L827" t="n">
        <v>0</v>
      </c>
      <c r="M827" t="n">
        <v>0</v>
      </c>
      <c r="N827" t="n">
        <v>0</v>
      </c>
      <c r="O827" t="n">
        <v>0</v>
      </c>
      <c r="P827" t="n">
        <v>0</v>
      </c>
      <c r="Q827" t="n">
        <v>0</v>
      </c>
      <c r="R827" s="2" t="inlineStr"/>
    </row>
    <row r="828" ht="15" customHeight="1">
      <c r="A828" t="inlineStr">
        <is>
          <t>A 64656-2019</t>
        </is>
      </c>
      <c r="B828" s="1" t="n">
        <v>43798</v>
      </c>
      <c r="C828" s="1" t="n">
        <v>45661</v>
      </c>
      <c r="D828" t="inlineStr">
        <is>
          <t>STOCKHOLMS LÄN</t>
        </is>
      </c>
      <c r="E828" t="inlineStr">
        <is>
          <t>EKERÖ</t>
        </is>
      </c>
      <c r="G828" t="n">
        <v>2.1</v>
      </c>
      <c r="H828" t="n">
        <v>0</v>
      </c>
      <c r="I828" t="n">
        <v>0</v>
      </c>
      <c r="J828" t="n">
        <v>0</v>
      </c>
      <c r="K828" t="n">
        <v>0</v>
      </c>
      <c r="L828" t="n">
        <v>0</v>
      </c>
      <c r="M828" t="n">
        <v>0</v>
      </c>
      <c r="N828" t="n">
        <v>0</v>
      </c>
      <c r="O828" t="n">
        <v>0</v>
      </c>
      <c r="P828" t="n">
        <v>0</v>
      </c>
      <c r="Q828" t="n">
        <v>0</v>
      </c>
      <c r="R828" s="2" t="inlineStr"/>
    </row>
    <row r="829" ht="15" customHeight="1">
      <c r="A829" t="inlineStr">
        <is>
          <t>A 65405-2019</t>
        </is>
      </c>
      <c r="B829" s="1" t="n">
        <v>43798</v>
      </c>
      <c r="C829" s="1" t="n">
        <v>45661</v>
      </c>
      <c r="D829" t="inlineStr">
        <is>
          <t>STOCKHOLMS LÄN</t>
        </is>
      </c>
      <c r="E829" t="inlineStr">
        <is>
          <t>UPPLANDS-BRO</t>
        </is>
      </c>
      <c r="G829" t="n">
        <v>6.6</v>
      </c>
      <c r="H829" t="n">
        <v>0</v>
      </c>
      <c r="I829" t="n">
        <v>0</v>
      </c>
      <c r="J829" t="n">
        <v>0</v>
      </c>
      <c r="K829" t="n">
        <v>0</v>
      </c>
      <c r="L829" t="n">
        <v>0</v>
      </c>
      <c r="M829" t="n">
        <v>0</v>
      </c>
      <c r="N829" t="n">
        <v>0</v>
      </c>
      <c r="O829" t="n">
        <v>0</v>
      </c>
      <c r="P829" t="n">
        <v>0</v>
      </c>
      <c r="Q829" t="n">
        <v>0</v>
      </c>
      <c r="R829" s="2" t="inlineStr"/>
    </row>
    <row r="830" ht="15" customHeight="1">
      <c r="A830" t="inlineStr">
        <is>
          <t>A 64901-2019</t>
        </is>
      </c>
      <c r="B830" s="1" t="n">
        <v>43801</v>
      </c>
      <c r="C830" s="1" t="n">
        <v>45661</v>
      </c>
      <c r="D830" t="inlineStr">
        <is>
          <t>STOCKHOLMS LÄN</t>
        </is>
      </c>
      <c r="E830" t="inlineStr">
        <is>
          <t>SIGTUNA</t>
        </is>
      </c>
      <c r="G830" t="n">
        <v>1.3</v>
      </c>
      <c r="H830" t="n">
        <v>0</v>
      </c>
      <c r="I830" t="n">
        <v>0</v>
      </c>
      <c r="J830" t="n">
        <v>0</v>
      </c>
      <c r="K830" t="n">
        <v>0</v>
      </c>
      <c r="L830" t="n">
        <v>0</v>
      </c>
      <c r="M830" t="n">
        <v>0</v>
      </c>
      <c r="N830" t="n">
        <v>0</v>
      </c>
      <c r="O830" t="n">
        <v>0</v>
      </c>
      <c r="P830" t="n">
        <v>0</v>
      </c>
      <c r="Q830" t="n">
        <v>0</v>
      </c>
      <c r="R830" s="2" t="inlineStr"/>
    </row>
    <row r="831" ht="15" customHeight="1">
      <c r="A831" t="inlineStr">
        <is>
          <t>A 64995-2019</t>
        </is>
      </c>
      <c r="B831" s="1" t="n">
        <v>43801</v>
      </c>
      <c r="C831" s="1" t="n">
        <v>45661</v>
      </c>
      <c r="D831" t="inlineStr">
        <is>
          <t>STOCKHOLMS LÄN</t>
        </is>
      </c>
      <c r="E831" t="inlineStr">
        <is>
          <t>SÖDERTÄLJE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64938-2019</t>
        </is>
      </c>
      <c r="B832" s="1" t="n">
        <v>43801</v>
      </c>
      <c r="C832" s="1" t="n">
        <v>45661</v>
      </c>
      <c r="D832" t="inlineStr">
        <is>
          <t>STOCKHOLMS LÄN</t>
        </is>
      </c>
      <c r="E832" t="inlineStr">
        <is>
          <t>SÖDERTÄLJE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64898-2019</t>
        </is>
      </c>
      <c r="B833" s="1" t="n">
        <v>43801</v>
      </c>
      <c r="C833" s="1" t="n">
        <v>45661</v>
      </c>
      <c r="D833" t="inlineStr">
        <is>
          <t>STOCKHOLMS LÄN</t>
        </is>
      </c>
      <c r="E833" t="inlineStr">
        <is>
          <t>SIGTUNA</t>
        </is>
      </c>
      <c r="G833" t="n">
        <v>2.3</v>
      </c>
      <c r="H833" t="n">
        <v>0</v>
      </c>
      <c r="I833" t="n">
        <v>0</v>
      </c>
      <c r="J833" t="n">
        <v>0</v>
      </c>
      <c r="K833" t="n">
        <v>0</v>
      </c>
      <c r="L833" t="n">
        <v>0</v>
      </c>
      <c r="M833" t="n">
        <v>0</v>
      </c>
      <c r="N833" t="n">
        <v>0</v>
      </c>
      <c r="O833" t="n">
        <v>0</v>
      </c>
      <c r="P833" t="n">
        <v>0</v>
      </c>
      <c r="Q833" t="n">
        <v>0</v>
      </c>
      <c r="R833" s="2" t="inlineStr"/>
    </row>
    <row r="834" ht="15" customHeight="1">
      <c r="A834" t="inlineStr">
        <is>
          <t>A 65577-2019</t>
        </is>
      </c>
      <c r="B834" s="1" t="n">
        <v>43803</v>
      </c>
      <c r="C834" s="1" t="n">
        <v>45661</v>
      </c>
      <c r="D834" t="inlineStr">
        <is>
          <t>STOCKHOLMS LÄN</t>
        </is>
      </c>
      <c r="E834" t="inlineStr">
        <is>
          <t>NYKVARN</t>
        </is>
      </c>
      <c r="G834" t="n">
        <v>1.5</v>
      </c>
      <c r="H834" t="n">
        <v>0</v>
      </c>
      <c r="I834" t="n">
        <v>0</v>
      </c>
      <c r="J834" t="n">
        <v>0</v>
      </c>
      <c r="K834" t="n">
        <v>0</v>
      </c>
      <c r="L834" t="n">
        <v>0</v>
      </c>
      <c r="M834" t="n">
        <v>0</v>
      </c>
      <c r="N834" t="n">
        <v>0</v>
      </c>
      <c r="O834" t="n">
        <v>0</v>
      </c>
      <c r="P834" t="n">
        <v>0</v>
      </c>
      <c r="Q834" t="n">
        <v>0</v>
      </c>
      <c r="R834" s="2" t="inlineStr"/>
    </row>
    <row r="835" ht="15" customHeight="1">
      <c r="A835" t="inlineStr">
        <is>
          <t>A 65640-2019</t>
        </is>
      </c>
      <c r="B835" s="1" t="n">
        <v>43804</v>
      </c>
      <c r="C835" s="1" t="n">
        <v>45661</v>
      </c>
      <c r="D835" t="inlineStr">
        <is>
          <t>STOCKHOLMS LÄN</t>
        </is>
      </c>
      <c r="E835" t="inlineStr">
        <is>
          <t>NORRTÄLJE</t>
        </is>
      </c>
      <c r="G835" t="n">
        <v>0.8</v>
      </c>
      <c r="H835" t="n">
        <v>0</v>
      </c>
      <c r="I835" t="n">
        <v>0</v>
      </c>
      <c r="J835" t="n">
        <v>0</v>
      </c>
      <c r="K835" t="n">
        <v>0</v>
      </c>
      <c r="L835" t="n">
        <v>0</v>
      </c>
      <c r="M835" t="n">
        <v>0</v>
      </c>
      <c r="N835" t="n">
        <v>0</v>
      </c>
      <c r="O835" t="n">
        <v>0</v>
      </c>
      <c r="P835" t="n">
        <v>0</v>
      </c>
      <c r="Q835" t="n">
        <v>0</v>
      </c>
      <c r="R835" s="2" t="inlineStr"/>
    </row>
    <row r="836" ht="15" customHeight="1">
      <c r="A836" t="inlineStr">
        <is>
          <t>A 65998-2019</t>
        </is>
      </c>
      <c r="B836" s="1" t="n">
        <v>43805</v>
      </c>
      <c r="C836" s="1" t="n">
        <v>45661</v>
      </c>
      <c r="D836" t="inlineStr">
        <is>
          <t>STOCKHOLMS LÄN</t>
        </is>
      </c>
      <c r="E836" t="inlineStr">
        <is>
          <t>NORRTÄLJE</t>
        </is>
      </c>
      <c r="G836" t="n">
        <v>6.5</v>
      </c>
      <c r="H836" t="n">
        <v>0</v>
      </c>
      <c r="I836" t="n">
        <v>0</v>
      </c>
      <c r="J836" t="n">
        <v>0</v>
      </c>
      <c r="K836" t="n">
        <v>0</v>
      </c>
      <c r="L836" t="n">
        <v>0</v>
      </c>
      <c r="M836" t="n">
        <v>0</v>
      </c>
      <c r="N836" t="n">
        <v>0</v>
      </c>
      <c r="O836" t="n">
        <v>0</v>
      </c>
      <c r="P836" t="n">
        <v>0</v>
      </c>
      <c r="Q836" t="n">
        <v>0</v>
      </c>
      <c r="R836" s="2" t="inlineStr"/>
    </row>
    <row r="837" ht="15" customHeight="1">
      <c r="A837" t="inlineStr">
        <is>
          <t>A 67111-2019</t>
        </is>
      </c>
      <c r="B837" s="1" t="n">
        <v>43807</v>
      </c>
      <c r="C837" s="1" t="n">
        <v>45661</v>
      </c>
      <c r="D837" t="inlineStr">
        <is>
          <t>STOCKHOLMS LÄN</t>
        </is>
      </c>
      <c r="E837" t="inlineStr">
        <is>
          <t>HANINGE</t>
        </is>
      </c>
      <c r="G837" t="n">
        <v>0.6</v>
      </c>
      <c r="H837" t="n">
        <v>0</v>
      </c>
      <c r="I837" t="n">
        <v>0</v>
      </c>
      <c r="J837" t="n">
        <v>0</v>
      </c>
      <c r="K837" t="n">
        <v>0</v>
      </c>
      <c r="L837" t="n">
        <v>0</v>
      </c>
      <c r="M837" t="n">
        <v>0</v>
      </c>
      <c r="N837" t="n">
        <v>0</v>
      </c>
      <c r="O837" t="n">
        <v>0</v>
      </c>
      <c r="P837" t="n">
        <v>0</v>
      </c>
      <c r="Q837" t="n">
        <v>0</v>
      </c>
      <c r="R837" s="2" t="inlineStr"/>
    </row>
    <row r="838" ht="15" customHeight="1">
      <c r="A838" t="inlineStr">
        <is>
          <t>A 66604-2019</t>
        </is>
      </c>
      <c r="B838" s="1" t="n">
        <v>43809</v>
      </c>
      <c r="C838" s="1" t="n">
        <v>45661</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66603-2019</t>
        </is>
      </c>
      <c r="B839" s="1" t="n">
        <v>43809</v>
      </c>
      <c r="C839" s="1" t="n">
        <v>45661</v>
      </c>
      <c r="D839" t="inlineStr">
        <is>
          <t>STOCKHOLMS LÄN</t>
        </is>
      </c>
      <c r="E839" t="inlineStr">
        <is>
          <t>EKERÖ</t>
        </is>
      </c>
      <c r="G839" t="n">
        <v>2.8</v>
      </c>
      <c r="H839" t="n">
        <v>0</v>
      </c>
      <c r="I839" t="n">
        <v>0</v>
      </c>
      <c r="J839" t="n">
        <v>0</v>
      </c>
      <c r="K839" t="n">
        <v>0</v>
      </c>
      <c r="L839" t="n">
        <v>0</v>
      </c>
      <c r="M839" t="n">
        <v>0</v>
      </c>
      <c r="N839" t="n">
        <v>0</v>
      </c>
      <c r="O839" t="n">
        <v>0</v>
      </c>
      <c r="P839" t="n">
        <v>0</v>
      </c>
      <c r="Q839" t="n">
        <v>0</v>
      </c>
      <c r="R839" s="2" t="inlineStr"/>
    </row>
    <row r="840" ht="15" customHeight="1">
      <c r="A840" t="inlineStr">
        <is>
          <t>A 66599-2019</t>
        </is>
      </c>
      <c r="B840" s="1" t="n">
        <v>43809</v>
      </c>
      <c r="C840" s="1" t="n">
        <v>45661</v>
      </c>
      <c r="D840" t="inlineStr">
        <is>
          <t>STOCKHOLMS LÄN</t>
        </is>
      </c>
      <c r="E840" t="inlineStr">
        <is>
          <t>EKERÖ</t>
        </is>
      </c>
      <c r="G840" t="n">
        <v>4.9</v>
      </c>
      <c r="H840" t="n">
        <v>0</v>
      </c>
      <c r="I840" t="n">
        <v>0</v>
      </c>
      <c r="J840" t="n">
        <v>0</v>
      </c>
      <c r="K840" t="n">
        <v>0</v>
      </c>
      <c r="L840" t="n">
        <v>0</v>
      </c>
      <c r="M840" t="n">
        <v>0</v>
      </c>
      <c r="N840" t="n">
        <v>0</v>
      </c>
      <c r="O840" t="n">
        <v>0</v>
      </c>
      <c r="P840" t="n">
        <v>0</v>
      </c>
      <c r="Q840" t="n">
        <v>0</v>
      </c>
      <c r="R840" s="2" t="inlineStr"/>
    </row>
    <row r="841" ht="15" customHeight="1">
      <c r="A841" t="inlineStr">
        <is>
          <t>A 66589-2019</t>
        </is>
      </c>
      <c r="B841" s="1" t="n">
        <v>43809</v>
      </c>
      <c r="C841" s="1" t="n">
        <v>45661</v>
      </c>
      <c r="D841" t="inlineStr">
        <is>
          <t>STOCKHOLMS LÄN</t>
        </is>
      </c>
      <c r="E841" t="inlineStr">
        <is>
          <t>NYNÄSHAMN</t>
        </is>
      </c>
      <c r="G841" t="n">
        <v>2</v>
      </c>
      <c r="H841" t="n">
        <v>0</v>
      </c>
      <c r="I841" t="n">
        <v>0</v>
      </c>
      <c r="J841" t="n">
        <v>0</v>
      </c>
      <c r="K841" t="n">
        <v>0</v>
      </c>
      <c r="L841" t="n">
        <v>0</v>
      </c>
      <c r="M841" t="n">
        <v>0</v>
      </c>
      <c r="N841" t="n">
        <v>0</v>
      </c>
      <c r="O841" t="n">
        <v>0</v>
      </c>
      <c r="P841" t="n">
        <v>0</v>
      </c>
      <c r="Q841" t="n">
        <v>0</v>
      </c>
      <c r="R841" s="2" t="inlineStr"/>
    </row>
    <row r="842" ht="15" customHeight="1">
      <c r="A842" t="inlineStr">
        <is>
          <t>A 67158-2019</t>
        </is>
      </c>
      <c r="B842" s="1" t="n">
        <v>43811</v>
      </c>
      <c r="C842" s="1" t="n">
        <v>45661</v>
      </c>
      <c r="D842" t="inlineStr">
        <is>
          <t>STOCKHOLMS LÄN</t>
        </is>
      </c>
      <c r="E842" t="inlineStr">
        <is>
          <t>NORRTÄLJE</t>
        </is>
      </c>
      <c r="G842" t="n">
        <v>4.4</v>
      </c>
      <c r="H842" t="n">
        <v>0</v>
      </c>
      <c r="I842" t="n">
        <v>0</v>
      </c>
      <c r="J842" t="n">
        <v>0</v>
      </c>
      <c r="K842" t="n">
        <v>0</v>
      </c>
      <c r="L842" t="n">
        <v>0</v>
      </c>
      <c r="M842" t="n">
        <v>0</v>
      </c>
      <c r="N842" t="n">
        <v>0</v>
      </c>
      <c r="O842" t="n">
        <v>0</v>
      </c>
      <c r="P842" t="n">
        <v>0</v>
      </c>
      <c r="Q842" t="n">
        <v>0</v>
      </c>
      <c r="R842" s="2" t="inlineStr"/>
    </row>
    <row r="843" ht="15" customHeight="1">
      <c r="A843" t="inlineStr">
        <is>
          <t>A 67324-2019</t>
        </is>
      </c>
      <c r="B843" s="1" t="n">
        <v>43812</v>
      </c>
      <c r="C843" s="1" t="n">
        <v>45661</v>
      </c>
      <c r="D843" t="inlineStr">
        <is>
          <t>STOCKHOLMS LÄN</t>
        </is>
      </c>
      <c r="E843" t="inlineStr">
        <is>
          <t>NORRTÄLJE</t>
        </is>
      </c>
      <c r="G843" t="n">
        <v>7.7</v>
      </c>
      <c r="H843" t="n">
        <v>0</v>
      </c>
      <c r="I843" t="n">
        <v>0</v>
      </c>
      <c r="J843" t="n">
        <v>0</v>
      </c>
      <c r="K843" t="n">
        <v>0</v>
      </c>
      <c r="L843" t="n">
        <v>0</v>
      </c>
      <c r="M843" t="n">
        <v>0</v>
      </c>
      <c r="N843" t="n">
        <v>0</v>
      </c>
      <c r="O843" t="n">
        <v>0</v>
      </c>
      <c r="P843" t="n">
        <v>0</v>
      </c>
      <c r="Q843" t="n">
        <v>0</v>
      </c>
      <c r="R843" s="2" t="inlineStr"/>
    </row>
    <row r="844" ht="15" customHeight="1">
      <c r="A844" t="inlineStr">
        <is>
          <t>A 68011-2019</t>
        </is>
      </c>
      <c r="B844" s="1" t="n">
        <v>43816</v>
      </c>
      <c r="C844" s="1" t="n">
        <v>45661</v>
      </c>
      <c r="D844" t="inlineStr">
        <is>
          <t>STOCKHOLMS LÄN</t>
        </is>
      </c>
      <c r="E844" t="inlineStr">
        <is>
          <t>HANINGE</t>
        </is>
      </c>
      <c r="G844" t="n">
        <v>0.1</v>
      </c>
      <c r="H844" t="n">
        <v>0</v>
      </c>
      <c r="I844" t="n">
        <v>0</v>
      </c>
      <c r="J844" t="n">
        <v>0</v>
      </c>
      <c r="K844" t="n">
        <v>0</v>
      </c>
      <c r="L844" t="n">
        <v>0</v>
      </c>
      <c r="M844" t="n">
        <v>0</v>
      </c>
      <c r="N844" t="n">
        <v>0</v>
      </c>
      <c r="O844" t="n">
        <v>0</v>
      </c>
      <c r="P844" t="n">
        <v>0</v>
      </c>
      <c r="Q844" t="n">
        <v>0</v>
      </c>
      <c r="R844" s="2" t="inlineStr"/>
    </row>
    <row r="845" ht="15" customHeight="1">
      <c r="A845" t="inlineStr">
        <is>
          <t>A 68105-2019</t>
        </is>
      </c>
      <c r="B845" s="1" t="n">
        <v>43817</v>
      </c>
      <c r="C845" s="1" t="n">
        <v>45661</v>
      </c>
      <c r="D845" t="inlineStr">
        <is>
          <t>STOCKHOLMS LÄN</t>
        </is>
      </c>
      <c r="E845" t="inlineStr">
        <is>
          <t>ÖSTERÅKER</t>
        </is>
      </c>
      <c r="G845" t="n">
        <v>16.6</v>
      </c>
      <c r="H845" t="n">
        <v>0</v>
      </c>
      <c r="I845" t="n">
        <v>0</v>
      </c>
      <c r="J845" t="n">
        <v>0</v>
      </c>
      <c r="K845" t="n">
        <v>0</v>
      </c>
      <c r="L845" t="n">
        <v>0</v>
      </c>
      <c r="M845" t="n">
        <v>0</v>
      </c>
      <c r="N845" t="n">
        <v>0</v>
      </c>
      <c r="O845" t="n">
        <v>0</v>
      </c>
      <c r="P845" t="n">
        <v>0</v>
      </c>
      <c r="Q845" t="n">
        <v>0</v>
      </c>
      <c r="R845" s="2" t="inlineStr"/>
    </row>
    <row r="846" ht="15" customHeight="1">
      <c r="A846" t="inlineStr">
        <is>
          <t>A 68121-2019</t>
        </is>
      </c>
      <c r="B846" s="1" t="n">
        <v>43817</v>
      </c>
      <c r="C846" s="1" t="n">
        <v>45661</v>
      </c>
      <c r="D846" t="inlineStr">
        <is>
          <t>STOCKHOLMS LÄN</t>
        </is>
      </c>
      <c r="E846" t="inlineStr">
        <is>
          <t>ÖSTERÅKER</t>
        </is>
      </c>
      <c r="G846" t="n">
        <v>4.2</v>
      </c>
      <c r="H846" t="n">
        <v>0</v>
      </c>
      <c r="I846" t="n">
        <v>0</v>
      </c>
      <c r="J846" t="n">
        <v>0</v>
      </c>
      <c r="K846" t="n">
        <v>0</v>
      </c>
      <c r="L846" t="n">
        <v>0</v>
      </c>
      <c r="M846" t="n">
        <v>0</v>
      </c>
      <c r="N846" t="n">
        <v>0</v>
      </c>
      <c r="O846" t="n">
        <v>0</v>
      </c>
      <c r="P846" t="n">
        <v>0</v>
      </c>
      <c r="Q846" t="n">
        <v>0</v>
      </c>
      <c r="R846" s="2" t="inlineStr"/>
    </row>
    <row r="847" ht="15" customHeight="1">
      <c r="A847" t="inlineStr">
        <is>
          <t>A 68129-2019</t>
        </is>
      </c>
      <c r="B847" s="1" t="n">
        <v>43817</v>
      </c>
      <c r="C847" s="1" t="n">
        <v>45661</v>
      </c>
      <c r="D847" t="inlineStr">
        <is>
          <t>STOCKHOLMS LÄN</t>
        </is>
      </c>
      <c r="E847" t="inlineStr">
        <is>
          <t>VALLENTUNA</t>
        </is>
      </c>
      <c r="G847" t="n">
        <v>4.2</v>
      </c>
      <c r="H847" t="n">
        <v>0</v>
      </c>
      <c r="I847" t="n">
        <v>0</v>
      </c>
      <c r="J847" t="n">
        <v>0</v>
      </c>
      <c r="K847" t="n">
        <v>0</v>
      </c>
      <c r="L847" t="n">
        <v>0</v>
      </c>
      <c r="M847" t="n">
        <v>0</v>
      </c>
      <c r="N847" t="n">
        <v>0</v>
      </c>
      <c r="O847" t="n">
        <v>0</v>
      </c>
      <c r="P847" t="n">
        <v>0</v>
      </c>
      <c r="Q847" t="n">
        <v>0</v>
      </c>
      <c r="R847" s="2" t="inlineStr"/>
    </row>
    <row r="848" ht="15" customHeight="1">
      <c r="A848" t="inlineStr">
        <is>
          <t>A 68123-2019</t>
        </is>
      </c>
      <c r="B848" s="1" t="n">
        <v>43817</v>
      </c>
      <c r="C848" s="1" t="n">
        <v>45661</v>
      </c>
      <c r="D848" t="inlineStr">
        <is>
          <t>STOCKHOLMS LÄN</t>
        </is>
      </c>
      <c r="E848" t="inlineStr">
        <is>
          <t>ÖSTERÅKER</t>
        </is>
      </c>
      <c r="G848" t="n">
        <v>2</v>
      </c>
      <c r="H848" t="n">
        <v>0</v>
      </c>
      <c r="I848" t="n">
        <v>0</v>
      </c>
      <c r="J848" t="n">
        <v>0</v>
      </c>
      <c r="K848" t="n">
        <v>0</v>
      </c>
      <c r="L848" t="n">
        <v>0</v>
      </c>
      <c r="M848" t="n">
        <v>0</v>
      </c>
      <c r="N848" t="n">
        <v>0</v>
      </c>
      <c r="O848" t="n">
        <v>0</v>
      </c>
      <c r="P848" t="n">
        <v>0</v>
      </c>
      <c r="Q848" t="n">
        <v>0</v>
      </c>
      <c r="R848" s="2" t="inlineStr"/>
    </row>
    <row r="849" ht="15" customHeight="1">
      <c r="A849" t="inlineStr">
        <is>
          <t>A 68122-2019</t>
        </is>
      </c>
      <c r="B849" s="1" t="n">
        <v>43817</v>
      </c>
      <c r="C849" s="1" t="n">
        <v>45661</v>
      </c>
      <c r="D849" t="inlineStr">
        <is>
          <t>STOCKHOLMS LÄN</t>
        </is>
      </c>
      <c r="E849" t="inlineStr">
        <is>
          <t>ÖSTERÅKER</t>
        </is>
      </c>
      <c r="G849" t="n">
        <v>4.5</v>
      </c>
      <c r="H849" t="n">
        <v>0</v>
      </c>
      <c r="I849" t="n">
        <v>0</v>
      </c>
      <c r="J849" t="n">
        <v>0</v>
      </c>
      <c r="K849" t="n">
        <v>0</v>
      </c>
      <c r="L849" t="n">
        <v>0</v>
      </c>
      <c r="M849" t="n">
        <v>0</v>
      </c>
      <c r="N849" t="n">
        <v>0</v>
      </c>
      <c r="O849" t="n">
        <v>0</v>
      </c>
      <c r="P849" t="n">
        <v>0</v>
      </c>
      <c r="Q849" t="n">
        <v>0</v>
      </c>
      <c r="R849" s="2" t="inlineStr"/>
    </row>
    <row r="850" ht="15" customHeight="1">
      <c r="A850" t="inlineStr">
        <is>
          <t>A 68236-2019</t>
        </is>
      </c>
      <c r="B850" s="1" t="n">
        <v>43817</v>
      </c>
      <c r="C850" s="1" t="n">
        <v>45661</v>
      </c>
      <c r="D850" t="inlineStr">
        <is>
          <t>STOCKHOLMS LÄN</t>
        </is>
      </c>
      <c r="E850" t="inlineStr">
        <is>
          <t>UPPLANDS-BRO</t>
        </is>
      </c>
      <c r="G850" t="n">
        <v>0.9</v>
      </c>
      <c r="H850" t="n">
        <v>0</v>
      </c>
      <c r="I850" t="n">
        <v>0</v>
      </c>
      <c r="J850" t="n">
        <v>0</v>
      </c>
      <c r="K850" t="n">
        <v>0</v>
      </c>
      <c r="L850" t="n">
        <v>0</v>
      </c>
      <c r="M850" t="n">
        <v>0</v>
      </c>
      <c r="N850" t="n">
        <v>0</v>
      </c>
      <c r="O850" t="n">
        <v>0</v>
      </c>
      <c r="P850" t="n">
        <v>0</v>
      </c>
      <c r="Q850" t="n">
        <v>0</v>
      </c>
      <c r="R850" s="2" t="inlineStr"/>
    </row>
    <row r="851" ht="15" customHeight="1">
      <c r="A851" t="inlineStr">
        <is>
          <t>A 68104-2019</t>
        </is>
      </c>
      <c r="B851" s="1" t="n">
        <v>43817</v>
      </c>
      <c r="C851" s="1" t="n">
        <v>45661</v>
      </c>
      <c r="D851" t="inlineStr">
        <is>
          <t>STOCKHOLMS LÄN</t>
        </is>
      </c>
      <c r="E851" t="inlineStr">
        <is>
          <t>ÖSTERÅKER</t>
        </is>
      </c>
      <c r="G851" t="n">
        <v>8.4</v>
      </c>
      <c r="H851" t="n">
        <v>0</v>
      </c>
      <c r="I851" t="n">
        <v>0</v>
      </c>
      <c r="J851" t="n">
        <v>0</v>
      </c>
      <c r="K851" t="n">
        <v>0</v>
      </c>
      <c r="L851" t="n">
        <v>0</v>
      </c>
      <c r="M851" t="n">
        <v>0</v>
      </c>
      <c r="N851" t="n">
        <v>0</v>
      </c>
      <c r="O851" t="n">
        <v>0</v>
      </c>
      <c r="P851" t="n">
        <v>0</v>
      </c>
      <c r="Q851" t="n">
        <v>0</v>
      </c>
      <c r="R851" s="2" t="inlineStr"/>
    </row>
    <row r="852" ht="15" customHeight="1">
      <c r="A852" t="inlineStr">
        <is>
          <t>A 68825-2019</t>
        </is>
      </c>
      <c r="B852" s="1" t="n">
        <v>43819</v>
      </c>
      <c r="C852" s="1" t="n">
        <v>45661</v>
      </c>
      <c r="D852" t="inlineStr">
        <is>
          <t>STOCKHOLMS LÄN</t>
        </is>
      </c>
      <c r="E852" t="inlineStr">
        <is>
          <t>SIGTUNA</t>
        </is>
      </c>
      <c r="F852" t="inlineStr">
        <is>
          <t>Kyrkan</t>
        </is>
      </c>
      <c r="G852" t="n">
        <v>7.6</v>
      </c>
      <c r="H852" t="n">
        <v>0</v>
      </c>
      <c r="I852" t="n">
        <v>0</v>
      </c>
      <c r="J852" t="n">
        <v>0</v>
      </c>
      <c r="K852" t="n">
        <v>0</v>
      </c>
      <c r="L852" t="n">
        <v>0</v>
      </c>
      <c r="M852" t="n">
        <v>0</v>
      </c>
      <c r="N852" t="n">
        <v>0</v>
      </c>
      <c r="O852" t="n">
        <v>0</v>
      </c>
      <c r="P852" t="n">
        <v>0</v>
      </c>
      <c r="Q852" t="n">
        <v>0</v>
      </c>
      <c r="R852" s="2" t="inlineStr"/>
    </row>
    <row r="853" ht="15" customHeight="1">
      <c r="A853" t="inlineStr">
        <is>
          <t>A 68826-2019</t>
        </is>
      </c>
      <c r="B853" s="1" t="n">
        <v>43819</v>
      </c>
      <c r="C853" s="1" t="n">
        <v>45661</v>
      </c>
      <c r="D853" t="inlineStr">
        <is>
          <t>STOCKHOLMS LÄN</t>
        </is>
      </c>
      <c r="E853" t="inlineStr">
        <is>
          <t>SIGTUNA</t>
        </is>
      </c>
      <c r="F853" t="inlineStr">
        <is>
          <t>Kyrkan</t>
        </is>
      </c>
      <c r="G853" t="n">
        <v>4.6</v>
      </c>
      <c r="H853" t="n">
        <v>0</v>
      </c>
      <c r="I853" t="n">
        <v>0</v>
      </c>
      <c r="J853" t="n">
        <v>0</v>
      </c>
      <c r="K853" t="n">
        <v>0</v>
      </c>
      <c r="L853" t="n">
        <v>0</v>
      </c>
      <c r="M853" t="n">
        <v>0</v>
      </c>
      <c r="N853" t="n">
        <v>0</v>
      </c>
      <c r="O853" t="n">
        <v>0</v>
      </c>
      <c r="P853" t="n">
        <v>0</v>
      </c>
      <c r="Q853" t="n">
        <v>0</v>
      </c>
      <c r="R853" s="2" t="inlineStr"/>
    </row>
    <row r="854" ht="15" customHeight="1">
      <c r="A854" t="inlineStr">
        <is>
          <t>A 68829-2019</t>
        </is>
      </c>
      <c r="B854" s="1" t="n">
        <v>43819</v>
      </c>
      <c r="C854" s="1" t="n">
        <v>45661</v>
      </c>
      <c r="D854" t="inlineStr">
        <is>
          <t>STOCKHOLMS LÄN</t>
        </is>
      </c>
      <c r="E854" t="inlineStr">
        <is>
          <t>SIGTUNA</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68865-2019</t>
        </is>
      </c>
      <c r="B855" s="1" t="n">
        <v>43821</v>
      </c>
      <c r="C855" s="1" t="n">
        <v>45661</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1099-2020</t>
        </is>
      </c>
      <c r="B856" s="1" t="n">
        <v>43822</v>
      </c>
      <c r="C856" s="1" t="n">
        <v>45661</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292-2020</t>
        </is>
      </c>
      <c r="B857" s="1" t="n">
        <v>43837</v>
      </c>
      <c r="C857" s="1" t="n">
        <v>45661</v>
      </c>
      <c r="D857" t="inlineStr">
        <is>
          <t>STOCKHOLMS LÄN</t>
        </is>
      </c>
      <c r="E857" t="inlineStr">
        <is>
          <t>EKERÖ</t>
        </is>
      </c>
      <c r="G857" t="n">
        <v>4.1</v>
      </c>
      <c r="H857" t="n">
        <v>0</v>
      </c>
      <c r="I857" t="n">
        <v>0</v>
      </c>
      <c r="J857" t="n">
        <v>0</v>
      </c>
      <c r="K857" t="n">
        <v>0</v>
      </c>
      <c r="L857" t="n">
        <v>0</v>
      </c>
      <c r="M857" t="n">
        <v>0</v>
      </c>
      <c r="N857" t="n">
        <v>0</v>
      </c>
      <c r="O857" t="n">
        <v>0</v>
      </c>
      <c r="P857" t="n">
        <v>0</v>
      </c>
      <c r="Q857" t="n">
        <v>0</v>
      </c>
      <c r="R857" s="2" t="inlineStr"/>
    </row>
    <row r="858" ht="15" customHeight="1">
      <c r="A858" t="inlineStr">
        <is>
          <t>A 461-2020</t>
        </is>
      </c>
      <c r="B858" s="1" t="n">
        <v>43837</v>
      </c>
      <c r="C858" s="1" t="n">
        <v>45661</v>
      </c>
      <c r="D858" t="inlineStr">
        <is>
          <t>STOCKHOLMS LÄN</t>
        </is>
      </c>
      <c r="E858" t="inlineStr">
        <is>
          <t>NYNÄSHAMN</t>
        </is>
      </c>
      <c r="G858" t="n">
        <v>1.1</v>
      </c>
      <c r="H858" t="n">
        <v>0</v>
      </c>
      <c r="I858" t="n">
        <v>0</v>
      </c>
      <c r="J858" t="n">
        <v>0</v>
      </c>
      <c r="K858" t="n">
        <v>0</v>
      </c>
      <c r="L858" t="n">
        <v>0</v>
      </c>
      <c r="M858" t="n">
        <v>0</v>
      </c>
      <c r="N858" t="n">
        <v>0</v>
      </c>
      <c r="O858" t="n">
        <v>0</v>
      </c>
      <c r="P858" t="n">
        <v>0</v>
      </c>
      <c r="Q858" t="n">
        <v>0</v>
      </c>
      <c r="R858" s="2" t="inlineStr"/>
    </row>
    <row r="859" ht="15" customHeight="1">
      <c r="A859" t="inlineStr">
        <is>
          <t>A 464-2020</t>
        </is>
      </c>
      <c r="B859" s="1" t="n">
        <v>43837</v>
      </c>
      <c r="C859" s="1" t="n">
        <v>45661</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630-2020</t>
        </is>
      </c>
      <c r="B860" s="1" t="n">
        <v>43838</v>
      </c>
      <c r="C860" s="1" t="n">
        <v>45661</v>
      </c>
      <c r="D860" t="inlineStr">
        <is>
          <t>STOCKHOLMS LÄN</t>
        </is>
      </c>
      <c r="E860" t="inlineStr">
        <is>
          <t>SÖDERTÄLJE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2559-2020</t>
        </is>
      </c>
      <c r="B861" s="1" t="n">
        <v>43843</v>
      </c>
      <c r="C861" s="1" t="n">
        <v>45661</v>
      </c>
      <c r="D861" t="inlineStr">
        <is>
          <t>STOCKHOLMS LÄN</t>
        </is>
      </c>
      <c r="E861" t="inlineStr">
        <is>
          <t>SÖDERTÄLJE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1388-2020</t>
        </is>
      </c>
      <c r="B862" s="1" t="n">
        <v>43843</v>
      </c>
      <c r="C862" s="1" t="n">
        <v>45661</v>
      </c>
      <c r="D862" t="inlineStr">
        <is>
          <t>STOCKHOLMS LÄN</t>
        </is>
      </c>
      <c r="E862" t="inlineStr">
        <is>
          <t>VÄRMDÖ</t>
        </is>
      </c>
      <c r="F862" t="inlineStr">
        <is>
          <t>Övriga statliga verk och myndigheter</t>
        </is>
      </c>
      <c r="G862" t="n">
        <v>2.1</v>
      </c>
      <c r="H862" t="n">
        <v>0</v>
      </c>
      <c r="I862" t="n">
        <v>0</v>
      </c>
      <c r="J862" t="n">
        <v>0</v>
      </c>
      <c r="K862" t="n">
        <v>0</v>
      </c>
      <c r="L862" t="n">
        <v>0</v>
      </c>
      <c r="M862" t="n">
        <v>0</v>
      </c>
      <c r="N862" t="n">
        <v>0</v>
      </c>
      <c r="O862" t="n">
        <v>0</v>
      </c>
      <c r="P862" t="n">
        <v>0</v>
      </c>
      <c r="Q862" t="n">
        <v>0</v>
      </c>
      <c r="R862" s="2" t="inlineStr"/>
    </row>
    <row r="863" ht="15" customHeight="1">
      <c r="A863" t="inlineStr">
        <is>
          <t>A 1669-2020</t>
        </is>
      </c>
      <c r="B863" s="1" t="n">
        <v>43844</v>
      </c>
      <c r="C863" s="1" t="n">
        <v>45661</v>
      </c>
      <c r="D863" t="inlineStr">
        <is>
          <t>STOCKHOLMS LÄN</t>
        </is>
      </c>
      <c r="E863" t="inlineStr">
        <is>
          <t>NYNÄSHAMN</t>
        </is>
      </c>
      <c r="F863" t="inlineStr">
        <is>
          <t>Övriga statliga verk och myndigheter</t>
        </is>
      </c>
      <c r="G863" t="n">
        <v>1.6</v>
      </c>
      <c r="H863" t="n">
        <v>0</v>
      </c>
      <c r="I863" t="n">
        <v>0</v>
      </c>
      <c r="J863" t="n">
        <v>0</v>
      </c>
      <c r="K863" t="n">
        <v>0</v>
      </c>
      <c r="L863" t="n">
        <v>0</v>
      </c>
      <c r="M863" t="n">
        <v>0</v>
      </c>
      <c r="N863" t="n">
        <v>0</v>
      </c>
      <c r="O863" t="n">
        <v>0</v>
      </c>
      <c r="P863" t="n">
        <v>0</v>
      </c>
      <c r="Q863" t="n">
        <v>0</v>
      </c>
      <c r="R863" s="2" t="inlineStr"/>
    </row>
    <row r="864" ht="15" customHeight="1">
      <c r="A864" t="inlineStr">
        <is>
          <t>A 1789-2020</t>
        </is>
      </c>
      <c r="B864" s="1" t="n">
        <v>43844</v>
      </c>
      <c r="C864" s="1" t="n">
        <v>45661</v>
      </c>
      <c r="D864" t="inlineStr">
        <is>
          <t>STOCKHOLMS LÄN</t>
        </is>
      </c>
      <c r="E864" t="inlineStr">
        <is>
          <t>NYNÄSHAMN</t>
        </is>
      </c>
      <c r="F864" t="inlineStr">
        <is>
          <t>Övriga statliga verk och myndigheter</t>
        </is>
      </c>
      <c r="G864" t="n">
        <v>6.4</v>
      </c>
      <c r="H864" t="n">
        <v>0</v>
      </c>
      <c r="I864" t="n">
        <v>0</v>
      </c>
      <c r="J864" t="n">
        <v>0</v>
      </c>
      <c r="K864" t="n">
        <v>0</v>
      </c>
      <c r="L864" t="n">
        <v>0</v>
      </c>
      <c r="M864" t="n">
        <v>0</v>
      </c>
      <c r="N864" t="n">
        <v>0</v>
      </c>
      <c r="O864" t="n">
        <v>0</v>
      </c>
      <c r="P864" t="n">
        <v>0</v>
      </c>
      <c r="Q864" t="n">
        <v>0</v>
      </c>
      <c r="R864" s="2" t="inlineStr"/>
    </row>
    <row r="865" ht="15" customHeight="1">
      <c r="A865" t="inlineStr">
        <is>
          <t>A 1811-2020</t>
        </is>
      </c>
      <c r="B865" s="1" t="n">
        <v>43844</v>
      </c>
      <c r="C865" s="1" t="n">
        <v>45661</v>
      </c>
      <c r="D865" t="inlineStr">
        <is>
          <t>STOCKHOLMS LÄN</t>
        </is>
      </c>
      <c r="E865" t="inlineStr">
        <is>
          <t>SÖDERTÄLJE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2554-2020</t>
        </is>
      </c>
      <c r="B866" s="1" t="n">
        <v>43847</v>
      </c>
      <c r="C866" s="1" t="n">
        <v>45661</v>
      </c>
      <c r="D866" t="inlineStr">
        <is>
          <t>STOCKHOLMS LÄN</t>
        </is>
      </c>
      <c r="E866" t="inlineStr">
        <is>
          <t>BOTKYRKA</t>
        </is>
      </c>
      <c r="G866" t="n">
        <v>3.3</v>
      </c>
      <c r="H866" t="n">
        <v>0</v>
      </c>
      <c r="I866" t="n">
        <v>0</v>
      </c>
      <c r="J866" t="n">
        <v>0</v>
      </c>
      <c r="K866" t="n">
        <v>0</v>
      </c>
      <c r="L866" t="n">
        <v>0</v>
      </c>
      <c r="M866" t="n">
        <v>0</v>
      </c>
      <c r="N866" t="n">
        <v>0</v>
      </c>
      <c r="O866" t="n">
        <v>0</v>
      </c>
      <c r="P866" t="n">
        <v>0</v>
      </c>
      <c r="Q866" t="n">
        <v>0</v>
      </c>
      <c r="R866" s="2" t="inlineStr"/>
    </row>
    <row r="867" ht="15" customHeight="1">
      <c r="A867" t="inlineStr">
        <is>
          <t>A 2671-2020</t>
        </is>
      </c>
      <c r="B867" s="1" t="n">
        <v>43849</v>
      </c>
      <c r="C867" s="1" t="n">
        <v>45661</v>
      </c>
      <c r="D867" t="inlineStr">
        <is>
          <t>STOCKHOLMS LÄN</t>
        </is>
      </c>
      <c r="E867" t="inlineStr">
        <is>
          <t>NYNÄSHAMN</t>
        </is>
      </c>
      <c r="G867" t="n">
        <v>1.6</v>
      </c>
      <c r="H867" t="n">
        <v>0</v>
      </c>
      <c r="I867" t="n">
        <v>0</v>
      </c>
      <c r="J867" t="n">
        <v>0</v>
      </c>
      <c r="K867" t="n">
        <v>0</v>
      </c>
      <c r="L867" t="n">
        <v>0</v>
      </c>
      <c r="M867" t="n">
        <v>0</v>
      </c>
      <c r="N867" t="n">
        <v>0</v>
      </c>
      <c r="O867" t="n">
        <v>0</v>
      </c>
      <c r="P867" t="n">
        <v>0</v>
      </c>
      <c r="Q867" t="n">
        <v>0</v>
      </c>
      <c r="R867" s="2" t="inlineStr"/>
    </row>
    <row r="868" ht="15" customHeight="1">
      <c r="A868" t="inlineStr">
        <is>
          <t>A 4475-2020</t>
        </is>
      </c>
      <c r="B868" s="1" t="n">
        <v>43849</v>
      </c>
      <c r="C868" s="1" t="n">
        <v>45661</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3144-2020</t>
        </is>
      </c>
      <c r="B869" s="1" t="n">
        <v>43851</v>
      </c>
      <c r="C869" s="1" t="n">
        <v>45661</v>
      </c>
      <c r="D869" t="inlineStr">
        <is>
          <t>STOCKHOLMS LÄN</t>
        </is>
      </c>
      <c r="E869" t="inlineStr">
        <is>
          <t>NYNÄSHAMN</t>
        </is>
      </c>
      <c r="G869" t="n">
        <v>5.9</v>
      </c>
      <c r="H869" t="n">
        <v>0</v>
      </c>
      <c r="I869" t="n">
        <v>0</v>
      </c>
      <c r="J869" t="n">
        <v>0</v>
      </c>
      <c r="K869" t="n">
        <v>0</v>
      </c>
      <c r="L869" t="n">
        <v>0</v>
      </c>
      <c r="M869" t="n">
        <v>0</v>
      </c>
      <c r="N869" t="n">
        <v>0</v>
      </c>
      <c r="O869" t="n">
        <v>0</v>
      </c>
      <c r="P869" t="n">
        <v>0</v>
      </c>
      <c r="Q869" t="n">
        <v>0</v>
      </c>
      <c r="R869" s="2" t="inlineStr"/>
    </row>
    <row r="870" ht="15" customHeight="1">
      <c r="A870" t="inlineStr">
        <is>
          <t>A 3882-2020</t>
        </is>
      </c>
      <c r="B870" s="1" t="n">
        <v>43854</v>
      </c>
      <c r="C870" s="1" t="n">
        <v>45661</v>
      </c>
      <c r="D870" t="inlineStr">
        <is>
          <t>STOCKHOLMS LÄN</t>
        </is>
      </c>
      <c r="E870" t="inlineStr">
        <is>
          <t>NORRTÄLJE</t>
        </is>
      </c>
      <c r="G870" t="n">
        <v>5.9</v>
      </c>
      <c r="H870" t="n">
        <v>0</v>
      </c>
      <c r="I870" t="n">
        <v>0</v>
      </c>
      <c r="J870" t="n">
        <v>0</v>
      </c>
      <c r="K870" t="n">
        <v>0</v>
      </c>
      <c r="L870" t="n">
        <v>0</v>
      </c>
      <c r="M870" t="n">
        <v>0</v>
      </c>
      <c r="N870" t="n">
        <v>0</v>
      </c>
      <c r="O870" t="n">
        <v>0</v>
      </c>
      <c r="P870" t="n">
        <v>0</v>
      </c>
      <c r="Q870" t="n">
        <v>0</v>
      </c>
      <c r="R870" s="2" t="inlineStr"/>
    </row>
    <row r="871" ht="15" customHeight="1">
      <c r="A871" t="inlineStr">
        <is>
          <t>A 3952-2020</t>
        </is>
      </c>
      <c r="B871" s="1" t="n">
        <v>43854</v>
      </c>
      <c r="C871" s="1" t="n">
        <v>45661</v>
      </c>
      <c r="D871" t="inlineStr">
        <is>
          <t>STOCKHOLMS LÄN</t>
        </is>
      </c>
      <c r="E871" t="inlineStr">
        <is>
          <t>NYNÄSHAMN</t>
        </is>
      </c>
      <c r="F871" t="inlineStr">
        <is>
          <t>Övriga statliga verk och myndigheter</t>
        </is>
      </c>
      <c r="G871" t="n">
        <v>10.1</v>
      </c>
      <c r="H871" t="n">
        <v>0</v>
      </c>
      <c r="I871" t="n">
        <v>0</v>
      </c>
      <c r="J871" t="n">
        <v>0</v>
      </c>
      <c r="K871" t="n">
        <v>0</v>
      </c>
      <c r="L871" t="n">
        <v>0</v>
      </c>
      <c r="M871" t="n">
        <v>0</v>
      </c>
      <c r="N871" t="n">
        <v>0</v>
      </c>
      <c r="O871" t="n">
        <v>0</v>
      </c>
      <c r="P871" t="n">
        <v>0</v>
      </c>
      <c r="Q871" t="n">
        <v>0</v>
      </c>
      <c r="R871" s="2" t="inlineStr"/>
    </row>
    <row r="872" ht="15" customHeight="1">
      <c r="A872" t="inlineStr">
        <is>
          <t>A 4094-2020</t>
        </is>
      </c>
      <c r="B872" s="1" t="n">
        <v>43857</v>
      </c>
      <c r="C872" s="1" t="n">
        <v>45661</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4115-2020</t>
        </is>
      </c>
      <c r="B873" s="1" t="n">
        <v>43857</v>
      </c>
      <c r="C873" s="1" t="n">
        <v>45661</v>
      </c>
      <c r="D873" t="inlineStr">
        <is>
          <t>STOCKHOLMS LÄN</t>
        </is>
      </c>
      <c r="E873" t="inlineStr">
        <is>
          <t>VALLENTUNA</t>
        </is>
      </c>
      <c r="G873" t="n">
        <v>1.1</v>
      </c>
      <c r="H873" t="n">
        <v>0</v>
      </c>
      <c r="I873" t="n">
        <v>0</v>
      </c>
      <c r="J873" t="n">
        <v>0</v>
      </c>
      <c r="K873" t="n">
        <v>0</v>
      </c>
      <c r="L873" t="n">
        <v>0</v>
      </c>
      <c r="M873" t="n">
        <v>0</v>
      </c>
      <c r="N873" t="n">
        <v>0</v>
      </c>
      <c r="O873" t="n">
        <v>0</v>
      </c>
      <c r="P873" t="n">
        <v>0</v>
      </c>
      <c r="Q873" t="n">
        <v>0</v>
      </c>
      <c r="R873" s="2" t="inlineStr"/>
    </row>
    <row r="874" ht="15" customHeight="1">
      <c r="A874" t="inlineStr">
        <is>
          <t>A 4353-2020</t>
        </is>
      </c>
      <c r="B874" s="1" t="n">
        <v>43857</v>
      </c>
      <c r="C874" s="1" t="n">
        <v>45661</v>
      </c>
      <c r="D874" t="inlineStr">
        <is>
          <t>STOCKHOLMS LÄN</t>
        </is>
      </c>
      <c r="E874" t="inlineStr">
        <is>
          <t>EKERÖ</t>
        </is>
      </c>
      <c r="G874" t="n">
        <v>6.3</v>
      </c>
      <c r="H874" t="n">
        <v>0</v>
      </c>
      <c r="I874" t="n">
        <v>0</v>
      </c>
      <c r="J874" t="n">
        <v>0</v>
      </c>
      <c r="K874" t="n">
        <v>0</v>
      </c>
      <c r="L874" t="n">
        <v>0</v>
      </c>
      <c r="M874" t="n">
        <v>0</v>
      </c>
      <c r="N874" t="n">
        <v>0</v>
      </c>
      <c r="O874" t="n">
        <v>0</v>
      </c>
      <c r="P874" t="n">
        <v>0</v>
      </c>
      <c r="Q874" t="n">
        <v>0</v>
      </c>
      <c r="R874" s="2" t="inlineStr"/>
    </row>
    <row r="875" ht="15" customHeight="1">
      <c r="A875" t="inlineStr">
        <is>
          <t>A 4300-2020</t>
        </is>
      </c>
      <c r="B875" s="1" t="n">
        <v>43857</v>
      </c>
      <c r="C875" s="1" t="n">
        <v>45661</v>
      </c>
      <c r="D875" t="inlineStr">
        <is>
          <t>STOCKHOLMS LÄN</t>
        </is>
      </c>
      <c r="E875" t="inlineStr">
        <is>
          <t>HANINGE</t>
        </is>
      </c>
      <c r="G875" t="n">
        <v>3</v>
      </c>
      <c r="H875" t="n">
        <v>0</v>
      </c>
      <c r="I875" t="n">
        <v>0</v>
      </c>
      <c r="J875" t="n">
        <v>0</v>
      </c>
      <c r="K875" t="n">
        <v>0</v>
      </c>
      <c r="L875" t="n">
        <v>0</v>
      </c>
      <c r="M875" t="n">
        <v>0</v>
      </c>
      <c r="N875" t="n">
        <v>0</v>
      </c>
      <c r="O875" t="n">
        <v>0</v>
      </c>
      <c r="P875" t="n">
        <v>0</v>
      </c>
      <c r="Q875" t="n">
        <v>0</v>
      </c>
      <c r="R875" s="2" t="inlineStr"/>
    </row>
    <row r="876" ht="15" customHeight="1">
      <c r="A876" t="inlineStr">
        <is>
          <t>A 4431-2020</t>
        </is>
      </c>
      <c r="B876" s="1" t="n">
        <v>43858</v>
      </c>
      <c r="C876" s="1" t="n">
        <v>45661</v>
      </c>
      <c r="D876" t="inlineStr">
        <is>
          <t>STOCKHOLMS LÄN</t>
        </is>
      </c>
      <c r="E876" t="inlineStr">
        <is>
          <t>HANINGE</t>
        </is>
      </c>
      <c r="G876" t="n">
        <v>2.2</v>
      </c>
      <c r="H876" t="n">
        <v>0</v>
      </c>
      <c r="I876" t="n">
        <v>0</v>
      </c>
      <c r="J876" t="n">
        <v>0</v>
      </c>
      <c r="K876" t="n">
        <v>0</v>
      </c>
      <c r="L876" t="n">
        <v>0</v>
      </c>
      <c r="M876" t="n">
        <v>0</v>
      </c>
      <c r="N876" t="n">
        <v>0</v>
      </c>
      <c r="O876" t="n">
        <v>0</v>
      </c>
      <c r="P876" t="n">
        <v>0</v>
      </c>
      <c r="Q876" t="n">
        <v>0</v>
      </c>
      <c r="R876" s="2" t="inlineStr"/>
    </row>
    <row r="877" ht="15" customHeight="1">
      <c r="A877" t="inlineStr">
        <is>
          <t>A 4444-2020</t>
        </is>
      </c>
      <c r="B877" s="1" t="n">
        <v>43858</v>
      </c>
      <c r="C877" s="1" t="n">
        <v>45661</v>
      </c>
      <c r="D877" t="inlineStr">
        <is>
          <t>STOCKHOLMS LÄN</t>
        </is>
      </c>
      <c r="E877" t="inlineStr">
        <is>
          <t>HANINGE</t>
        </is>
      </c>
      <c r="G877" t="n">
        <v>2</v>
      </c>
      <c r="H877" t="n">
        <v>0</v>
      </c>
      <c r="I877" t="n">
        <v>0</v>
      </c>
      <c r="J877" t="n">
        <v>0</v>
      </c>
      <c r="K877" t="n">
        <v>0</v>
      </c>
      <c r="L877" t="n">
        <v>0</v>
      </c>
      <c r="M877" t="n">
        <v>0</v>
      </c>
      <c r="N877" t="n">
        <v>0</v>
      </c>
      <c r="O877" t="n">
        <v>0</v>
      </c>
      <c r="P877" t="n">
        <v>0</v>
      </c>
      <c r="Q877" t="n">
        <v>0</v>
      </c>
      <c r="R877" s="2" t="inlineStr"/>
    </row>
    <row r="878" ht="15" customHeight="1">
      <c r="A878" t="inlineStr">
        <is>
          <t>A 4950-2020</t>
        </is>
      </c>
      <c r="B878" s="1" t="n">
        <v>43859</v>
      </c>
      <c r="C878" s="1" t="n">
        <v>45661</v>
      </c>
      <c r="D878" t="inlineStr">
        <is>
          <t>STOCKHOLMS LÄN</t>
        </is>
      </c>
      <c r="E878" t="inlineStr">
        <is>
          <t>NORRTÄLJE</t>
        </is>
      </c>
      <c r="G878" t="n">
        <v>0.4</v>
      </c>
      <c r="H878" t="n">
        <v>0</v>
      </c>
      <c r="I878" t="n">
        <v>0</v>
      </c>
      <c r="J878" t="n">
        <v>0</v>
      </c>
      <c r="K878" t="n">
        <v>0</v>
      </c>
      <c r="L878" t="n">
        <v>0</v>
      </c>
      <c r="M878" t="n">
        <v>0</v>
      </c>
      <c r="N878" t="n">
        <v>0</v>
      </c>
      <c r="O878" t="n">
        <v>0</v>
      </c>
      <c r="P878" t="n">
        <v>0</v>
      </c>
      <c r="Q878" t="n">
        <v>0</v>
      </c>
      <c r="R878" s="2" t="inlineStr"/>
    </row>
    <row r="879" ht="15" customHeight="1">
      <c r="A879" t="inlineStr">
        <is>
          <t>A 5084-2020</t>
        </is>
      </c>
      <c r="B879" s="1" t="n">
        <v>43859</v>
      </c>
      <c r="C879" s="1" t="n">
        <v>45661</v>
      </c>
      <c r="D879" t="inlineStr">
        <is>
          <t>STOCKHOLMS LÄN</t>
        </is>
      </c>
      <c r="E879" t="inlineStr">
        <is>
          <t>NORRTÄLJE</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4952-2020</t>
        </is>
      </c>
      <c r="B880" s="1" t="n">
        <v>43859</v>
      </c>
      <c r="C880" s="1" t="n">
        <v>45661</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5406-2020</t>
        </is>
      </c>
      <c r="B881" s="1" t="n">
        <v>43860</v>
      </c>
      <c r="C881" s="1" t="n">
        <v>45661</v>
      </c>
      <c r="D881" t="inlineStr">
        <is>
          <t>STOCKHOLMS LÄN</t>
        </is>
      </c>
      <c r="E881" t="inlineStr">
        <is>
          <t>NYNÄSHAMN</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5735-2020</t>
        </is>
      </c>
      <c r="B882" s="1" t="n">
        <v>43863</v>
      </c>
      <c r="C882" s="1" t="n">
        <v>45661</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5733-2020</t>
        </is>
      </c>
      <c r="B883" s="1" t="n">
        <v>43863</v>
      </c>
      <c r="C883" s="1" t="n">
        <v>45661</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5739-2020</t>
        </is>
      </c>
      <c r="B884" s="1" t="n">
        <v>43863</v>
      </c>
      <c r="C884" s="1" t="n">
        <v>45661</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5929-2020</t>
        </is>
      </c>
      <c r="B885" s="1" t="n">
        <v>43864</v>
      </c>
      <c r="C885" s="1" t="n">
        <v>45661</v>
      </c>
      <c r="D885" t="inlineStr">
        <is>
          <t>STOCKHOLMS LÄN</t>
        </is>
      </c>
      <c r="E885" t="inlineStr">
        <is>
          <t>ÖSTERÅKER</t>
        </is>
      </c>
      <c r="G885" t="n">
        <v>2.3</v>
      </c>
      <c r="H885" t="n">
        <v>0</v>
      </c>
      <c r="I885" t="n">
        <v>0</v>
      </c>
      <c r="J885" t="n">
        <v>0</v>
      </c>
      <c r="K885" t="n">
        <v>0</v>
      </c>
      <c r="L885" t="n">
        <v>0</v>
      </c>
      <c r="M885" t="n">
        <v>0</v>
      </c>
      <c r="N885" t="n">
        <v>0</v>
      </c>
      <c r="O885" t="n">
        <v>0</v>
      </c>
      <c r="P885" t="n">
        <v>0</v>
      </c>
      <c r="Q885" t="n">
        <v>0</v>
      </c>
      <c r="R885" s="2" t="inlineStr"/>
    </row>
    <row r="886" ht="15" customHeight="1">
      <c r="A886" t="inlineStr">
        <is>
          <t>A 6219-2020</t>
        </is>
      </c>
      <c r="B886" s="1" t="n">
        <v>43865</v>
      </c>
      <c r="C886" s="1" t="n">
        <v>45661</v>
      </c>
      <c r="D886" t="inlineStr">
        <is>
          <t>STOCKHOLMS LÄN</t>
        </is>
      </c>
      <c r="E886" t="inlineStr">
        <is>
          <t>NYNÄSHAMN</t>
        </is>
      </c>
      <c r="G886" t="n">
        <v>0.5</v>
      </c>
      <c r="H886" t="n">
        <v>0</v>
      </c>
      <c r="I886" t="n">
        <v>0</v>
      </c>
      <c r="J886" t="n">
        <v>0</v>
      </c>
      <c r="K886" t="n">
        <v>0</v>
      </c>
      <c r="L886" t="n">
        <v>0</v>
      </c>
      <c r="M886" t="n">
        <v>0</v>
      </c>
      <c r="N886" t="n">
        <v>0</v>
      </c>
      <c r="O886" t="n">
        <v>0</v>
      </c>
      <c r="P886" t="n">
        <v>0</v>
      </c>
      <c r="Q886" t="n">
        <v>0</v>
      </c>
      <c r="R886" s="2" t="inlineStr"/>
    </row>
    <row r="887" ht="15" customHeight="1">
      <c r="A887" t="inlineStr">
        <is>
          <t>A 6370-2020</t>
        </is>
      </c>
      <c r="B887" s="1" t="n">
        <v>43866</v>
      </c>
      <c r="C887" s="1" t="n">
        <v>45661</v>
      </c>
      <c r="D887" t="inlineStr">
        <is>
          <t>STOCKHOLMS LÄN</t>
        </is>
      </c>
      <c r="E887" t="inlineStr">
        <is>
          <t>UPPLANDS-BRO</t>
        </is>
      </c>
      <c r="G887" t="n">
        <v>1</v>
      </c>
      <c r="H887" t="n">
        <v>0</v>
      </c>
      <c r="I887" t="n">
        <v>0</v>
      </c>
      <c r="J887" t="n">
        <v>0</v>
      </c>
      <c r="K887" t="n">
        <v>0</v>
      </c>
      <c r="L887" t="n">
        <v>0</v>
      </c>
      <c r="M887" t="n">
        <v>0</v>
      </c>
      <c r="N887" t="n">
        <v>0</v>
      </c>
      <c r="O887" t="n">
        <v>0</v>
      </c>
      <c r="P887" t="n">
        <v>0</v>
      </c>
      <c r="Q887" t="n">
        <v>0</v>
      </c>
      <c r="R887" s="2" t="inlineStr"/>
    </row>
    <row r="888" ht="15" customHeight="1">
      <c r="A888" t="inlineStr">
        <is>
          <t>A 6357-2020</t>
        </is>
      </c>
      <c r="B888" s="1" t="n">
        <v>43866</v>
      </c>
      <c r="C888" s="1" t="n">
        <v>45661</v>
      </c>
      <c r="D888" t="inlineStr">
        <is>
          <t>STOCKHOLMS LÄN</t>
        </is>
      </c>
      <c r="E888" t="inlineStr">
        <is>
          <t>UPPLANDS-BRO</t>
        </is>
      </c>
      <c r="G888" t="n">
        <v>2.2</v>
      </c>
      <c r="H888" t="n">
        <v>0</v>
      </c>
      <c r="I888" t="n">
        <v>0</v>
      </c>
      <c r="J888" t="n">
        <v>0</v>
      </c>
      <c r="K888" t="n">
        <v>0</v>
      </c>
      <c r="L888" t="n">
        <v>0</v>
      </c>
      <c r="M888" t="n">
        <v>0</v>
      </c>
      <c r="N888" t="n">
        <v>0</v>
      </c>
      <c r="O888" t="n">
        <v>0</v>
      </c>
      <c r="P888" t="n">
        <v>0</v>
      </c>
      <c r="Q888" t="n">
        <v>0</v>
      </c>
      <c r="R888" s="2" t="inlineStr"/>
    </row>
    <row r="889" ht="15" customHeight="1">
      <c r="A889" t="inlineStr">
        <is>
          <t>A 6707-2020</t>
        </is>
      </c>
      <c r="B889" s="1" t="n">
        <v>43867</v>
      </c>
      <c r="C889" s="1" t="n">
        <v>45661</v>
      </c>
      <c r="D889" t="inlineStr">
        <is>
          <t>STOCKHOLMS LÄN</t>
        </is>
      </c>
      <c r="E889" t="inlineStr">
        <is>
          <t>SÖDERTÄLJE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7150-2020</t>
        </is>
      </c>
      <c r="B890" s="1" t="n">
        <v>43869</v>
      </c>
      <c r="C890" s="1" t="n">
        <v>45661</v>
      </c>
      <c r="D890" t="inlineStr">
        <is>
          <t>STOCKHOLMS LÄN</t>
        </is>
      </c>
      <c r="E890" t="inlineStr">
        <is>
          <t>NYNÄSHAMN</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7354-2020</t>
        </is>
      </c>
      <c r="B891" s="1" t="n">
        <v>43871</v>
      </c>
      <c r="C891" s="1" t="n">
        <v>45661</v>
      </c>
      <c r="D891" t="inlineStr">
        <is>
          <t>STOCKHOLMS LÄN</t>
        </is>
      </c>
      <c r="E891" t="inlineStr">
        <is>
          <t>VALLENTUNA</t>
        </is>
      </c>
      <c r="G891" t="n">
        <v>1.5</v>
      </c>
      <c r="H891" t="n">
        <v>0</v>
      </c>
      <c r="I891" t="n">
        <v>0</v>
      </c>
      <c r="J891" t="n">
        <v>0</v>
      </c>
      <c r="K891" t="n">
        <v>0</v>
      </c>
      <c r="L891" t="n">
        <v>0</v>
      </c>
      <c r="M891" t="n">
        <v>0</v>
      </c>
      <c r="N891" t="n">
        <v>0</v>
      </c>
      <c r="O891" t="n">
        <v>0</v>
      </c>
      <c r="P891" t="n">
        <v>0</v>
      </c>
      <c r="Q891" t="n">
        <v>0</v>
      </c>
      <c r="R891" s="2" t="inlineStr"/>
    </row>
    <row r="892" ht="15" customHeight="1">
      <c r="A892" t="inlineStr">
        <is>
          <t>A 7479-2020</t>
        </is>
      </c>
      <c r="B892" s="1" t="n">
        <v>43871</v>
      </c>
      <c r="C892" s="1" t="n">
        <v>45661</v>
      </c>
      <c r="D892" t="inlineStr">
        <is>
          <t>STOCKHOLMS LÄN</t>
        </is>
      </c>
      <c r="E892" t="inlineStr">
        <is>
          <t>VALLENTUNA</t>
        </is>
      </c>
      <c r="G892" t="n">
        <v>7.4</v>
      </c>
      <c r="H892" t="n">
        <v>0</v>
      </c>
      <c r="I892" t="n">
        <v>0</v>
      </c>
      <c r="J892" t="n">
        <v>0</v>
      </c>
      <c r="K892" t="n">
        <v>0</v>
      </c>
      <c r="L892" t="n">
        <v>0</v>
      </c>
      <c r="M892" t="n">
        <v>0</v>
      </c>
      <c r="N892" t="n">
        <v>0</v>
      </c>
      <c r="O892" t="n">
        <v>0</v>
      </c>
      <c r="P892" t="n">
        <v>0</v>
      </c>
      <c r="Q892" t="n">
        <v>0</v>
      </c>
      <c r="R892" s="2" t="inlineStr"/>
    </row>
    <row r="893" ht="15" customHeight="1">
      <c r="A893" t="inlineStr">
        <is>
          <t>A 7486-2020</t>
        </is>
      </c>
      <c r="B893" s="1" t="n">
        <v>43871</v>
      </c>
      <c r="C893" s="1" t="n">
        <v>45661</v>
      </c>
      <c r="D893" t="inlineStr">
        <is>
          <t>STOCKHOLMS LÄN</t>
        </is>
      </c>
      <c r="E893" t="inlineStr">
        <is>
          <t>VALLENTUNA</t>
        </is>
      </c>
      <c r="G893" t="n">
        <v>0.9</v>
      </c>
      <c r="H893" t="n">
        <v>0</v>
      </c>
      <c r="I893" t="n">
        <v>0</v>
      </c>
      <c r="J893" t="n">
        <v>0</v>
      </c>
      <c r="K893" t="n">
        <v>0</v>
      </c>
      <c r="L893" t="n">
        <v>0</v>
      </c>
      <c r="M893" t="n">
        <v>0</v>
      </c>
      <c r="N893" t="n">
        <v>0</v>
      </c>
      <c r="O893" t="n">
        <v>0</v>
      </c>
      <c r="P893" t="n">
        <v>0</v>
      </c>
      <c r="Q893" t="n">
        <v>0</v>
      </c>
      <c r="R893" s="2" t="inlineStr"/>
    </row>
    <row r="894" ht="15" customHeight="1">
      <c r="A894" t="inlineStr">
        <is>
          <t>A 7471-2020</t>
        </is>
      </c>
      <c r="B894" s="1" t="n">
        <v>43871</v>
      </c>
      <c r="C894" s="1" t="n">
        <v>45661</v>
      </c>
      <c r="D894" t="inlineStr">
        <is>
          <t>STOCKHOLMS LÄN</t>
        </is>
      </c>
      <c r="E894" t="inlineStr">
        <is>
          <t>NORRTÄLJE</t>
        </is>
      </c>
      <c r="G894" t="n">
        <v>7.8</v>
      </c>
      <c r="H894" t="n">
        <v>0</v>
      </c>
      <c r="I894" t="n">
        <v>0</v>
      </c>
      <c r="J894" t="n">
        <v>0</v>
      </c>
      <c r="K894" t="n">
        <v>0</v>
      </c>
      <c r="L894" t="n">
        <v>0</v>
      </c>
      <c r="M894" t="n">
        <v>0</v>
      </c>
      <c r="N894" t="n">
        <v>0</v>
      </c>
      <c r="O894" t="n">
        <v>0</v>
      </c>
      <c r="P894" t="n">
        <v>0</v>
      </c>
      <c r="Q894" t="n">
        <v>0</v>
      </c>
      <c r="R894" s="2" t="inlineStr"/>
    </row>
    <row r="895" ht="15" customHeight="1">
      <c r="A895" t="inlineStr">
        <is>
          <t>A 7484-2020</t>
        </is>
      </c>
      <c r="B895" s="1" t="n">
        <v>43871</v>
      </c>
      <c r="C895" s="1" t="n">
        <v>45661</v>
      </c>
      <c r="D895" t="inlineStr">
        <is>
          <t>STOCKHOLMS LÄN</t>
        </is>
      </c>
      <c r="E895" t="inlineStr">
        <is>
          <t>VALLENTUNA</t>
        </is>
      </c>
      <c r="G895" t="n">
        <v>2.7</v>
      </c>
      <c r="H895" t="n">
        <v>0</v>
      </c>
      <c r="I895" t="n">
        <v>0</v>
      </c>
      <c r="J895" t="n">
        <v>0</v>
      </c>
      <c r="K895" t="n">
        <v>0</v>
      </c>
      <c r="L895" t="n">
        <v>0</v>
      </c>
      <c r="M895" t="n">
        <v>0</v>
      </c>
      <c r="N895" t="n">
        <v>0</v>
      </c>
      <c r="O895" t="n">
        <v>0</v>
      </c>
      <c r="P895" t="n">
        <v>0</v>
      </c>
      <c r="Q895" t="n">
        <v>0</v>
      </c>
      <c r="R895" s="2" t="inlineStr"/>
    </row>
    <row r="896" ht="15" customHeight="1">
      <c r="A896" t="inlineStr">
        <is>
          <t>A 7812-2020</t>
        </is>
      </c>
      <c r="B896" s="1" t="n">
        <v>43873</v>
      </c>
      <c r="C896" s="1" t="n">
        <v>45661</v>
      </c>
      <c r="D896" t="inlineStr">
        <is>
          <t>STOCKHOLMS LÄN</t>
        </is>
      </c>
      <c r="E896" t="inlineStr">
        <is>
          <t>SALEM</t>
        </is>
      </c>
      <c r="G896" t="n">
        <v>3.9</v>
      </c>
      <c r="H896" t="n">
        <v>0</v>
      </c>
      <c r="I896" t="n">
        <v>0</v>
      </c>
      <c r="J896" t="n">
        <v>0</v>
      </c>
      <c r="K896" t="n">
        <v>0</v>
      </c>
      <c r="L896" t="n">
        <v>0</v>
      </c>
      <c r="M896" t="n">
        <v>0</v>
      </c>
      <c r="N896" t="n">
        <v>0</v>
      </c>
      <c r="O896" t="n">
        <v>0</v>
      </c>
      <c r="P896" t="n">
        <v>0</v>
      </c>
      <c r="Q896" t="n">
        <v>0</v>
      </c>
      <c r="R896" s="2" t="inlineStr"/>
    </row>
    <row r="897" ht="15" customHeight="1">
      <c r="A897" t="inlineStr">
        <is>
          <t>A 7923-2020</t>
        </is>
      </c>
      <c r="B897" s="1" t="n">
        <v>43873</v>
      </c>
      <c r="C897" s="1" t="n">
        <v>45661</v>
      </c>
      <c r="D897" t="inlineStr">
        <is>
          <t>STOCKHOLMS LÄN</t>
        </is>
      </c>
      <c r="E897" t="inlineStr">
        <is>
          <t>NYNÄSHAMN</t>
        </is>
      </c>
      <c r="G897" t="n">
        <v>2</v>
      </c>
      <c r="H897" t="n">
        <v>0</v>
      </c>
      <c r="I897" t="n">
        <v>0</v>
      </c>
      <c r="J897" t="n">
        <v>0</v>
      </c>
      <c r="K897" t="n">
        <v>0</v>
      </c>
      <c r="L897" t="n">
        <v>0</v>
      </c>
      <c r="M897" t="n">
        <v>0</v>
      </c>
      <c r="N897" t="n">
        <v>0</v>
      </c>
      <c r="O897" t="n">
        <v>0</v>
      </c>
      <c r="P897" t="n">
        <v>0</v>
      </c>
      <c r="Q897" t="n">
        <v>0</v>
      </c>
      <c r="R897" s="2" t="inlineStr"/>
    </row>
    <row r="898" ht="15" customHeight="1">
      <c r="A898" t="inlineStr">
        <is>
          <t>A 7820-2020</t>
        </is>
      </c>
      <c r="B898" s="1" t="n">
        <v>43873</v>
      </c>
      <c r="C898" s="1" t="n">
        <v>45661</v>
      </c>
      <c r="D898" t="inlineStr">
        <is>
          <t>STOCKHOLMS LÄN</t>
        </is>
      </c>
      <c r="E898" t="inlineStr">
        <is>
          <t>SALEM</t>
        </is>
      </c>
      <c r="G898" t="n">
        <v>2.8</v>
      </c>
      <c r="H898" t="n">
        <v>0</v>
      </c>
      <c r="I898" t="n">
        <v>0</v>
      </c>
      <c r="J898" t="n">
        <v>0</v>
      </c>
      <c r="K898" t="n">
        <v>0</v>
      </c>
      <c r="L898" t="n">
        <v>0</v>
      </c>
      <c r="M898" t="n">
        <v>0</v>
      </c>
      <c r="N898" t="n">
        <v>0</v>
      </c>
      <c r="O898" t="n">
        <v>0</v>
      </c>
      <c r="P898" t="n">
        <v>0</v>
      </c>
      <c r="Q898" t="n">
        <v>0</v>
      </c>
      <c r="R898" s="2" t="inlineStr"/>
    </row>
    <row r="899" ht="15" customHeight="1">
      <c r="A899" t="inlineStr">
        <is>
          <t>A 8366-2020</t>
        </is>
      </c>
      <c r="B899" s="1" t="n">
        <v>43875</v>
      </c>
      <c r="C899" s="1" t="n">
        <v>45661</v>
      </c>
      <c r="D899" t="inlineStr">
        <is>
          <t>STOCKHOLMS LÄN</t>
        </is>
      </c>
      <c r="E899" t="inlineStr">
        <is>
          <t>SÖDERTÄLJE</t>
        </is>
      </c>
      <c r="G899" t="n">
        <v>1.6</v>
      </c>
      <c r="H899" t="n">
        <v>0</v>
      </c>
      <c r="I899" t="n">
        <v>0</v>
      </c>
      <c r="J899" t="n">
        <v>0</v>
      </c>
      <c r="K899" t="n">
        <v>0</v>
      </c>
      <c r="L899" t="n">
        <v>0</v>
      </c>
      <c r="M899" t="n">
        <v>0</v>
      </c>
      <c r="N899" t="n">
        <v>0</v>
      </c>
      <c r="O899" t="n">
        <v>0</v>
      </c>
      <c r="P899" t="n">
        <v>0</v>
      </c>
      <c r="Q899" t="n">
        <v>0</v>
      </c>
      <c r="R899" s="2" t="inlineStr"/>
    </row>
    <row r="900" ht="15" customHeight="1">
      <c r="A900" t="inlineStr">
        <is>
          <t>A 9109-2020</t>
        </is>
      </c>
      <c r="B900" s="1" t="n">
        <v>43879</v>
      </c>
      <c r="C900" s="1" t="n">
        <v>45661</v>
      </c>
      <c r="D900" t="inlineStr">
        <is>
          <t>STOCKHOLMS LÄN</t>
        </is>
      </c>
      <c r="E900" t="inlineStr">
        <is>
          <t>SALEM</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9116-2020</t>
        </is>
      </c>
      <c r="B901" s="1" t="n">
        <v>43879</v>
      </c>
      <c r="C901" s="1" t="n">
        <v>45661</v>
      </c>
      <c r="D901" t="inlineStr">
        <is>
          <t>STOCKHOLMS LÄN</t>
        </is>
      </c>
      <c r="E901" t="inlineStr">
        <is>
          <t>SALEM</t>
        </is>
      </c>
      <c r="F901" t="inlineStr">
        <is>
          <t>Kommuner</t>
        </is>
      </c>
      <c r="G901" t="n">
        <v>4.2</v>
      </c>
      <c r="H901" t="n">
        <v>0</v>
      </c>
      <c r="I901" t="n">
        <v>0</v>
      </c>
      <c r="J901" t="n">
        <v>0</v>
      </c>
      <c r="K901" t="n">
        <v>0</v>
      </c>
      <c r="L901" t="n">
        <v>0</v>
      </c>
      <c r="M901" t="n">
        <v>0</v>
      </c>
      <c r="N901" t="n">
        <v>0</v>
      </c>
      <c r="O901" t="n">
        <v>0</v>
      </c>
      <c r="P901" t="n">
        <v>0</v>
      </c>
      <c r="Q901" t="n">
        <v>0</v>
      </c>
      <c r="R901" s="2" t="inlineStr"/>
    </row>
    <row r="902" ht="15" customHeight="1">
      <c r="A902" t="inlineStr">
        <is>
          <t>A 9845-2020</t>
        </is>
      </c>
      <c r="B902" s="1" t="n">
        <v>43881</v>
      </c>
      <c r="C902" s="1" t="n">
        <v>45661</v>
      </c>
      <c r="D902" t="inlineStr">
        <is>
          <t>STOCKHOLMS LÄN</t>
        </is>
      </c>
      <c r="E902" t="inlineStr">
        <is>
          <t>NORRTÄLJE</t>
        </is>
      </c>
      <c r="G902" t="n">
        <v>0.4</v>
      </c>
      <c r="H902" t="n">
        <v>0</v>
      </c>
      <c r="I902" t="n">
        <v>0</v>
      </c>
      <c r="J902" t="n">
        <v>0</v>
      </c>
      <c r="K902" t="n">
        <v>0</v>
      </c>
      <c r="L902" t="n">
        <v>0</v>
      </c>
      <c r="M902" t="n">
        <v>0</v>
      </c>
      <c r="N902" t="n">
        <v>0</v>
      </c>
      <c r="O902" t="n">
        <v>0</v>
      </c>
      <c r="P902" t="n">
        <v>0</v>
      </c>
      <c r="Q902" t="n">
        <v>0</v>
      </c>
      <c r="R902" s="2" t="inlineStr"/>
    </row>
    <row r="903" ht="15" customHeight="1">
      <c r="A903" t="inlineStr">
        <is>
          <t>A 10007-2020</t>
        </is>
      </c>
      <c r="B903" s="1" t="n">
        <v>43882</v>
      </c>
      <c r="C903" s="1" t="n">
        <v>45661</v>
      </c>
      <c r="D903" t="inlineStr">
        <is>
          <t>STOCKHOLMS LÄN</t>
        </is>
      </c>
      <c r="E903" t="inlineStr">
        <is>
          <t>NYNÄSHAMN</t>
        </is>
      </c>
      <c r="G903" t="n">
        <v>0.7</v>
      </c>
      <c r="H903" t="n">
        <v>0</v>
      </c>
      <c r="I903" t="n">
        <v>0</v>
      </c>
      <c r="J903" t="n">
        <v>0</v>
      </c>
      <c r="K903" t="n">
        <v>0</v>
      </c>
      <c r="L903" t="n">
        <v>0</v>
      </c>
      <c r="M903" t="n">
        <v>0</v>
      </c>
      <c r="N903" t="n">
        <v>0</v>
      </c>
      <c r="O903" t="n">
        <v>0</v>
      </c>
      <c r="P903" t="n">
        <v>0</v>
      </c>
      <c r="Q903" t="n">
        <v>0</v>
      </c>
      <c r="R903" s="2" t="inlineStr"/>
    </row>
    <row r="904" ht="15" customHeight="1">
      <c r="A904" t="inlineStr">
        <is>
          <t>A 10244-2020</t>
        </is>
      </c>
      <c r="B904" s="1" t="n">
        <v>43885</v>
      </c>
      <c r="C904" s="1" t="n">
        <v>45661</v>
      </c>
      <c r="D904" t="inlineStr">
        <is>
          <t>STOCKHOLMS LÄN</t>
        </is>
      </c>
      <c r="E904" t="inlineStr">
        <is>
          <t>SIGTUNA</t>
        </is>
      </c>
      <c r="G904" t="n">
        <v>2.5</v>
      </c>
      <c r="H904" t="n">
        <v>0</v>
      </c>
      <c r="I904" t="n">
        <v>0</v>
      </c>
      <c r="J904" t="n">
        <v>0</v>
      </c>
      <c r="K904" t="n">
        <v>0</v>
      </c>
      <c r="L904" t="n">
        <v>0</v>
      </c>
      <c r="M904" t="n">
        <v>0</v>
      </c>
      <c r="N904" t="n">
        <v>0</v>
      </c>
      <c r="O904" t="n">
        <v>0</v>
      </c>
      <c r="P904" t="n">
        <v>0</v>
      </c>
      <c r="Q904" t="n">
        <v>0</v>
      </c>
      <c r="R904" s="2" t="inlineStr"/>
    </row>
    <row r="905" ht="15" customHeight="1">
      <c r="A905" t="inlineStr">
        <is>
          <t>A 10396-2020</t>
        </is>
      </c>
      <c r="B905" s="1" t="n">
        <v>43885</v>
      </c>
      <c r="C905" s="1" t="n">
        <v>45661</v>
      </c>
      <c r="D905" t="inlineStr">
        <is>
          <t>STOCKHOLMS LÄN</t>
        </is>
      </c>
      <c r="E905" t="inlineStr">
        <is>
          <t>NYNÄSHAMN</t>
        </is>
      </c>
      <c r="G905" t="n">
        <v>5.2</v>
      </c>
      <c r="H905" t="n">
        <v>0</v>
      </c>
      <c r="I905" t="n">
        <v>0</v>
      </c>
      <c r="J905" t="n">
        <v>0</v>
      </c>
      <c r="K905" t="n">
        <v>0</v>
      </c>
      <c r="L905" t="n">
        <v>0</v>
      </c>
      <c r="M905" t="n">
        <v>0</v>
      </c>
      <c r="N905" t="n">
        <v>0</v>
      </c>
      <c r="O905" t="n">
        <v>0</v>
      </c>
      <c r="P905" t="n">
        <v>0</v>
      </c>
      <c r="Q905" t="n">
        <v>0</v>
      </c>
      <c r="R905" s="2" t="inlineStr"/>
    </row>
    <row r="906" ht="15" customHeight="1">
      <c r="A906" t="inlineStr">
        <is>
          <t>A 10395-2020</t>
        </is>
      </c>
      <c r="B906" s="1" t="n">
        <v>43885</v>
      </c>
      <c r="C906" s="1" t="n">
        <v>45661</v>
      </c>
      <c r="D906" t="inlineStr">
        <is>
          <t>STOCKHOLMS LÄN</t>
        </is>
      </c>
      <c r="E906" t="inlineStr">
        <is>
          <t>EKERÖ</t>
        </is>
      </c>
      <c r="G906" t="n">
        <v>2.4</v>
      </c>
      <c r="H906" t="n">
        <v>0</v>
      </c>
      <c r="I906" t="n">
        <v>0</v>
      </c>
      <c r="J906" t="n">
        <v>0</v>
      </c>
      <c r="K906" t="n">
        <v>0</v>
      </c>
      <c r="L906" t="n">
        <v>0</v>
      </c>
      <c r="M906" t="n">
        <v>0</v>
      </c>
      <c r="N906" t="n">
        <v>0</v>
      </c>
      <c r="O906" t="n">
        <v>0</v>
      </c>
      <c r="P906" t="n">
        <v>0</v>
      </c>
      <c r="Q906" t="n">
        <v>0</v>
      </c>
      <c r="R906" s="2" t="inlineStr"/>
    </row>
    <row r="907" ht="15" customHeight="1">
      <c r="A907" t="inlineStr">
        <is>
          <t>A 10551-2020</t>
        </is>
      </c>
      <c r="B907" s="1" t="n">
        <v>43887</v>
      </c>
      <c r="C907" s="1" t="n">
        <v>45661</v>
      </c>
      <c r="D907" t="inlineStr">
        <is>
          <t>STOCKHOLMS LÄN</t>
        </is>
      </c>
      <c r="E907" t="inlineStr">
        <is>
          <t>SÖDERTÄLJE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10618-2020</t>
        </is>
      </c>
      <c r="B908" s="1" t="n">
        <v>43887</v>
      </c>
      <c r="C908" s="1" t="n">
        <v>45661</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10738-2020</t>
        </is>
      </c>
      <c r="B909" s="1" t="n">
        <v>43888</v>
      </c>
      <c r="C909" s="1" t="n">
        <v>45661</v>
      </c>
      <c r="D909" t="inlineStr">
        <is>
          <t>STOCKHOLMS LÄN</t>
        </is>
      </c>
      <c r="E909" t="inlineStr">
        <is>
          <t>SIGTUNA</t>
        </is>
      </c>
      <c r="G909" t="n">
        <v>4.7</v>
      </c>
      <c r="H909" t="n">
        <v>0</v>
      </c>
      <c r="I909" t="n">
        <v>0</v>
      </c>
      <c r="J909" t="n">
        <v>0</v>
      </c>
      <c r="K909" t="n">
        <v>0</v>
      </c>
      <c r="L909" t="n">
        <v>0</v>
      </c>
      <c r="M909" t="n">
        <v>0</v>
      </c>
      <c r="N909" t="n">
        <v>0</v>
      </c>
      <c r="O909" t="n">
        <v>0</v>
      </c>
      <c r="P909" t="n">
        <v>0</v>
      </c>
      <c r="Q909" t="n">
        <v>0</v>
      </c>
      <c r="R909" s="2" t="inlineStr"/>
    </row>
    <row r="910" ht="15" customHeight="1">
      <c r="A910" t="inlineStr">
        <is>
          <t>A 10744-2020</t>
        </is>
      </c>
      <c r="B910" s="1" t="n">
        <v>43888</v>
      </c>
      <c r="C910" s="1" t="n">
        <v>45661</v>
      </c>
      <c r="D910" t="inlineStr">
        <is>
          <t>STOCKHOLMS LÄN</t>
        </is>
      </c>
      <c r="E910" t="inlineStr">
        <is>
          <t>SIGTUNA</t>
        </is>
      </c>
      <c r="G910" t="n">
        <v>0.5</v>
      </c>
      <c r="H910" t="n">
        <v>0</v>
      </c>
      <c r="I910" t="n">
        <v>0</v>
      </c>
      <c r="J910" t="n">
        <v>0</v>
      </c>
      <c r="K910" t="n">
        <v>0</v>
      </c>
      <c r="L910" t="n">
        <v>0</v>
      </c>
      <c r="M910" t="n">
        <v>0</v>
      </c>
      <c r="N910" t="n">
        <v>0</v>
      </c>
      <c r="O910" t="n">
        <v>0</v>
      </c>
      <c r="P910" t="n">
        <v>0</v>
      </c>
      <c r="Q910" t="n">
        <v>0</v>
      </c>
      <c r="R910" s="2" t="inlineStr"/>
    </row>
    <row r="911" ht="15" customHeight="1">
      <c r="A911" t="inlineStr">
        <is>
          <t>A 10764-2020</t>
        </is>
      </c>
      <c r="B911" s="1" t="n">
        <v>43888</v>
      </c>
      <c r="C911" s="1" t="n">
        <v>45661</v>
      </c>
      <c r="D911" t="inlineStr">
        <is>
          <t>STOCKHOLMS LÄN</t>
        </is>
      </c>
      <c r="E911" t="inlineStr">
        <is>
          <t>ÖSTERÅKER</t>
        </is>
      </c>
      <c r="G911" t="n">
        <v>1.3</v>
      </c>
      <c r="H911" t="n">
        <v>0</v>
      </c>
      <c r="I911" t="n">
        <v>0</v>
      </c>
      <c r="J911" t="n">
        <v>0</v>
      </c>
      <c r="K911" t="n">
        <v>0</v>
      </c>
      <c r="L911" t="n">
        <v>0</v>
      </c>
      <c r="M911" t="n">
        <v>0</v>
      </c>
      <c r="N911" t="n">
        <v>0</v>
      </c>
      <c r="O911" t="n">
        <v>0</v>
      </c>
      <c r="P911" t="n">
        <v>0</v>
      </c>
      <c r="Q911" t="n">
        <v>0</v>
      </c>
      <c r="R911" s="2" t="inlineStr"/>
    </row>
    <row r="912" ht="15" customHeight="1">
      <c r="A912" t="inlineStr">
        <is>
          <t>A 10790-2020</t>
        </is>
      </c>
      <c r="B912" s="1" t="n">
        <v>43888</v>
      </c>
      <c r="C912" s="1" t="n">
        <v>45661</v>
      </c>
      <c r="D912" t="inlineStr">
        <is>
          <t>STOCKHOLMS LÄN</t>
        </is>
      </c>
      <c r="E912" t="inlineStr">
        <is>
          <t>BOTKYRKA</t>
        </is>
      </c>
      <c r="G912" t="n">
        <v>4.3</v>
      </c>
      <c r="H912" t="n">
        <v>0</v>
      </c>
      <c r="I912" t="n">
        <v>0</v>
      </c>
      <c r="J912" t="n">
        <v>0</v>
      </c>
      <c r="K912" t="n">
        <v>0</v>
      </c>
      <c r="L912" t="n">
        <v>0</v>
      </c>
      <c r="M912" t="n">
        <v>0</v>
      </c>
      <c r="N912" t="n">
        <v>0</v>
      </c>
      <c r="O912" t="n">
        <v>0</v>
      </c>
      <c r="P912" t="n">
        <v>0</v>
      </c>
      <c r="Q912" t="n">
        <v>0</v>
      </c>
      <c r="R912" s="2" t="inlineStr"/>
    </row>
    <row r="913" ht="15" customHeight="1">
      <c r="A913" t="inlineStr">
        <is>
          <t>A 10807-2020</t>
        </is>
      </c>
      <c r="B913" s="1" t="n">
        <v>43888</v>
      </c>
      <c r="C913" s="1" t="n">
        <v>45661</v>
      </c>
      <c r="D913" t="inlineStr">
        <is>
          <t>STOCKHOLMS LÄN</t>
        </is>
      </c>
      <c r="E913" t="inlineStr">
        <is>
          <t>BOTKYRKA</t>
        </is>
      </c>
      <c r="G913" t="n">
        <v>1.4</v>
      </c>
      <c r="H913" t="n">
        <v>0</v>
      </c>
      <c r="I913" t="n">
        <v>0</v>
      </c>
      <c r="J913" t="n">
        <v>0</v>
      </c>
      <c r="K913" t="n">
        <v>0</v>
      </c>
      <c r="L913" t="n">
        <v>0</v>
      </c>
      <c r="M913" t="n">
        <v>0</v>
      </c>
      <c r="N913" t="n">
        <v>0</v>
      </c>
      <c r="O913" t="n">
        <v>0</v>
      </c>
      <c r="P913" t="n">
        <v>0</v>
      </c>
      <c r="Q913" t="n">
        <v>0</v>
      </c>
      <c r="R913" s="2" t="inlineStr"/>
    </row>
    <row r="914" ht="15" customHeight="1">
      <c r="A914" t="inlineStr">
        <is>
          <t>A 11184-2020</t>
        </is>
      </c>
      <c r="B914" s="1" t="n">
        <v>43892</v>
      </c>
      <c r="C914" s="1" t="n">
        <v>45661</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17552-2020</t>
        </is>
      </c>
      <c r="B915" s="1" t="n">
        <v>43892</v>
      </c>
      <c r="C915" s="1" t="n">
        <v>45661</v>
      </c>
      <c r="D915" t="inlineStr">
        <is>
          <t>STOCKHOLMS LÄN</t>
        </is>
      </c>
      <c r="E915" t="inlineStr">
        <is>
          <t>EKERÖ</t>
        </is>
      </c>
      <c r="G915" t="n">
        <v>2</v>
      </c>
      <c r="H915" t="n">
        <v>0</v>
      </c>
      <c r="I915" t="n">
        <v>0</v>
      </c>
      <c r="J915" t="n">
        <v>0</v>
      </c>
      <c r="K915" t="n">
        <v>0</v>
      </c>
      <c r="L915" t="n">
        <v>0</v>
      </c>
      <c r="M915" t="n">
        <v>0</v>
      </c>
      <c r="N915" t="n">
        <v>0</v>
      </c>
      <c r="O915" t="n">
        <v>0</v>
      </c>
      <c r="P915" t="n">
        <v>0</v>
      </c>
      <c r="Q915" t="n">
        <v>0</v>
      </c>
      <c r="R915" s="2" t="inlineStr"/>
    </row>
    <row r="916" ht="15" customHeight="1">
      <c r="A916" t="inlineStr">
        <is>
          <t>A 17546-2020</t>
        </is>
      </c>
      <c r="B916" s="1" t="n">
        <v>43892</v>
      </c>
      <c r="C916" s="1" t="n">
        <v>45661</v>
      </c>
      <c r="D916" t="inlineStr">
        <is>
          <t>STOCKHOLMS LÄN</t>
        </is>
      </c>
      <c r="E916" t="inlineStr">
        <is>
          <t>EKERÖ</t>
        </is>
      </c>
      <c r="G916" t="n">
        <v>3.5</v>
      </c>
      <c r="H916" t="n">
        <v>0</v>
      </c>
      <c r="I916" t="n">
        <v>0</v>
      </c>
      <c r="J916" t="n">
        <v>0</v>
      </c>
      <c r="K916" t="n">
        <v>0</v>
      </c>
      <c r="L916" t="n">
        <v>0</v>
      </c>
      <c r="M916" t="n">
        <v>0</v>
      </c>
      <c r="N916" t="n">
        <v>0</v>
      </c>
      <c r="O916" t="n">
        <v>0</v>
      </c>
      <c r="P916" t="n">
        <v>0</v>
      </c>
      <c r="Q916" t="n">
        <v>0</v>
      </c>
      <c r="R916" s="2" t="inlineStr"/>
    </row>
    <row r="917" ht="15" customHeight="1">
      <c r="A917" t="inlineStr">
        <is>
          <t>A 11576-2020</t>
        </is>
      </c>
      <c r="B917" s="1" t="n">
        <v>43893</v>
      </c>
      <c r="C917" s="1" t="n">
        <v>45661</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12321-2020</t>
        </is>
      </c>
      <c r="B918" s="1" t="n">
        <v>43895</v>
      </c>
      <c r="C918" s="1" t="n">
        <v>45661</v>
      </c>
      <c r="D918" t="inlineStr">
        <is>
          <t>STOCKHOLMS LÄN</t>
        </is>
      </c>
      <c r="E918" t="inlineStr">
        <is>
          <t>BOTKYRKA</t>
        </is>
      </c>
      <c r="G918" t="n">
        <v>0.7</v>
      </c>
      <c r="H918" t="n">
        <v>0</v>
      </c>
      <c r="I918" t="n">
        <v>0</v>
      </c>
      <c r="J918" t="n">
        <v>0</v>
      </c>
      <c r="K918" t="n">
        <v>0</v>
      </c>
      <c r="L918" t="n">
        <v>0</v>
      </c>
      <c r="M918" t="n">
        <v>0</v>
      </c>
      <c r="N918" t="n">
        <v>0</v>
      </c>
      <c r="O918" t="n">
        <v>0</v>
      </c>
      <c r="P918" t="n">
        <v>0</v>
      </c>
      <c r="Q918" t="n">
        <v>0</v>
      </c>
      <c r="R918" s="2" t="inlineStr"/>
    </row>
    <row r="919" ht="15" customHeight="1">
      <c r="A919" t="inlineStr">
        <is>
          <t>A 12320-2020</t>
        </is>
      </c>
      <c r="B919" s="1" t="n">
        <v>43895</v>
      </c>
      <c r="C919" s="1" t="n">
        <v>45661</v>
      </c>
      <c r="D919" t="inlineStr">
        <is>
          <t>STOCKHOLMS LÄN</t>
        </is>
      </c>
      <c r="E919" t="inlineStr">
        <is>
          <t>BOTKYRKA</t>
        </is>
      </c>
      <c r="G919" t="n">
        <v>0.6</v>
      </c>
      <c r="H919" t="n">
        <v>0</v>
      </c>
      <c r="I919" t="n">
        <v>0</v>
      </c>
      <c r="J919" t="n">
        <v>0</v>
      </c>
      <c r="K919" t="n">
        <v>0</v>
      </c>
      <c r="L919" t="n">
        <v>0</v>
      </c>
      <c r="M919" t="n">
        <v>0</v>
      </c>
      <c r="N919" t="n">
        <v>0</v>
      </c>
      <c r="O919" t="n">
        <v>0</v>
      </c>
      <c r="P919" t="n">
        <v>0</v>
      </c>
      <c r="Q919" t="n">
        <v>0</v>
      </c>
      <c r="R919" s="2" t="inlineStr"/>
    </row>
    <row r="920" ht="15" customHeight="1">
      <c r="A920" t="inlineStr">
        <is>
          <t>A 12113-2020</t>
        </is>
      </c>
      <c r="B920" s="1" t="n">
        <v>43895</v>
      </c>
      <c r="C920" s="1" t="n">
        <v>45661</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12355-2020</t>
        </is>
      </c>
      <c r="B921" s="1" t="n">
        <v>43896</v>
      </c>
      <c r="C921" s="1" t="n">
        <v>45661</v>
      </c>
      <c r="D921" t="inlineStr">
        <is>
          <t>STOCKHOLMS LÄN</t>
        </is>
      </c>
      <c r="E921" t="inlineStr">
        <is>
          <t>HANINGE</t>
        </is>
      </c>
      <c r="G921" t="n">
        <v>4.4</v>
      </c>
      <c r="H921" t="n">
        <v>0</v>
      </c>
      <c r="I921" t="n">
        <v>0</v>
      </c>
      <c r="J921" t="n">
        <v>0</v>
      </c>
      <c r="K921" t="n">
        <v>0</v>
      </c>
      <c r="L921" t="n">
        <v>0</v>
      </c>
      <c r="M921" t="n">
        <v>0</v>
      </c>
      <c r="N921" t="n">
        <v>0</v>
      </c>
      <c r="O921" t="n">
        <v>0</v>
      </c>
      <c r="P921" t="n">
        <v>0</v>
      </c>
      <c r="Q921" t="n">
        <v>0</v>
      </c>
      <c r="R921" s="2" t="inlineStr"/>
    </row>
    <row r="922" ht="15" customHeight="1">
      <c r="A922" t="inlineStr">
        <is>
          <t>A 12620-2020</t>
        </is>
      </c>
      <c r="B922" s="1" t="n">
        <v>43899</v>
      </c>
      <c r="C922" s="1" t="n">
        <v>45661</v>
      </c>
      <c r="D922" t="inlineStr">
        <is>
          <t>STOCKHOLMS LÄN</t>
        </is>
      </c>
      <c r="E922" t="inlineStr">
        <is>
          <t>HANINGE</t>
        </is>
      </c>
      <c r="G922" t="n">
        <v>6</v>
      </c>
      <c r="H922" t="n">
        <v>0</v>
      </c>
      <c r="I922" t="n">
        <v>0</v>
      </c>
      <c r="J922" t="n">
        <v>0</v>
      </c>
      <c r="K922" t="n">
        <v>0</v>
      </c>
      <c r="L922" t="n">
        <v>0</v>
      </c>
      <c r="M922" t="n">
        <v>0</v>
      </c>
      <c r="N922" t="n">
        <v>0</v>
      </c>
      <c r="O922" t="n">
        <v>0</v>
      </c>
      <c r="P922" t="n">
        <v>0</v>
      </c>
      <c r="Q922" t="n">
        <v>0</v>
      </c>
      <c r="R922" s="2" t="inlineStr"/>
    </row>
    <row r="923" ht="15" customHeight="1">
      <c r="A923" t="inlineStr">
        <is>
          <t>A 12571-2020</t>
        </is>
      </c>
      <c r="B923" s="1" t="n">
        <v>43899</v>
      </c>
      <c r="C923" s="1" t="n">
        <v>45661</v>
      </c>
      <c r="D923" t="inlineStr">
        <is>
          <t>STOCKHOLMS LÄN</t>
        </is>
      </c>
      <c r="E923" t="inlineStr">
        <is>
          <t>NYNÄSHAMN</t>
        </is>
      </c>
      <c r="G923" t="n">
        <v>1.5</v>
      </c>
      <c r="H923" t="n">
        <v>0</v>
      </c>
      <c r="I923" t="n">
        <v>0</v>
      </c>
      <c r="J923" t="n">
        <v>0</v>
      </c>
      <c r="K923" t="n">
        <v>0</v>
      </c>
      <c r="L923" t="n">
        <v>0</v>
      </c>
      <c r="M923" t="n">
        <v>0</v>
      </c>
      <c r="N923" t="n">
        <v>0</v>
      </c>
      <c r="O923" t="n">
        <v>0</v>
      </c>
      <c r="P923" t="n">
        <v>0</v>
      </c>
      <c r="Q923" t="n">
        <v>0</v>
      </c>
      <c r="R923" s="2" t="inlineStr"/>
    </row>
    <row r="924" ht="15" customHeight="1">
      <c r="A924" t="inlineStr">
        <is>
          <t>A 12987-2020</t>
        </is>
      </c>
      <c r="B924" s="1" t="n">
        <v>43900</v>
      </c>
      <c r="C924" s="1" t="n">
        <v>45661</v>
      </c>
      <c r="D924" t="inlineStr">
        <is>
          <t>STOCKHOLMS LÄN</t>
        </is>
      </c>
      <c r="E924" t="inlineStr">
        <is>
          <t>UPPLANDS VÄSBY</t>
        </is>
      </c>
      <c r="G924" t="n">
        <v>3.7</v>
      </c>
      <c r="H924" t="n">
        <v>0</v>
      </c>
      <c r="I924" t="n">
        <v>0</v>
      </c>
      <c r="J924" t="n">
        <v>0</v>
      </c>
      <c r="K924" t="n">
        <v>0</v>
      </c>
      <c r="L924" t="n">
        <v>0</v>
      </c>
      <c r="M924" t="n">
        <v>0</v>
      </c>
      <c r="N924" t="n">
        <v>0</v>
      </c>
      <c r="O924" t="n">
        <v>0</v>
      </c>
      <c r="P924" t="n">
        <v>0</v>
      </c>
      <c r="Q924" t="n">
        <v>0</v>
      </c>
      <c r="R924" s="2" t="inlineStr"/>
    </row>
    <row r="925" ht="15" customHeight="1">
      <c r="A925" t="inlineStr">
        <is>
          <t>A 12970-2020</t>
        </is>
      </c>
      <c r="B925" s="1" t="n">
        <v>43900</v>
      </c>
      <c r="C925" s="1" t="n">
        <v>45661</v>
      </c>
      <c r="D925" t="inlineStr">
        <is>
          <t>STOCKHOLMS LÄN</t>
        </is>
      </c>
      <c r="E925" t="inlineStr">
        <is>
          <t>NORRTÄLJE</t>
        </is>
      </c>
      <c r="F925" t="inlineStr">
        <is>
          <t>Kommuner</t>
        </is>
      </c>
      <c r="G925" t="n">
        <v>3</v>
      </c>
      <c r="H925" t="n">
        <v>0</v>
      </c>
      <c r="I925" t="n">
        <v>0</v>
      </c>
      <c r="J925" t="n">
        <v>0</v>
      </c>
      <c r="K925" t="n">
        <v>0</v>
      </c>
      <c r="L925" t="n">
        <v>0</v>
      </c>
      <c r="M925" t="n">
        <v>0</v>
      </c>
      <c r="N925" t="n">
        <v>0</v>
      </c>
      <c r="O925" t="n">
        <v>0</v>
      </c>
      <c r="P925" t="n">
        <v>0</v>
      </c>
      <c r="Q925" t="n">
        <v>0</v>
      </c>
      <c r="R925" s="2" t="inlineStr"/>
    </row>
    <row r="926" ht="15" customHeight="1">
      <c r="A926" t="inlineStr">
        <is>
          <t>A 12984-2020</t>
        </is>
      </c>
      <c r="B926" s="1" t="n">
        <v>43900</v>
      </c>
      <c r="C926" s="1" t="n">
        <v>45661</v>
      </c>
      <c r="D926" t="inlineStr">
        <is>
          <t>STOCKHOLMS LÄN</t>
        </is>
      </c>
      <c r="E926" t="inlineStr">
        <is>
          <t>UPPLANDS VÄSBY</t>
        </is>
      </c>
      <c r="G926" t="n">
        <v>1</v>
      </c>
      <c r="H926" t="n">
        <v>0</v>
      </c>
      <c r="I926" t="n">
        <v>0</v>
      </c>
      <c r="J926" t="n">
        <v>0</v>
      </c>
      <c r="K926" t="n">
        <v>0</v>
      </c>
      <c r="L926" t="n">
        <v>0</v>
      </c>
      <c r="M926" t="n">
        <v>0</v>
      </c>
      <c r="N926" t="n">
        <v>0</v>
      </c>
      <c r="O926" t="n">
        <v>0</v>
      </c>
      <c r="P926" t="n">
        <v>0</v>
      </c>
      <c r="Q926" t="n">
        <v>0</v>
      </c>
      <c r="R926" s="2" t="inlineStr"/>
    </row>
    <row r="927" ht="15" customHeight="1">
      <c r="A927" t="inlineStr">
        <is>
          <t>A 12988-2020</t>
        </is>
      </c>
      <c r="B927" s="1" t="n">
        <v>43900</v>
      </c>
      <c r="C927" s="1" t="n">
        <v>45661</v>
      </c>
      <c r="D927" t="inlineStr">
        <is>
          <t>STOCKHOLMS LÄN</t>
        </is>
      </c>
      <c r="E927" t="inlineStr">
        <is>
          <t>BOTKYRKA</t>
        </is>
      </c>
      <c r="G927" t="n">
        <v>13.7</v>
      </c>
      <c r="H927" t="n">
        <v>0</v>
      </c>
      <c r="I927" t="n">
        <v>0</v>
      </c>
      <c r="J927" t="n">
        <v>0</v>
      </c>
      <c r="K927" t="n">
        <v>0</v>
      </c>
      <c r="L927" t="n">
        <v>0</v>
      </c>
      <c r="M927" t="n">
        <v>0</v>
      </c>
      <c r="N927" t="n">
        <v>0</v>
      </c>
      <c r="O927" t="n">
        <v>0</v>
      </c>
      <c r="P927" t="n">
        <v>0</v>
      </c>
      <c r="Q927" t="n">
        <v>0</v>
      </c>
      <c r="R927" s="2" t="inlineStr"/>
    </row>
    <row r="928" ht="15" customHeight="1">
      <c r="A928" t="inlineStr">
        <is>
          <t>A 13230-2020</t>
        </is>
      </c>
      <c r="B928" s="1" t="n">
        <v>43901</v>
      </c>
      <c r="C928" s="1" t="n">
        <v>45661</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13287-2020</t>
        </is>
      </c>
      <c r="B929" s="1" t="n">
        <v>43901</v>
      </c>
      <c r="C929" s="1" t="n">
        <v>45661</v>
      </c>
      <c r="D929" t="inlineStr">
        <is>
          <t>STOCKHOLMS LÄN</t>
        </is>
      </c>
      <c r="E929" t="inlineStr">
        <is>
          <t>NORRTÄLJE</t>
        </is>
      </c>
      <c r="F929" t="inlineStr">
        <is>
          <t>Kommuner</t>
        </is>
      </c>
      <c r="G929" t="n">
        <v>3.2</v>
      </c>
      <c r="H929" t="n">
        <v>0</v>
      </c>
      <c r="I929" t="n">
        <v>0</v>
      </c>
      <c r="J929" t="n">
        <v>0</v>
      </c>
      <c r="K929" t="n">
        <v>0</v>
      </c>
      <c r="L929" t="n">
        <v>0</v>
      </c>
      <c r="M929" t="n">
        <v>0</v>
      </c>
      <c r="N929" t="n">
        <v>0</v>
      </c>
      <c r="O929" t="n">
        <v>0</v>
      </c>
      <c r="P929" t="n">
        <v>0</v>
      </c>
      <c r="Q929" t="n">
        <v>0</v>
      </c>
      <c r="R929" s="2" t="inlineStr"/>
    </row>
    <row r="930" ht="15" customHeight="1">
      <c r="A930" t="inlineStr">
        <is>
          <t>A 13281-2020</t>
        </is>
      </c>
      <c r="B930" s="1" t="n">
        <v>43901</v>
      </c>
      <c r="C930" s="1" t="n">
        <v>45661</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13501-2020</t>
        </is>
      </c>
      <c r="B931" s="1" t="n">
        <v>43902</v>
      </c>
      <c r="C931" s="1" t="n">
        <v>45661</v>
      </c>
      <c r="D931" t="inlineStr">
        <is>
          <t>STOCKHOLMS LÄN</t>
        </is>
      </c>
      <c r="E931" t="inlineStr">
        <is>
          <t>NORRTÄLJE</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13506-2020</t>
        </is>
      </c>
      <c r="B932" s="1" t="n">
        <v>43902</v>
      </c>
      <c r="C932" s="1" t="n">
        <v>45661</v>
      </c>
      <c r="D932" t="inlineStr">
        <is>
          <t>STOCKHOLMS LÄN</t>
        </is>
      </c>
      <c r="E932" t="inlineStr">
        <is>
          <t>NORRTÄLJE</t>
        </is>
      </c>
      <c r="G932" t="n">
        <v>5.7</v>
      </c>
      <c r="H932" t="n">
        <v>0</v>
      </c>
      <c r="I932" t="n">
        <v>0</v>
      </c>
      <c r="J932" t="n">
        <v>0</v>
      </c>
      <c r="K932" t="n">
        <v>0</v>
      </c>
      <c r="L932" t="n">
        <v>0</v>
      </c>
      <c r="M932" t="n">
        <v>0</v>
      </c>
      <c r="N932" t="n">
        <v>0</v>
      </c>
      <c r="O932" t="n">
        <v>0</v>
      </c>
      <c r="P932" t="n">
        <v>0</v>
      </c>
      <c r="Q932" t="n">
        <v>0</v>
      </c>
      <c r="R932" s="2" t="inlineStr"/>
    </row>
    <row r="933" ht="15" customHeight="1">
      <c r="A933" t="inlineStr">
        <is>
          <t>A 14637-2020</t>
        </is>
      </c>
      <c r="B933" s="1" t="n">
        <v>43902</v>
      </c>
      <c r="C933" s="1" t="n">
        <v>45661</v>
      </c>
      <c r="D933" t="inlineStr">
        <is>
          <t>STOCKHOLMS LÄN</t>
        </is>
      </c>
      <c r="E933" t="inlineStr">
        <is>
          <t>VALLENTUNA</t>
        </is>
      </c>
      <c r="G933" t="n">
        <v>5.4</v>
      </c>
      <c r="H933" t="n">
        <v>0</v>
      </c>
      <c r="I933" t="n">
        <v>0</v>
      </c>
      <c r="J933" t="n">
        <v>0</v>
      </c>
      <c r="K933" t="n">
        <v>0</v>
      </c>
      <c r="L933" t="n">
        <v>0</v>
      </c>
      <c r="M933" t="n">
        <v>0</v>
      </c>
      <c r="N933" t="n">
        <v>0</v>
      </c>
      <c r="O933" t="n">
        <v>0</v>
      </c>
      <c r="P933" t="n">
        <v>0</v>
      </c>
      <c r="Q933" t="n">
        <v>0</v>
      </c>
      <c r="R933" s="2" t="inlineStr"/>
    </row>
    <row r="934" ht="15" customHeight="1">
      <c r="A934" t="inlineStr">
        <is>
          <t>A 13639-2020</t>
        </is>
      </c>
      <c r="B934" s="1" t="n">
        <v>43903</v>
      </c>
      <c r="C934" s="1" t="n">
        <v>45661</v>
      </c>
      <c r="D934" t="inlineStr">
        <is>
          <t>STOCKHOLMS LÄN</t>
        </is>
      </c>
      <c r="E934" t="inlineStr">
        <is>
          <t>NYNÄSHAMN</t>
        </is>
      </c>
      <c r="G934" t="n">
        <v>1.1</v>
      </c>
      <c r="H934" t="n">
        <v>0</v>
      </c>
      <c r="I934" t="n">
        <v>0</v>
      </c>
      <c r="J934" t="n">
        <v>0</v>
      </c>
      <c r="K934" t="n">
        <v>0</v>
      </c>
      <c r="L934" t="n">
        <v>0</v>
      </c>
      <c r="M934" t="n">
        <v>0</v>
      </c>
      <c r="N934" t="n">
        <v>0</v>
      </c>
      <c r="O934" t="n">
        <v>0</v>
      </c>
      <c r="P934" t="n">
        <v>0</v>
      </c>
      <c r="Q934" t="n">
        <v>0</v>
      </c>
      <c r="R934" s="2" t="inlineStr"/>
    </row>
    <row r="935" ht="15" customHeight="1">
      <c r="A935" t="inlineStr">
        <is>
          <t>A 13679-2020</t>
        </is>
      </c>
      <c r="B935" s="1" t="n">
        <v>43903</v>
      </c>
      <c r="C935" s="1" t="n">
        <v>45661</v>
      </c>
      <c r="D935" t="inlineStr">
        <is>
          <t>STOCKHOLMS LÄN</t>
        </is>
      </c>
      <c r="E935" t="inlineStr">
        <is>
          <t>NYNÄSHAMN</t>
        </is>
      </c>
      <c r="G935" t="n">
        <v>1.3</v>
      </c>
      <c r="H935" t="n">
        <v>0</v>
      </c>
      <c r="I935" t="n">
        <v>0</v>
      </c>
      <c r="J935" t="n">
        <v>0</v>
      </c>
      <c r="K935" t="n">
        <v>0</v>
      </c>
      <c r="L935" t="n">
        <v>0</v>
      </c>
      <c r="M935" t="n">
        <v>0</v>
      </c>
      <c r="N935" t="n">
        <v>0</v>
      </c>
      <c r="O935" t="n">
        <v>0</v>
      </c>
      <c r="P935" t="n">
        <v>0</v>
      </c>
      <c r="Q935" t="n">
        <v>0</v>
      </c>
      <c r="R935" s="2" t="inlineStr"/>
    </row>
    <row r="936" ht="15" customHeight="1">
      <c r="A936" t="inlineStr">
        <is>
          <t>A 13676-2020</t>
        </is>
      </c>
      <c r="B936" s="1" t="n">
        <v>43903</v>
      </c>
      <c r="C936" s="1" t="n">
        <v>45661</v>
      </c>
      <c r="D936" t="inlineStr">
        <is>
          <t>STOCKHOLMS LÄN</t>
        </is>
      </c>
      <c r="E936" t="inlineStr">
        <is>
          <t>NYNÄSHAMN</t>
        </is>
      </c>
      <c r="G936" t="n">
        <v>0.8</v>
      </c>
      <c r="H936" t="n">
        <v>0</v>
      </c>
      <c r="I936" t="n">
        <v>0</v>
      </c>
      <c r="J936" t="n">
        <v>0</v>
      </c>
      <c r="K936" t="n">
        <v>0</v>
      </c>
      <c r="L936" t="n">
        <v>0</v>
      </c>
      <c r="M936" t="n">
        <v>0</v>
      </c>
      <c r="N936" t="n">
        <v>0</v>
      </c>
      <c r="O936" t="n">
        <v>0</v>
      </c>
      <c r="P936" t="n">
        <v>0</v>
      </c>
      <c r="Q936" t="n">
        <v>0</v>
      </c>
      <c r="R936" s="2" t="inlineStr"/>
    </row>
    <row r="937" ht="15" customHeight="1">
      <c r="A937" t="inlineStr">
        <is>
          <t>A 14037-2020</t>
        </is>
      </c>
      <c r="B937" s="1" t="n">
        <v>43906</v>
      </c>
      <c r="C937" s="1" t="n">
        <v>45661</v>
      </c>
      <c r="D937" t="inlineStr">
        <is>
          <t>STOCKHOLMS LÄN</t>
        </is>
      </c>
      <c r="E937" t="inlineStr">
        <is>
          <t>HANINGE</t>
        </is>
      </c>
      <c r="G937" t="n">
        <v>0.8</v>
      </c>
      <c r="H937" t="n">
        <v>0</v>
      </c>
      <c r="I937" t="n">
        <v>0</v>
      </c>
      <c r="J937" t="n">
        <v>0</v>
      </c>
      <c r="K937" t="n">
        <v>0</v>
      </c>
      <c r="L937" t="n">
        <v>0</v>
      </c>
      <c r="M937" t="n">
        <v>0</v>
      </c>
      <c r="N937" t="n">
        <v>0</v>
      </c>
      <c r="O937" t="n">
        <v>0</v>
      </c>
      <c r="P937" t="n">
        <v>0</v>
      </c>
      <c r="Q937" t="n">
        <v>0</v>
      </c>
      <c r="R937" s="2" t="inlineStr"/>
    </row>
    <row r="938" ht="15" customHeight="1">
      <c r="A938" t="inlineStr">
        <is>
          <t>A 14512-2020</t>
        </is>
      </c>
      <c r="B938" s="1" t="n">
        <v>43907</v>
      </c>
      <c r="C938" s="1" t="n">
        <v>45661</v>
      </c>
      <c r="D938" t="inlineStr">
        <is>
          <t>STOCKHOLMS LÄN</t>
        </is>
      </c>
      <c r="E938" t="inlineStr">
        <is>
          <t>SIGTUNA</t>
        </is>
      </c>
      <c r="F938" t="inlineStr">
        <is>
          <t>Övriga statliga verk och myndigheter</t>
        </is>
      </c>
      <c r="G938" t="n">
        <v>0.7</v>
      </c>
      <c r="H938" t="n">
        <v>0</v>
      </c>
      <c r="I938" t="n">
        <v>0</v>
      </c>
      <c r="J938" t="n">
        <v>0</v>
      </c>
      <c r="K938" t="n">
        <v>0</v>
      </c>
      <c r="L938" t="n">
        <v>0</v>
      </c>
      <c r="M938" t="n">
        <v>0</v>
      </c>
      <c r="N938" t="n">
        <v>0</v>
      </c>
      <c r="O938" t="n">
        <v>0</v>
      </c>
      <c r="P938" t="n">
        <v>0</v>
      </c>
      <c r="Q938" t="n">
        <v>0</v>
      </c>
      <c r="R938" s="2" t="inlineStr"/>
    </row>
    <row r="939" ht="15" customHeight="1">
      <c r="A939" t="inlineStr">
        <is>
          <t>A 14525-2020</t>
        </is>
      </c>
      <c r="B939" s="1" t="n">
        <v>43908</v>
      </c>
      <c r="C939" s="1" t="n">
        <v>45661</v>
      </c>
      <c r="D939" t="inlineStr">
        <is>
          <t>STOCKHOLMS LÄN</t>
        </is>
      </c>
      <c r="E939" t="inlineStr">
        <is>
          <t>NORRTÄLJE</t>
        </is>
      </c>
      <c r="G939" t="n">
        <v>10.2</v>
      </c>
      <c r="H939" t="n">
        <v>0</v>
      </c>
      <c r="I939" t="n">
        <v>0</v>
      </c>
      <c r="J939" t="n">
        <v>0</v>
      </c>
      <c r="K939" t="n">
        <v>0</v>
      </c>
      <c r="L939" t="n">
        <v>0</v>
      </c>
      <c r="M939" t="n">
        <v>0</v>
      </c>
      <c r="N939" t="n">
        <v>0</v>
      </c>
      <c r="O939" t="n">
        <v>0</v>
      </c>
      <c r="P939" t="n">
        <v>0</v>
      </c>
      <c r="Q939" t="n">
        <v>0</v>
      </c>
      <c r="R939" s="2" t="inlineStr"/>
    </row>
    <row r="940" ht="15" customHeight="1">
      <c r="A940" t="inlineStr">
        <is>
          <t>A 14831-2020</t>
        </is>
      </c>
      <c r="B940" s="1" t="n">
        <v>43909</v>
      </c>
      <c r="C940" s="1" t="n">
        <v>45661</v>
      </c>
      <c r="D940" t="inlineStr">
        <is>
          <t>STOCKHOLMS LÄN</t>
        </is>
      </c>
      <c r="E940" t="inlineStr">
        <is>
          <t>NORRTÄLJE</t>
        </is>
      </c>
      <c r="G940" t="n">
        <v>11.4</v>
      </c>
      <c r="H940" t="n">
        <v>0</v>
      </c>
      <c r="I940" t="n">
        <v>0</v>
      </c>
      <c r="J940" t="n">
        <v>0</v>
      </c>
      <c r="K940" t="n">
        <v>0</v>
      </c>
      <c r="L940" t="n">
        <v>0</v>
      </c>
      <c r="M940" t="n">
        <v>0</v>
      </c>
      <c r="N940" t="n">
        <v>0</v>
      </c>
      <c r="O940" t="n">
        <v>0</v>
      </c>
      <c r="P940" t="n">
        <v>0</v>
      </c>
      <c r="Q940" t="n">
        <v>0</v>
      </c>
      <c r="R940" s="2" t="inlineStr"/>
    </row>
    <row r="941" ht="15" customHeight="1">
      <c r="A941" t="inlineStr">
        <is>
          <t>A 15318-2020</t>
        </is>
      </c>
      <c r="B941" s="1" t="n">
        <v>43913</v>
      </c>
      <c r="C941" s="1" t="n">
        <v>45661</v>
      </c>
      <c r="D941" t="inlineStr">
        <is>
          <t>STOCKHOLMS LÄN</t>
        </is>
      </c>
      <c r="E941" t="inlineStr">
        <is>
          <t>HANINGE</t>
        </is>
      </c>
      <c r="G941" t="n">
        <v>3.8</v>
      </c>
      <c r="H941" t="n">
        <v>0</v>
      </c>
      <c r="I941" t="n">
        <v>0</v>
      </c>
      <c r="J941" t="n">
        <v>0</v>
      </c>
      <c r="K941" t="n">
        <v>0</v>
      </c>
      <c r="L941" t="n">
        <v>0</v>
      </c>
      <c r="M941" t="n">
        <v>0</v>
      </c>
      <c r="N941" t="n">
        <v>0</v>
      </c>
      <c r="O941" t="n">
        <v>0</v>
      </c>
      <c r="P941" t="n">
        <v>0</v>
      </c>
      <c r="Q941" t="n">
        <v>0</v>
      </c>
      <c r="R941" s="2" t="inlineStr"/>
    </row>
    <row r="942" ht="15" customHeight="1">
      <c r="A942" t="inlineStr">
        <is>
          <t>A 15354-2020</t>
        </is>
      </c>
      <c r="B942" s="1" t="n">
        <v>43913</v>
      </c>
      <c r="C942" s="1" t="n">
        <v>45661</v>
      </c>
      <c r="D942" t="inlineStr">
        <is>
          <t>STOCKHOLMS LÄN</t>
        </is>
      </c>
      <c r="E942" t="inlineStr">
        <is>
          <t>NYNÄSHAMN</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15663-2020</t>
        </is>
      </c>
      <c r="B943" s="1" t="n">
        <v>43915</v>
      </c>
      <c r="C943" s="1" t="n">
        <v>45661</v>
      </c>
      <c r="D943" t="inlineStr">
        <is>
          <t>STOCKHOLMS LÄN</t>
        </is>
      </c>
      <c r="E943" t="inlineStr">
        <is>
          <t>NORRTÄLJE</t>
        </is>
      </c>
      <c r="G943" t="n">
        <v>11.1</v>
      </c>
      <c r="H943" t="n">
        <v>0</v>
      </c>
      <c r="I943" t="n">
        <v>0</v>
      </c>
      <c r="J943" t="n">
        <v>0</v>
      </c>
      <c r="K943" t="n">
        <v>0</v>
      </c>
      <c r="L943" t="n">
        <v>0</v>
      </c>
      <c r="M943" t="n">
        <v>0</v>
      </c>
      <c r="N943" t="n">
        <v>0</v>
      </c>
      <c r="O943" t="n">
        <v>0</v>
      </c>
      <c r="P943" t="n">
        <v>0</v>
      </c>
      <c r="Q943" t="n">
        <v>0</v>
      </c>
      <c r="R943" s="2" t="inlineStr"/>
    </row>
    <row r="944" ht="15" customHeight="1">
      <c r="A944" t="inlineStr">
        <is>
          <t>A 15756-2020</t>
        </is>
      </c>
      <c r="B944" s="1" t="n">
        <v>43915</v>
      </c>
      <c r="C944" s="1" t="n">
        <v>45661</v>
      </c>
      <c r="D944" t="inlineStr">
        <is>
          <t>STOCKHOLMS LÄN</t>
        </is>
      </c>
      <c r="E944" t="inlineStr">
        <is>
          <t>EKERÖ</t>
        </is>
      </c>
      <c r="G944" t="n">
        <v>1.4</v>
      </c>
      <c r="H944" t="n">
        <v>0</v>
      </c>
      <c r="I944" t="n">
        <v>0</v>
      </c>
      <c r="J944" t="n">
        <v>0</v>
      </c>
      <c r="K944" t="n">
        <v>0</v>
      </c>
      <c r="L944" t="n">
        <v>0</v>
      </c>
      <c r="M944" t="n">
        <v>0</v>
      </c>
      <c r="N944" t="n">
        <v>0</v>
      </c>
      <c r="O944" t="n">
        <v>0</v>
      </c>
      <c r="P944" t="n">
        <v>0</v>
      </c>
      <c r="Q944" t="n">
        <v>0</v>
      </c>
      <c r="R944" s="2" t="inlineStr"/>
    </row>
    <row r="945" ht="15" customHeight="1">
      <c r="A945" t="inlineStr">
        <is>
          <t>A 15878-2020</t>
        </is>
      </c>
      <c r="B945" s="1" t="n">
        <v>43915</v>
      </c>
      <c r="C945" s="1" t="n">
        <v>45661</v>
      </c>
      <c r="D945" t="inlineStr">
        <is>
          <t>STOCKHOLMS LÄN</t>
        </is>
      </c>
      <c r="E945" t="inlineStr">
        <is>
          <t>NYKVARN</t>
        </is>
      </c>
      <c r="G945" t="n">
        <v>1</v>
      </c>
      <c r="H945" t="n">
        <v>0</v>
      </c>
      <c r="I945" t="n">
        <v>0</v>
      </c>
      <c r="J945" t="n">
        <v>0</v>
      </c>
      <c r="K945" t="n">
        <v>0</v>
      </c>
      <c r="L945" t="n">
        <v>0</v>
      </c>
      <c r="M945" t="n">
        <v>0</v>
      </c>
      <c r="N945" t="n">
        <v>0</v>
      </c>
      <c r="O945" t="n">
        <v>0</v>
      </c>
      <c r="P945" t="n">
        <v>0</v>
      </c>
      <c r="Q945" t="n">
        <v>0</v>
      </c>
      <c r="R945" s="2" t="inlineStr"/>
    </row>
    <row r="946" ht="15" customHeight="1">
      <c r="A946" t="inlineStr">
        <is>
          <t>A 16048-2020</t>
        </is>
      </c>
      <c r="B946" s="1" t="n">
        <v>43916</v>
      </c>
      <c r="C946" s="1" t="n">
        <v>45661</v>
      </c>
      <c r="D946" t="inlineStr">
        <is>
          <t>STOCKHOLMS LÄN</t>
        </is>
      </c>
      <c r="E946" t="inlineStr">
        <is>
          <t>BOTKYRKA</t>
        </is>
      </c>
      <c r="G946" t="n">
        <v>4.7</v>
      </c>
      <c r="H946" t="n">
        <v>0</v>
      </c>
      <c r="I946" t="n">
        <v>0</v>
      </c>
      <c r="J946" t="n">
        <v>0</v>
      </c>
      <c r="K946" t="n">
        <v>0</v>
      </c>
      <c r="L946" t="n">
        <v>0</v>
      </c>
      <c r="M946" t="n">
        <v>0</v>
      </c>
      <c r="N946" t="n">
        <v>0</v>
      </c>
      <c r="O946" t="n">
        <v>0</v>
      </c>
      <c r="P946" t="n">
        <v>0</v>
      </c>
      <c r="Q946" t="n">
        <v>0</v>
      </c>
      <c r="R946" s="2" t="inlineStr"/>
    </row>
    <row r="947" ht="15" customHeight="1">
      <c r="A947" t="inlineStr">
        <is>
          <t>A 16273-2020</t>
        </is>
      </c>
      <c r="B947" s="1" t="n">
        <v>43917</v>
      </c>
      <c r="C947" s="1" t="n">
        <v>45661</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17911-2020</t>
        </is>
      </c>
      <c r="B948" s="1" t="n">
        <v>43924</v>
      </c>
      <c r="C948" s="1" t="n">
        <v>45661</v>
      </c>
      <c r="D948" t="inlineStr">
        <is>
          <t>STOCKHOLMS LÄN</t>
        </is>
      </c>
      <c r="E948" t="inlineStr">
        <is>
          <t>NYKVARN</t>
        </is>
      </c>
      <c r="F948" t="inlineStr">
        <is>
          <t>Kommuner</t>
        </is>
      </c>
      <c r="G948" t="n">
        <v>4.1</v>
      </c>
      <c r="H948" t="n">
        <v>0</v>
      </c>
      <c r="I948" t="n">
        <v>0</v>
      </c>
      <c r="J948" t="n">
        <v>0</v>
      </c>
      <c r="K948" t="n">
        <v>0</v>
      </c>
      <c r="L948" t="n">
        <v>0</v>
      </c>
      <c r="M948" t="n">
        <v>0</v>
      </c>
      <c r="N948" t="n">
        <v>0</v>
      </c>
      <c r="O948" t="n">
        <v>0</v>
      </c>
      <c r="P948" t="n">
        <v>0</v>
      </c>
      <c r="Q948" t="n">
        <v>0</v>
      </c>
      <c r="R948" s="2" t="inlineStr"/>
    </row>
    <row r="949" ht="15" customHeight="1">
      <c r="A949" t="inlineStr">
        <is>
          <t>A 17926-2020</t>
        </is>
      </c>
      <c r="B949" s="1" t="n">
        <v>43924</v>
      </c>
      <c r="C949" s="1" t="n">
        <v>45661</v>
      </c>
      <c r="D949" t="inlineStr">
        <is>
          <t>STOCKHOLMS LÄN</t>
        </is>
      </c>
      <c r="E949" t="inlineStr">
        <is>
          <t>NYKVARN</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17965-2020</t>
        </is>
      </c>
      <c r="B950" s="1" t="n">
        <v>43925</v>
      </c>
      <c r="C950" s="1" t="n">
        <v>45661</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18821-2020</t>
        </is>
      </c>
      <c r="B951" s="1" t="n">
        <v>43935</v>
      </c>
      <c r="C951" s="1" t="n">
        <v>45661</v>
      </c>
      <c r="D951" t="inlineStr">
        <is>
          <t>STOCKHOLMS LÄN</t>
        </is>
      </c>
      <c r="E951" t="inlineStr">
        <is>
          <t>SALEM</t>
        </is>
      </c>
      <c r="G951" t="n">
        <v>5.7</v>
      </c>
      <c r="H951" t="n">
        <v>0</v>
      </c>
      <c r="I951" t="n">
        <v>0</v>
      </c>
      <c r="J951" t="n">
        <v>0</v>
      </c>
      <c r="K951" t="n">
        <v>0</v>
      </c>
      <c r="L951" t="n">
        <v>0</v>
      </c>
      <c r="M951" t="n">
        <v>0</v>
      </c>
      <c r="N951" t="n">
        <v>0</v>
      </c>
      <c r="O951" t="n">
        <v>0</v>
      </c>
      <c r="P951" t="n">
        <v>0</v>
      </c>
      <c r="Q951" t="n">
        <v>0</v>
      </c>
      <c r="R951" s="2" t="inlineStr"/>
    </row>
    <row r="952" ht="15" customHeight="1">
      <c r="A952" t="inlineStr">
        <is>
          <t>A 19258-2020</t>
        </is>
      </c>
      <c r="B952" s="1" t="n">
        <v>43937</v>
      </c>
      <c r="C952" s="1" t="n">
        <v>45661</v>
      </c>
      <c r="D952" t="inlineStr">
        <is>
          <t>STOCKHOLMS LÄN</t>
        </is>
      </c>
      <c r="E952" t="inlineStr">
        <is>
          <t>NORRTÄLJE</t>
        </is>
      </c>
      <c r="F952" t="inlineStr">
        <is>
          <t>Övriga statliga verk och myndigheter</t>
        </is>
      </c>
      <c r="G952" t="n">
        <v>2.9</v>
      </c>
      <c r="H952" t="n">
        <v>0</v>
      </c>
      <c r="I952" t="n">
        <v>0</v>
      </c>
      <c r="J952" t="n">
        <v>0</v>
      </c>
      <c r="K952" t="n">
        <v>0</v>
      </c>
      <c r="L952" t="n">
        <v>0</v>
      </c>
      <c r="M952" t="n">
        <v>0</v>
      </c>
      <c r="N952" t="n">
        <v>0</v>
      </c>
      <c r="O952" t="n">
        <v>0</v>
      </c>
      <c r="P952" t="n">
        <v>0</v>
      </c>
      <c r="Q952" t="n">
        <v>0</v>
      </c>
      <c r="R952" s="2" t="inlineStr"/>
    </row>
    <row r="953" ht="15" customHeight="1">
      <c r="A953" t="inlineStr">
        <is>
          <t>A 19863-2020</t>
        </is>
      </c>
      <c r="B953" s="1" t="n">
        <v>43942</v>
      </c>
      <c r="C953" s="1" t="n">
        <v>45661</v>
      </c>
      <c r="D953" t="inlineStr">
        <is>
          <t>STOCKHOLMS LÄN</t>
        </is>
      </c>
      <c r="E953" t="inlineStr">
        <is>
          <t>VALLENTUNA</t>
        </is>
      </c>
      <c r="G953" t="n">
        <v>1.7</v>
      </c>
      <c r="H953" t="n">
        <v>0</v>
      </c>
      <c r="I953" t="n">
        <v>0</v>
      </c>
      <c r="J953" t="n">
        <v>0</v>
      </c>
      <c r="K953" t="n">
        <v>0</v>
      </c>
      <c r="L953" t="n">
        <v>0</v>
      </c>
      <c r="M953" t="n">
        <v>0</v>
      </c>
      <c r="N953" t="n">
        <v>0</v>
      </c>
      <c r="O953" t="n">
        <v>0</v>
      </c>
      <c r="P953" t="n">
        <v>0</v>
      </c>
      <c r="Q953" t="n">
        <v>0</v>
      </c>
      <c r="R953" s="2" t="inlineStr"/>
    </row>
    <row r="954" ht="15" customHeight="1">
      <c r="A954" t="inlineStr">
        <is>
          <t>A 20196-2020</t>
        </is>
      </c>
      <c r="B954" s="1" t="n">
        <v>43944</v>
      </c>
      <c r="C954" s="1" t="n">
        <v>45661</v>
      </c>
      <c r="D954" t="inlineStr">
        <is>
          <t>STOCKHOLMS LÄN</t>
        </is>
      </c>
      <c r="E954" t="inlineStr">
        <is>
          <t>SÖDERTÄLJE</t>
        </is>
      </c>
      <c r="G954" t="n">
        <v>4</v>
      </c>
      <c r="H954" t="n">
        <v>0</v>
      </c>
      <c r="I954" t="n">
        <v>0</v>
      </c>
      <c r="J954" t="n">
        <v>0</v>
      </c>
      <c r="K954" t="n">
        <v>0</v>
      </c>
      <c r="L954" t="n">
        <v>0</v>
      </c>
      <c r="M954" t="n">
        <v>0</v>
      </c>
      <c r="N954" t="n">
        <v>0</v>
      </c>
      <c r="O954" t="n">
        <v>0</v>
      </c>
      <c r="P954" t="n">
        <v>0</v>
      </c>
      <c r="Q954" t="n">
        <v>0</v>
      </c>
      <c r="R954" s="2" t="inlineStr"/>
    </row>
    <row r="955" ht="15" customHeight="1">
      <c r="A955" t="inlineStr">
        <is>
          <t>A 20257-2020</t>
        </is>
      </c>
      <c r="B955" s="1" t="n">
        <v>43944</v>
      </c>
      <c r="C955" s="1" t="n">
        <v>45661</v>
      </c>
      <c r="D955" t="inlineStr">
        <is>
          <t>STOCKHOLMS LÄN</t>
        </is>
      </c>
      <c r="E955" t="inlineStr">
        <is>
          <t>NORRTÄLJE</t>
        </is>
      </c>
      <c r="G955" t="n">
        <v>80.09999999999999</v>
      </c>
      <c r="H955" t="n">
        <v>0</v>
      </c>
      <c r="I955" t="n">
        <v>0</v>
      </c>
      <c r="J955" t="n">
        <v>0</v>
      </c>
      <c r="K955" t="n">
        <v>0</v>
      </c>
      <c r="L955" t="n">
        <v>0</v>
      </c>
      <c r="M955" t="n">
        <v>0</v>
      </c>
      <c r="N955" t="n">
        <v>0</v>
      </c>
      <c r="O955" t="n">
        <v>0</v>
      </c>
      <c r="P955" t="n">
        <v>0</v>
      </c>
      <c r="Q955" t="n">
        <v>0</v>
      </c>
      <c r="R955" s="2" t="inlineStr"/>
    </row>
    <row r="956" ht="15" customHeight="1">
      <c r="A956" t="inlineStr">
        <is>
          <t>A 20600-2020</t>
        </is>
      </c>
      <c r="B956" s="1" t="n">
        <v>43948</v>
      </c>
      <c r="C956" s="1" t="n">
        <v>45661</v>
      </c>
      <c r="D956" t="inlineStr">
        <is>
          <t>STOCKHOLMS LÄN</t>
        </is>
      </c>
      <c r="E956" t="inlineStr">
        <is>
          <t>NYNÄSHAMN</t>
        </is>
      </c>
      <c r="G956" t="n">
        <v>1.9</v>
      </c>
      <c r="H956" t="n">
        <v>0</v>
      </c>
      <c r="I956" t="n">
        <v>0</v>
      </c>
      <c r="J956" t="n">
        <v>0</v>
      </c>
      <c r="K956" t="n">
        <v>0</v>
      </c>
      <c r="L956" t="n">
        <v>0</v>
      </c>
      <c r="M956" t="n">
        <v>0</v>
      </c>
      <c r="N956" t="n">
        <v>0</v>
      </c>
      <c r="O956" t="n">
        <v>0</v>
      </c>
      <c r="P956" t="n">
        <v>0</v>
      </c>
      <c r="Q956" t="n">
        <v>0</v>
      </c>
      <c r="R956" s="2" t="inlineStr"/>
    </row>
    <row r="957" ht="15" customHeight="1">
      <c r="A957" t="inlineStr">
        <is>
          <t>A 20673-2020</t>
        </is>
      </c>
      <c r="B957" s="1" t="n">
        <v>43949</v>
      </c>
      <c r="C957" s="1" t="n">
        <v>45661</v>
      </c>
      <c r="D957" t="inlineStr">
        <is>
          <t>STOCKHOLMS LÄN</t>
        </is>
      </c>
      <c r="E957" t="inlineStr">
        <is>
          <t>NYNÄSHAMN</t>
        </is>
      </c>
      <c r="G957" t="n">
        <v>1.5</v>
      </c>
      <c r="H957" t="n">
        <v>0</v>
      </c>
      <c r="I957" t="n">
        <v>0</v>
      </c>
      <c r="J957" t="n">
        <v>0</v>
      </c>
      <c r="K957" t="n">
        <v>0</v>
      </c>
      <c r="L957" t="n">
        <v>0</v>
      </c>
      <c r="M957" t="n">
        <v>0</v>
      </c>
      <c r="N957" t="n">
        <v>0</v>
      </c>
      <c r="O957" t="n">
        <v>0</v>
      </c>
      <c r="P957" t="n">
        <v>0</v>
      </c>
      <c r="Q957" t="n">
        <v>0</v>
      </c>
      <c r="R957" s="2" t="inlineStr"/>
    </row>
    <row r="958" ht="15" customHeight="1">
      <c r="A958" t="inlineStr">
        <is>
          <t>A 21374-2020</t>
        </is>
      </c>
      <c r="B958" s="1" t="n">
        <v>43955</v>
      </c>
      <c r="C958" s="1" t="n">
        <v>45661</v>
      </c>
      <c r="D958" t="inlineStr">
        <is>
          <t>STOCKHOLMS LÄN</t>
        </is>
      </c>
      <c r="E958" t="inlineStr">
        <is>
          <t>ÖSTERÅKER</t>
        </is>
      </c>
      <c r="G958" t="n">
        <v>3</v>
      </c>
      <c r="H958" t="n">
        <v>0</v>
      </c>
      <c r="I958" t="n">
        <v>0</v>
      </c>
      <c r="J958" t="n">
        <v>0</v>
      </c>
      <c r="K958" t="n">
        <v>0</v>
      </c>
      <c r="L958" t="n">
        <v>0</v>
      </c>
      <c r="M958" t="n">
        <v>0</v>
      </c>
      <c r="N958" t="n">
        <v>0</v>
      </c>
      <c r="O958" t="n">
        <v>0</v>
      </c>
      <c r="P958" t="n">
        <v>0</v>
      </c>
      <c r="Q958" t="n">
        <v>0</v>
      </c>
      <c r="R958" s="2" t="inlineStr"/>
    </row>
    <row r="959" ht="15" customHeight="1">
      <c r="A959" t="inlineStr">
        <is>
          <t>A 21634-2020</t>
        </is>
      </c>
      <c r="B959" s="1" t="n">
        <v>43956</v>
      </c>
      <c r="C959" s="1" t="n">
        <v>45661</v>
      </c>
      <c r="D959" t="inlineStr">
        <is>
          <t>STOCKHOLMS LÄN</t>
        </is>
      </c>
      <c r="E959" t="inlineStr">
        <is>
          <t>NYKVARN</t>
        </is>
      </c>
      <c r="G959" t="n">
        <v>1.4</v>
      </c>
      <c r="H959" t="n">
        <v>0</v>
      </c>
      <c r="I959" t="n">
        <v>0</v>
      </c>
      <c r="J959" t="n">
        <v>0</v>
      </c>
      <c r="K959" t="n">
        <v>0</v>
      </c>
      <c r="L959" t="n">
        <v>0</v>
      </c>
      <c r="M959" t="n">
        <v>0</v>
      </c>
      <c r="N959" t="n">
        <v>0</v>
      </c>
      <c r="O959" t="n">
        <v>0</v>
      </c>
      <c r="P959" t="n">
        <v>0</v>
      </c>
      <c r="Q959" t="n">
        <v>0</v>
      </c>
      <c r="R959" s="2" t="inlineStr"/>
    </row>
    <row r="960" ht="15" customHeight="1">
      <c r="A960" t="inlineStr">
        <is>
          <t>A 21645-2020</t>
        </is>
      </c>
      <c r="B960" s="1" t="n">
        <v>43956</v>
      </c>
      <c r="C960" s="1" t="n">
        <v>45661</v>
      </c>
      <c r="D960" t="inlineStr">
        <is>
          <t>STOCKHOLMS LÄN</t>
        </is>
      </c>
      <c r="E960" t="inlineStr">
        <is>
          <t>BOTKYRKA</t>
        </is>
      </c>
      <c r="G960" t="n">
        <v>2.4</v>
      </c>
      <c r="H960" t="n">
        <v>0</v>
      </c>
      <c r="I960" t="n">
        <v>0</v>
      </c>
      <c r="J960" t="n">
        <v>0</v>
      </c>
      <c r="K960" t="n">
        <v>0</v>
      </c>
      <c r="L960" t="n">
        <v>0</v>
      </c>
      <c r="M960" t="n">
        <v>0</v>
      </c>
      <c r="N960" t="n">
        <v>0</v>
      </c>
      <c r="O960" t="n">
        <v>0</v>
      </c>
      <c r="P960" t="n">
        <v>0</v>
      </c>
      <c r="Q960" t="n">
        <v>0</v>
      </c>
      <c r="R960" s="2" t="inlineStr"/>
    </row>
    <row r="961" ht="15" customHeight="1">
      <c r="A961" t="inlineStr">
        <is>
          <t>A 21849-2020</t>
        </is>
      </c>
      <c r="B961" s="1" t="n">
        <v>43958</v>
      </c>
      <c r="C961" s="1" t="n">
        <v>45661</v>
      </c>
      <c r="D961" t="inlineStr">
        <is>
          <t>STOCKHOLMS LÄN</t>
        </is>
      </c>
      <c r="E961" t="inlineStr">
        <is>
          <t>NORRTÄLJE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21875-2020</t>
        </is>
      </c>
      <c r="B962" s="1" t="n">
        <v>43958</v>
      </c>
      <c r="C962" s="1" t="n">
        <v>45661</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23098-2020</t>
        </is>
      </c>
      <c r="B963" s="1" t="n">
        <v>43965</v>
      </c>
      <c r="C963" s="1" t="n">
        <v>45661</v>
      </c>
      <c r="D963" t="inlineStr">
        <is>
          <t>STOCKHOLMS LÄN</t>
        </is>
      </c>
      <c r="E963" t="inlineStr">
        <is>
          <t>SIGTUNA</t>
        </is>
      </c>
      <c r="G963" t="n">
        <v>8.6</v>
      </c>
      <c r="H963" t="n">
        <v>0</v>
      </c>
      <c r="I963" t="n">
        <v>0</v>
      </c>
      <c r="J963" t="n">
        <v>0</v>
      </c>
      <c r="K963" t="n">
        <v>0</v>
      </c>
      <c r="L963" t="n">
        <v>0</v>
      </c>
      <c r="M963" t="n">
        <v>0</v>
      </c>
      <c r="N963" t="n">
        <v>0</v>
      </c>
      <c r="O963" t="n">
        <v>0</v>
      </c>
      <c r="P963" t="n">
        <v>0</v>
      </c>
      <c r="Q963" t="n">
        <v>0</v>
      </c>
      <c r="R963" s="2" t="inlineStr"/>
    </row>
    <row r="964" ht="15" customHeight="1">
      <c r="A964" t="inlineStr">
        <is>
          <t>A 23364-2020</t>
        </is>
      </c>
      <c r="B964" s="1" t="n">
        <v>43967</v>
      </c>
      <c r="C964" s="1" t="n">
        <v>45661</v>
      </c>
      <c r="D964" t="inlineStr">
        <is>
          <t>STOCKHOLMS LÄN</t>
        </is>
      </c>
      <c r="E964" t="inlineStr">
        <is>
          <t>NYNÄSHAMN</t>
        </is>
      </c>
      <c r="F964" t="inlineStr">
        <is>
          <t>Kommuner</t>
        </is>
      </c>
      <c r="G964" t="n">
        <v>0.8</v>
      </c>
      <c r="H964" t="n">
        <v>0</v>
      </c>
      <c r="I964" t="n">
        <v>0</v>
      </c>
      <c r="J964" t="n">
        <v>0</v>
      </c>
      <c r="K964" t="n">
        <v>0</v>
      </c>
      <c r="L964" t="n">
        <v>0</v>
      </c>
      <c r="M964" t="n">
        <v>0</v>
      </c>
      <c r="N964" t="n">
        <v>0</v>
      </c>
      <c r="O964" t="n">
        <v>0</v>
      </c>
      <c r="P964" t="n">
        <v>0</v>
      </c>
      <c r="Q964" t="n">
        <v>0</v>
      </c>
      <c r="R964" s="2" t="inlineStr"/>
    </row>
    <row r="965" ht="15" customHeight="1">
      <c r="A965" t="inlineStr">
        <is>
          <t>A 23363-2020</t>
        </is>
      </c>
      <c r="B965" s="1" t="n">
        <v>43967</v>
      </c>
      <c r="C965" s="1" t="n">
        <v>45661</v>
      </c>
      <c r="D965" t="inlineStr">
        <is>
          <t>STOCKHOLMS LÄN</t>
        </is>
      </c>
      <c r="E965" t="inlineStr">
        <is>
          <t>NYNÄSHAMN</t>
        </is>
      </c>
      <c r="F965" t="inlineStr">
        <is>
          <t>Kommuner</t>
        </is>
      </c>
      <c r="G965" t="n">
        <v>0.6</v>
      </c>
      <c r="H965" t="n">
        <v>0</v>
      </c>
      <c r="I965" t="n">
        <v>0</v>
      </c>
      <c r="J965" t="n">
        <v>0</v>
      </c>
      <c r="K965" t="n">
        <v>0</v>
      </c>
      <c r="L965" t="n">
        <v>0</v>
      </c>
      <c r="M965" t="n">
        <v>0</v>
      </c>
      <c r="N965" t="n">
        <v>0</v>
      </c>
      <c r="O965" t="n">
        <v>0</v>
      </c>
      <c r="P965" t="n">
        <v>0</v>
      </c>
      <c r="Q965" t="n">
        <v>0</v>
      </c>
      <c r="R965" s="2" t="inlineStr"/>
    </row>
    <row r="966" ht="15" customHeight="1">
      <c r="A966" t="inlineStr">
        <is>
          <t>A 23447-2020</t>
        </is>
      </c>
      <c r="B966" s="1" t="n">
        <v>43969</v>
      </c>
      <c r="C966" s="1" t="n">
        <v>45661</v>
      </c>
      <c r="D966" t="inlineStr">
        <is>
          <t>STOCKHOLMS LÄN</t>
        </is>
      </c>
      <c r="E966" t="inlineStr">
        <is>
          <t>NYNÄSHAMN</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23426-2020</t>
        </is>
      </c>
      <c r="B967" s="1" t="n">
        <v>43969</v>
      </c>
      <c r="C967" s="1" t="n">
        <v>45661</v>
      </c>
      <c r="D967" t="inlineStr">
        <is>
          <t>STOCKHOLMS LÄN</t>
        </is>
      </c>
      <c r="E967" t="inlineStr">
        <is>
          <t>BOTKYRKA</t>
        </is>
      </c>
      <c r="G967" t="n">
        <v>1</v>
      </c>
      <c r="H967" t="n">
        <v>0</v>
      </c>
      <c r="I967" t="n">
        <v>0</v>
      </c>
      <c r="J967" t="n">
        <v>0</v>
      </c>
      <c r="K967" t="n">
        <v>0</v>
      </c>
      <c r="L967" t="n">
        <v>0</v>
      </c>
      <c r="M967" t="n">
        <v>0</v>
      </c>
      <c r="N967" t="n">
        <v>0</v>
      </c>
      <c r="O967" t="n">
        <v>0</v>
      </c>
      <c r="P967" t="n">
        <v>0</v>
      </c>
      <c r="Q967" t="n">
        <v>0</v>
      </c>
      <c r="R967" s="2" t="inlineStr"/>
    </row>
    <row r="968" ht="15" customHeight="1">
      <c r="A968" t="inlineStr">
        <is>
          <t>A 23442-2020</t>
        </is>
      </c>
      <c r="B968" s="1" t="n">
        <v>43969</v>
      </c>
      <c r="C968" s="1" t="n">
        <v>45661</v>
      </c>
      <c r="D968" t="inlineStr">
        <is>
          <t>STOCKHOLMS LÄN</t>
        </is>
      </c>
      <c r="E968" t="inlineStr">
        <is>
          <t>NYNÄSHAMN</t>
        </is>
      </c>
      <c r="F968" t="inlineStr">
        <is>
          <t>Kommuner</t>
        </is>
      </c>
      <c r="G968" t="n">
        <v>4.5</v>
      </c>
      <c r="H968" t="n">
        <v>0</v>
      </c>
      <c r="I968" t="n">
        <v>0</v>
      </c>
      <c r="J968" t="n">
        <v>0</v>
      </c>
      <c r="K968" t="n">
        <v>0</v>
      </c>
      <c r="L968" t="n">
        <v>0</v>
      </c>
      <c r="M968" t="n">
        <v>0</v>
      </c>
      <c r="N968" t="n">
        <v>0</v>
      </c>
      <c r="O968" t="n">
        <v>0</v>
      </c>
      <c r="P968" t="n">
        <v>0</v>
      </c>
      <c r="Q968" t="n">
        <v>0</v>
      </c>
      <c r="R968" s="2" t="inlineStr"/>
    </row>
    <row r="969" ht="15" customHeight="1">
      <c r="A969" t="inlineStr">
        <is>
          <t>A 23751-2020</t>
        </is>
      </c>
      <c r="B969" s="1" t="n">
        <v>43970</v>
      </c>
      <c r="C969" s="1" t="n">
        <v>45661</v>
      </c>
      <c r="D969" t="inlineStr">
        <is>
          <t>STOCKHOLMS LÄN</t>
        </is>
      </c>
      <c r="E969" t="inlineStr">
        <is>
          <t>NORRTÄLJE</t>
        </is>
      </c>
      <c r="G969" t="n">
        <v>5.6</v>
      </c>
      <c r="H969" t="n">
        <v>0</v>
      </c>
      <c r="I969" t="n">
        <v>0</v>
      </c>
      <c r="J969" t="n">
        <v>0</v>
      </c>
      <c r="K969" t="n">
        <v>0</v>
      </c>
      <c r="L969" t="n">
        <v>0</v>
      </c>
      <c r="M969" t="n">
        <v>0</v>
      </c>
      <c r="N969" t="n">
        <v>0</v>
      </c>
      <c r="O969" t="n">
        <v>0</v>
      </c>
      <c r="P969" t="n">
        <v>0</v>
      </c>
      <c r="Q969" t="n">
        <v>0</v>
      </c>
      <c r="R969" s="2" t="inlineStr"/>
    </row>
    <row r="970" ht="15" customHeight="1">
      <c r="A970" t="inlineStr">
        <is>
          <t>A 24136-2020</t>
        </is>
      </c>
      <c r="B970" s="1" t="n">
        <v>43973</v>
      </c>
      <c r="C970" s="1" t="n">
        <v>45661</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25575-2020</t>
        </is>
      </c>
      <c r="B971" s="1" t="n">
        <v>43983</v>
      </c>
      <c r="C971" s="1" t="n">
        <v>45661</v>
      </c>
      <c r="D971" t="inlineStr">
        <is>
          <t>STOCKHOLMS LÄN</t>
        </is>
      </c>
      <c r="E971" t="inlineStr">
        <is>
          <t>VALLENTUNA</t>
        </is>
      </c>
      <c r="G971" t="n">
        <v>6</v>
      </c>
      <c r="H971" t="n">
        <v>0</v>
      </c>
      <c r="I971" t="n">
        <v>0</v>
      </c>
      <c r="J971" t="n">
        <v>0</v>
      </c>
      <c r="K971" t="n">
        <v>0</v>
      </c>
      <c r="L971" t="n">
        <v>0</v>
      </c>
      <c r="M971" t="n">
        <v>0</v>
      </c>
      <c r="N971" t="n">
        <v>0</v>
      </c>
      <c r="O971" t="n">
        <v>0</v>
      </c>
      <c r="P971" t="n">
        <v>0</v>
      </c>
      <c r="Q971" t="n">
        <v>0</v>
      </c>
      <c r="R971" s="2" t="inlineStr"/>
    </row>
    <row r="972" ht="15" customHeight="1">
      <c r="A972" t="inlineStr">
        <is>
          <t>A 25584-2020</t>
        </is>
      </c>
      <c r="B972" s="1" t="n">
        <v>43983</v>
      </c>
      <c r="C972" s="1" t="n">
        <v>45661</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25589-2020</t>
        </is>
      </c>
      <c r="B973" s="1" t="n">
        <v>43983</v>
      </c>
      <c r="C973" s="1" t="n">
        <v>45661</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25745-2020</t>
        </is>
      </c>
      <c r="B974" s="1" t="n">
        <v>43984</v>
      </c>
      <c r="C974" s="1" t="n">
        <v>45661</v>
      </c>
      <c r="D974" t="inlineStr">
        <is>
          <t>STOCKHOLMS LÄN</t>
        </is>
      </c>
      <c r="E974" t="inlineStr">
        <is>
          <t>SIGTUNA</t>
        </is>
      </c>
      <c r="G974" t="n">
        <v>0.7</v>
      </c>
      <c r="H974" t="n">
        <v>0</v>
      </c>
      <c r="I974" t="n">
        <v>0</v>
      </c>
      <c r="J974" t="n">
        <v>0</v>
      </c>
      <c r="K974" t="n">
        <v>0</v>
      </c>
      <c r="L974" t="n">
        <v>0</v>
      </c>
      <c r="M974" t="n">
        <v>0</v>
      </c>
      <c r="N974" t="n">
        <v>0</v>
      </c>
      <c r="O974" t="n">
        <v>0</v>
      </c>
      <c r="P974" t="n">
        <v>0</v>
      </c>
      <c r="Q974" t="n">
        <v>0</v>
      </c>
      <c r="R974" s="2" t="inlineStr"/>
    </row>
    <row r="975" ht="15" customHeight="1">
      <c r="A975" t="inlineStr">
        <is>
          <t>A 25897-2020</t>
        </is>
      </c>
      <c r="B975" s="1" t="n">
        <v>43984</v>
      </c>
      <c r="C975" s="1" t="n">
        <v>45661</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27278-2020</t>
        </is>
      </c>
      <c r="B976" s="1" t="n">
        <v>43992</v>
      </c>
      <c r="C976" s="1" t="n">
        <v>45661</v>
      </c>
      <c r="D976" t="inlineStr">
        <is>
          <t>STOCKHOLMS LÄN</t>
        </is>
      </c>
      <c r="E976" t="inlineStr">
        <is>
          <t>SÖDERTÄLJE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27621-2020</t>
        </is>
      </c>
      <c r="B977" s="1" t="n">
        <v>43993</v>
      </c>
      <c r="C977" s="1" t="n">
        <v>45661</v>
      </c>
      <c r="D977" t="inlineStr">
        <is>
          <t>STOCKHOLMS LÄN</t>
        </is>
      </c>
      <c r="E977" t="inlineStr">
        <is>
          <t>NYKVARN</t>
        </is>
      </c>
      <c r="G977" t="n">
        <v>35.8</v>
      </c>
      <c r="H977" t="n">
        <v>0</v>
      </c>
      <c r="I977" t="n">
        <v>0</v>
      </c>
      <c r="J977" t="n">
        <v>0</v>
      </c>
      <c r="K977" t="n">
        <v>0</v>
      </c>
      <c r="L977" t="n">
        <v>0</v>
      </c>
      <c r="M977" t="n">
        <v>0</v>
      </c>
      <c r="N977" t="n">
        <v>0</v>
      </c>
      <c r="O977" t="n">
        <v>0</v>
      </c>
      <c r="P977" t="n">
        <v>0</v>
      </c>
      <c r="Q977" t="n">
        <v>0</v>
      </c>
      <c r="R977" s="2" t="inlineStr"/>
    </row>
    <row r="978" ht="15" customHeight="1">
      <c r="A978" t="inlineStr">
        <is>
          <t>A 27794-2020</t>
        </is>
      </c>
      <c r="B978" s="1" t="n">
        <v>43994</v>
      </c>
      <c r="C978" s="1" t="n">
        <v>45661</v>
      </c>
      <c r="D978" t="inlineStr">
        <is>
          <t>STOCKHOLMS LÄN</t>
        </is>
      </c>
      <c r="E978" t="inlineStr">
        <is>
          <t>NYNÄSHAMN</t>
        </is>
      </c>
      <c r="G978" t="n">
        <v>0.6</v>
      </c>
      <c r="H978" t="n">
        <v>0</v>
      </c>
      <c r="I978" t="n">
        <v>0</v>
      </c>
      <c r="J978" t="n">
        <v>0</v>
      </c>
      <c r="K978" t="n">
        <v>0</v>
      </c>
      <c r="L978" t="n">
        <v>0</v>
      </c>
      <c r="M978" t="n">
        <v>0</v>
      </c>
      <c r="N978" t="n">
        <v>0</v>
      </c>
      <c r="O978" t="n">
        <v>0</v>
      </c>
      <c r="P978" t="n">
        <v>0</v>
      </c>
      <c r="Q978" t="n">
        <v>0</v>
      </c>
      <c r="R978" s="2" t="inlineStr"/>
    </row>
    <row r="979" ht="15" customHeight="1">
      <c r="A979" t="inlineStr">
        <is>
          <t>A 28663-2020</t>
        </is>
      </c>
      <c r="B979" s="1" t="n">
        <v>43999</v>
      </c>
      <c r="C979" s="1" t="n">
        <v>45661</v>
      </c>
      <c r="D979" t="inlineStr">
        <is>
          <t>STOCKHOLMS LÄN</t>
        </is>
      </c>
      <c r="E979" t="inlineStr">
        <is>
          <t>SIGTUNA</t>
        </is>
      </c>
      <c r="G979" t="n">
        <v>2.2</v>
      </c>
      <c r="H979" t="n">
        <v>0</v>
      </c>
      <c r="I979" t="n">
        <v>0</v>
      </c>
      <c r="J979" t="n">
        <v>0</v>
      </c>
      <c r="K979" t="n">
        <v>0</v>
      </c>
      <c r="L979" t="n">
        <v>0</v>
      </c>
      <c r="M979" t="n">
        <v>0</v>
      </c>
      <c r="N979" t="n">
        <v>0</v>
      </c>
      <c r="O979" t="n">
        <v>0</v>
      </c>
      <c r="P979" t="n">
        <v>0</v>
      </c>
      <c r="Q979" t="n">
        <v>0</v>
      </c>
      <c r="R979" s="2" t="inlineStr"/>
    </row>
    <row r="980" ht="15" customHeight="1">
      <c r="A980" t="inlineStr">
        <is>
          <t>A 28923-2020</t>
        </is>
      </c>
      <c r="B980" s="1" t="n">
        <v>44000</v>
      </c>
      <c r="C980" s="1" t="n">
        <v>45661</v>
      </c>
      <c r="D980" t="inlineStr">
        <is>
          <t>STOCKHOLMS LÄN</t>
        </is>
      </c>
      <c r="E980" t="inlineStr">
        <is>
          <t>SIGTUNA</t>
        </is>
      </c>
      <c r="G980" t="n">
        <v>0.4</v>
      </c>
      <c r="H980" t="n">
        <v>0</v>
      </c>
      <c r="I980" t="n">
        <v>0</v>
      </c>
      <c r="J980" t="n">
        <v>0</v>
      </c>
      <c r="K980" t="n">
        <v>0</v>
      </c>
      <c r="L980" t="n">
        <v>0</v>
      </c>
      <c r="M980" t="n">
        <v>0</v>
      </c>
      <c r="N980" t="n">
        <v>0</v>
      </c>
      <c r="O980" t="n">
        <v>0</v>
      </c>
      <c r="P980" t="n">
        <v>0</v>
      </c>
      <c r="Q980" t="n">
        <v>0</v>
      </c>
      <c r="R980" s="2" t="inlineStr"/>
    </row>
    <row r="981" ht="15" customHeight="1">
      <c r="A981" t="inlineStr">
        <is>
          <t>A 29254-2020</t>
        </is>
      </c>
      <c r="B981" s="1" t="n">
        <v>44000</v>
      </c>
      <c r="C981" s="1" t="n">
        <v>45661</v>
      </c>
      <c r="D981" t="inlineStr">
        <is>
          <t>STOCKHOLMS LÄN</t>
        </is>
      </c>
      <c r="E981" t="inlineStr">
        <is>
          <t>NYKVARN</t>
        </is>
      </c>
      <c r="F981" t="inlineStr">
        <is>
          <t>Allmännings- och besparingsskogar</t>
        </is>
      </c>
      <c r="G981" t="n">
        <v>7.1</v>
      </c>
      <c r="H981" t="n">
        <v>0</v>
      </c>
      <c r="I981" t="n">
        <v>0</v>
      </c>
      <c r="J981" t="n">
        <v>0</v>
      </c>
      <c r="K981" t="n">
        <v>0</v>
      </c>
      <c r="L981" t="n">
        <v>0</v>
      </c>
      <c r="M981" t="n">
        <v>0</v>
      </c>
      <c r="N981" t="n">
        <v>0</v>
      </c>
      <c r="O981" t="n">
        <v>0</v>
      </c>
      <c r="P981" t="n">
        <v>0</v>
      </c>
      <c r="Q981" t="n">
        <v>0</v>
      </c>
      <c r="R981" s="2" t="inlineStr"/>
    </row>
    <row r="982" ht="15" customHeight="1">
      <c r="A982" t="inlineStr">
        <is>
          <t>A 29113-2020</t>
        </is>
      </c>
      <c r="B982" s="1" t="n">
        <v>44003</v>
      </c>
      <c r="C982" s="1" t="n">
        <v>45661</v>
      </c>
      <c r="D982" t="inlineStr">
        <is>
          <t>STOCKHOLMS LÄN</t>
        </is>
      </c>
      <c r="E982" t="inlineStr">
        <is>
          <t>NYNÄSHAMN</t>
        </is>
      </c>
      <c r="G982" t="n">
        <v>2.6</v>
      </c>
      <c r="H982" t="n">
        <v>0</v>
      </c>
      <c r="I982" t="n">
        <v>0</v>
      </c>
      <c r="J982" t="n">
        <v>0</v>
      </c>
      <c r="K982" t="n">
        <v>0</v>
      </c>
      <c r="L982" t="n">
        <v>0</v>
      </c>
      <c r="M982" t="n">
        <v>0</v>
      </c>
      <c r="N982" t="n">
        <v>0</v>
      </c>
      <c r="O982" t="n">
        <v>0</v>
      </c>
      <c r="P982" t="n">
        <v>0</v>
      </c>
      <c r="Q982" t="n">
        <v>0</v>
      </c>
      <c r="R982" s="2" t="inlineStr"/>
    </row>
    <row r="983" ht="15" customHeight="1">
      <c r="A983" t="inlineStr">
        <is>
          <t>A 30600-2020</t>
        </is>
      </c>
      <c r="B983" s="1" t="n">
        <v>44008</v>
      </c>
      <c r="C983" s="1" t="n">
        <v>45661</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31196-2020</t>
        </is>
      </c>
      <c r="B984" s="1" t="n">
        <v>44012</v>
      </c>
      <c r="C984" s="1" t="n">
        <v>45661</v>
      </c>
      <c r="D984" t="inlineStr">
        <is>
          <t>STOCKHOLMS LÄN</t>
        </is>
      </c>
      <c r="E984" t="inlineStr">
        <is>
          <t>UPPLANDS-BRO</t>
        </is>
      </c>
      <c r="G984" t="n">
        <v>1.1</v>
      </c>
      <c r="H984" t="n">
        <v>0</v>
      </c>
      <c r="I984" t="n">
        <v>0</v>
      </c>
      <c r="J984" t="n">
        <v>0</v>
      </c>
      <c r="K984" t="n">
        <v>0</v>
      </c>
      <c r="L984" t="n">
        <v>0</v>
      </c>
      <c r="M984" t="n">
        <v>0</v>
      </c>
      <c r="N984" t="n">
        <v>0</v>
      </c>
      <c r="O984" t="n">
        <v>0</v>
      </c>
      <c r="P984" t="n">
        <v>0</v>
      </c>
      <c r="Q984" t="n">
        <v>0</v>
      </c>
      <c r="R984" s="2" t="inlineStr"/>
    </row>
    <row r="985" ht="15" customHeight="1">
      <c r="A985" t="inlineStr">
        <is>
          <t>A 31783-2020</t>
        </is>
      </c>
      <c r="B985" s="1" t="n">
        <v>44014</v>
      </c>
      <c r="C985" s="1" t="n">
        <v>45661</v>
      </c>
      <c r="D985" t="inlineStr">
        <is>
          <t>STOCKHOLMS LÄN</t>
        </is>
      </c>
      <c r="E985" t="inlineStr">
        <is>
          <t>NORRTÄLJE</t>
        </is>
      </c>
      <c r="G985" t="n">
        <v>4.8</v>
      </c>
      <c r="H985" t="n">
        <v>0</v>
      </c>
      <c r="I985" t="n">
        <v>0</v>
      </c>
      <c r="J985" t="n">
        <v>0</v>
      </c>
      <c r="K985" t="n">
        <v>0</v>
      </c>
      <c r="L985" t="n">
        <v>0</v>
      </c>
      <c r="M985" t="n">
        <v>0</v>
      </c>
      <c r="N985" t="n">
        <v>0</v>
      </c>
      <c r="O985" t="n">
        <v>0</v>
      </c>
      <c r="P985" t="n">
        <v>0</v>
      </c>
      <c r="Q985" t="n">
        <v>0</v>
      </c>
      <c r="R985" s="2" t="inlineStr"/>
    </row>
    <row r="986" ht="15" customHeight="1">
      <c r="A986" t="inlineStr">
        <is>
          <t>A 33881-2020</t>
        </is>
      </c>
      <c r="B986" s="1" t="n">
        <v>44025</v>
      </c>
      <c r="C986" s="1" t="n">
        <v>45661</v>
      </c>
      <c r="D986" t="inlineStr">
        <is>
          <t>STOCKHOLMS LÄN</t>
        </is>
      </c>
      <c r="E986" t="inlineStr">
        <is>
          <t>BOTKYRKA</t>
        </is>
      </c>
      <c r="G986" t="n">
        <v>5.9</v>
      </c>
      <c r="H986" t="n">
        <v>0</v>
      </c>
      <c r="I986" t="n">
        <v>0</v>
      </c>
      <c r="J986" t="n">
        <v>0</v>
      </c>
      <c r="K986" t="n">
        <v>0</v>
      </c>
      <c r="L986" t="n">
        <v>0</v>
      </c>
      <c r="M986" t="n">
        <v>0</v>
      </c>
      <c r="N986" t="n">
        <v>0</v>
      </c>
      <c r="O986" t="n">
        <v>0</v>
      </c>
      <c r="P986" t="n">
        <v>0</v>
      </c>
      <c r="Q986" t="n">
        <v>0</v>
      </c>
      <c r="R986" s="2" t="inlineStr"/>
    </row>
    <row r="987" ht="15" customHeight="1">
      <c r="A987" t="inlineStr">
        <is>
          <t>A 33749-2020</t>
        </is>
      </c>
      <c r="B987" s="1" t="n">
        <v>44026</v>
      </c>
      <c r="C987" s="1" t="n">
        <v>45661</v>
      </c>
      <c r="D987" t="inlineStr">
        <is>
          <t>STOCKHOLMS LÄN</t>
        </is>
      </c>
      <c r="E987" t="inlineStr">
        <is>
          <t>NORRTÄLJE</t>
        </is>
      </c>
      <c r="F987" t="inlineStr">
        <is>
          <t>Holmen skog AB</t>
        </is>
      </c>
      <c r="G987" t="n">
        <v>0.5</v>
      </c>
      <c r="H987" t="n">
        <v>0</v>
      </c>
      <c r="I987" t="n">
        <v>0</v>
      </c>
      <c r="J987" t="n">
        <v>0</v>
      </c>
      <c r="K987" t="n">
        <v>0</v>
      </c>
      <c r="L987" t="n">
        <v>0</v>
      </c>
      <c r="M987" t="n">
        <v>0</v>
      </c>
      <c r="N987" t="n">
        <v>0</v>
      </c>
      <c r="O987" t="n">
        <v>0</v>
      </c>
      <c r="P987" t="n">
        <v>0</v>
      </c>
      <c r="Q987" t="n">
        <v>0</v>
      </c>
      <c r="R987" s="2" t="inlineStr"/>
    </row>
    <row r="988" ht="15" customHeight="1">
      <c r="A988" t="inlineStr">
        <is>
          <t>A 34185-2020</t>
        </is>
      </c>
      <c r="B988" s="1" t="n">
        <v>44029</v>
      </c>
      <c r="C988" s="1" t="n">
        <v>45661</v>
      </c>
      <c r="D988" t="inlineStr">
        <is>
          <t>STOCKHOLMS LÄN</t>
        </is>
      </c>
      <c r="E988" t="inlineStr">
        <is>
          <t>EKERÖ</t>
        </is>
      </c>
      <c r="G988" t="n">
        <v>7.3</v>
      </c>
      <c r="H988" t="n">
        <v>0</v>
      </c>
      <c r="I988" t="n">
        <v>0</v>
      </c>
      <c r="J988" t="n">
        <v>0</v>
      </c>
      <c r="K988" t="n">
        <v>0</v>
      </c>
      <c r="L988" t="n">
        <v>0</v>
      </c>
      <c r="M988" t="n">
        <v>0</v>
      </c>
      <c r="N988" t="n">
        <v>0</v>
      </c>
      <c r="O988" t="n">
        <v>0</v>
      </c>
      <c r="P988" t="n">
        <v>0</v>
      </c>
      <c r="Q988" t="n">
        <v>0</v>
      </c>
      <c r="R988" s="2" t="inlineStr"/>
    </row>
    <row r="989" ht="15" customHeight="1">
      <c r="A989" t="inlineStr">
        <is>
          <t>A 34651-2020</t>
        </is>
      </c>
      <c r="B989" s="1" t="n">
        <v>44034</v>
      </c>
      <c r="C989" s="1" t="n">
        <v>45661</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34650-2020</t>
        </is>
      </c>
      <c r="B990" s="1" t="n">
        <v>44034</v>
      </c>
      <c r="C990" s="1" t="n">
        <v>45661</v>
      </c>
      <c r="D990" t="inlineStr">
        <is>
          <t>STOCKHOLMS LÄN</t>
        </is>
      </c>
      <c r="E990" t="inlineStr">
        <is>
          <t>NORRTÄLJE</t>
        </is>
      </c>
      <c r="G990" t="n">
        <v>0.4</v>
      </c>
      <c r="H990" t="n">
        <v>0</v>
      </c>
      <c r="I990" t="n">
        <v>0</v>
      </c>
      <c r="J990" t="n">
        <v>0</v>
      </c>
      <c r="K990" t="n">
        <v>0</v>
      </c>
      <c r="L990" t="n">
        <v>0</v>
      </c>
      <c r="M990" t="n">
        <v>0</v>
      </c>
      <c r="N990" t="n">
        <v>0</v>
      </c>
      <c r="O990" t="n">
        <v>0</v>
      </c>
      <c r="P990" t="n">
        <v>0</v>
      </c>
      <c r="Q990" t="n">
        <v>0</v>
      </c>
      <c r="R990" s="2" t="inlineStr"/>
    </row>
    <row r="991" ht="15" customHeight="1">
      <c r="A991" t="inlineStr">
        <is>
          <t>A 35012-2020</t>
        </is>
      </c>
      <c r="B991" s="1" t="n">
        <v>44039</v>
      </c>
      <c r="C991" s="1" t="n">
        <v>45661</v>
      </c>
      <c r="D991" t="inlineStr">
        <is>
          <t>STOCKHOLMS LÄN</t>
        </is>
      </c>
      <c r="E991" t="inlineStr">
        <is>
          <t>EKERÖ</t>
        </is>
      </c>
      <c r="G991" t="n">
        <v>1.7</v>
      </c>
      <c r="H991" t="n">
        <v>0</v>
      </c>
      <c r="I991" t="n">
        <v>0</v>
      </c>
      <c r="J991" t="n">
        <v>0</v>
      </c>
      <c r="K991" t="n">
        <v>0</v>
      </c>
      <c r="L991" t="n">
        <v>0</v>
      </c>
      <c r="M991" t="n">
        <v>0</v>
      </c>
      <c r="N991" t="n">
        <v>0</v>
      </c>
      <c r="O991" t="n">
        <v>0</v>
      </c>
      <c r="P991" t="n">
        <v>0</v>
      </c>
      <c r="Q991" t="n">
        <v>0</v>
      </c>
      <c r="R991" s="2" t="inlineStr"/>
    </row>
    <row r="992" ht="15" customHeight="1">
      <c r="A992" t="inlineStr">
        <is>
          <t>A 36248-2020</t>
        </is>
      </c>
      <c r="B992" s="1" t="n">
        <v>44049</v>
      </c>
      <c r="C992" s="1" t="n">
        <v>45661</v>
      </c>
      <c r="D992" t="inlineStr">
        <is>
          <t>STOCKHOLMS LÄN</t>
        </is>
      </c>
      <c r="E992" t="inlineStr">
        <is>
          <t>UPPLANDS-BRO</t>
        </is>
      </c>
      <c r="G992" t="n">
        <v>3.6</v>
      </c>
      <c r="H992" t="n">
        <v>0</v>
      </c>
      <c r="I992" t="n">
        <v>0</v>
      </c>
      <c r="J992" t="n">
        <v>0</v>
      </c>
      <c r="K992" t="n">
        <v>0</v>
      </c>
      <c r="L992" t="n">
        <v>0</v>
      </c>
      <c r="M992" t="n">
        <v>0</v>
      </c>
      <c r="N992" t="n">
        <v>0</v>
      </c>
      <c r="O992" t="n">
        <v>0</v>
      </c>
      <c r="P992" t="n">
        <v>0</v>
      </c>
      <c r="Q992" t="n">
        <v>0</v>
      </c>
      <c r="R992" s="2" t="inlineStr"/>
    </row>
    <row r="993" ht="15" customHeight="1">
      <c r="A993" t="inlineStr">
        <is>
          <t>A 36314-2020</t>
        </is>
      </c>
      <c r="B993" s="1" t="n">
        <v>44049</v>
      </c>
      <c r="C993" s="1" t="n">
        <v>45661</v>
      </c>
      <c r="D993" t="inlineStr">
        <is>
          <t>STOCKHOLMS LÄN</t>
        </is>
      </c>
      <c r="E993" t="inlineStr">
        <is>
          <t>NORRTÄLJE</t>
        </is>
      </c>
      <c r="G993" t="n">
        <v>5</v>
      </c>
      <c r="H993" t="n">
        <v>0</v>
      </c>
      <c r="I993" t="n">
        <v>0</v>
      </c>
      <c r="J993" t="n">
        <v>0</v>
      </c>
      <c r="K993" t="n">
        <v>0</v>
      </c>
      <c r="L993" t="n">
        <v>0</v>
      </c>
      <c r="M993" t="n">
        <v>0</v>
      </c>
      <c r="N993" t="n">
        <v>0</v>
      </c>
      <c r="O993" t="n">
        <v>0</v>
      </c>
      <c r="P993" t="n">
        <v>0</v>
      </c>
      <c r="Q993" t="n">
        <v>0</v>
      </c>
      <c r="R993" s="2" t="inlineStr"/>
    </row>
    <row r="994" ht="15" customHeight="1">
      <c r="A994" t="inlineStr">
        <is>
          <t>A 36359-2020</t>
        </is>
      </c>
      <c r="B994" s="1" t="n">
        <v>44049</v>
      </c>
      <c r="C994" s="1" t="n">
        <v>45661</v>
      </c>
      <c r="D994" t="inlineStr">
        <is>
          <t>STOCKHOLMS LÄN</t>
        </is>
      </c>
      <c r="E994" t="inlineStr">
        <is>
          <t>NORRTÄLJE</t>
        </is>
      </c>
      <c r="G994" t="n">
        <v>6.5</v>
      </c>
      <c r="H994" t="n">
        <v>0</v>
      </c>
      <c r="I994" t="n">
        <v>0</v>
      </c>
      <c r="J994" t="n">
        <v>0</v>
      </c>
      <c r="K994" t="n">
        <v>0</v>
      </c>
      <c r="L994" t="n">
        <v>0</v>
      </c>
      <c r="M994" t="n">
        <v>0</v>
      </c>
      <c r="N994" t="n">
        <v>0</v>
      </c>
      <c r="O994" t="n">
        <v>0</v>
      </c>
      <c r="P994" t="n">
        <v>0</v>
      </c>
      <c r="Q994" t="n">
        <v>0</v>
      </c>
      <c r="R994" s="2" t="inlineStr"/>
    </row>
    <row r="995" ht="15" customHeight="1">
      <c r="A995" t="inlineStr">
        <is>
          <t>A 36865-2020</t>
        </is>
      </c>
      <c r="B995" s="1" t="n">
        <v>44053</v>
      </c>
      <c r="C995" s="1" t="n">
        <v>45661</v>
      </c>
      <c r="D995" t="inlineStr">
        <is>
          <t>STOCKHOLMS LÄN</t>
        </is>
      </c>
      <c r="E995" t="inlineStr">
        <is>
          <t>NYNÄSHAMN</t>
        </is>
      </c>
      <c r="G995" t="n">
        <v>0.7</v>
      </c>
      <c r="H995" t="n">
        <v>0</v>
      </c>
      <c r="I995" t="n">
        <v>0</v>
      </c>
      <c r="J995" t="n">
        <v>0</v>
      </c>
      <c r="K995" t="n">
        <v>0</v>
      </c>
      <c r="L995" t="n">
        <v>0</v>
      </c>
      <c r="M995" t="n">
        <v>0</v>
      </c>
      <c r="N995" t="n">
        <v>0</v>
      </c>
      <c r="O995" t="n">
        <v>0</v>
      </c>
      <c r="P995" t="n">
        <v>0</v>
      </c>
      <c r="Q995" t="n">
        <v>0</v>
      </c>
      <c r="R995" s="2" t="inlineStr"/>
    </row>
    <row r="996" ht="15" customHeight="1">
      <c r="A996" t="inlineStr">
        <is>
          <t>A 38010-2020</t>
        </is>
      </c>
      <c r="B996" s="1" t="n">
        <v>44057</v>
      </c>
      <c r="C996" s="1" t="n">
        <v>45661</v>
      </c>
      <c r="D996" t="inlineStr">
        <is>
          <t>STOCKHOLMS LÄN</t>
        </is>
      </c>
      <c r="E996" t="inlineStr">
        <is>
          <t>SÖDERTÄLJE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39033-2020</t>
        </is>
      </c>
      <c r="B997" s="1" t="n">
        <v>44062</v>
      </c>
      <c r="C997" s="1" t="n">
        <v>45661</v>
      </c>
      <c r="D997" t="inlineStr">
        <is>
          <t>STOCKHOLMS LÄN</t>
        </is>
      </c>
      <c r="E997" t="inlineStr">
        <is>
          <t>VÄRMDÖ</t>
        </is>
      </c>
      <c r="G997" t="n">
        <v>4.3</v>
      </c>
      <c r="H997" t="n">
        <v>0</v>
      </c>
      <c r="I997" t="n">
        <v>0</v>
      </c>
      <c r="J997" t="n">
        <v>0</v>
      </c>
      <c r="K997" t="n">
        <v>0</v>
      </c>
      <c r="L997" t="n">
        <v>0</v>
      </c>
      <c r="M997" t="n">
        <v>0</v>
      </c>
      <c r="N997" t="n">
        <v>0</v>
      </c>
      <c r="O997" t="n">
        <v>0</v>
      </c>
      <c r="P997" t="n">
        <v>0</v>
      </c>
      <c r="Q997" t="n">
        <v>0</v>
      </c>
      <c r="R997" s="2" t="inlineStr"/>
    </row>
    <row r="998" ht="15" customHeight="1">
      <c r="A998" t="inlineStr">
        <is>
          <t>A 39531-2020</t>
        </is>
      </c>
      <c r="B998" s="1" t="n">
        <v>44064</v>
      </c>
      <c r="C998" s="1" t="n">
        <v>45661</v>
      </c>
      <c r="D998" t="inlineStr">
        <is>
          <t>STOCKHOLMS LÄN</t>
        </is>
      </c>
      <c r="E998" t="inlineStr">
        <is>
          <t>BOTKYRKA</t>
        </is>
      </c>
      <c r="G998" t="n">
        <v>3.5</v>
      </c>
      <c r="H998" t="n">
        <v>0</v>
      </c>
      <c r="I998" t="n">
        <v>0</v>
      </c>
      <c r="J998" t="n">
        <v>0</v>
      </c>
      <c r="K998" t="n">
        <v>0</v>
      </c>
      <c r="L998" t="n">
        <v>0</v>
      </c>
      <c r="M998" t="n">
        <v>0</v>
      </c>
      <c r="N998" t="n">
        <v>0</v>
      </c>
      <c r="O998" t="n">
        <v>0</v>
      </c>
      <c r="P998" t="n">
        <v>0</v>
      </c>
      <c r="Q998" t="n">
        <v>0</v>
      </c>
      <c r="R998" s="2" t="inlineStr"/>
    </row>
    <row r="999" ht="15" customHeight="1">
      <c r="A999" t="inlineStr">
        <is>
          <t>A 40037-2020</t>
        </is>
      </c>
      <c r="B999" s="1" t="n">
        <v>44067</v>
      </c>
      <c r="C999" s="1" t="n">
        <v>45661</v>
      </c>
      <c r="D999" t="inlineStr">
        <is>
          <t>STOCKHOLMS LÄN</t>
        </is>
      </c>
      <c r="E999" t="inlineStr">
        <is>
          <t>HANINGE</t>
        </is>
      </c>
      <c r="G999" t="n">
        <v>0.8</v>
      </c>
      <c r="H999" t="n">
        <v>0</v>
      </c>
      <c r="I999" t="n">
        <v>0</v>
      </c>
      <c r="J999" t="n">
        <v>0</v>
      </c>
      <c r="K999" t="n">
        <v>0</v>
      </c>
      <c r="L999" t="n">
        <v>0</v>
      </c>
      <c r="M999" t="n">
        <v>0</v>
      </c>
      <c r="N999" t="n">
        <v>0</v>
      </c>
      <c r="O999" t="n">
        <v>0</v>
      </c>
      <c r="P999" t="n">
        <v>0</v>
      </c>
      <c r="Q999" t="n">
        <v>0</v>
      </c>
      <c r="R999" s="2" t="inlineStr"/>
    </row>
    <row r="1000" ht="15" customHeight="1">
      <c r="A1000" t="inlineStr">
        <is>
          <t>A 40837-2020</t>
        </is>
      </c>
      <c r="B1000" s="1" t="n">
        <v>44067</v>
      </c>
      <c r="C1000" s="1" t="n">
        <v>45661</v>
      </c>
      <c r="D1000" t="inlineStr">
        <is>
          <t>STOCKHOLMS LÄN</t>
        </is>
      </c>
      <c r="E1000" t="inlineStr">
        <is>
          <t>NORRTÄLJE</t>
        </is>
      </c>
      <c r="G1000" t="n">
        <v>20.6</v>
      </c>
      <c r="H1000" t="n">
        <v>0</v>
      </c>
      <c r="I1000" t="n">
        <v>0</v>
      </c>
      <c r="J1000" t="n">
        <v>0</v>
      </c>
      <c r="K1000" t="n">
        <v>0</v>
      </c>
      <c r="L1000" t="n">
        <v>0</v>
      </c>
      <c r="M1000" t="n">
        <v>0</v>
      </c>
      <c r="N1000" t="n">
        <v>0</v>
      </c>
      <c r="O1000" t="n">
        <v>0</v>
      </c>
      <c r="P1000" t="n">
        <v>0</v>
      </c>
      <c r="Q1000" t="n">
        <v>0</v>
      </c>
      <c r="R1000" s="2" t="inlineStr"/>
    </row>
    <row r="1001" ht="15" customHeight="1">
      <c r="A1001" t="inlineStr">
        <is>
          <t>A 40661-2020</t>
        </is>
      </c>
      <c r="B1001" s="1" t="n">
        <v>44069</v>
      </c>
      <c r="C1001" s="1" t="n">
        <v>45661</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41080-2020</t>
        </is>
      </c>
      <c r="B1002" s="1" t="n">
        <v>44069</v>
      </c>
      <c r="C1002" s="1" t="n">
        <v>45661</v>
      </c>
      <c r="D1002" t="inlineStr">
        <is>
          <t>STOCKHOLMS LÄN</t>
        </is>
      </c>
      <c r="E1002" t="inlineStr">
        <is>
          <t>SÖDERTÄLJE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41718-2020</t>
        </is>
      </c>
      <c r="B1003" s="1" t="n">
        <v>44074</v>
      </c>
      <c r="C1003" s="1" t="n">
        <v>45661</v>
      </c>
      <c r="D1003" t="inlineStr">
        <is>
          <t>STOCKHOLMS LÄN</t>
        </is>
      </c>
      <c r="E1003" t="inlineStr">
        <is>
          <t>SALEM</t>
        </is>
      </c>
      <c r="F1003" t="inlineStr">
        <is>
          <t>Kommuner</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42247-2020</t>
        </is>
      </c>
      <c r="B1004" s="1" t="n">
        <v>44074</v>
      </c>
      <c r="C1004" s="1" t="n">
        <v>45661</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42256-2020</t>
        </is>
      </c>
      <c r="B1005" s="1" t="n">
        <v>44074</v>
      </c>
      <c r="C1005" s="1" t="n">
        <v>45661</v>
      </c>
      <c r="D1005" t="inlineStr">
        <is>
          <t>STOCKHOLMS LÄN</t>
        </is>
      </c>
      <c r="E1005" t="inlineStr">
        <is>
          <t>NORRTÄLJE</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41694-2020</t>
        </is>
      </c>
      <c r="B1006" s="1" t="n">
        <v>44074</v>
      </c>
      <c r="C1006" s="1" t="n">
        <v>45661</v>
      </c>
      <c r="D1006" t="inlineStr">
        <is>
          <t>STOCKHOLMS LÄN</t>
        </is>
      </c>
      <c r="E1006" t="inlineStr">
        <is>
          <t>NORRTÄLJE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41923-2020</t>
        </is>
      </c>
      <c r="B1007" s="1" t="n">
        <v>44075</v>
      </c>
      <c r="C1007" s="1" t="n">
        <v>45661</v>
      </c>
      <c r="D1007" t="inlineStr">
        <is>
          <t>STOCKHOLMS LÄN</t>
        </is>
      </c>
      <c r="E1007" t="inlineStr">
        <is>
          <t>SALEM</t>
        </is>
      </c>
      <c r="F1007" t="inlineStr">
        <is>
          <t>Kommuner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42365-2020</t>
        </is>
      </c>
      <c r="B1008" s="1" t="n">
        <v>44076</v>
      </c>
      <c r="C1008" s="1" t="n">
        <v>45661</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42361-2020</t>
        </is>
      </c>
      <c r="B1009" s="1" t="n">
        <v>44076</v>
      </c>
      <c r="C1009" s="1" t="n">
        <v>45661</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42455-2020</t>
        </is>
      </c>
      <c r="B1010" s="1" t="n">
        <v>44076</v>
      </c>
      <c r="C1010" s="1" t="n">
        <v>45661</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43237-2020</t>
        </is>
      </c>
      <c r="B1011" s="1" t="n">
        <v>44076</v>
      </c>
      <c r="C1011" s="1" t="n">
        <v>45661</v>
      </c>
      <c r="D1011" t="inlineStr">
        <is>
          <t>STOCKHOLMS LÄN</t>
        </is>
      </c>
      <c r="E1011" t="inlineStr">
        <is>
          <t>SÖDERTÄLJE</t>
        </is>
      </c>
      <c r="F1011" t="inlineStr">
        <is>
          <t>Kommuner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42714-2020</t>
        </is>
      </c>
      <c r="B1012" s="1" t="n">
        <v>44077</v>
      </c>
      <c r="C1012" s="1" t="n">
        <v>45661</v>
      </c>
      <c r="D1012" t="inlineStr">
        <is>
          <t>STOCKHOLMS LÄN</t>
        </is>
      </c>
      <c r="E1012" t="inlineStr">
        <is>
          <t>SIGTUNA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43751-2020</t>
        </is>
      </c>
      <c r="B1013" s="1" t="n">
        <v>44082</v>
      </c>
      <c r="C1013" s="1" t="n">
        <v>45661</v>
      </c>
      <c r="D1013" t="inlineStr">
        <is>
          <t>STOCKHOLMS LÄN</t>
        </is>
      </c>
      <c r="E1013" t="inlineStr">
        <is>
          <t>NORRTÄLJE</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44096-2020</t>
        </is>
      </c>
      <c r="B1014" s="1" t="n">
        <v>44083</v>
      </c>
      <c r="C1014" s="1" t="n">
        <v>45661</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44071-2020</t>
        </is>
      </c>
      <c r="B1015" s="1" t="n">
        <v>44083</v>
      </c>
      <c r="C1015" s="1" t="n">
        <v>45661</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44183-2020</t>
        </is>
      </c>
      <c r="B1016" s="1" t="n">
        <v>44083</v>
      </c>
      <c r="C1016" s="1" t="n">
        <v>45661</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44577-2020</t>
        </is>
      </c>
      <c r="B1017" s="1" t="n">
        <v>44085</v>
      </c>
      <c r="C1017" s="1" t="n">
        <v>45661</v>
      </c>
      <c r="D1017" t="inlineStr">
        <is>
          <t>STOCKHOLMS LÄN</t>
        </is>
      </c>
      <c r="E1017" t="inlineStr">
        <is>
          <t>SÖDERTÄLJE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44792-2020</t>
        </is>
      </c>
      <c r="B1018" s="1" t="n">
        <v>44085</v>
      </c>
      <c r="C1018" s="1" t="n">
        <v>45661</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45732-2020</t>
        </is>
      </c>
      <c r="B1019" s="1" t="n">
        <v>44090</v>
      </c>
      <c r="C1019" s="1" t="n">
        <v>45661</v>
      </c>
      <c r="D1019" t="inlineStr">
        <is>
          <t>STOCKHOLMS LÄN</t>
        </is>
      </c>
      <c r="E1019" t="inlineStr">
        <is>
          <t>NYNÄSHAMN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45859-2020</t>
        </is>
      </c>
      <c r="B1020" s="1" t="n">
        <v>44091</v>
      </c>
      <c r="C1020" s="1" t="n">
        <v>45661</v>
      </c>
      <c r="D1020" t="inlineStr">
        <is>
          <t>STOCKHOLMS LÄN</t>
        </is>
      </c>
      <c r="E1020" t="inlineStr">
        <is>
          <t>NYNÄSHAMN</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45988-2020</t>
        </is>
      </c>
      <c r="B1021" s="1" t="n">
        <v>44091</v>
      </c>
      <c r="C1021" s="1" t="n">
        <v>45661</v>
      </c>
      <c r="D1021" t="inlineStr">
        <is>
          <t>STOCKHOLMS LÄN</t>
        </is>
      </c>
      <c r="E1021" t="inlineStr">
        <is>
          <t>NORRTÄLJE</t>
        </is>
      </c>
      <c r="F1021" t="inlineStr">
        <is>
          <t>Holmen skog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46556-2020</t>
        </is>
      </c>
      <c r="B1022" s="1" t="n">
        <v>44095</v>
      </c>
      <c r="C1022" s="1" t="n">
        <v>45661</v>
      </c>
      <c r="D1022" t="inlineStr">
        <is>
          <t>STOCKHOLMS LÄN</t>
        </is>
      </c>
      <c r="E1022" t="inlineStr">
        <is>
          <t>NORRTÄLJE</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46661-2020</t>
        </is>
      </c>
      <c r="B1023" s="1" t="n">
        <v>44095</v>
      </c>
      <c r="C1023" s="1" t="n">
        <v>45661</v>
      </c>
      <c r="D1023" t="inlineStr">
        <is>
          <t>STOCKHOLMS LÄN</t>
        </is>
      </c>
      <c r="E1023" t="inlineStr">
        <is>
          <t>SÖDERTÄLJE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46899-2020</t>
        </is>
      </c>
      <c r="B1024" s="1" t="n">
        <v>44096</v>
      </c>
      <c r="C1024" s="1" t="n">
        <v>45661</v>
      </c>
      <c r="D1024" t="inlineStr">
        <is>
          <t>STOCKHOLMS LÄN</t>
        </is>
      </c>
      <c r="E1024" t="inlineStr">
        <is>
          <t>SÖDERTÄLJE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47291-2020</t>
        </is>
      </c>
      <c r="B1025" s="1" t="n">
        <v>44097</v>
      </c>
      <c r="C1025" s="1" t="n">
        <v>45661</v>
      </c>
      <c r="D1025" t="inlineStr">
        <is>
          <t>STOCKHOLMS LÄN</t>
        </is>
      </c>
      <c r="E1025" t="inlineStr">
        <is>
          <t>NORRTÄLJE</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48392-2020</t>
        </is>
      </c>
      <c r="B1026" s="1" t="n">
        <v>44097</v>
      </c>
      <c r="C1026" s="1" t="n">
        <v>45661</v>
      </c>
      <c r="D1026" t="inlineStr">
        <is>
          <t>STOCKHOLMS LÄN</t>
        </is>
      </c>
      <c r="E1026" t="inlineStr">
        <is>
          <t>NORRTÄLJE</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47869-2020</t>
        </is>
      </c>
      <c r="B1027" s="1" t="n">
        <v>44098</v>
      </c>
      <c r="C1027" s="1" t="n">
        <v>45661</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47868-2020</t>
        </is>
      </c>
      <c r="B1028" s="1" t="n">
        <v>44098</v>
      </c>
      <c r="C1028" s="1" t="n">
        <v>45661</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48066-2020</t>
        </is>
      </c>
      <c r="B1029" s="1" t="n">
        <v>44100</v>
      </c>
      <c r="C1029" s="1" t="n">
        <v>45661</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48071-2020</t>
        </is>
      </c>
      <c r="B1030" s="1" t="n">
        <v>44100</v>
      </c>
      <c r="C1030" s="1" t="n">
        <v>45661</v>
      </c>
      <c r="D1030" t="inlineStr">
        <is>
          <t>STOCKHOLMS LÄN</t>
        </is>
      </c>
      <c r="E1030" t="inlineStr">
        <is>
          <t>NORRTÄLJE</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48496-2020</t>
        </is>
      </c>
      <c r="B1031" s="1" t="n">
        <v>44103</v>
      </c>
      <c r="C1031" s="1" t="n">
        <v>45661</v>
      </c>
      <c r="D1031" t="inlineStr">
        <is>
          <t>STOCKHOLMS LÄN</t>
        </is>
      </c>
      <c r="E1031" t="inlineStr">
        <is>
          <t>NORRTÄLJE</t>
        </is>
      </c>
      <c r="F1031" t="inlineStr">
        <is>
          <t>Holmen skog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48522-2020</t>
        </is>
      </c>
      <c r="B1032" s="1" t="n">
        <v>44103</v>
      </c>
      <c r="C1032" s="1" t="n">
        <v>45661</v>
      </c>
      <c r="D1032" t="inlineStr">
        <is>
          <t>STOCKHOLMS LÄN</t>
        </is>
      </c>
      <c r="E1032" t="inlineStr">
        <is>
          <t>NORRTÄLJE</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48985-2020</t>
        </is>
      </c>
      <c r="B1033" s="1" t="n">
        <v>44104</v>
      </c>
      <c r="C1033" s="1" t="n">
        <v>45661</v>
      </c>
      <c r="D1033" t="inlineStr">
        <is>
          <t>STOCKHOLMS LÄN</t>
        </is>
      </c>
      <c r="E1033" t="inlineStr">
        <is>
          <t>NYKVARN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49334-2020</t>
        </is>
      </c>
      <c r="B1034" s="1" t="n">
        <v>44105</v>
      </c>
      <c r="C1034" s="1" t="n">
        <v>45661</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49327-2020</t>
        </is>
      </c>
      <c r="B1035" s="1" t="n">
        <v>44105</v>
      </c>
      <c r="C1035" s="1" t="n">
        <v>45661</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49686-2020</t>
        </is>
      </c>
      <c r="B1036" s="1" t="n">
        <v>44106</v>
      </c>
      <c r="C1036" s="1" t="n">
        <v>45661</v>
      </c>
      <c r="D1036" t="inlineStr">
        <is>
          <t>STOCKHOLMS LÄN</t>
        </is>
      </c>
      <c r="E1036" t="inlineStr">
        <is>
          <t>UPPLANDS-BRO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49898-2020</t>
        </is>
      </c>
      <c r="B1037" s="1" t="n">
        <v>44108</v>
      </c>
      <c r="C1037" s="1" t="n">
        <v>45661</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49938-2020</t>
        </is>
      </c>
      <c r="B1038" s="1" t="n">
        <v>44109</v>
      </c>
      <c r="C1038" s="1" t="n">
        <v>45661</v>
      </c>
      <c r="D1038" t="inlineStr">
        <is>
          <t>STOCKHOLMS LÄN</t>
        </is>
      </c>
      <c r="E1038" t="inlineStr">
        <is>
          <t>SÖDERTÄLJE</t>
        </is>
      </c>
      <c r="F1038" t="inlineStr">
        <is>
          <t>Kommuner</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50497-2020</t>
        </is>
      </c>
      <c r="B1039" s="1" t="n">
        <v>44110</v>
      </c>
      <c r="C1039" s="1" t="n">
        <v>45661</v>
      </c>
      <c r="D1039" t="inlineStr">
        <is>
          <t>STOCKHOLMS LÄN</t>
        </is>
      </c>
      <c r="E1039" t="inlineStr">
        <is>
          <t>NORRTÄLJE</t>
        </is>
      </c>
      <c r="F1039" t="inlineStr">
        <is>
          <t>Holmen skog AB</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50529-2020</t>
        </is>
      </c>
      <c r="B1040" s="1" t="n">
        <v>44110</v>
      </c>
      <c r="C1040" s="1" t="n">
        <v>45661</v>
      </c>
      <c r="D1040" t="inlineStr">
        <is>
          <t>STOCKHOLMS LÄN</t>
        </is>
      </c>
      <c r="E1040" t="inlineStr">
        <is>
          <t>SÖDERTÄLJE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50524-2020</t>
        </is>
      </c>
      <c r="B1041" s="1" t="n">
        <v>44110</v>
      </c>
      <c r="C1041" s="1" t="n">
        <v>45661</v>
      </c>
      <c r="D1041" t="inlineStr">
        <is>
          <t>STOCKHOLMS LÄN</t>
        </is>
      </c>
      <c r="E1041" t="inlineStr">
        <is>
          <t>SÖDERTÄLJE</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50520-2020</t>
        </is>
      </c>
      <c r="B1042" s="1" t="n">
        <v>44110</v>
      </c>
      <c r="C1042" s="1" t="n">
        <v>45661</v>
      </c>
      <c r="D1042" t="inlineStr">
        <is>
          <t>STOCKHOLMS LÄN</t>
        </is>
      </c>
      <c r="E1042" t="inlineStr">
        <is>
          <t>SÖDERTÄLJE</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50527-2020</t>
        </is>
      </c>
      <c r="B1043" s="1" t="n">
        <v>44110</v>
      </c>
      <c r="C1043" s="1" t="n">
        <v>45661</v>
      </c>
      <c r="D1043" t="inlineStr">
        <is>
          <t>STOCKHOLMS LÄN</t>
        </is>
      </c>
      <c r="E1043" t="inlineStr">
        <is>
          <t>SÖDERTÄLJE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50585-2020</t>
        </is>
      </c>
      <c r="B1044" s="1" t="n">
        <v>44110</v>
      </c>
      <c r="C1044" s="1" t="n">
        <v>45661</v>
      </c>
      <c r="D1044" t="inlineStr">
        <is>
          <t>STOCKHOLMS LÄN</t>
        </is>
      </c>
      <c r="E1044" t="inlineStr">
        <is>
          <t>SIGTUNA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50523-2020</t>
        </is>
      </c>
      <c r="B1045" s="1" t="n">
        <v>44110</v>
      </c>
      <c r="C1045" s="1" t="n">
        <v>45661</v>
      </c>
      <c r="D1045" t="inlineStr">
        <is>
          <t>STOCKHOLMS LÄN</t>
        </is>
      </c>
      <c r="E1045" t="inlineStr">
        <is>
          <t>SÖDERTÄLJE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50738-2020</t>
        </is>
      </c>
      <c r="B1046" s="1" t="n">
        <v>44111</v>
      </c>
      <c r="C1046" s="1" t="n">
        <v>45661</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50698-2020</t>
        </is>
      </c>
      <c r="B1047" s="1" t="n">
        <v>44111</v>
      </c>
      <c r="C1047" s="1" t="n">
        <v>45661</v>
      </c>
      <c r="D1047" t="inlineStr">
        <is>
          <t>STOCKHOLMS LÄN</t>
        </is>
      </c>
      <c r="E1047" t="inlineStr">
        <is>
          <t>UPPLANDS-BRO</t>
        </is>
      </c>
      <c r="F1047" t="inlineStr">
        <is>
          <t>Övriga statliga verk och myndigheter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50746-2020</t>
        </is>
      </c>
      <c r="B1048" s="1" t="n">
        <v>44111</v>
      </c>
      <c r="C1048" s="1" t="n">
        <v>45661</v>
      </c>
      <c r="D1048" t="inlineStr">
        <is>
          <t>STOCKHOLMS LÄN</t>
        </is>
      </c>
      <c r="E1048" t="inlineStr">
        <is>
          <t>NORRTÄLJE</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50742-2020</t>
        </is>
      </c>
      <c r="B1049" s="1" t="n">
        <v>44111</v>
      </c>
      <c r="C1049" s="1" t="n">
        <v>45661</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51203-2020</t>
        </is>
      </c>
      <c r="B1050" s="1" t="n">
        <v>44112</v>
      </c>
      <c r="C1050" s="1" t="n">
        <v>45661</v>
      </c>
      <c r="D1050" t="inlineStr">
        <is>
          <t>STOCKHOLMS LÄN</t>
        </is>
      </c>
      <c r="E1050" t="inlineStr">
        <is>
          <t>SÖDERTÄLJE</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51098-2020</t>
        </is>
      </c>
      <c r="B1051" s="1" t="n">
        <v>44112</v>
      </c>
      <c r="C1051" s="1" t="n">
        <v>45661</v>
      </c>
      <c r="D1051" t="inlineStr">
        <is>
          <t>STOCKHOLMS LÄN</t>
        </is>
      </c>
      <c r="E1051" t="inlineStr">
        <is>
          <t>NACKA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51720-2020</t>
        </is>
      </c>
      <c r="B1052" s="1" t="n">
        <v>44113</v>
      </c>
      <c r="C1052" s="1" t="n">
        <v>45661</v>
      </c>
      <c r="D1052" t="inlineStr">
        <is>
          <t>STOCKHOLMS LÄN</t>
        </is>
      </c>
      <c r="E1052" t="inlineStr">
        <is>
          <t>NORRTÄLJE</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51787-2020</t>
        </is>
      </c>
      <c r="B1053" s="1" t="n">
        <v>44116</v>
      </c>
      <c r="C1053" s="1" t="n">
        <v>45661</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51798-2020</t>
        </is>
      </c>
      <c r="B1054" s="1" t="n">
        <v>44116</v>
      </c>
      <c r="C1054" s="1" t="n">
        <v>45661</v>
      </c>
      <c r="D1054" t="inlineStr">
        <is>
          <t>STOCKHOLMS LÄN</t>
        </is>
      </c>
      <c r="E1054" t="inlineStr">
        <is>
          <t>NORRTÄLJE</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52727-2020</t>
        </is>
      </c>
      <c r="B1055" s="1" t="n">
        <v>44117</v>
      </c>
      <c r="C1055" s="1" t="n">
        <v>45661</v>
      </c>
      <c r="D1055" t="inlineStr">
        <is>
          <t>STOCKHOLMS LÄN</t>
        </is>
      </c>
      <c r="E1055" t="inlineStr">
        <is>
          <t>STOCKHOLM</t>
        </is>
      </c>
      <c r="F1055" t="inlineStr">
        <is>
          <t>Kommuner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52806-2020</t>
        </is>
      </c>
      <c r="B1056" s="1" t="n">
        <v>44119</v>
      </c>
      <c r="C1056" s="1" t="n">
        <v>45661</v>
      </c>
      <c r="D1056" t="inlineStr">
        <is>
          <t>STOCKHOLMS LÄN</t>
        </is>
      </c>
      <c r="E1056" t="inlineStr">
        <is>
          <t>NYNÄSHAMN</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53768-2020</t>
        </is>
      </c>
      <c r="B1057" s="1" t="n">
        <v>44123</v>
      </c>
      <c r="C1057" s="1" t="n">
        <v>45661</v>
      </c>
      <c r="D1057" t="inlineStr">
        <is>
          <t>STOCKHOLMS LÄN</t>
        </is>
      </c>
      <c r="E1057" t="inlineStr">
        <is>
          <t>NORRTÄLJE</t>
        </is>
      </c>
      <c r="F1057" t="inlineStr">
        <is>
          <t>Kommuner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53652-2020</t>
        </is>
      </c>
      <c r="B1058" s="1" t="n">
        <v>44124</v>
      </c>
      <c r="C1058" s="1" t="n">
        <v>45661</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53690-2020</t>
        </is>
      </c>
      <c r="B1059" s="1" t="n">
        <v>44124</v>
      </c>
      <c r="C1059" s="1" t="n">
        <v>45661</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53607-2020</t>
        </is>
      </c>
      <c r="B1060" s="1" t="n">
        <v>44124</v>
      </c>
      <c r="C1060" s="1" t="n">
        <v>45661</v>
      </c>
      <c r="D1060" t="inlineStr">
        <is>
          <t>STOCKHOLMS LÄN</t>
        </is>
      </c>
      <c r="E1060" t="inlineStr">
        <is>
          <t>NORRTÄLJE</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53750-2020</t>
        </is>
      </c>
      <c r="B1061" s="1" t="n">
        <v>44124</v>
      </c>
      <c r="C1061" s="1" t="n">
        <v>45661</v>
      </c>
      <c r="D1061" t="inlineStr">
        <is>
          <t>STOCKHOLMS LÄN</t>
        </is>
      </c>
      <c r="E1061" t="inlineStr">
        <is>
          <t>SÖDERTÄLJE</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54002-2020</t>
        </is>
      </c>
      <c r="B1062" s="1" t="n">
        <v>44125</v>
      </c>
      <c r="C1062" s="1" t="n">
        <v>45661</v>
      </c>
      <c r="D1062" t="inlineStr">
        <is>
          <t>STOCKHOLMS LÄN</t>
        </is>
      </c>
      <c r="E1062" t="inlineStr">
        <is>
          <t>BOTKYRKA</t>
        </is>
      </c>
      <c r="F1062" t="inlineStr">
        <is>
          <t>Övriga Aktiebolag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53979-2020</t>
        </is>
      </c>
      <c r="B1063" s="1" t="n">
        <v>44125</v>
      </c>
      <c r="C1063" s="1" t="n">
        <v>45661</v>
      </c>
      <c r="D1063" t="inlineStr">
        <is>
          <t>STOCKHOLMS LÄN</t>
        </is>
      </c>
      <c r="E1063" t="inlineStr">
        <is>
          <t>BOTKYRKA</t>
        </is>
      </c>
      <c r="F1063" t="inlineStr">
        <is>
          <t>Övriga Aktiebolag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55200-2020</t>
        </is>
      </c>
      <c r="B1064" s="1" t="n">
        <v>44130</v>
      </c>
      <c r="C1064" s="1" t="n">
        <v>45661</v>
      </c>
      <c r="D1064" t="inlineStr">
        <is>
          <t>STOCKHOLMS LÄN</t>
        </is>
      </c>
      <c r="E1064" t="inlineStr">
        <is>
          <t>BOTKYRKA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55089-2020</t>
        </is>
      </c>
      <c r="B1065" s="1" t="n">
        <v>44130</v>
      </c>
      <c r="C1065" s="1" t="n">
        <v>45661</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55466-2020</t>
        </is>
      </c>
      <c r="B1066" s="1" t="n">
        <v>44130</v>
      </c>
      <c r="C1066" s="1" t="n">
        <v>45661</v>
      </c>
      <c r="D1066" t="inlineStr">
        <is>
          <t>STOCKHOLMS LÄN</t>
        </is>
      </c>
      <c r="E1066" t="inlineStr">
        <is>
          <t>SÖDERTÄLJE</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55464-2020</t>
        </is>
      </c>
      <c r="B1067" s="1" t="n">
        <v>44130</v>
      </c>
      <c r="C1067" s="1" t="n">
        <v>45661</v>
      </c>
      <c r="D1067" t="inlineStr">
        <is>
          <t>STOCKHOLMS LÄN</t>
        </is>
      </c>
      <c r="E1067" t="inlineStr">
        <is>
          <t>SÖDERTÄLJE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55541-2020</t>
        </is>
      </c>
      <c r="B1068" s="1" t="n">
        <v>44131</v>
      </c>
      <c r="C1068" s="1" t="n">
        <v>45661</v>
      </c>
      <c r="D1068" t="inlineStr">
        <is>
          <t>STOCKHOLMS LÄN</t>
        </is>
      </c>
      <c r="E1068" t="inlineStr">
        <is>
          <t>UPPLANDS-BRO</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55895-2020</t>
        </is>
      </c>
      <c r="B1069" s="1" t="n">
        <v>44132</v>
      </c>
      <c r="C1069" s="1" t="n">
        <v>45661</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55890-2020</t>
        </is>
      </c>
      <c r="B1070" s="1" t="n">
        <v>44132</v>
      </c>
      <c r="C1070" s="1" t="n">
        <v>45661</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55982-2020</t>
        </is>
      </c>
      <c r="B1071" s="1" t="n">
        <v>44132</v>
      </c>
      <c r="C1071" s="1" t="n">
        <v>45661</v>
      </c>
      <c r="D1071" t="inlineStr">
        <is>
          <t>STOCKHOLMS LÄN</t>
        </is>
      </c>
      <c r="E1071" t="inlineStr">
        <is>
          <t>NORRTÄLJE</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56166-2020</t>
        </is>
      </c>
      <c r="B1072" s="1" t="n">
        <v>44133</v>
      </c>
      <c r="C1072" s="1" t="n">
        <v>45661</v>
      </c>
      <c r="D1072" t="inlineStr">
        <is>
          <t>STOCKHOLMS LÄN</t>
        </is>
      </c>
      <c r="E1072" t="inlineStr">
        <is>
          <t>NORRTÄLJE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56608-2020</t>
        </is>
      </c>
      <c r="B1073" s="1" t="n">
        <v>44133</v>
      </c>
      <c r="C1073" s="1" t="n">
        <v>45661</v>
      </c>
      <c r="D1073" t="inlineStr">
        <is>
          <t>STOCKHOLMS LÄN</t>
        </is>
      </c>
      <c r="E1073" t="inlineStr">
        <is>
          <t>NYNÄSHAMN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56323-2020</t>
        </is>
      </c>
      <c r="B1074" s="1" t="n">
        <v>44134</v>
      </c>
      <c r="C1074" s="1" t="n">
        <v>45661</v>
      </c>
      <c r="D1074" t="inlineStr">
        <is>
          <t>STOCKHOLMS LÄN</t>
        </is>
      </c>
      <c r="E1074" t="inlineStr">
        <is>
          <t>NORRTÄLJE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57216-2020</t>
        </is>
      </c>
      <c r="B1075" s="1" t="n">
        <v>44139</v>
      </c>
      <c r="C1075" s="1" t="n">
        <v>45661</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57809-2020</t>
        </is>
      </c>
      <c r="B1076" s="1" t="n">
        <v>44141</v>
      </c>
      <c r="C1076" s="1" t="n">
        <v>45661</v>
      </c>
      <c r="D1076" t="inlineStr">
        <is>
          <t>STOCKHOLMS LÄN</t>
        </is>
      </c>
      <c r="E1076" t="inlineStr">
        <is>
          <t>BOTKYRKA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57957-2020</t>
        </is>
      </c>
      <c r="B1077" s="1" t="n">
        <v>44143</v>
      </c>
      <c r="C1077" s="1" t="n">
        <v>45661</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57987-2020</t>
        </is>
      </c>
      <c r="B1078" s="1" t="n">
        <v>44143</v>
      </c>
      <c r="C1078" s="1" t="n">
        <v>45661</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57992-2020</t>
        </is>
      </c>
      <c r="B1079" s="1" t="n">
        <v>44143</v>
      </c>
      <c r="C1079" s="1" t="n">
        <v>45661</v>
      </c>
      <c r="D1079" t="inlineStr">
        <is>
          <t>STOCKHOLMS LÄN</t>
        </is>
      </c>
      <c r="E1079" t="inlineStr">
        <is>
          <t>SÖDERTÄLJE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58260-2020</t>
        </is>
      </c>
      <c r="B1080" s="1" t="n">
        <v>44144</v>
      </c>
      <c r="C1080" s="1" t="n">
        <v>45661</v>
      </c>
      <c r="D1080" t="inlineStr">
        <is>
          <t>STOCKHOLMS LÄN</t>
        </is>
      </c>
      <c r="E1080" t="inlineStr">
        <is>
          <t>HUDDINGE</t>
        </is>
      </c>
      <c r="F1080" t="inlineStr">
        <is>
          <t>Kommuner</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58493-2020</t>
        </is>
      </c>
      <c r="B1081" s="1" t="n">
        <v>44145</v>
      </c>
      <c r="C1081" s="1" t="n">
        <v>45661</v>
      </c>
      <c r="D1081" t="inlineStr">
        <is>
          <t>STOCKHOLMS LÄN</t>
        </is>
      </c>
      <c r="E1081" t="inlineStr">
        <is>
          <t>NORRTÄLJE</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58517-2020</t>
        </is>
      </c>
      <c r="B1082" s="1" t="n">
        <v>44145</v>
      </c>
      <c r="C1082" s="1" t="n">
        <v>45661</v>
      </c>
      <c r="D1082" t="inlineStr">
        <is>
          <t>STOCKHOLMS LÄN</t>
        </is>
      </c>
      <c r="E1082" t="inlineStr">
        <is>
          <t>BOTKYRKA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58531-2020</t>
        </is>
      </c>
      <c r="B1083" s="1" t="n">
        <v>44145</v>
      </c>
      <c r="C1083" s="1" t="n">
        <v>45661</v>
      </c>
      <c r="D1083" t="inlineStr">
        <is>
          <t>STOCKHOLMS LÄN</t>
        </is>
      </c>
      <c r="E1083" t="inlineStr">
        <is>
          <t>BOTKYRKA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58661-2020</t>
        </is>
      </c>
      <c r="B1084" s="1" t="n">
        <v>44145</v>
      </c>
      <c r="C1084" s="1" t="n">
        <v>45661</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58665-2020</t>
        </is>
      </c>
      <c r="B1085" s="1" t="n">
        <v>44145</v>
      </c>
      <c r="C1085" s="1" t="n">
        <v>45661</v>
      </c>
      <c r="D1085" t="inlineStr">
        <is>
          <t>STOCKHOLMS LÄN</t>
        </is>
      </c>
      <c r="E1085" t="inlineStr">
        <is>
          <t>NORRTÄLJE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58888-2020</t>
        </is>
      </c>
      <c r="B1086" s="1" t="n">
        <v>44146</v>
      </c>
      <c r="C1086" s="1" t="n">
        <v>45661</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59570-2020</t>
        </is>
      </c>
      <c r="B1087" s="1" t="n">
        <v>44148</v>
      </c>
      <c r="C1087" s="1" t="n">
        <v>45661</v>
      </c>
      <c r="D1087" t="inlineStr">
        <is>
          <t>STOCKHOLMS LÄN</t>
        </is>
      </c>
      <c r="E1087" t="inlineStr">
        <is>
          <t>NYKVARN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60321-2020</t>
        </is>
      </c>
      <c r="B1088" s="1" t="n">
        <v>44152</v>
      </c>
      <c r="C1088" s="1" t="n">
        <v>45661</v>
      </c>
      <c r="D1088" t="inlineStr">
        <is>
          <t>STOCKHOLMS LÄN</t>
        </is>
      </c>
      <c r="E1088" t="inlineStr">
        <is>
          <t>NORRTÄLJE</t>
        </is>
      </c>
      <c r="F1088" t="inlineStr">
        <is>
          <t>Holmen skog AB</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60542-2020</t>
        </is>
      </c>
      <c r="B1089" s="1" t="n">
        <v>44153</v>
      </c>
      <c r="C1089" s="1" t="n">
        <v>45661</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61048-2020</t>
        </is>
      </c>
      <c r="B1090" s="1" t="n">
        <v>44153</v>
      </c>
      <c r="C1090" s="1" t="n">
        <v>45661</v>
      </c>
      <c r="D1090" t="inlineStr">
        <is>
          <t>STOCKHOLMS LÄN</t>
        </is>
      </c>
      <c r="E1090" t="inlineStr">
        <is>
          <t>VÄRMDÖ</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60977-2020</t>
        </is>
      </c>
      <c r="B1091" s="1" t="n">
        <v>44154</v>
      </c>
      <c r="C1091" s="1" t="n">
        <v>45661</v>
      </c>
      <c r="D1091" t="inlineStr">
        <is>
          <t>STOCKHOLMS LÄN</t>
        </is>
      </c>
      <c r="E1091" t="inlineStr">
        <is>
          <t>NORRTÄLJE</t>
        </is>
      </c>
      <c r="F1091" t="inlineStr">
        <is>
          <t>Holmen skog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60891-2020</t>
        </is>
      </c>
      <c r="B1092" s="1" t="n">
        <v>44154</v>
      </c>
      <c r="C1092" s="1" t="n">
        <v>45661</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60961-2020</t>
        </is>
      </c>
      <c r="B1093" s="1" t="n">
        <v>44154</v>
      </c>
      <c r="C1093" s="1" t="n">
        <v>45661</v>
      </c>
      <c r="D1093" t="inlineStr">
        <is>
          <t>STOCKHOLMS LÄN</t>
        </is>
      </c>
      <c r="E1093" t="inlineStr">
        <is>
          <t>NORRTÄLJE</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61195-2020</t>
        </is>
      </c>
      <c r="B1094" s="1" t="n">
        <v>44155</v>
      </c>
      <c r="C1094" s="1" t="n">
        <v>45661</v>
      </c>
      <c r="D1094" t="inlineStr">
        <is>
          <t>STOCKHOLMS LÄN</t>
        </is>
      </c>
      <c r="E1094" t="inlineStr">
        <is>
          <t>NORRTÄLJE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61221-2020</t>
        </is>
      </c>
      <c r="B1095" s="1" t="n">
        <v>44155</v>
      </c>
      <c r="C1095" s="1" t="n">
        <v>45661</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61363-2020</t>
        </is>
      </c>
      <c r="B1096" s="1" t="n">
        <v>44155</v>
      </c>
      <c r="C1096" s="1" t="n">
        <v>45661</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61469-2020</t>
        </is>
      </c>
      <c r="B1097" s="1" t="n">
        <v>44155</v>
      </c>
      <c r="C1097" s="1" t="n">
        <v>45661</v>
      </c>
      <c r="D1097" t="inlineStr">
        <is>
          <t>STOCKHOLMS LÄN</t>
        </is>
      </c>
      <c r="E1097" t="inlineStr">
        <is>
          <t>NORRTÄLJE</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61192-2020</t>
        </is>
      </c>
      <c r="B1098" s="1" t="n">
        <v>44155</v>
      </c>
      <c r="C1098" s="1" t="n">
        <v>45661</v>
      </c>
      <c r="D1098" t="inlineStr">
        <is>
          <t>STOCKHOLMS LÄN</t>
        </is>
      </c>
      <c r="E1098" t="inlineStr">
        <is>
          <t>NORRTÄLJE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61655-2020</t>
        </is>
      </c>
      <c r="B1099" s="1" t="n">
        <v>44158</v>
      </c>
      <c r="C1099" s="1" t="n">
        <v>45661</v>
      </c>
      <c r="D1099" t="inlineStr">
        <is>
          <t>STOCKHOLMS LÄN</t>
        </is>
      </c>
      <c r="E1099" t="inlineStr">
        <is>
          <t>VALLENTUNA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62460-2020</t>
        </is>
      </c>
      <c r="B1100" s="1" t="n">
        <v>44160</v>
      </c>
      <c r="C1100" s="1" t="n">
        <v>45661</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63492-2020</t>
        </is>
      </c>
      <c r="B1101" s="1" t="n">
        <v>44161</v>
      </c>
      <c r="C1101" s="1" t="n">
        <v>45661</v>
      </c>
      <c r="D1101" t="inlineStr">
        <is>
          <t>STOCKHOLMS LÄN</t>
        </is>
      </c>
      <c r="E1101" t="inlineStr">
        <is>
          <t>VÄRMDÖ</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62854-2020</t>
        </is>
      </c>
      <c r="B1102" s="1" t="n">
        <v>44161</v>
      </c>
      <c r="C1102" s="1" t="n">
        <v>45661</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63824-2020</t>
        </is>
      </c>
      <c r="B1103" s="1" t="n">
        <v>44162</v>
      </c>
      <c r="C1103" s="1" t="n">
        <v>45661</v>
      </c>
      <c r="D1103" t="inlineStr">
        <is>
          <t>STOCKHOLMS LÄN</t>
        </is>
      </c>
      <c r="E1103" t="inlineStr">
        <is>
          <t>NORRTÄLJE</t>
        </is>
      </c>
      <c r="F1103" t="inlineStr">
        <is>
          <t>Övriga Aktiebolag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63894-2020</t>
        </is>
      </c>
      <c r="B1104" s="1" t="n">
        <v>44166</v>
      </c>
      <c r="C1104" s="1" t="n">
        <v>45661</v>
      </c>
      <c r="D1104" t="inlineStr">
        <is>
          <t>STOCKHOLMS LÄN</t>
        </is>
      </c>
      <c r="E1104" t="inlineStr">
        <is>
          <t>VALLENTUNA</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64548-2020</t>
        </is>
      </c>
      <c r="B1105" s="1" t="n">
        <v>44166</v>
      </c>
      <c r="C1105" s="1" t="n">
        <v>45661</v>
      </c>
      <c r="D1105" t="inlineStr">
        <is>
          <t>STOCKHOLMS LÄN</t>
        </is>
      </c>
      <c r="E1105" t="inlineStr">
        <is>
          <t>HANINGE</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64015-2020</t>
        </is>
      </c>
      <c r="B1106" s="1" t="n">
        <v>44167</v>
      </c>
      <c r="C1106" s="1" t="n">
        <v>45661</v>
      </c>
      <c r="D1106" t="inlineStr">
        <is>
          <t>STOCKHOLMS LÄN</t>
        </is>
      </c>
      <c r="E1106" t="inlineStr">
        <is>
          <t>UPPLANDS-BRO</t>
        </is>
      </c>
      <c r="F1106" t="inlineStr">
        <is>
          <t>Övriga statliga verk och myndigheter</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64372-2020</t>
        </is>
      </c>
      <c r="B1107" s="1" t="n">
        <v>44168</v>
      </c>
      <c r="C1107" s="1" t="n">
        <v>45661</v>
      </c>
      <c r="D1107" t="inlineStr">
        <is>
          <t>STOCKHOLMS LÄN</t>
        </is>
      </c>
      <c r="E1107" t="inlineStr">
        <is>
          <t>SIGTUNA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64395-2020</t>
        </is>
      </c>
      <c r="B1108" s="1" t="n">
        <v>44168</v>
      </c>
      <c r="C1108" s="1" t="n">
        <v>45661</v>
      </c>
      <c r="D1108" t="inlineStr">
        <is>
          <t>STOCKHOLMS LÄN</t>
        </is>
      </c>
      <c r="E1108" t="inlineStr">
        <is>
          <t>HANINGE</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65118-2020</t>
        </is>
      </c>
      <c r="B1109" s="1" t="n">
        <v>44172</v>
      </c>
      <c r="C1109" s="1" t="n">
        <v>45661</v>
      </c>
      <c r="D1109" t="inlineStr">
        <is>
          <t>STOCKHOLMS LÄN</t>
        </is>
      </c>
      <c r="E1109" t="inlineStr">
        <is>
          <t>NYNÄSHAMN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64981-2020</t>
        </is>
      </c>
      <c r="B1110" s="1" t="n">
        <v>44172</v>
      </c>
      <c r="C1110" s="1" t="n">
        <v>45661</v>
      </c>
      <c r="D1110" t="inlineStr">
        <is>
          <t>STOCKHOLMS LÄN</t>
        </is>
      </c>
      <c r="E1110" t="inlineStr">
        <is>
          <t>SIGTUNA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65804-2020</t>
        </is>
      </c>
      <c r="B1111" s="1" t="n">
        <v>44172</v>
      </c>
      <c r="C1111" s="1" t="n">
        <v>45661</v>
      </c>
      <c r="D1111" t="inlineStr">
        <is>
          <t>STOCKHOLMS LÄN</t>
        </is>
      </c>
      <c r="E1111" t="inlineStr">
        <is>
          <t>VALLENTUNA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65954-2020</t>
        </is>
      </c>
      <c r="B1112" s="1" t="n">
        <v>44175</v>
      </c>
      <c r="C1112" s="1" t="n">
        <v>45661</v>
      </c>
      <c r="D1112" t="inlineStr">
        <is>
          <t>STOCKHOLMS LÄN</t>
        </is>
      </c>
      <c r="E1112" t="inlineStr">
        <is>
          <t>UPPLANDS-BRO</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65916-2020</t>
        </is>
      </c>
      <c r="B1113" s="1" t="n">
        <v>44175</v>
      </c>
      <c r="C1113" s="1" t="n">
        <v>45661</v>
      </c>
      <c r="D1113" t="inlineStr">
        <is>
          <t>STOCKHOLMS LÄN</t>
        </is>
      </c>
      <c r="E1113" t="inlineStr">
        <is>
          <t>SALEM</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66372-2020</t>
        </is>
      </c>
      <c r="B1114" s="1" t="n">
        <v>44176</v>
      </c>
      <c r="C1114" s="1" t="n">
        <v>45661</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66907-2020</t>
        </is>
      </c>
      <c r="B1115" s="1" t="n">
        <v>44176</v>
      </c>
      <c r="C1115" s="1" t="n">
        <v>45661</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66726-2020</t>
        </is>
      </c>
      <c r="B1116" s="1" t="n">
        <v>44179</v>
      </c>
      <c r="C1116" s="1" t="n">
        <v>45661</v>
      </c>
      <c r="D1116" t="inlineStr">
        <is>
          <t>STOCKHOLMS LÄN</t>
        </is>
      </c>
      <c r="E1116" t="inlineStr">
        <is>
          <t>HANINGE</t>
        </is>
      </c>
      <c r="F1116" t="inlineStr">
        <is>
          <t>Övriga statliga verk och myndigheter</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66949-2020</t>
        </is>
      </c>
      <c r="B1117" s="1" t="n">
        <v>44180</v>
      </c>
      <c r="C1117" s="1" t="n">
        <v>45661</v>
      </c>
      <c r="D1117" t="inlineStr">
        <is>
          <t>STOCKHOLMS LÄN</t>
        </is>
      </c>
      <c r="E1117" t="inlineStr">
        <is>
          <t>UPPLANDS-BRO</t>
        </is>
      </c>
      <c r="F1117" t="inlineStr">
        <is>
          <t>Övriga statliga verk och myndigheter</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66926-2020</t>
        </is>
      </c>
      <c r="B1118" s="1" t="n">
        <v>44180</v>
      </c>
      <c r="C1118" s="1" t="n">
        <v>45661</v>
      </c>
      <c r="D1118" t="inlineStr">
        <is>
          <t>STOCKHOLMS LÄN</t>
        </is>
      </c>
      <c r="E1118" t="inlineStr">
        <is>
          <t>UPPLANDS-BRO</t>
        </is>
      </c>
      <c r="F1118" t="inlineStr">
        <is>
          <t>Övriga statliga verk och myndigheter</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66960-2020</t>
        </is>
      </c>
      <c r="B1119" s="1" t="n">
        <v>44180</v>
      </c>
      <c r="C1119" s="1" t="n">
        <v>45661</v>
      </c>
      <c r="D1119" t="inlineStr">
        <is>
          <t>STOCKHOLMS LÄN</t>
        </is>
      </c>
      <c r="E1119" t="inlineStr">
        <is>
          <t>UPPLANDS-BRO</t>
        </is>
      </c>
      <c r="F1119" t="inlineStr">
        <is>
          <t>Övriga statliga verk och myndigheter</t>
        </is>
      </c>
      <c r="G1119" t="n">
        <v>15.2</v>
      </c>
      <c r="H1119" t="n">
        <v>0</v>
      </c>
      <c r="I1119" t="n">
        <v>0</v>
      </c>
      <c r="J1119" t="n">
        <v>0</v>
      </c>
      <c r="K1119" t="n">
        <v>0</v>
      </c>
      <c r="L1119" t="n">
        <v>0</v>
      </c>
      <c r="M1119" t="n">
        <v>0</v>
      </c>
      <c r="N1119" t="n">
        <v>0</v>
      </c>
      <c r="O1119" t="n">
        <v>0</v>
      </c>
      <c r="P1119" t="n">
        <v>0</v>
      </c>
      <c r="Q1119" t="n">
        <v>0</v>
      </c>
      <c r="R1119" s="2" t="inlineStr"/>
    </row>
    <row r="1120" ht="15" customHeight="1">
      <c r="A1120" t="inlineStr">
        <is>
          <t>A 67286-2020</t>
        </is>
      </c>
      <c r="B1120" s="1" t="n">
        <v>44181</v>
      </c>
      <c r="C1120" s="1" t="n">
        <v>45661</v>
      </c>
      <c r="D1120" t="inlineStr">
        <is>
          <t>STOCKHOLMS LÄN</t>
        </is>
      </c>
      <c r="E1120" t="inlineStr">
        <is>
          <t>UPPLANDS-BRO</t>
        </is>
      </c>
      <c r="F1120" t="inlineStr">
        <is>
          <t>Övriga statliga verk och myndigheter</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67393-2020</t>
        </is>
      </c>
      <c r="B1121" s="1" t="n">
        <v>44181</v>
      </c>
      <c r="C1121" s="1" t="n">
        <v>45661</v>
      </c>
      <c r="D1121" t="inlineStr">
        <is>
          <t>STOCKHOLMS LÄN</t>
        </is>
      </c>
      <c r="E1121" t="inlineStr">
        <is>
          <t>NORRTÄLJE</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67275-2020</t>
        </is>
      </c>
      <c r="B1122" s="1" t="n">
        <v>44181</v>
      </c>
      <c r="C1122" s="1" t="n">
        <v>45661</v>
      </c>
      <c r="D1122" t="inlineStr">
        <is>
          <t>STOCKHOLMS LÄN</t>
        </is>
      </c>
      <c r="E1122" t="inlineStr">
        <is>
          <t>UPPLANDS-BRO</t>
        </is>
      </c>
      <c r="F1122" t="inlineStr">
        <is>
          <t>Övriga statliga verk och myndigheter</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68081-2020</t>
        </is>
      </c>
      <c r="B1123" s="1" t="n">
        <v>44183</v>
      </c>
      <c r="C1123" s="1" t="n">
        <v>45661</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68268-2020</t>
        </is>
      </c>
      <c r="B1124" s="1" t="n">
        <v>44183</v>
      </c>
      <c r="C1124" s="1" t="n">
        <v>45661</v>
      </c>
      <c r="D1124" t="inlineStr">
        <is>
          <t>STOCKHOLMS LÄN</t>
        </is>
      </c>
      <c r="E1124" t="inlineStr">
        <is>
          <t>NYKVARN</t>
        </is>
      </c>
      <c r="F1124" t="inlineStr">
        <is>
          <t>Allmännings- och besparingsskogar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68721-2020</t>
        </is>
      </c>
      <c r="B1125" s="1" t="n">
        <v>44187</v>
      </c>
      <c r="C1125" s="1" t="n">
        <v>45661</v>
      </c>
      <c r="D1125" t="inlineStr">
        <is>
          <t>STOCKHOLMS LÄN</t>
        </is>
      </c>
      <c r="E1125" t="inlineStr">
        <is>
          <t>SÖDERTÄLJE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68935-2020</t>
        </is>
      </c>
      <c r="B1126" s="1" t="n">
        <v>44187</v>
      </c>
      <c r="C1126" s="1" t="n">
        <v>45661</v>
      </c>
      <c r="D1126" t="inlineStr">
        <is>
          <t>STOCKHOLMS LÄN</t>
        </is>
      </c>
      <c r="E1126" t="inlineStr">
        <is>
          <t>VALLENTUNA</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68938-2020</t>
        </is>
      </c>
      <c r="B1127" s="1" t="n">
        <v>44187</v>
      </c>
      <c r="C1127" s="1" t="n">
        <v>45661</v>
      </c>
      <c r="D1127" t="inlineStr">
        <is>
          <t>STOCKHOLMS LÄN</t>
        </is>
      </c>
      <c r="E1127" t="inlineStr">
        <is>
          <t>VALLENTUNA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69183-2020</t>
        </is>
      </c>
      <c r="B1128" s="1" t="n">
        <v>44190</v>
      </c>
      <c r="C1128" s="1" t="n">
        <v>45661</v>
      </c>
      <c r="D1128" t="inlineStr">
        <is>
          <t>STOCKHOLMS LÄN</t>
        </is>
      </c>
      <c r="E1128" t="inlineStr">
        <is>
          <t>NYNÄSHAMN</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177-2021</t>
        </is>
      </c>
      <c r="B1129" s="1" t="n">
        <v>44200</v>
      </c>
      <c r="C1129" s="1" t="n">
        <v>45661</v>
      </c>
      <c r="D1129" t="inlineStr">
        <is>
          <t>STOCKHOLMS LÄN</t>
        </is>
      </c>
      <c r="E1129" t="inlineStr">
        <is>
          <t>BOTKYRKA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367-2021</t>
        </is>
      </c>
      <c r="B1130" s="1" t="n">
        <v>44201</v>
      </c>
      <c r="C1130" s="1" t="n">
        <v>45661</v>
      </c>
      <c r="D1130" t="inlineStr">
        <is>
          <t>STOCKHOLMS LÄN</t>
        </is>
      </c>
      <c r="E1130" t="inlineStr">
        <is>
          <t>NORRTÄLJE</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348-2021</t>
        </is>
      </c>
      <c r="B1131" s="1" t="n">
        <v>44201</v>
      </c>
      <c r="C1131" s="1" t="n">
        <v>45661</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1418-2021</t>
        </is>
      </c>
      <c r="B1132" s="1" t="n">
        <v>44208</v>
      </c>
      <c r="C1132" s="1" t="n">
        <v>45661</v>
      </c>
      <c r="D1132" t="inlineStr">
        <is>
          <t>STOCKHOLMS LÄN</t>
        </is>
      </c>
      <c r="E1132" t="inlineStr">
        <is>
          <t>HANINGE</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1438-2021</t>
        </is>
      </c>
      <c r="B1133" s="1" t="n">
        <v>44208</v>
      </c>
      <c r="C1133" s="1" t="n">
        <v>45661</v>
      </c>
      <c r="D1133" t="inlineStr">
        <is>
          <t>STOCKHOLMS LÄN</t>
        </is>
      </c>
      <c r="E1133" t="inlineStr">
        <is>
          <t>HANINGE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1420-2021</t>
        </is>
      </c>
      <c r="B1134" s="1" t="n">
        <v>44208</v>
      </c>
      <c r="C1134" s="1" t="n">
        <v>45661</v>
      </c>
      <c r="D1134" t="inlineStr">
        <is>
          <t>STOCKHOLMS LÄN</t>
        </is>
      </c>
      <c r="E1134" t="inlineStr">
        <is>
          <t>HANINGE</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1553-2021</t>
        </is>
      </c>
      <c r="B1135" s="1" t="n">
        <v>44209</v>
      </c>
      <c r="C1135" s="1" t="n">
        <v>45661</v>
      </c>
      <c r="D1135" t="inlineStr">
        <is>
          <t>STOCKHOLMS LÄN</t>
        </is>
      </c>
      <c r="E1135" t="inlineStr">
        <is>
          <t>EKERÖ</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1637-2021</t>
        </is>
      </c>
      <c r="B1136" s="1" t="n">
        <v>44209</v>
      </c>
      <c r="C1136" s="1" t="n">
        <v>45661</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1970-2021</t>
        </is>
      </c>
      <c r="B1137" s="1" t="n">
        <v>44210</v>
      </c>
      <c r="C1137" s="1" t="n">
        <v>45661</v>
      </c>
      <c r="D1137" t="inlineStr">
        <is>
          <t>STOCKHOLMS LÄN</t>
        </is>
      </c>
      <c r="E1137" t="inlineStr">
        <is>
          <t>NORRTÄLJE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2295-2021</t>
        </is>
      </c>
      <c r="B1138" s="1" t="n">
        <v>44212</v>
      </c>
      <c r="C1138" s="1" t="n">
        <v>45661</v>
      </c>
      <c r="D1138" t="inlineStr">
        <is>
          <t>STOCKHOLMS LÄN</t>
        </is>
      </c>
      <c r="E1138" t="inlineStr">
        <is>
          <t>NYNÄSHAMN</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2447-2021</t>
        </is>
      </c>
      <c r="B1139" s="1" t="n">
        <v>44214</v>
      </c>
      <c r="C1139" s="1" t="n">
        <v>45661</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2751-2021</t>
        </is>
      </c>
      <c r="B1140" s="1" t="n">
        <v>44215</v>
      </c>
      <c r="C1140" s="1" t="n">
        <v>45661</v>
      </c>
      <c r="D1140" t="inlineStr">
        <is>
          <t>STOCKHOLMS LÄN</t>
        </is>
      </c>
      <c r="E1140" t="inlineStr">
        <is>
          <t>NYNÄSHAMN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2976-2021</t>
        </is>
      </c>
      <c r="B1141" s="1" t="n">
        <v>44216</v>
      </c>
      <c r="C1141" s="1" t="n">
        <v>45661</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2867-2021</t>
        </is>
      </c>
      <c r="B1142" s="1" t="n">
        <v>44216</v>
      </c>
      <c r="C1142" s="1" t="n">
        <v>45661</v>
      </c>
      <c r="D1142" t="inlineStr">
        <is>
          <t>STOCKHOLMS LÄN</t>
        </is>
      </c>
      <c r="E1142" t="inlineStr">
        <is>
          <t>NYNÄSHAMN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2858-2021</t>
        </is>
      </c>
      <c r="B1143" s="1" t="n">
        <v>44216</v>
      </c>
      <c r="C1143" s="1" t="n">
        <v>45661</v>
      </c>
      <c r="D1143" t="inlineStr">
        <is>
          <t>STOCKHOLMS LÄN</t>
        </is>
      </c>
      <c r="E1143" t="inlineStr">
        <is>
          <t>NYNÄSHAMN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3143-2021</t>
        </is>
      </c>
      <c r="B1144" s="1" t="n">
        <v>44217</v>
      </c>
      <c r="C1144" s="1" t="n">
        <v>45661</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3386-2021</t>
        </is>
      </c>
      <c r="B1145" s="1" t="n">
        <v>44218</v>
      </c>
      <c r="C1145" s="1" t="n">
        <v>45661</v>
      </c>
      <c r="D1145" t="inlineStr">
        <is>
          <t>STOCKHOLMS LÄN</t>
        </is>
      </c>
      <c r="E1145" t="inlineStr">
        <is>
          <t>NORRTÄLJE</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3702-2021</t>
        </is>
      </c>
      <c r="B1146" s="1" t="n">
        <v>44221</v>
      </c>
      <c r="C1146" s="1" t="n">
        <v>45661</v>
      </c>
      <c r="D1146" t="inlineStr">
        <is>
          <t>STOCKHOLMS LÄN</t>
        </is>
      </c>
      <c r="E1146" t="inlineStr">
        <is>
          <t>EKERÖ</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4281-2021</t>
        </is>
      </c>
      <c r="B1147" s="1" t="n">
        <v>44223</v>
      </c>
      <c r="C1147" s="1" t="n">
        <v>45661</v>
      </c>
      <c r="D1147" t="inlineStr">
        <is>
          <t>STOCKHOLMS LÄN</t>
        </is>
      </c>
      <c r="E1147" t="inlineStr">
        <is>
          <t>BOTKYRKA</t>
        </is>
      </c>
      <c r="F1147" t="inlineStr">
        <is>
          <t>Övriga Aktiebolag</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4354-2021</t>
        </is>
      </c>
      <c r="B1148" s="1" t="n">
        <v>44223</v>
      </c>
      <c r="C1148" s="1" t="n">
        <v>45661</v>
      </c>
      <c r="D1148" t="inlineStr">
        <is>
          <t>STOCKHOLMS LÄN</t>
        </is>
      </c>
      <c r="E1148" t="inlineStr">
        <is>
          <t>NYNÄSHAMN</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4634-2021</t>
        </is>
      </c>
      <c r="B1149" s="1" t="n">
        <v>44224</v>
      </c>
      <c r="C1149" s="1" t="n">
        <v>45661</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4632-2021</t>
        </is>
      </c>
      <c r="B1150" s="1" t="n">
        <v>44224</v>
      </c>
      <c r="C1150" s="1" t="n">
        <v>45661</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5037-2021</t>
        </is>
      </c>
      <c r="B1151" s="1" t="n">
        <v>44228</v>
      </c>
      <c r="C1151" s="1" t="n">
        <v>45661</v>
      </c>
      <c r="D1151" t="inlineStr">
        <is>
          <t>STOCKHOLMS LÄN</t>
        </is>
      </c>
      <c r="E1151" t="inlineStr">
        <is>
          <t>NORRTÄLJE</t>
        </is>
      </c>
      <c r="F1151" t="inlineStr">
        <is>
          <t>Holmen skog AB</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5562-2021</t>
        </is>
      </c>
      <c r="B1152" s="1" t="n">
        <v>44230</v>
      </c>
      <c r="C1152" s="1" t="n">
        <v>45661</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5566-2021</t>
        </is>
      </c>
      <c r="B1153" s="1" t="n">
        <v>44230</v>
      </c>
      <c r="C1153" s="1" t="n">
        <v>45661</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5950-2021</t>
        </is>
      </c>
      <c r="B1154" s="1" t="n">
        <v>44231</v>
      </c>
      <c r="C1154" s="1" t="n">
        <v>45661</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6049-2021</t>
        </is>
      </c>
      <c r="B1155" s="1" t="n">
        <v>44231</v>
      </c>
      <c r="C1155" s="1" t="n">
        <v>45661</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6080-2021</t>
        </is>
      </c>
      <c r="B1156" s="1" t="n">
        <v>44232</v>
      </c>
      <c r="C1156" s="1" t="n">
        <v>45661</v>
      </c>
      <c r="D1156" t="inlineStr">
        <is>
          <t>STOCKHOLMS LÄN</t>
        </is>
      </c>
      <c r="E1156" t="inlineStr">
        <is>
          <t>ÖSTERÅKER</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6430-2021</t>
        </is>
      </c>
      <c r="B1157" s="1" t="n">
        <v>44235</v>
      </c>
      <c r="C1157" s="1" t="n">
        <v>45661</v>
      </c>
      <c r="D1157" t="inlineStr">
        <is>
          <t>STOCKHOLMS LÄN</t>
        </is>
      </c>
      <c r="E1157" t="inlineStr">
        <is>
          <t>SIGTUNA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6593-2021</t>
        </is>
      </c>
      <c r="B1158" s="1" t="n">
        <v>44236</v>
      </c>
      <c r="C1158" s="1" t="n">
        <v>45661</v>
      </c>
      <c r="D1158" t="inlineStr">
        <is>
          <t>STOCKHOLMS LÄN</t>
        </is>
      </c>
      <c r="E1158" t="inlineStr">
        <is>
          <t>VALLENTUNA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7683-2021</t>
        </is>
      </c>
      <c r="B1159" s="1" t="n">
        <v>44242</v>
      </c>
      <c r="C1159" s="1" t="n">
        <v>45661</v>
      </c>
      <c r="D1159" t="inlineStr">
        <is>
          <t>STOCKHOLMS LÄN</t>
        </is>
      </c>
      <c r="E1159" t="inlineStr">
        <is>
          <t>NYNÄSHAMN</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7903-2021</t>
        </is>
      </c>
      <c r="B1160" s="1" t="n">
        <v>44243</v>
      </c>
      <c r="C1160" s="1" t="n">
        <v>45661</v>
      </c>
      <c r="D1160" t="inlineStr">
        <is>
          <t>STOCKHOLMS LÄN</t>
        </is>
      </c>
      <c r="E1160" t="inlineStr">
        <is>
          <t>NORRTÄLJE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7999-2021</t>
        </is>
      </c>
      <c r="B1161" s="1" t="n">
        <v>44243</v>
      </c>
      <c r="C1161" s="1" t="n">
        <v>45661</v>
      </c>
      <c r="D1161" t="inlineStr">
        <is>
          <t>STOCKHOLMS LÄN</t>
        </is>
      </c>
      <c r="E1161" t="inlineStr">
        <is>
          <t>NORRTÄLJE</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8338-2021</t>
        </is>
      </c>
      <c r="B1162" s="1" t="n">
        <v>44244</v>
      </c>
      <c r="C1162" s="1" t="n">
        <v>45661</v>
      </c>
      <c r="D1162" t="inlineStr">
        <is>
          <t>STOCKHOLMS LÄN</t>
        </is>
      </c>
      <c r="E1162" t="inlineStr">
        <is>
          <t>NORRTÄLJE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8791-2021</t>
        </is>
      </c>
      <c r="B1163" s="1" t="n">
        <v>44246</v>
      </c>
      <c r="C1163" s="1" t="n">
        <v>45661</v>
      </c>
      <c r="D1163" t="inlineStr">
        <is>
          <t>STOCKHOLMS LÄN</t>
        </is>
      </c>
      <c r="E1163" t="inlineStr">
        <is>
          <t>VALLENTUNA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9024-2021</t>
        </is>
      </c>
      <c r="B1164" s="1" t="n">
        <v>44249</v>
      </c>
      <c r="C1164" s="1" t="n">
        <v>45661</v>
      </c>
      <c r="D1164" t="inlineStr">
        <is>
          <t>STOCKHOLMS LÄN</t>
        </is>
      </c>
      <c r="E1164" t="inlineStr">
        <is>
          <t>VÄRMDÖ</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9467-2021</t>
        </is>
      </c>
      <c r="B1165" s="1" t="n">
        <v>44251</v>
      </c>
      <c r="C1165" s="1" t="n">
        <v>45661</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9469-2021</t>
        </is>
      </c>
      <c r="B1166" s="1" t="n">
        <v>44251</v>
      </c>
      <c r="C1166" s="1" t="n">
        <v>45661</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9446-2021</t>
        </is>
      </c>
      <c r="B1167" s="1" t="n">
        <v>44251</v>
      </c>
      <c r="C1167" s="1" t="n">
        <v>45661</v>
      </c>
      <c r="D1167" t="inlineStr">
        <is>
          <t>STOCKHOLMS LÄN</t>
        </is>
      </c>
      <c r="E1167" t="inlineStr">
        <is>
          <t>NORRTÄLJE</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9719-2021</t>
        </is>
      </c>
      <c r="B1168" s="1" t="n">
        <v>44252</v>
      </c>
      <c r="C1168" s="1" t="n">
        <v>45661</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9703-2021</t>
        </is>
      </c>
      <c r="B1169" s="1" t="n">
        <v>44252</v>
      </c>
      <c r="C1169" s="1" t="n">
        <v>45661</v>
      </c>
      <c r="D1169" t="inlineStr">
        <is>
          <t>STOCKHOLMS LÄN</t>
        </is>
      </c>
      <c r="E1169" t="inlineStr">
        <is>
          <t>NORRTÄLJE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9945-2021</t>
        </is>
      </c>
      <c r="B1170" s="1" t="n">
        <v>44253</v>
      </c>
      <c r="C1170" s="1" t="n">
        <v>45661</v>
      </c>
      <c r="D1170" t="inlineStr">
        <is>
          <t>STOCKHOLMS LÄN</t>
        </is>
      </c>
      <c r="E1170" t="inlineStr">
        <is>
          <t>HUDDINGE</t>
        </is>
      </c>
      <c r="F1170" t="inlineStr">
        <is>
          <t>Kommuner</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9986-2021</t>
        </is>
      </c>
      <c r="B1171" s="1" t="n">
        <v>44254</v>
      </c>
      <c r="C1171" s="1" t="n">
        <v>45661</v>
      </c>
      <c r="D1171" t="inlineStr">
        <is>
          <t>STOCKHOLMS LÄN</t>
        </is>
      </c>
      <c r="E1171" t="inlineStr">
        <is>
          <t>SÖDERTÄLJE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10527-2021</t>
        </is>
      </c>
      <c r="B1172" s="1" t="n">
        <v>44258</v>
      </c>
      <c r="C1172" s="1" t="n">
        <v>45661</v>
      </c>
      <c r="D1172" t="inlineStr">
        <is>
          <t>STOCKHOLMS LÄN</t>
        </is>
      </c>
      <c r="E1172" t="inlineStr">
        <is>
          <t>NYNÄSHAMN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10525-2021</t>
        </is>
      </c>
      <c r="B1173" s="1" t="n">
        <v>44258</v>
      </c>
      <c r="C1173" s="1" t="n">
        <v>45661</v>
      </c>
      <c r="D1173" t="inlineStr">
        <is>
          <t>STOCKHOLMS LÄN</t>
        </is>
      </c>
      <c r="E1173" t="inlineStr">
        <is>
          <t>NYNÄSHAMN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10687-2021</t>
        </is>
      </c>
      <c r="B1174" s="1" t="n">
        <v>44258</v>
      </c>
      <c r="C1174" s="1" t="n">
        <v>45661</v>
      </c>
      <c r="D1174" t="inlineStr">
        <is>
          <t>STOCKHOLMS LÄN</t>
        </is>
      </c>
      <c r="E1174" t="inlineStr">
        <is>
          <t>NORRTÄLJE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10684-2021</t>
        </is>
      </c>
      <c r="B1175" s="1" t="n">
        <v>44258</v>
      </c>
      <c r="C1175" s="1" t="n">
        <v>45661</v>
      </c>
      <c r="D1175" t="inlineStr">
        <is>
          <t>STOCKHOLMS LÄN</t>
        </is>
      </c>
      <c r="E1175" t="inlineStr">
        <is>
          <t>NORRTÄLJE</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10677-2021</t>
        </is>
      </c>
      <c r="B1176" s="1" t="n">
        <v>44258</v>
      </c>
      <c r="C1176" s="1" t="n">
        <v>45661</v>
      </c>
      <c r="D1176" t="inlineStr">
        <is>
          <t>STOCKHOLMS LÄN</t>
        </is>
      </c>
      <c r="E1176" t="inlineStr">
        <is>
          <t>HANINGE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10808-2021</t>
        </is>
      </c>
      <c r="B1177" s="1" t="n">
        <v>44259</v>
      </c>
      <c r="C1177" s="1" t="n">
        <v>45661</v>
      </c>
      <c r="D1177" t="inlineStr">
        <is>
          <t>STOCKHOLMS LÄN</t>
        </is>
      </c>
      <c r="E1177" t="inlineStr">
        <is>
          <t>BOTKYRKA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10817-2021</t>
        </is>
      </c>
      <c r="B1178" s="1" t="n">
        <v>44259</v>
      </c>
      <c r="C1178" s="1" t="n">
        <v>45661</v>
      </c>
      <c r="D1178" t="inlineStr">
        <is>
          <t>STOCKHOLMS LÄN</t>
        </is>
      </c>
      <c r="E1178" t="inlineStr">
        <is>
          <t>BOTKYRKA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10815-2021</t>
        </is>
      </c>
      <c r="B1179" s="1" t="n">
        <v>44259</v>
      </c>
      <c r="C1179" s="1" t="n">
        <v>45661</v>
      </c>
      <c r="D1179" t="inlineStr">
        <is>
          <t>STOCKHOLMS LÄN</t>
        </is>
      </c>
      <c r="E1179" t="inlineStr">
        <is>
          <t>BOTKYRKA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11122-2021</t>
        </is>
      </c>
      <c r="B1180" s="1" t="n">
        <v>44260</v>
      </c>
      <c r="C1180" s="1" t="n">
        <v>45661</v>
      </c>
      <c r="D1180" t="inlineStr">
        <is>
          <t>STOCKHOLMS LÄN</t>
        </is>
      </c>
      <c r="E1180" t="inlineStr">
        <is>
          <t>NORRTÄLJE</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11126-2021</t>
        </is>
      </c>
      <c r="B1181" s="1" t="n">
        <v>44260</v>
      </c>
      <c r="C1181" s="1" t="n">
        <v>45661</v>
      </c>
      <c r="D1181" t="inlineStr">
        <is>
          <t>STOCKHOLMS LÄN</t>
        </is>
      </c>
      <c r="E1181" t="inlineStr">
        <is>
          <t>SÖDERTÄLJE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11197-2021</t>
        </is>
      </c>
      <c r="B1182" s="1" t="n">
        <v>44263</v>
      </c>
      <c r="C1182" s="1" t="n">
        <v>45661</v>
      </c>
      <c r="D1182" t="inlineStr">
        <is>
          <t>STOCKHOLMS LÄN</t>
        </is>
      </c>
      <c r="E1182" t="inlineStr">
        <is>
          <t>SIGTUNA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11361-2021</t>
        </is>
      </c>
      <c r="B1183" s="1" t="n">
        <v>44263</v>
      </c>
      <c r="C1183" s="1" t="n">
        <v>45661</v>
      </c>
      <c r="D1183" t="inlineStr">
        <is>
          <t>STOCKHOLMS LÄN</t>
        </is>
      </c>
      <c r="E1183" t="inlineStr">
        <is>
          <t>SÖDERTÄLJE</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11195-2021</t>
        </is>
      </c>
      <c r="B1184" s="1" t="n">
        <v>44263</v>
      </c>
      <c r="C1184" s="1" t="n">
        <v>45661</v>
      </c>
      <c r="D1184" t="inlineStr">
        <is>
          <t>STOCKHOLMS LÄN</t>
        </is>
      </c>
      <c r="E1184" t="inlineStr">
        <is>
          <t>SIGTUNA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11360-2021</t>
        </is>
      </c>
      <c r="B1185" s="1" t="n">
        <v>44263</v>
      </c>
      <c r="C1185" s="1" t="n">
        <v>45661</v>
      </c>
      <c r="D1185" t="inlineStr">
        <is>
          <t>STOCKHOLMS LÄN</t>
        </is>
      </c>
      <c r="E1185" t="inlineStr">
        <is>
          <t>SÖDERTÄLJE</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11368-2021</t>
        </is>
      </c>
      <c r="B1186" s="1" t="n">
        <v>44263</v>
      </c>
      <c r="C1186" s="1" t="n">
        <v>45661</v>
      </c>
      <c r="D1186" t="inlineStr">
        <is>
          <t>STOCKHOLMS LÄN</t>
        </is>
      </c>
      <c r="E1186" t="inlineStr">
        <is>
          <t>SÖDERTÄLJE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11267-2021</t>
        </is>
      </c>
      <c r="B1187" s="1" t="n">
        <v>44263</v>
      </c>
      <c r="C1187" s="1" t="n">
        <v>45661</v>
      </c>
      <c r="D1187" t="inlineStr">
        <is>
          <t>STOCKHOLMS LÄN</t>
        </is>
      </c>
      <c r="E1187" t="inlineStr">
        <is>
          <t>NACKA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11438-2021</t>
        </is>
      </c>
      <c r="B1188" s="1" t="n">
        <v>44263</v>
      </c>
      <c r="C1188" s="1" t="n">
        <v>45661</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11477-2021</t>
        </is>
      </c>
      <c r="B1189" s="1" t="n">
        <v>44264</v>
      </c>
      <c r="C1189" s="1" t="n">
        <v>45661</v>
      </c>
      <c r="D1189" t="inlineStr">
        <is>
          <t>STOCKHOLMS LÄN</t>
        </is>
      </c>
      <c r="E1189" t="inlineStr">
        <is>
          <t>SIGTUNA</t>
        </is>
      </c>
      <c r="F1189" t="inlineStr">
        <is>
          <t>Sveaskog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11459-2021</t>
        </is>
      </c>
      <c r="B1190" s="1" t="n">
        <v>44264</v>
      </c>
      <c r="C1190" s="1" t="n">
        <v>45661</v>
      </c>
      <c r="D1190" t="inlineStr">
        <is>
          <t>STOCKHOLMS LÄN</t>
        </is>
      </c>
      <c r="E1190" t="inlineStr">
        <is>
          <t>SIGTUNA</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11713-2021</t>
        </is>
      </c>
      <c r="B1191" s="1" t="n">
        <v>44265</v>
      </c>
      <c r="C1191" s="1" t="n">
        <v>45661</v>
      </c>
      <c r="D1191" t="inlineStr">
        <is>
          <t>STOCKHOLMS LÄN</t>
        </is>
      </c>
      <c r="E1191" t="inlineStr">
        <is>
          <t>SIGTUNA</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11718-2021</t>
        </is>
      </c>
      <c r="B1192" s="1" t="n">
        <v>44265</v>
      </c>
      <c r="C1192" s="1" t="n">
        <v>45661</v>
      </c>
      <c r="D1192" t="inlineStr">
        <is>
          <t>STOCKHOLMS LÄN</t>
        </is>
      </c>
      <c r="E1192" t="inlineStr">
        <is>
          <t>SIGTUNA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11841-2021</t>
        </is>
      </c>
      <c r="B1193" s="1" t="n">
        <v>44265</v>
      </c>
      <c r="C1193" s="1" t="n">
        <v>45661</v>
      </c>
      <c r="D1193" t="inlineStr">
        <is>
          <t>STOCKHOLMS LÄN</t>
        </is>
      </c>
      <c r="E1193" t="inlineStr">
        <is>
          <t>NYNÄSHAMN</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11988-2021</t>
        </is>
      </c>
      <c r="B1194" s="1" t="n">
        <v>44266</v>
      </c>
      <c r="C1194" s="1" t="n">
        <v>45661</v>
      </c>
      <c r="D1194" t="inlineStr">
        <is>
          <t>STOCKHOLMS LÄN</t>
        </is>
      </c>
      <c r="E1194" t="inlineStr">
        <is>
          <t>NORRTÄLJE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12031-2021</t>
        </is>
      </c>
      <c r="B1195" s="1" t="n">
        <v>44266</v>
      </c>
      <c r="C1195" s="1" t="n">
        <v>45661</v>
      </c>
      <c r="D1195" t="inlineStr">
        <is>
          <t>STOCKHOLMS LÄN</t>
        </is>
      </c>
      <c r="E1195" t="inlineStr">
        <is>
          <t>NORRTÄLJE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12111-2021</t>
        </is>
      </c>
      <c r="B1196" s="1" t="n">
        <v>44266</v>
      </c>
      <c r="C1196" s="1" t="n">
        <v>45661</v>
      </c>
      <c r="D1196" t="inlineStr">
        <is>
          <t>STOCKHOLMS LÄN</t>
        </is>
      </c>
      <c r="E1196" t="inlineStr">
        <is>
          <t>NORRTÄLJE</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12126-2021</t>
        </is>
      </c>
      <c r="B1197" s="1" t="n">
        <v>44266</v>
      </c>
      <c r="C1197" s="1" t="n">
        <v>45661</v>
      </c>
      <c r="D1197" t="inlineStr">
        <is>
          <t>STOCKHOLMS LÄN</t>
        </is>
      </c>
      <c r="E1197" t="inlineStr">
        <is>
          <t>SÖDERTÄLJE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12132-2021</t>
        </is>
      </c>
      <c r="B1198" s="1" t="n">
        <v>44266</v>
      </c>
      <c r="C1198" s="1" t="n">
        <v>45661</v>
      </c>
      <c r="D1198" t="inlineStr">
        <is>
          <t>STOCKHOLMS LÄN</t>
        </is>
      </c>
      <c r="E1198" t="inlineStr">
        <is>
          <t>NORRTÄLJE</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12564-2021</t>
        </is>
      </c>
      <c r="B1199" s="1" t="n">
        <v>44270</v>
      </c>
      <c r="C1199" s="1" t="n">
        <v>45661</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12779-2021</t>
        </is>
      </c>
      <c r="B1200" s="1" t="n">
        <v>44270</v>
      </c>
      <c r="C1200" s="1" t="n">
        <v>45661</v>
      </c>
      <c r="D1200" t="inlineStr">
        <is>
          <t>STOCKHOLMS LÄN</t>
        </is>
      </c>
      <c r="E1200" t="inlineStr">
        <is>
          <t>NORRTÄLJE</t>
        </is>
      </c>
      <c r="G1200" t="n">
        <v>10.8</v>
      </c>
      <c r="H1200" t="n">
        <v>0</v>
      </c>
      <c r="I1200" t="n">
        <v>0</v>
      </c>
      <c r="J1200" t="n">
        <v>0</v>
      </c>
      <c r="K1200" t="n">
        <v>0</v>
      </c>
      <c r="L1200" t="n">
        <v>0</v>
      </c>
      <c r="M1200" t="n">
        <v>0</v>
      </c>
      <c r="N1200" t="n">
        <v>0</v>
      </c>
      <c r="O1200" t="n">
        <v>0</v>
      </c>
      <c r="P1200" t="n">
        <v>0</v>
      </c>
      <c r="Q1200" t="n">
        <v>0</v>
      </c>
      <c r="R1200" s="2" t="inlineStr"/>
    </row>
    <row r="1201" ht="15" customHeight="1">
      <c r="A1201" t="inlineStr">
        <is>
          <t>A 12782-2021</t>
        </is>
      </c>
      <c r="B1201" s="1" t="n">
        <v>44270</v>
      </c>
      <c r="C1201" s="1" t="n">
        <v>45661</v>
      </c>
      <c r="D1201" t="inlineStr">
        <is>
          <t>STOCKHOLMS LÄN</t>
        </is>
      </c>
      <c r="E1201" t="inlineStr">
        <is>
          <t>NORRTÄLJE</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12874-2021</t>
        </is>
      </c>
      <c r="B1202" s="1" t="n">
        <v>44271</v>
      </c>
      <c r="C1202" s="1" t="n">
        <v>45661</v>
      </c>
      <c r="D1202" t="inlineStr">
        <is>
          <t>STOCKHOLMS LÄN</t>
        </is>
      </c>
      <c r="E1202" t="inlineStr">
        <is>
          <t>SALEM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12901-2021</t>
        </is>
      </c>
      <c r="B1203" s="1" t="n">
        <v>44271</v>
      </c>
      <c r="C1203" s="1" t="n">
        <v>45661</v>
      </c>
      <c r="D1203" t="inlineStr">
        <is>
          <t>STOCKHOLMS LÄN</t>
        </is>
      </c>
      <c r="E1203" t="inlineStr">
        <is>
          <t>SÖDERTÄLJE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13051-2021</t>
        </is>
      </c>
      <c r="B1204" s="1" t="n">
        <v>44272</v>
      </c>
      <c r="C1204" s="1" t="n">
        <v>45661</v>
      </c>
      <c r="D1204" t="inlineStr">
        <is>
          <t>STOCKHOLMS LÄN</t>
        </is>
      </c>
      <c r="E1204" t="inlineStr">
        <is>
          <t>NORRTÄLJE</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13148-2021</t>
        </is>
      </c>
      <c r="B1205" s="1" t="n">
        <v>44272</v>
      </c>
      <c r="C1205" s="1" t="n">
        <v>45661</v>
      </c>
      <c r="D1205" t="inlineStr">
        <is>
          <t>STOCKHOLMS LÄN</t>
        </is>
      </c>
      <c r="E1205" t="inlineStr">
        <is>
          <t>NORRTÄLJE</t>
        </is>
      </c>
      <c r="G1205" t="n">
        <v>12.4</v>
      </c>
      <c r="H1205" t="n">
        <v>0</v>
      </c>
      <c r="I1205" t="n">
        <v>0</v>
      </c>
      <c r="J1205" t="n">
        <v>0</v>
      </c>
      <c r="K1205" t="n">
        <v>0</v>
      </c>
      <c r="L1205" t="n">
        <v>0</v>
      </c>
      <c r="M1205" t="n">
        <v>0</v>
      </c>
      <c r="N1205" t="n">
        <v>0</v>
      </c>
      <c r="O1205" t="n">
        <v>0</v>
      </c>
      <c r="P1205" t="n">
        <v>0</v>
      </c>
      <c r="Q1205" t="n">
        <v>0</v>
      </c>
      <c r="R1205" s="2" t="inlineStr"/>
    </row>
    <row r="1206" ht="15" customHeight="1">
      <c r="A1206" t="inlineStr">
        <is>
          <t>A 13118-2021</t>
        </is>
      </c>
      <c r="B1206" s="1" t="n">
        <v>44272</v>
      </c>
      <c r="C1206" s="1" t="n">
        <v>45661</v>
      </c>
      <c r="D1206" t="inlineStr">
        <is>
          <t>STOCKHOLMS LÄN</t>
        </is>
      </c>
      <c r="E1206" t="inlineStr">
        <is>
          <t>ÖSTERÅKER</t>
        </is>
      </c>
      <c r="F1206" t="inlineStr">
        <is>
          <t>Kyrkan</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13351-2021</t>
        </is>
      </c>
      <c r="B1207" s="1" t="n">
        <v>44273</v>
      </c>
      <c r="C1207" s="1" t="n">
        <v>45661</v>
      </c>
      <c r="D1207" t="inlineStr">
        <is>
          <t>STOCKHOLMS LÄN</t>
        </is>
      </c>
      <c r="E1207" t="inlineStr">
        <is>
          <t>SALEM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13736-2021</t>
        </is>
      </c>
      <c r="B1208" s="1" t="n">
        <v>44274</v>
      </c>
      <c r="C1208" s="1" t="n">
        <v>45661</v>
      </c>
      <c r="D1208" t="inlineStr">
        <is>
          <t>STOCKHOLMS LÄN</t>
        </is>
      </c>
      <c r="E1208" t="inlineStr">
        <is>
          <t>NORRTÄLJE</t>
        </is>
      </c>
      <c r="F1208" t="inlineStr">
        <is>
          <t>Holmen skog AB</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13752-2021</t>
        </is>
      </c>
      <c r="B1209" s="1" t="n">
        <v>44274</v>
      </c>
      <c r="C1209" s="1" t="n">
        <v>45661</v>
      </c>
      <c r="D1209" t="inlineStr">
        <is>
          <t>STOCKHOLMS LÄN</t>
        </is>
      </c>
      <c r="E1209" t="inlineStr">
        <is>
          <t>NORRTÄLJE</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13921-2021</t>
        </is>
      </c>
      <c r="B1210" s="1" t="n">
        <v>44277</v>
      </c>
      <c r="C1210" s="1" t="n">
        <v>45661</v>
      </c>
      <c r="D1210" t="inlineStr">
        <is>
          <t>STOCKHOLMS LÄN</t>
        </is>
      </c>
      <c r="E1210" t="inlineStr">
        <is>
          <t>ÖSTERÅKER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14008-2021</t>
        </is>
      </c>
      <c r="B1211" s="1" t="n">
        <v>44277</v>
      </c>
      <c r="C1211" s="1" t="n">
        <v>45661</v>
      </c>
      <c r="D1211" t="inlineStr">
        <is>
          <t>STOCKHOLMS LÄN</t>
        </is>
      </c>
      <c r="E1211" t="inlineStr">
        <is>
          <t>VÄRMDÖ</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14014-2021</t>
        </is>
      </c>
      <c r="B1212" s="1" t="n">
        <v>44277</v>
      </c>
      <c r="C1212" s="1" t="n">
        <v>45661</v>
      </c>
      <c r="D1212" t="inlineStr">
        <is>
          <t>STOCKHOLMS LÄN</t>
        </is>
      </c>
      <c r="E1212" t="inlineStr">
        <is>
          <t>VÄRMDÖ</t>
        </is>
      </c>
      <c r="F1212" t="inlineStr">
        <is>
          <t>Övriga statliga verk och myndigheter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14006-2021</t>
        </is>
      </c>
      <c r="B1213" s="1" t="n">
        <v>44277</v>
      </c>
      <c r="C1213" s="1" t="n">
        <v>45661</v>
      </c>
      <c r="D1213" t="inlineStr">
        <is>
          <t>STOCKHOLMS LÄN</t>
        </is>
      </c>
      <c r="E1213" t="inlineStr">
        <is>
          <t>VÄRMDÖ</t>
        </is>
      </c>
      <c r="F1213" t="inlineStr">
        <is>
          <t>Övriga statliga verk och myndigheter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14381-2021</t>
        </is>
      </c>
      <c r="B1214" s="1" t="n">
        <v>44279</v>
      </c>
      <c r="C1214" s="1" t="n">
        <v>45661</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14430-2021</t>
        </is>
      </c>
      <c r="B1215" s="1" t="n">
        <v>44279</v>
      </c>
      <c r="C1215" s="1" t="n">
        <v>45661</v>
      </c>
      <c r="D1215" t="inlineStr">
        <is>
          <t>STOCKHOLMS LÄN</t>
        </is>
      </c>
      <c r="E1215" t="inlineStr">
        <is>
          <t>VALLENTUNA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14434-2021</t>
        </is>
      </c>
      <c r="B1216" s="1" t="n">
        <v>44279</v>
      </c>
      <c r="C1216" s="1" t="n">
        <v>45661</v>
      </c>
      <c r="D1216" t="inlineStr">
        <is>
          <t>STOCKHOLMS LÄN</t>
        </is>
      </c>
      <c r="E1216" t="inlineStr">
        <is>
          <t>VALLENTUNA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14447-2021</t>
        </is>
      </c>
      <c r="B1217" s="1" t="n">
        <v>44279</v>
      </c>
      <c r="C1217" s="1" t="n">
        <v>45661</v>
      </c>
      <c r="D1217" t="inlineStr">
        <is>
          <t>STOCKHOLMS LÄN</t>
        </is>
      </c>
      <c r="E1217" t="inlineStr">
        <is>
          <t>VALLENTUNA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14443-2021</t>
        </is>
      </c>
      <c r="B1218" s="1" t="n">
        <v>44279</v>
      </c>
      <c r="C1218" s="1" t="n">
        <v>45661</v>
      </c>
      <c r="D1218" t="inlineStr">
        <is>
          <t>STOCKHOLMS LÄN</t>
        </is>
      </c>
      <c r="E1218" t="inlineStr">
        <is>
          <t>VALLENTUNA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14584-2021</t>
        </is>
      </c>
      <c r="B1219" s="1" t="n">
        <v>44279</v>
      </c>
      <c r="C1219" s="1" t="n">
        <v>45661</v>
      </c>
      <c r="D1219" t="inlineStr">
        <is>
          <t>STOCKHOLMS LÄN</t>
        </is>
      </c>
      <c r="E1219" t="inlineStr">
        <is>
          <t>NYKVARN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14664-2021</t>
        </is>
      </c>
      <c r="B1220" s="1" t="n">
        <v>44280</v>
      </c>
      <c r="C1220" s="1" t="n">
        <v>45661</v>
      </c>
      <c r="D1220" t="inlineStr">
        <is>
          <t>STOCKHOLMS LÄN</t>
        </is>
      </c>
      <c r="E1220" t="inlineStr">
        <is>
          <t>SÖDERTÄLJE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14635-2021</t>
        </is>
      </c>
      <c r="B1221" s="1" t="n">
        <v>44280</v>
      </c>
      <c r="C1221" s="1" t="n">
        <v>45661</v>
      </c>
      <c r="D1221" t="inlineStr">
        <is>
          <t>STOCKHOLMS LÄN</t>
        </is>
      </c>
      <c r="E1221" t="inlineStr">
        <is>
          <t>SÖDERTÄLJE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14894-2021</t>
        </is>
      </c>
      <c r="B1222" s="1" t="n">
        <v>44281</v>
      </c>
      <c r="C1222" s="1" t="n">
        <v>45661</v>
      </c>
      <c r="D1222" t="inlineStr">
        <is>
          <t>STOCKHOLMS LÄN</t>
        </is>
      </c>
      <c r="E1222" t="inlineStr">
        <is>
          <t>UPPLANDS-BRO</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14922-2021</t>
        </is>
      </c>
      <c r="B1223" s="1" t="n">
        <v>44281</v>
      </c>
      <c r="C1223" s="1" t="n">
        <v>45661</v>
      </c>
      <c r="D1223" t="inlineStr">
        <is>
          <t>STOCKHOLMS LÄN</t>
        </is>
      </c>
      <c r="E1223" t="inlineStr">
        <is>
          <t>NORRTÄLJE</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14897-2021</t>
        </is>
      </c>
      <c r="B1224" s="1" t="n">
        <v>44281</v>
      </c>
      <c r="C1224" s="1" t="n">
        <v>45661</v>
      </c>
      <c r="D1224" t="inlineStr">
        <is>
          <t>STOCKHOLMS LÄN</t>
        </is>
      </c>
      <c r="E1224" t="inlineStr">
        <is>
          <t>UPPLANDS-BRO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14933-2021</t>
        </is>
      </c>
      <c r="B1225" s="1" t="n">
        <v>44281</v>
      </c>
      <c r="C1225" s="1" t="n">
        <v>45661</v>
      </c>
      <c r="D1225" t="inlineStr">
        <is>
          <t>STOCKHOLMS LÄN</t>
        </is>
      </c>
      <c r="E1225" t="inlineStr">
        <is>
          <t>NORRTÄLJE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15289-2021</t>
        </is>
      </c>
      <c r="B1226" s="1" t="n">
        <v>44284</v>
      </c>
      <c r="C1226" s="1" t="n">
        <v>45661</v>
      </c>
      <c r="D1226" t="inlineStr">
        <is>
          <t>STOCKHOLMS LÄN</t>
        </is>
      </c>
      <c r="E1226" t="inlineStr">
        <is>
          <t>NORRTÄLJE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15441-2021</t>
        </is>
      </c>
      <c r="B1227" s="1" t="n">
        <v>44284</v>
      </c>
      <c r="C1227" s="1" t="n">
        <v>45661</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15428-2021</t>
        </is>
      </c>
      <c r="B1228" s="1" t="n">
        <v>44285</v>
      </c>
      <c r="C1228" s="1" t="n">
        <v>45661</v>
      </c>
      <c r="D1228" t="inlineStr">
        <is>
          <t>STOCKHOLMS LÄN</t>
        </is>
      </c>
      <c r="E1228" t="inlineStr">
        <is>
          <t>SIGTUNA</t>
        </is>
      </c>
      <c r="F1228" t="inlineStr">
        <is>
          <t>Sveaskog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15560-2021</t>
        </is>
      </c>
      <c r="B1229" s="1" t="n">
        <v>44285</v>
      </c>
      <c r="C1229" s="1" t="n">
        <v>45661</v>
      </c>
      <c r="D1229" t="inlineStr">
        <is>
          <t>STOCKHOLMS LÄN</t>
        </is>
      </c>
      <c r="E1229" t="inlineStr">
        <is>
          <t>NYNÄSHAMN</t>
        </is>
      </c>
      <c r="F1229" t="inlineStr">
        <is>
          <t>Kommuner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15609-2021</t>
        </is>
      </c>
      <c r="B1230" s="1" t="n">
        <v>44285</v>
      </c>
      <c r="C1230" s="1" t="n">
        <v>45661</v>
      </c>
      <c r="D1230" t="inlineStr">
        <is>
          <t>STOCKHOLMS LÄN</t>
        </is>
      </c>
      <c r="E1230" t="inlineStr">
        <is>
          <t>NYNÄSHAMN</t>
        </is>
      </c>
      <c r="F1230" t="inlineStr">
        <is>
          <t>Kommuner</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15552-2021</t>
        </is>
      </c>
      <c r="B1231" s="1" t="n">
        <v>44285</v>
      </c>
      <c r="C1231" s="1" t="n">
        <v>45661</v>
      </c>
      <c r="D1231" t="inlineStr">
        <is>
          <t>STOCKHOLMS LÄN</t>
        </is>
      </c>
      <c r="E1231" t="inlineStr">
        <is>
          <t>NORRTÄLJE</t>
        </is>
      </c>
      <c r="G1231" t="n">
        <v>10</v>
      </c>
      <c r="H1231" t="n">
        <v>0</v>
      </c>
      <c r="I1231" t="n">
        <v>0</v>
      </c>
      <c r="J1231" t="n">
        <v>0</v>
      </c>
      <c r="K1231" t="n">
        <v>0</v>
      </c>
      <c r="L1231" t="n">
        <v>0</v>
      </c>
      <c r="M1231" t="n">
        <v>0</v>
      </c>
      <c r="N1231" t="n">
        <v>0</v>
      </c>
      <c r="O1231" t="n">
        <v>0</v>
      </c>
      <c r="P1231" t="n">
        <v>0</v>
      </c>
      <c r="Q1231" t="n">
        <v>0</v>
      </c>
      <c r="R1231" s="2" t="inlineStr"/>
    </row>
    <row r="1232" ht="15" customHeight="1">
      <c r="A1232" t="inlineStr">
        <is>
          <t>A 15926-2021</t>
        </is>
      </c>
      <c r="B1232" s="1" t="n">
        <v>44287</v>
      </c>
      <c r="C1232" s="1" t="n">
        <v>45661</v>
      </c>
      <c r="D1232" t="inlineStr">
        <is>
          <t>STOCKHOLMS LÄN</t>
        </is>
      </c>
      <c r="E1232" t="inlineStr">
        <is>
          <t>VÄRMDÖ</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16086-2021</t>
        </is>
      </c>
      <c r="B1233" s="1" t="n">
        <v>44288</v>
      </c>
      <c r="C1233" s="1" t="n">
        <v>45661</v>
      </c>
      <c r="D1233" t="inlineStr">
        <is>
          <t>STOCKHOLMS LÄN</t>
        </is>
      </c>
      <c r="E1233" t="inlineStr">
        <is>
          <t>VÄRMDÖ</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16090-2021</t>
        </is>
      </c>
      <c r="B1234" s="1" t="n">
        <v>44288</v>
      </c>
      <c r="C1234" s="1" t="n">
        <v>45661</v>
      </c>
      <c r="D1234" t="inlineStr">
        <is>
          <t>STOCKHOLMS LÄN</t>
        </is>
      </c>
      <c r="E1234" t="inlineStr">
        <is>
          <t>VÄRMDÖ</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16087-2021</t>
        </is>
      </c>
      <c r="B1235" s="1" t="n">
        <v>44288</v>
      </c>
      <c r="C1235" s="1" t="n">
        <v>45661</v>
      </c>
      <c r="D1235" t="inlineStr">
        <is>
          <t>STOCKHOLMS LÄN</t>
        </is>
      </c>
      <c r="E1235" t="inlineStr">
        <is>
          <t>VÄRMDÖ</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16085-2021</t>
        </is>
      </c>
      <c r="B1236" s="1" t="n">
        <v>44288</v>
      </c>
      <c r="C1236" s="1" t="n">
        <v>45661</v>
      </c>
      <c r="D1236" t="inlineStr">
        <is>
          <t>STOCKHOLMS LÄN</t>
        </is>
      </c>
      <c r="E1236" t="inlineStr">
        <is>
          <t>VÄRMDÖ</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16091-2021</t>
        </is>
      </c>
      <c r="B1237" s="1" t="n">
        <v>44288</v>
      </c>
      <c r="C1237" s="1" t="n">
        <v>45661</v>
      </c>
      <c r="D1237" t="inlineStr">
        <is>
          <t>STOCKHOLMS LÄN</t>
        </is>
      </c>
      <c r="E1237" t="inlineStr">
        <is>
          <t>VÄRMDÖ</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16668-2021</t>
        </is>
      </c>
      <c r="B1238" s="1" t="n">
        <v>44294</v>
      </c>
      <c r="C1238" s="1" t="n">
        <v>45661</v>
      </c>
      <c r="D1238" t="inlineStr">
        <is>
          <t>STOCKHOLMS LÄN</t>
        </is>
      </c>
      <c r="E1238" t="inlineStr">
        <is>
          <t>NORRTÄLJE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17460-2021</t>
        </is>
      </c>
      <c r="B1239" s="1" t="n">
        <v>44299</v>
      </c>
      <c r="C1239" s="1" t="n">
        <v>45661</v>
      </c>
      <c r="D1239" t="inlineStr">
        <is>
          <t>STOCKHOLMS LÄN</t>
        </is>
      </c>
      <c r="E1239" t="inlineStr">
        <is>
          <t>NORRTÄLJE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17703-2021</t>
        </is>
      </c>
      <c r="B1240" s="1" t="n">
        <v>44300</v>
      </c>
      <c r="C1240" s="1" t="n">
        <v>45661</v>
      </c>
      <c r="D1240" t="inlineStr">
        <is>
          <t>STOCKHOLMS LÄN</t>
        </is>
      </c>
      <c r="E1240" t="inlineStr">
        <is>
          <t>NORRTÄLJE</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17835-2021</t>
        </is>
      </c>
      <c r="B1241" s="1" t="n">
        <v>44300</v>
      </c>
      <c r="C1241" s="1" t="n">
        <v>45661</v>
      </c>
      <c r="D1241" t="inlineStr">
        <is>
          <t>STOCKHOLMS LÄN</t>
        </is>
      </c>
      <c r="E1241" t="inlineStr">
        <is>
          <t>NYNÄSHAMN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17825-2021</t>
        </is>
      </c>
      <c r="B1242" s="1" t="n">
        <v>44300</v>
      </c>
      <c r="C1242" s="1" t="n">
        <v>45661</v>
      </c>
      <c r="D1242" t="inlineStr">
        <is>
          <t>STOCKHOLMS LÄN</t>
        </is>
      </c>
      <c r="E1242" t="inlineStr">
        <is>
          <t>HANINGE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18172-2021</t>
        </is>
      </c>
      <c r="B1243" s="1" t="n">
        <v>44302</v>
      </c>
      <c r="C1243" s="1" t="n">
        <v>45661</v>
      </c>
      <c r="D1243" t="inlineStr">
        <is>
          <t>STOCKHOLMS LÄN</t>
        </is>
      </c>
      <c r="E1243" t="inlineStr">
        <is>
          <t>ÖSTERÅKER</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18580-2021</t>
        </is>
      </c>
      <c r="B1244" s="1" t="n">
        <v>44306</v>
      </c>
      <c r="C1244" s="1" t="n">
        <v>45661</v>
      </c>
      <c r="D1244" t="inlineStr">
        <is>
          <t>STOCKHOLMS LÄN</t>
        </is>
      </c>
      <c r="E1244" t="inlineStr">
        <is>
          <t>NORRTÄLJE</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18609-2021</t>
        </is>
      </c>
      <c r="B1245" s="1" t="n">
        <v>44306</v>
      </c>
      <c r="C1245" s="1" t="n">
        <v>45661</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18539-2021</t>
        </is>
      </c>
      <c r="B1246" s="1" t="n">
        <v>44306</v>
      </c>
      <c r="C1246" s="1" t="n">
        <v>45661</v>
      </c>
      <c r="D1246" t="inlineStr">
        <is>
          <t>STOCKHOLMS LÄN</t>
        </is>
      </c>
      <c r="E1246" t="inlineStr">
        <is>
          <t>NORRTÄLJE</t>
        </is>
      </c>
      <c r="F1246" t="inlineStr">
        <is>
          <t>Holmen skog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18570-2021</t>
        </is>
      </c>
      <c r="B1247" s="1" t="n">
        <v>44306</v>
      </c>
      <c r="C1247" s="1" t="n">
        <v>45661</v>
      </c>
      <c r="D1247" t="inlineStr">
        <is>
          <t>STOCKHOLMS LÄN</t>
        </is>
      </c>
      <c r="E1247" t="inlineStr">
        <is>
          <t>NORRTÄLJE</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18760-2021</t>
        </is>
      </c>
      <c r="B1248" s="1" t="n">
        <v>44307</v>
      </c>
      <c r="C1248" s="1" t="n">
        <v>45661</v>
      </c>
      <c r="D1248" t="inlineStr">
        <is>
          <t>STOCKHOLMS LÄN</t>
        </is>
      </c>
      <c r="E1248" t="inlineStr">
        <is>
          <t>UPPLANDS-BRO</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19283-2021</t>
        </is>
      </c>
      <c r="B1249" s="1" t="n">
        <v>44309</v>
      </c>
      <c r="C1249" s="1" t="n">
        <v>45661</v>
      </c>
      <c r="D1249" t="inlineStr">
        <is>
          <t>STOCKHOLMS LÄN</t>
        </is>
      </c>
      <c r="E1249" t="inlineStr">
        <is>
          <t>NORRTÄLJE</t>
        </is>
      </c>
      <c r="F1249" t="inlineStr">
        <is>
          <t>Holmen skog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19400-2021</t>
        </is>
      </c>
      <c r="B1250" s="1" t="n">
        <v>44309</v>
      </c>
      <c r="C1250" s="1" t="n">
        <v>45661</v>
      </c>
      <c r="D1250" t="inlineStr">
        <is>
          <t>STOCKHOLMS LÄN</t>
        </is>
      </c>
      <c r="E1250" t="inlineStr">
        <is>
          <t>NORRTÄLJE</t>
        </is>
      </c>
      <c r="F1250" t="inlineStr">
        <is>
          <t>Kommuner</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19307-2021</t>
        </is>
      </c>
      <c r="B1251" s="1" t="n">
        <v>44309</v>
      </c>
      <c r="C1251" s="1" t="n">
        <v>45661</v>
      </c>
      <c r="D1251" t="inlineStr">
        <is>
          <t>STOCKHOLMS LÄN</t>
        </is>
      </c>
      <c r="E1251" t="inlineStr">
        <is>
          <t>NORRTÄLJE</t>
        </is>
      </c>
      <c r="F1251" t="inlineStr">
        <is>
          <t>Holmen skog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19398-2021</t>
        </is>
      </c>
      <c r="B1252" s="1" t="n">
        <v>44309</v>
      </c>
      <c r="C1252" s="1" t="n">
        <v>45661</v>
      </c>
      <c r="D1252" t="inlineStr">
        <is>
          <t>STOCKHOLMS LÄN</t>
        </is>
      </c>
      <c r="E1252" t="inlineStr">
        <is>
          <t>NORRTÄLJE</t>
        </is>
      </c>
      <c r="F1252" t="inlineStr">
        <is>
          <t>Kommuner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20073-2021</t>
        </is>
      </c>
      <c r="B1253" s="1" t="n">
        <v>44314</v>
      </c>
      <c r="C1253" s="1" t="n">
        <v>45661</v>
      </c>
      <c r="D1253" t="inlineStr">
        <is>
          <t>STOCKHOLMS LÄN</t>
        </is>
      </c>
      <c r="E1253" t="inlineStr">
        <is>
          <t>NORRTÄLJE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20210-2021</t>
        </is>
      </c>
      <c r="B1254" s="1" t="n">
        <v>44314</v>
      </c>
      <c r="C1254" s="1" t="n">
        <v>45661</v>
      </c>
      <c r="D1254" t="inlineStr">
        <is>
          <t>STOCKHOLMS LÄN</t>
        </is>
      </c>
      <c r="E1254" t="inlineStr">
        <is>
          <t>BOTKYRKA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20612-2021</t>
        </is>
      </c>
      <c r="B1255" s="1" t="n">
        <v>44315</v>
      </c>
      <c r="C1255" s="1" t="n">
        <v>45661</v>
      </c>
      <c r="D1255" t="inlineStr">
        <is>
          <t>STOCKHOLMS LÄN</t>
        </is>
      </c>
      <c r="E1255" t="inlineStr">
        <is>
          <t>VALLENTUNA</t>
        </is>
      </c>
      <c r="F1255" t="inlineStr">
        <is>
          <t>Övriga Aktiebolag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20473-2021</t>
        </is>
      </c>
      <c r="B1256" s="1" t="n">
        <v>44315</v>
      </c>
      <c r="C1256" s="1" t="n">
        <v>45661</v>
      </c>
      <c r="D1256" t="inlineStr">
        <is>
          <t>STOCKHOLMS LÄN</t>
        </is>
      </c>
      <c r="E1256" t="inlineStr">
        <is>
          <t>NORRTÄLJE</t>
        </is>
      </c>
      <c r="F1256" t="inlineStr">
        <is>
          <t>Övriga Aktiebolag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20711-2021</t>
        </is>
      </c>
      <c r="B1257" s="1" t="n">
        <v>44316</v>
      </c>
      <c r="C1257" s="1" t="n">
        <v>45661</v>
      </c>
      <c r="D1257" t="inlineStr">
        <is>
          <t>STOCKHOLMS LÄN</t>
        </is>
      </c>
      <c r="E1257" t="inlineStr">
        <is>
          <t>NYKVARN</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21291-2021</t>
        </is>
      </c>
      <c r="B1258" s="1" t="n">
        <v>44319</v>
      </c>
      <c r="C1258" s="1" t="n">
        <v>45661</v>
      </c>
      <c r="D1258" t="inlineStr">
        <is>
          <t>STOCKHOLMS LÄN</t>
        </is>
      </c>
      <c r="E1258" t="inlineStr">
        <is>
          <t>NORRTÄLJE</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21529-2021</t>
        </is>
      </c>
      <c r="B1259" s="1" t="n">
        <v>44321</v>
      </c>
      <c r="C1259" s="1" t="n">
        <v>45661</v>
      </c>
      <c r="D1259" t="inlineStr">
        <is>
          <t>STOCKHOLMS LÄN</t>
        </is>
      </c>
      <c r="E1259" t="inlineStr">
        <is>
          <t>NORRTÄLJE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21560-2021</t>
        </is>
      </c>
      <c r="B1260" s="1" t="n">
        <v>44321</v>
      </c>
      <c r="C1260" s="1" t="n">
        <v>45661</v>
      </c>
      <c r="D1260" t="inlineStr">
        <is>
          <t>STOCKHOLMS LÄN</t>
        </is>
      </c>
      <c r="E1260" t="inlineStr">
        <is>
          <t>UPPLANDS-BRO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21612-2021</t>
        </is>
      </c>
      <c r="B1261" s="1" t="n">
        <v>44321</v>
      </c>
      <c r="C1261" s="1" t="n">
        <v>45661</v>
      </c>
      <c r="D1261" t="inlineStr">
        <is>
          <t>STOCKHOLMS LÄN</t>
        </is>
      </c>
      <c r="E1261" t="inlineStr">
        <is>
          <t>VALLENTUNA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21913-2021</t>
        </is>
      </c>
      <c r="B1262" s="1" t="n">
        <v>44322</v>
      </c>
      <c r="C1262" s="1" t="n">
        <v>45661</v>
      </c>
      <c r="D1262" t="inlineStr">
        <is>
          <t>STOCKHOLMS LÄN</t>
        </is>
      </c>
      <c r="E1262" t="inlineStr">
        <is>
          <t>NYKVARN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22479-2021</t>
        </is>
      </c>
      <c r="B1263" s="1" t="n">
        <v>44322</v>
      </c>
      <c r="C1263" s="1" t="n">
        <v>45661</v>
      </c>
      <c r="D1263" t="inlineStr">
        <is>
          <t>STOCKHOLMS LÄN</t>
        </is>
      </c>
      <c r="E1263" t="inlineStr">
        <is>
          <t>VÄRMDÖ</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22060-2021</t>
        </is>
      </c>
      <c r="B1264" s="1" t="n">
        <v>44323</v>
      </c>
      <c r="C1264" s="1" t="n">
        <v>45661</v>
      </c>
      <c r="D1264" t="inlineStr">
        <is>
          <t>STOCKHOLMS LÄN</t>
        </is>
      </c>
      <c r="E1264" t="inlineStr">
        <is>
          <t>VALLENTUNA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22071-2021</t>
        </is>
      </c>
      <c r="B1265" s="1" t="n">
        <v>44323</v>
      </c>
      <c r="C1265" s="1" t="n">
        <v>45661</v>
      </c>
      <c r="D1265" t="inlineStr">
        <is>
          <t>STOCKHOLMS LÄN</t>
        </is>
      </c>
      <c r="E1265" t="inlineStr">
        <is>
          <t>VALLENTUNA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22832-2021</t>
        </is>
      </c>
      <c r="B1266" s="1" t="n">
        <v>44325</v>
      </c>
      <c r="C1266" s="1" t="n">
        <v>45661</v>
      </c>
      <c r="D1266" t="inlineStr">
        <is>
          <t>STOCKHOLMS LÄN</t>
        </is>
      </c>
      <c r="E1266" t="inlineStr">
        <is>
          <t>NORRTÄLJE</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22816-2021</t>
        </is>
      </c>
      <c r="B1267" s="1" t="n">
        <v>44325</v>
      </c>
      <c r="C1267" s="1" t="n">
        <v>45661</v>
      </c>
      <c r="D1267" t="inlineStr">
        <is>
          <t>STOCKHOLMS LÄN</t>
        </is>
      </c>
      <c r="E1267" t="inlineStr">
        <is>
          <t>NORRTÄLJE</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22369-2021</t>
        </is>
      </c>
      <c r="B1268" s="1" t="n">
        <v>44326</v>
      </c>
      <c r="C1268" s="1" t="n">
        <v>45661</v>
      </c>
      <c r="D1268" t="inlineStr">
        <is>
          <t>STOCKHOLMS LÄN</t>
        </is>
      </c>
      <c r="E1268" t="inlineStr">
        <is>
          <t>NORRTÄLJE</t>
        </is>
      </c>
      <c r="F1268" t="inlineStr">
        <is>
          <t>Holmen skog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22421-2021</t>
        </is>
      </c>
      <c r="B1269" s="1" t="n">
        <v>44326</v>
      </c>
      <c r="C1269" s="1" t="n">
        <v>45661</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22412-2021</t>
        </is>
      </c>
      <c r="B1270" s="1" t="n">
        <v>44326</v>
      </c>
      <c r="C1270" s="1" t="n">
        <v>45661</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22708-2021</t>
        </is>
      </c>
      <c r="B1271" s="1" t="n">
        <v>44327</v>
      </c>
      <c r="C1271" s="1" t="n">
        <v>45661</v>
      </c>
      <c r="D1271" t="inlineStr">
        <is>
          <t>STOCKHOLMS LÄN</t>
        </is>
      </c>
      <c r="E1271" t="inlineStr">
        <is>
          <t>VÄRMDÖ</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23123-2021</t>
        </is>
      </c>
      <c r="B1272" s="1" t="n">
        <v>44330</v>
      </c>
      <c r="C1272" s="1" t="n">
        <v>45661</v>
      </c>
      <c r="D1272" t="inlineStr">
        <is>
          <t>STOCKHOLMS LÄN</t>
        </is>
      </c>
      <c r="E1272" t="inlineStr">
        <is>
          <t>NORRTÄLJE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23096-2021</t>
        </is>
      </c>
      <c r="B1273" s="1" t="n">
        <v>44330</v>
      </c>
      <c r="C1273" s="1" t="n">
        <v>45661</v>
      </c>
      <c r="D1273" t="inlineStr">
        <is>
          <t>STOCKHOLMS LÄN</t>
        </is>
      </c>
      <c r="E1273" t="inlineStr">
        <is>
          <t>NORRTÄLJE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23122-2021</t>
        </is>
      </c>
      <c r="B1274" s="1" t="n">
        <v>44330</v>
      </c>
      <c r="C1274" s="1" t="n">
        <v>45661</v>
      </c>
      <c r="D1274" t="inlineStr">
        <is>
          <t>STOCKHOLMS LÄN</t>
        </is>
      </c>
      <c r="E1274" t="inlineStr">
        <is>
          <t>NORRTÄLJE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23152-2021</t>
        </is>
      </c>
      <c r="B1275" s="1" t="n">
        <v>44332</v>
      </c>
      <c r="C1275" s="1" t="n">
        <v>45661</v>
      </c>
      <c r="D1275" t="inlineStr">
        <is>
          <t>STOCKHOLMS LÄN</t>
        </is>
      </c>
      <c r="E1275" t="inlineStr">
        <is>
          <t>NYKVARN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23339-2021</t>
        </is>
      </c>
      <c r="B1276" s="1" t="n">
        <v>44333</v>
      </c>
      <c r="C1276" s="1" t="n">
        <v>45661</v>
      </c>
      <c r="D1276" t="inlineStr">
        <is>
          <t>STOCKHOLMS LÄN</t>
        </is>
      </c>
      <c r="E1276" t="inlineStr">
        <is>
          <t>NYNÄSHAMN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23453-2021</t>
        </is>
      </c>
      <c r="B1277" s="1" t="n">
        <v>44333</v>
      </c>
      <c r="C1277" s="1" t="n">
        <v>45661</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24082-2021</t>
        </is>
      </c>
      <c r="B1278" s="1" t="n">
        <v>44336</v>
      </c>
      <c r="C1278" s="1" t="n">
        <v>45661</v>
      </c>
      <c r="D1278" t="inlineStr">
        <is>
          <t>STOCKHOLMS LÄN</t>
        </is>
      </c>
      <c r="E1278" t="inlineStr">
        <is>
          <t>NORRTÄLJE</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24221-2021</t>
        </is>
      </c>
      <c r="B1279" s="1" t="n">
        <v>44336</v>
      </c>
      <c r="C1279" s="1" t="n">
        <v>45661</v>
      </c>
      <c r="D1279" t="inlineStr">
        <is>
          <t>STOCKHOLMS LÄN</t>
        </is>
      </c>
      <c r="E1279" t="inlineStr">
        <is>
          <t>UPPLANDS VÄSBY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24308-2021</t>
        </is>
      </c>
      <c r="B1280" s="1" t="n">
        <v>44336</v>
      </c>
      <c r="C1280" s="1" t="n">
        <v>45661</v>
      </c>
      <c r="D1280" t="inlineStr">
        <is>
          <t>STOCKHOLMS LÄN</t>
        </is>
      </c>
      <c r="E1280" t="inlineStr">
        <is>
          <t>UPPLANDS-BRO</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24805-2021</t>
        </is>
      </c>
      <c r="B1281" s="1" t="n">
        <v>44340</v>
      </c>
      <c r="C1281" s="1" t="n">
        <v>45661</v>
      </c>
      <c r="D1281" t="inlineStr">
        <is>
          <t>STOCKHOLMS LÄN</t>
        </is>
      </c>
      <c r="E1281" t="inlineStr">
        <is>
          <t>NYNÄSHAMN</t>
        </is>
      </c>
      <c r="F1281" t="inlineStr">
        <is>
          <t>Kommuner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24994-2021</t>
        </is>
      </c>
      <c r="B1282" s="1" t="n">
        <v>44341</v>
      </c>
      <c r="C1282" s="1" t="n">
        <v>45661</v>
      </c>
      <c r="D1282" t="inlineStr">
        <is>
          <t>STOCKHOLMS LÄN</t>
        </is>
      </c>
      <c r="E1282" t="inlineStr">
        <is>
          <t>VALLENTUNA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25334-2021</t>
        </is>
      </c>
      <c r="B1283" s="1" t="n">
        <v>44342</v>
      </c>
      <c r="C1283" s="1" t="n">
        <v>45661</v>
      </c>
      <c r="D1283" t="inlineStr">
        <is>
          <t>STOCKHOLMS LÄN</t>
        </is>
      </c>
      <c r="E1283" t="inlineStr">
        <is>
          <t>NYNÄSHAMN</t>
        </is>
      </c>
      <c r="F1283" t="inlineStr">
        <is>
          <t>Kommuner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25463-2021</t>
        </is>
      </c>
      <c r="B1284" s="1" t="n">
        <v>44342</v>
      </c>
      <c r="C1284" s="1" t="n">
        <v>45661</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25871-2021</t>
        </is>
      </c>
      <c r="B1285" s="1" t="n">
        <v>44344</v>
      </c>
      <c r="C1285" s="1" t="n">
        <v>45661</v>
      </c>
      <c r="D1285" t="inlineStr">
        <is>
          <t>STOCKHOLMS LÄN</t>
        </is>
      </c>
      <c r="E1285" t="inlineStr">
        <is>
          <t>SÖDERTÄLJE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25873-2021</t>
        </is>
      </c>
      <c r="B1286" s="1" t="n">
        <v>44344</v>
      </c>
      <c r="C1286" s="1" t="n">
        <v>45661</v>
      </c>
      <c r="D1286" t="inlineStr">
        <is>
          <t>STOCKHOLMS LÄN</t>
        </is>
      </c>
      <c r="E1286" t="inlineStr">
        <is>
          <t>SÖDERTÄLJE</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26757-2021</t>
        </is>
      </c>
      <c r="B1287" s="1" t="n">
        <v>44349</v>
      </c>
      <c r="C1287" s="1" t="n">
        <v>45661</v>
      </c>
      <c r="D1287" t="inlineStr">
        <is>
          <t>STOCKHOLMS LÄN</t>
        </is>
      </c>
      <c r="E1287" t="inlineStr">
        <is>
          <t>NYNÄSHAMN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26750-2021</t>
        </is>
      </c>
      <c r="B1288" s="1" t="n">
        <v>44349</v>
      </c>
      <c r="C1288" s="1" t="n">
        <v>45661</v>
      </c>
      <c r="D1288" t="inlineStr">
        <is>
          <t>STOCKHOLMS LÄN</t>
        </is>
      </c>
      <c r="E1288" t="inlineStr">
        <is>
          <t>NYNÄSHAMN</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26767-2021</t>
        </is>
      </c>
      <c r="B1289" s="1" t="n">
        <v>44349</v>
      </c>
      <c r="C1289" s="1" t="n">
        <v>45661</v>
      </c>
      <c r="D1289" t="inlineStr">
        <is>
          <t>STOCKHOLMS LÄN</t>
        </is>
      </c>
      <c r="E1289" t="inlineStr">
        <is>
          <t>NYNÄSHAMN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27217-2021</t>
        </is>
      </c>
      <c r="B1290" s="1" t="n">
        <v>44350</v>
      </c>
      <c r="C1290" s="1" t="n">
        <v>45661</v>
      </c>
      <c r="D1290" t="inlineStr">
        <is>
          <t>STOCKHOLMS LÄN</t>
        </is>
      </c>
      <c r="E1290" t="inlineStr">
        <is>
          <t>NORRTÄLJE</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27214-2021</t>
        </is>
      </c>
      <c r="B1291" s="1" t="n">
        <v>44350</v>
      </c>
      <c r="C1291" s="1" t="n">
        <v>45661</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27706-2021</t>
        </is>
      </c>
      <c r="B1292" s="1" t="n">
        <v>44354</v>
      </c>
      <c r="C1292" s="1" t="n">
        <v>45661</v>
      </c>
      <c r="D1292" t="inlineStr">
        <is>
          <t>STOCKHOLMS LÄN</t>
        </is>
      </c>
      <c r="E1292" t="inlineStr">
        <is>
          <t>SÖDERTÄLJE</t>
        </is>
      </c>
      <c r="F1292" t="inlineStr">
        <is>
          <t>Sveaskog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27715-2021</t>
        </is>
      </c>
      <c r="B1293" s="1" t="n">
        <v>44354</v>
      </c>
      <c r="C1293" s="1" t="n">
        <v>45661</v>
      </c>
      <c r="D1293" t="inlineStr">
        <is>
          <t>STOCKHOLMS LÄN</t>
        </is>
      </c>
      <c r="E1293" t="inlineStr">
        <is>
          <t>SÖDERTÄLJE</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27747-2021</t>
        </is>
      </c>
      <c r="B1294" s="1" t="n">
        <v>44354</v>
      </c>
      <c r="C1294" s="1" t="n">
        <v>45661</v>
      </c>
      <c r="D1294" t="inlineStr">
        <is>
          <t>STOCKHOLMS LÄN</t>
        </is>
      </c>
      <c r="E1294" t="inlineStr">
        <is>
          <t>SÖDERTÄLJE</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27739-2021</t>
        </is>
      </c>
      <c r="B1295" s="1" t="n">
        <v>44354</v>
      </c>
      <c r="C1295" s="1" t="n">
        <v>45661</v>
      </c>
      <c r="D1295" t="inlineStr">
        <is>
          <t>STOCKHOLMS LÄN</t>
        </is>
      </c>
      <c r="E1295" t="inlineStr">
        <is>
          <t>SÖDERTÄLJE</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27750-2021</t>
        </is>
      </c>
      <c r="B1296" s="1" t="n">
        <v>44354</v>
      </c>
      <c r="C1296" s="1" t="n">
        <v>45661</v>
      </c>
      <c r="D1296" t="inlineStr">
        <is>
          <t>STOCKHOLMS LÄN</t>
        </is>
      </c>
      <c r="E1296" t="inlineStr">
        <is>
          <t>SÖDERTÄLJE</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27769-2021</t>
        </is>
      </c>
      <c r="B1297" s="1" t="n">
        <v>44354</v>
      </c>
      <c r="C1297" s="1" t="n">
        <v>45661</v>
      </c>
      <c r="D1297" t="inlineStr">
        <is>
          <t>STOCKHOLMS LÄN</t>
        </is>
      </c>
      <c r="E1297" t="inlineStr">
        <is>
          <t>SÖDERTÄLJE</t>
        </is>
      </c>
      <c r="F1297" t="inlineStr">
        <is>
          <t>Sveaskog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27740-2021</t>
        </is>
      </c>
      <c r="B1298" s="1" t="n">
        <v>44354</v>
      </c>
      <c r="C1298" s="1" t="n">
        <v>45661</v>
      </c>
      <c r="D1298" t="inlineStr">
        <is>
          <t>STOCKHOLMS LÄN</t>
        </is>
      </c>
      <c r="E1298" t="inlineStr">
        <is>
          <t>SÖDERTÄLJE</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27753-2021</t>
        </is>
      </c>
      <c r="B1299" s="1" t="n">
        <v>44354</v>
      </c>
      <c r="C1299" s="1" t="n">
        <v>45661</v>
      </c>
      <c r="D1299" t="inlineStr">
        <is>
          <t>STOCKHOLMS LÄN</t>
        </is>
      </c>
      <c r="E1299" t="inlineStr">
        <is>
          <t>SÖDERTÄLJE</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27771-2021</t>
        </is>
      </c>
      <c r="B1300" s="1" t="n">
        <v>44354</v>
      </c>
      <c r="C1300" s="1" t="n">
        <v>45661</v>
      </c>
      <c r="D1300" t="inlineStr">
        <is>
          <t>STOCKHOLMS LÄN</t>
        </is>
      </c>
      <c r="E1300" t="inlineStr">
        <is>
          <t>SÖDERTÄLJE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27805-2021</t>
        </is>
      </c>
      <c r="B1301" s="1" t="n">
        <v>44354</v>
      </c>
      <c r="C1301" s="1" t="n">
        <v>45661</v>
      </c>
      <c r="D1301" t="inlineStr">
        <is>
          <t>STOCKHOLMS LÄN</t>
        </is>
      </c>
      <c r="E1301" t="inlineStr">
        <is>
          <t>UPPLANDS-BRO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27791-2021</t>
        </is>
      </c>
      <c r="B1302" s="1" t="n">
        <v>44354</v>
      </c>
      <c r="C1302" s="1" t="n">
        <v>45661</v>
      </c>
      <c r="D1302" t="inlineStr">
        <is>
          <t>STOCKHOLMS LÄN</t>
        </is>
      </c>
      <c r="E1302" t="inlineStr">
        <is>
          <t>BOTKYRKA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28136-2021</t>
        </is>
      </c>
      <c r="B1303" s="1" t="n">
        <v>44355</v>
      </c>
      <c r="C1303" s="1" t="n">
        <v>45661</v>
      </c>
      <c r="D1303" t="inlineStr">
        <is>
          <t>STOCKHOLMS LÄN</t>
        </is>
      </c>
      <c r="E1303" t="inlineStr">
        <is>
          <t>SÖDERTÄLJE</t>
        </is>
      </c>
      <c r="F1303" t="inlineStr">
        <is>
          <t>Kommuner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28838-2021</t>
        </is>
      </c>
      <c r="B1304" s="1" t="n">
        <v>44357</v>
      </c>
      <c r="C1304" s="1" t="n">
        <v>45661</v>
      </c>
      <c r="D1304" t="inlineStr">
        <is>
          <t>STOCKHOLMS LÄN</t>
        </is>
      </c>
      <c r="E1304" t="inlineStr">
        <is>
          <t>SALEM</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28843-2021</t>
        </is>
      </c>
      <c r="B1305" s="1" t="n">
        <v>44357</v>
      </c>
      <c r="C1305" s="1" t="n">
        <v>45661</v>
      </c>
      <c r="D1305" t="inlineStr">
        <is>
          <t>STOCKHOLMS LÄN</t>
        </is>
      </c>
      <c r="E1305" t="inlineStr">
        <is>
          <t>SALEM</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29357-2021</t>
        </is>
      </c>
      <c r="B1306" s="1" t="n">
        <v>44361</v>
      </c>
      <c r="C1306" s="1" t="n">
        <v>45661</v>
      </c>
      <c r="D1306" t="inlineStr">
        <is>
          <t>STOCKHOLMS LÄN</t>
        </is>
      </c>
      <c r="E1306" t="inlineStr">
        <is>
          <t>NORRTÄLJE</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29533-2021</t>
        </is>
      </c>
      <c r="B1307" s="1" t="n">
        <v>44361</v>
      </c>
      <c r="C1307" s="1" t="n">
        <v>45661</v>
      </c>
      <c r="D1307" t="inlineStr">
        <is>
          <t>STOCKHOLMS LÄN</t>
        </is>
      </c>
      <c r="E1307" t="inlineStr">
        <is>
          <t>EKERÖ</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29680-2021</t>
        </is>
      </c>
      <c r="B1308" s="1" t="n">
        <v>44362</v>
      </c>
      <c r="C1308" s="1" t="n">
        <v>45661</v>
      </c>
      <c r="D1308" t="inlineStr">
        <is>
          <t>STOCKHOLMS LÄN</t>
        </is>
      </c>
      <c r="E1308" t="inlineStr">
        <is>
          <t>NORRTÄLJE</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29684-2021</t>
        </is>
      </c>
      <c r="B1309" s="1" t="n">
        <v>44362</v>
      </c>
      <c r="C1309" s="1" t="n">
        <v>45661</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30129-2021</t>
        </is>
      </c>
      <c r="B1310" s="1" t="n">
        <v>44363</v>
      </c>
      <c r="C1310" s="1" t="n">
        <v>45661</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30913-2021</t>
        </is>
      </c>
      <c r="B1311" s="1" t="n">
        <v>44365</v>
      </c>
      <c r="C1311" s="1" t="n">
        <v>45661</v>
      </c>
      <c r="D1311" t="inlineStr">
        <is>
          <t>STOCKHOLMS LÄN</t>
        </is>
      </c>
      <c r="E1311" t="inlineStr">
        <is>
          <t>VALLENTUNA</t>
        </is>
      </c>
      <c r="F1311" t="inlineStr">
        <is>
          <t>Övriga Aktiebolag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31370-2021</t>
        </is>
      </c>
      <c r="B1312" s="1" t="n">
        <v>44368</v>
      </c>
      <c r="C1312" s="1" t="n">
        <v>45661</v>
      </c>
      <c r="D1312" t="inlineStr">
        <is>
          <t>STOCKHOLMS LÄN</t>
        </is>
      </c>
      <c r="E1312" t="inlineStr">
        <is>
          <t>UPPLANDS-BRO</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31075-2021</t>
        </is>
      </c>
      <c r="B1313" s="1" t="n">
        <v>44368</v>
      </c>
      <c r="C1313" s="1" t="n">
        <v>45661</v>
      </c>
      <c r="D1313" t="inlineStr">
        <is>
          <t>STOCKHOLMS LÄN</t>
        </is>
      </c>
      <c r="E1313" t="inlineStr">
        <is>
          <t>ÖSTERÅKER</t>
        </is>
      </c>
      <c r="F1313" t="inlineStr">
        <is>
          <t>Övriga Aktiebolag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31688-2021</t>
        </is>
      </c>
      <c r="B1314" s="1" t="n">
        <v>44369</v>
      </c>
      <c r="C1314" s="1" t="n">
        <v>45661</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31780-2021</t>
        </is>
      </c>
      <c r="B1315" s="1" t="n">
        <v>44369</v>
      </c>
      <c r="C1315" s="1" t="n">
        <v>45661</v>
      </c>
      <c r="D1315" t="inlineStr">
        <is>
          <t>STOCKHOLMS LÄN</t>
        </is>
      </c>
      <c r="E1315" t="inlineStr">
        <is>
          <t>HANINGE</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32002-2021</t>
        </is>
      </c>
      <c r="B1316" s="1" t="n">
        <v>44370</v>
      </c>
      <c r="C1316" s="1" t="n">
        <v>45661</v>
      </c>
      <c r="D1316" t="inlineStr">
        <is>
          <t>STOCKHOLMS LÄN</t>
        </is>
      </c>
      <c r="E1316" t="inlineStr">
        <is>
          <t>NORRTÄLJE</t>
        </is>
      </c>
      <c r="F1316" t="inlineStr">
        <is>
          <t>Övriga Aktiebolag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32051-2021</t>
        </is>
      </c>
      <c r="B1317" s="1" t="n">
        <v>44370</v>
      </c>
      <c r="C1317" s="1" t="n">
        <v>45661</v>
      </c>
      <c r="D1317" t="inlineStr">
        <is>
          <t>STOCKHOLMS LÄN</t>
        </is>
      </c>
      <c r="E1317" t="inlineStr">
        <is>
          <t>NORRTÄLJE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32055-2021</t>
        </is>
      </c>
      <c r="B1318" s="1" t="n">
        <v>44370</v>
      </c>
      <c r="C1318" s="1" t="n">
        <v>45661</v>
      </c>
      <c r="D1318" t="inlineStr">
        <is>
          <t>STOCKHOLMS LÄN</t>
        </is>
      </c>
      <c r="E1318" t="inlineStr">
        <is>
          <t>NORRTÄLJE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32561-2021</t>
        </is>
      </c>
      <c r="B1319" s="1" t="n">
        <v>44375</v>
      </c>
      <c r="C1319" s="1" t="n">
        <v>45661</v>
      </c>
      <c r="D1319" t="inlineStr">
        <is>
          <t>STOCKHOLMS LÄN</t>
        </is>
      </c>
      <c r="E1319" t="inlineStr">
        <is>
          <t>NORRTÄLJE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32857-2021</t>
        </is>
      </c>
      <c r="B1320" s="1" t="n">
        <v>44375</v>
      </c>
      <c r="C1320" s="1" t="n">
        <v>45661</v>
      </c>
      <c r="D1320" t="inlineStr">
        <is>
          <t>STOCKHOLMS LÄN</t>
        </is>
      </c>
      <c r="E1320" t="inlineStr">
        <is>
          <t>NORRTÄLJE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33016-2021</t>
        </is>
      </c>
      <c r="B1321" s="1" t="n">
        <v>44376</v>
      </c>
      <c r="C1321" s="1" t="n">
        <v>45661</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33053-2021</t>
        </is>
      </c>
      <c r="B1322" s="1" t="n">
        <v>44376</v>
      </c>
      <c r="C1322" s="1" t="n">
        <v>45661</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33046-2021</t>
        </is>
      </c>
      <c r="B1323" s="1" t="n">
        <v>44376</v>
      </c>
      <c r="C1323" s="1" t="n">
        <v>45661</v>
      </c>
      <c r="D1323" t="inlineStr">
        <is>
          <t>STOCKHOLMS LÄN</t>
        </is>
      </c>
      <c r="E1323" t="inlineStr">
        <is>
          <t>NORRTÄLJE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33015-2021</t>
        </is>
      </c>
      <c r="B1324" s="1" t="n">
        <v>44376</v>
      </c>
      <c r="C1324" s="1" t="n">
        <v>45661</v>
      </c>
      <c r="D1324" t="inlineStr">
        <is>
          <t>STOCKHOLMS LÄN</t>
        </is>
      </c>
      <c r="E1324" t="inlineStr">
        <is>
          <t>BOTKYRKA</t>
        </is>
      </c>
      <c r="G1324" t="n">
        <v>48.7</v>
      </c>
      <c r="H1324" t="n">
        <v>0</v>
      </c>
      <c r="I1324" t="n">
        <v>0</v>
      </c>
      <c r="J1324" t="n">
        <v>0</v>
      </c>
      <c r="K1324" t="n">
        <v>0</v>
      </c>
      <c r="L1324" t="n">
        <v>0</v>
      </c>
      <c r="M1324" t="n">
        <v>0</v>
      </c>
      <c r="N1324" t="n">
        <v>0</v>
      </c>
      <c r="O1324" t="n">
        <v>0</v>
      </c>
      <c r="P1324" t="n">
        <v>0</v>
      </c>
      <c r="Q1324" t="n">
        <v>0</v>
      </c>
      <c r="R1324" s="2" t="inlineStr"/>
    </row>
    <row r="1325" ht="15" customHeight="1">
      <c r="A1325" t="inlineStr">
        <is>
          <t>A 33040-2021</t>
        </is>
      </c>
      <c r="B1325" s="1" t="n">
        <v>44376</v>
      </c>
      <c r="C1325" s="1" t="n">
        <v>45661</v>
      </c>
      <c r="D1325" t="inlineStr">
        <is>
          <t>STOCKHOLMS LÄN</t>
        </is>
      </c>
      <c r="E1325" t="inlineStr">
        <is>
          <t>NORRTÄLJE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33246-2021</t>
        </is>
      </c>
      <c r="B1326" s="1" t="n">
        <v>44377</v>
      </c>
      <c r="C1326" s="1" t="n">
        <v>45661</v>
      </c>
      <c r="D1326" t="inlineStr">
        <is>
          <t>STOCKHOLMS LÄN</t>
        </is>
      </c>
      <c r="E1326" t="inlineStr">
        <is>
          <t>SALEM</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33262-2021</t>
        </is>
      </c>
      <c r="B1327" s="1" t="n">
        <v>44377</v>
      </c>
      <c r="C1327" s="1" t="n">
        <v>45661</v>
      </c>
      <c r="D1327" t="inlineStr">
        <is>
          <t>STOCKHOLMS LÄN</t>
        </is>
      </c>
      <c r="E1327" t="inlineStr">
        <is>
          <t>SALEM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33729-2021</t>
        </is>
      </c>
      <c r="B1328" s="1" t="n">
        <v>44378</v>
      </c>
      <c r="C1328" s="1" t="n">
        <v>45661</v>
      </c>
      <c r="D1328" t="inlineStr">
        <is>
          <t>STOCKHOLMS LÄN</t>
        </is>
      </c>
      <c r="E1328" t="inlineStr">
        <is>
          <t>SALEM</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34520-2021</t>
        </is>
      </c>
      <c r="B1329" s="1" t="n">
        <v>44379</v>
      </c>
      <c r="C1329" s="1" t="n">
        <v>45661</v>
      </c>
      <c r="D1329" t="inlineStr">
        <is>
          <t>STOCKHOLMS LÄN</t>
        </is>
      </c>
      <c r="E1329" t="inlineStr">
        <is>
          <t>NORRTÄLJE</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34432-2021</t>
        </is>
      </c>
      <c r="B1330" s="1" t="n">
        <v>44380</v>
      </c>
      <c r="C1330" s="1" t="n">
        <v>45661</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34431-2021</t>
        </is>
      </c>
      <c r="B1331" s="1" t="n">
        <v>44380</v>
      </c>
      <c r="C1331" s="1" t="n">
        <v>45661</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34436-2021</t>
        </is>
      </c>
      <c r="B1332" s="1" t="n">
        <v>44380</v>
      </c>
      <c r="C1332" s="1" t="n">
        <v>45661</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34449-2021</t>
        </is>
      </c>
      <c r="B1333" s="1" t="n">
        <v>44381</v>
      </c>
      <c r="C1333" s="1" t="n">
        <v>45661</v>
      </c>
      <c r="D1333" t="inlineStr">
        <is>
          <t>STOCKHOLMS LÄN</t>
        </is>
      </c>
      <c r="E1333" t="inlineStr">
        <is>
          <t>SÖDERTÄLJE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34452-2021</t>
        </is>
      </c>
      <c r="B1334" s="1" t="n">
        <v>44381</v>
      </c>
      <c r="C1334" s="1" t="n">
        <v>45661</v>
      </c>
      <c r="D1334" t="inlineStr">
        <is>
          <t>STOCKHOLMS LÄN</t>
        </is>
      </c>
      <c r="E1334" t="inlineStr">
        <is>
          <t>VALLENTUNA</t>
        </is>
      </c>
      <c r="G1334" t="n">
        <v>14.7</v>
      </c>
      <c r="H1334" t="n">
        <v>0</v>
      </c>
      <c r="I1334" t="n">
        <v>0</v>
      </c>
      <c r="J1334" t="n">
        <v>0</v>
      </c>
      <c r="K1334" t="n">
        <v>0</v>
      </c>
      <c r="L1334" t="n">
        <v>0</v>
      </c>
      <c r="M1334" t="n">
        <v>0</v>
      </c>
      <c r="N1334" t="n">
        <v>0</v>
      </c>
      <c r="O1334" t="n">
        <v>0</v>
      </c>
      <c r="P1334" t="n">
        <v>0</v>
      </c>
      <c r="Q1334" t="n">
        <v>0</v>
      </c>
      <c r="R1334" s="2" t="inlineStr"/>
    </row>
    <row r="1335" ht="15" customHeight="1">
      <c r="A1335" t="inlineStr">
        <is>
          <t>A 34450-2021</t>
        </is>
      </c>
      <c r="B1335" s="1" t="n">
        <v>44381</v>
      </c>
      <c r="C1335" s="1" t="n">
        <v>45661</v>
      </c>
      <c r="D1335" t="inlineStr">
        <is>
          <t>STOCKHOLMS LÄN</t>
        </is>
      </c>
      <c r="E1335" t="inlineStr">
        <is>
          <t>SÖDERTÄLJE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34731-2021</t>
        </is>
      </c>
      <c r="B1336" s="1" t="n">
        <v>44382</v>
      </c>
      <c r="C1336" s="1" t="n">
        <v>45661</v>
      </c>
      <c r="D1336" t="inlineStr">
        <is>
          <t>STOCKHOLMS LÄN</t>
        </is>
      </c>
      <c r="E1336" t="inlineStr">
        <is>
          <t>NORRTÄLJE</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34792-2021</t>
        </is>
      </c>
      <c r="B1337" s="1" t="n">
        <v>44383</v>
      </c>
      <c r="C1337" s="1" t="n">
        <v>45661</v>
      </c>
      <c r="D1337" t="inlineStr">
        <is>
          <t>STOCKHOLMS LÄN</t>
        </is>
      </c>
      <c r="E1337" t="inlineStr">
        <is>
          <t>NORRTÄLJE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34818-2021</t>
        </is>
      </c>
      <c r="B1338" s="1" t="n">
        <v>44383</v>
      </c>
      <c r="C1338" s="1" t="n">
        <v>45661</v>
      </c>
      <c r="D1338" t="inlineStr">
        <is>
          <t>STOCKHOLMS LÄN</t>
        </is>
      </c>
      <c r="E1338" t="inlineStr">
        <is>
          <t>NYNÄSHAMN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35492-2021</t>
        </is>
      </c>
      <c r="B1339" s="1" t="n">
        <v>44385</v>
      </c>
      <c r="C1339" s="1" t="n">
        <v>45661</v>
      </c>
      <c r="D1339" t="inlineStr">
        <is>
          <t>STOCKHOLMS LÄN</t>
        </is>
      </c>
      <c r="E1339" t="inlineStr">
        <is>
          <t>BOTKYRKA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35953-2021</t>
        </is>
      </c>
      <c r="B1340" s="1" t="n">
        <v>44385</v>
      </c>
      <c r="C1340" s="1" t="n">
        <v>45661</v>
      </c>
      <c r="D1340" t="inlineStr">
        <is>
          <t>STOCKHOLMS LÄN</t>
        </is>
      </c>
      <c r="E1340" t="inlineStr">
        <is>
          <t>SIGTUNA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36097-2021</t>
        </is>
      </c>
      <c r="B1341" s="1" t="n">
        <v>44389</v>
      </c>
      <c r="C1341" s="1" t="n">
        <v>45661</v>
      </c>
      <c r="D1341" t="inlineStr">
        <is>
          <t>STOCKHOLMS LÄN</t>
        </is>
      </c>
      <c r="E1341" t="inlineStr">
        <is>
          <t>BOTKYRKA</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36111-2021</t>
        </is>
      </c>
      <c r="B1342" s="1" t="n">
        <v>44389</v>
      </c>
      <c r="C1342" s="1" t="n">
        <v>45661</v>
      </c>
      <c r="D1342" t="inlineStr">
        <is>
          <t>STOCKHOLMS LÄN</t>
        </is>
      </c>
      <c r="E1342" t="inlineStr">
        <is>
          <t>UPPLANDS-BRO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36246-2021</t>
        </is>
      </c>
      <c r="B1343" s="1" t="n">
        <v>44390</v>
      </c>
      <c r="C1343" s="1" t="n">
        <v>45661</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36565-2021</t>
        </is>
      </c>
      <c r="B1344" s="1" t="n">
        <v>44391</v>
      </c>
      <c r="C1344" s="1" t="n">
        <v>45661</v>
      </c>
      <c r="D1344" t="inlineStr">
        <is>
          <t>STOCKHOLMS LÄN</t>
        </is>
      </c>
      <c r="E1344" t="inlineStr">
        <is>
          <t>NORRTÄLJE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37085-2021</t>
        </is>
      </c>
      <c r="B1345" s="1" t="n">
        <v>44395</v>
      </c>
      <c r="C1345" s="1" t="n">
        <v>45661</v>
      </c>
      <c r="D1345" t="inlineStr">
        <is>
          <t>STOCKHOLMS LÄN</t>
        </is>
      </c>
      <c r="E1345" t="inlineStr">
        <is>
          <t>NORRTÄLJE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37095-2021</t>
        </is>
      </c>
      <c r="B1346" s="1" t="n">
        <v>44395</v>
      </c>
      <c r="C1346" s="1" t="n">
        <v>45661</v>
      </c>
      <c r="D1346" t="inlineStr">
        <is>
          <t>STOCKHOLMS LÄN</t>
        </is>
      </c>
      <c r="E1346" t="inlineStr">
        <is>
          <t>BOTKYRKA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37097-2021</t>
        </is>
      </c>
      <c r="B1347" s="1" t="n">
        <v>44395</v>
      </c>
      <c r="C1347" s="1" t="n">
        <v>45661</v>
      </c>
      <c r="D1347" t="inlineStr">
        <is>
          <t>STOCKHOLMS LÄN</t>
        </is>
      </c>
      <c r="E1347" t="inlineStr">
        <is>
          <t>NYNÄSHAMN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37098-2021</t>
        </is>
      </c>
      <c r="B1348" s="1" t="n">
        <v>44396</v>
      </c>
      <c r="C1348" s="1" t="n">
        <v>45661</v>
      </c>
      <c r="D1348" t="inlineStr">
        <is>
          <t>STOCKHOLMS LÄN</t>
        </is>
      </c>
      <c r="E1348" t="inlineStr">
        <is>
          <t>NYNÄSHAMN</t>
        </is>
      </c>
      <c r="G1348" t="n">
        <v>12.9</v>
      </c>
      <c r="H1348" t="n">
        <v>0</v>
      </c>
      <c r="I1348" t="n">
        <v>0</v>
      </c>
      <c r="J1348" t="n">
        <v>0</v>
      </c>
      <c r="K1348" t="n">
        <v>0</v>
      </c>
      <c r="L1348" t="n">
        <v>0</v>
      </c>
      <c r="M1348" t="n">
        <v>0</v>
      </c>
      <c r="N1348" t="n">
        <v>0</v>
      </c>
      <c r="O1348" t="n">
        <v>0</v>
      </c>
      <c r="P1348" t="n">
        <v>0</v>
      </c>
      <c r="Q1348" t="n">
        <v>0</v>
      </c>
      <c r="R1348" s="2" t="inlineStr"/>
    </row>
    <row r="1349" ht="15" customHeight="1">
      <c r="A1349" t="inlineStr">
        <is>
          <t>A 37103-2021</t>
        </is>
      </c>
      <c r="B1349" s="1" t="n">
        <v>44396</v>
      </c>
      <c r="C1349" s="1" t="n">
        <v>45661</v>
      </c>
      <c r="D1349" t="inlineStr">
        <is>
          <t>STOCKHOLMS LÄN</t>
        </is>
      </c>
      <c r="E1349" t="inlineStr">
        <is>
          <t>NYNÄSHAMN</t>
        </is>
      </c>
      <c r="G1349" t="n">
        <v>12.4</v>
      </c>
      <c r="H1349" t="n">
        <v>0</v>
      </c>
      <c r="I1349" t="n">
        <v>0</v>
      </c>
      <c r="J1349" t="n">
        <v>0</v>
      </c>
      <c r="K1349" t="n">
        <v>0</v>
      </c>
      <c r="L1349" t="n">
        <v>0</v>
      </c>
      <c r="M1349" t="n">
        <v>0</v>
      </c>
      <c r="N1349" t="n">
        <v>0</v>
      </c>
      <c r="O1349" t="n">
        <v>0</v>
      </c>
      <c r="P1349" t="n">
        <v>0</v>
      </c>
      <c r="Q1349" t="n">
        <v>0</v>
      </c>
      <c r="R1349" s="2" t="inlineStr"/>
    </row>
    <row r="1350" ht="15" customHeight="1">
      <c r="A1350" t="inlineStr">
        <is>
          <t>A 37101-2021</t>
        </is>
      </c>
      <c r="B1350" s="1" t="n">
        <v>44396</v>
      </c>
      <c r="C1350" s="1" t="n">
        <v>45661</v>
      </c>
      <c r="D1350" t="inlineStr">
        <is>
          <t>STOCKHOLMS LÄN</t>
        </is>
      </c>
      <c r="E1350" t="inlineStr">
        <is>
          <t>NYNÄSHAMN</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37099-2021</t>
        </is>
      </c>
      <c r="B1351" s="1" t="n">
        <v>44396</v>
      </c>
      <c r="C1351" s="1" t="n">
        <v>45661</v>
      </c>
      <c r="D1351" t="inlineStr">
        <is>
          <t>STOCKHOLMS LÄN</t>
        </is>
      </c>
      <c r="E1351" t="inlineStr">
        <is>
          <t>NYNÄSHAMN</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37104-2021</t>
        </is>
      </c>
      <c r="B1352" s="1" t="n">
        <v>44396</v>
      </c>
      <c r="C1352" s="1" t="n">
        <v>45661</v>
      </c>
      <c r="D1352" t="inlineStr">
        <is>
          <t>STOCKHOLMS LÄN</t>
        </is>
      </c>
      <c r="E1352" t="inlineStr">
        <is>
          <t>NYNÄSHAMN</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37335-2021</t>
        </is>
      </c>
      <c r="B1353" s="1" t="n">
        <v>44397</v>
      </c>
      <c r="C1353" s="1" t="n">
        <v>45661</v>
      </c>
      <c r="D1353" t="inlineStr">
        <is>
          <t>STOCKHOLMS LÄN</t>
        </is>
      </c>
      <c r="E1353" t="inlineStr">
        <is>
          <t>UPPLANDS-BRO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37344-2021</t>
        </is>
      </c>
      <c r="B1354" s="1" t="n">
        <v>44397</v>
      </c>
      <c r="C1354" s="1" t="n">
        <v>45661</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37421-2021</t>
        </is>
      </c>
      <c r="B1355" s="1" t="n">
        <v>44397</v>
      </c>
      <c r="C1355" s="1" t="n">
        <v>45661</v>
      </c>
      <c r="D1355" t="inlineStr">
        <is>
          <t>STOCKHOLMS LÄN</t>
        </is>
      </c>
      <c r="E1355" t="inlineStr">
        <is>
          <t>UPPLANDS-BRO</t>
        </is>
      </c>
      <c r="F1355" t="inlineStr">
        <is>
          <t>Allmännings- och besparingsskogar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37415-2021</t>
        </is>
      </c>
      <c r="B1356" s="1" t="n">
        <v>44397</v>
      </c>
      <c r="C1356" s="1" t="n">
        <v>45661</v>
      </c>
      <c r="D1356" t="inlineStr">
        <is>
          <t>STOCKHOLMS LÄN</t>
        </is>
      </c>
      <c r="E1356" t="inlineStr">
        <is>
          <t>NORRTÄLJE</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37444-2021</t>
        </is>
      </c>
      <c r="B1357" s="1" t="n">
        <v>44398</v>
      </c>
      <c r="C1357" s="1" t="n">
        <v>45661</v>
      </c>
      <c r="D1357" t="inlineStr">
        <is>
          <t>STOCKHOLMS LÄN</t>
        </is>
      </c>
      <c r="E1357" t="inlineStr">
        <is>
          <t>NORRTÄLJE</t>
        </is>
      </c>
      <c r="F1357" t="inlineStr">
        <is>
          <t>Holmen skog AB</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37462-2021</t>
        </is>
      </c>
      <c r="B1358" s="1" t="n">
        <v>44398</v>
      </c>
      <c r="C1358" s="1" t="n">
        <v>45661</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37422-2021</t>
        </is>
      </c>
      <c r="B1359" s="1" t="n">
        <v>44398</v>
      </c>
      <c r="C1359" s="1" t="n">
        <v>45661</v>
      </c>
      <c r="D1359" t="inlineStr">
        <is>
          <t>STOCKHOLMS LÄN</t>
        </is>
      </c>
      <c r="E1359" t="inlineStr">
        <is>
          <t>NYNÄSHAMN</t>
        </is>
      </c>
      <c r="G1359" t="n">
        <v>25.8</v>
      </c>
      <c r="H1359" t="n">
        <v>0</v>
      </c>
      <c r="I1359" t="n">
        <v>0</v>
      </c>
      <c r="J1359" t="n">
        <v>0</v>
      </c>
      <c r="K1359" t="n">
        <v>0</v>
      </c>
      <c r="L1359" t="n">
        <v>0</v>
      </c>
      <c r="M1359" t="n">
        <v>0</v>
      </c>
      <c r="N1359" t="n">
        <v>0</v>
      </c>
      <c r="O1359" t="n">
        <v>0</v>
      </c>
      <c r="P1359" t="n">
        <v>0</v>
      </c>
      <c r="Q1359" t="n">
        <v>0</v>
      </c>
      <c r="R1359" s="2" t="inlineStr"/>
    </row>
    <row r="1360" ht="15" customHeight="1">
      <c r="A1360" t="inlineStr">
        <is>
          <t>A 37530-2021</t>
        </is>
      </c>
      <c r="B1360" s="1" t="n">
        <v>44399</v>
      </c>
      <c r="C1360" s="1" t="n">
        <v>45661</v>
      </c>
      <c r="D1360" t="inlineStr">
        <is>
          <t>STOCKHOLMS LÄN</t>
        </is>
      </c>
      <c r="E1360" t="inlineStr">
        <is>
          <t>NORRTÄLJE</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37522-2021</t>
        </is>
      </c>
      <c r="B1361" s="1" t="n">
        <v>44399</v>
      </c>
      <c r="C1361" s="1" t="n">
        <v>45661</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37525-2021</t>
        </is>
      </c>
      <c r="B1362" s="1" t="n">
        <v>44399</v>
      </c>
      <c r="C1362" s="1" t="n">
        <v>45661</v>
      </c>
      <c r="D1362" t="inlineStr">
        <is>
          <t>STOCKHOLMS LÄN</t>
        </is>
      </c>
      <c r="E1362" t="inlineStr">
        <is>
          <t>NORRTÄLJE</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37676-2021</t>
        </is>
      </c>
      <c r="B1363" s="1" t="n">
        <v>44400</v>
      </c>
      <c r="C1363" s="1" t="n">
        <v>45661</v>
      </c>
      <c r="D1363" t="inlineStr">
        <is>
          <t>STOCKHOLMS LÄN</t>
        </is>
      </c>
      <c r="E1363" t="inlineStr">
        <is>
          <t>SÖDERTÄLJE</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37657-2021</t>
        </is>
      </c>
      <c r="B1364" s="1" t="n">
        <v>44400</v>
      </c>
      <c r="C1364" s="1" t="n">
        <v>45661</v>
      </c>
      <c r="D1364" t="inlineStr">
        <is>
          <t>STOCKHOLMS LÄN</t>
        </is>
      </c>
      <c r="E1364" t="inlineStr">
        <is>
          <t>VALLENTUNA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37681-2021</t>
        </is>
      </c>
      <c r="B1365" s="1" t="n">
        <v>44400</v>
      </c>
      <c r="C1365" s="1" t="n">
        <v>45661</v>
      </c>
      <c r="D1365" t="inlineStr">
        <is>
          <t>STOCKHOLMS LÄN</t>
        </is>
      </c>
      <c r="E1365" t="inlineStr">
        <is>
          <t>SÖDERTÄLJE</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37712-2021</t>
        </is>
      </c>
      <c r="B1366" s="1" t="n">
        <v>44400</v>
      </c>
      <c r="C1366" s="1" t="n">
        <v>45661</v>
      </c>
      <c r="D1366" t="inlineStr">
        <is>
          <t>STOCKHOLMS LÄN</t>
        </is>
      </c>
      <c r="E1366" t="inlineStr">
        <is>
          <t>NORRTÄLJE</t>
        </is>
      </c>
      <c r="G1366" t="n">
        <v>22.9</v>
      </c>
      <c r="H1366" t="n">
        <v>0</v>
      </c>
      <c r="I1366" t="n">
        <v>0</v>
      </c>
      <c r="J1366" t="n">
        <v>0</v>
      </c>
      <c r="K1366" t="n">
        <v>0</v>
      </c>
      <c r="L1366" t="n">
        <v>0</v>
      </c>
      <c r="M1366" t="n">
        <v>0</v>
      </c>
      <c r="N1366" t="n">
        <v>0</v>
      </c>
      <c r="O1366" t="n">
        <v>0</v>
      </c>
      <c r="P1366" t="n">
        <v>0</v>
      </c>
      <c r="Q1366" t="n">
        <v>0</v>
      </c>
      <c r="R1366" s="2" t="inlineStr"/>
    </row>
    <row r="1367" ht="15" customHeight="1">
      <c r="A1367" t="inlineStr">
        <is>
          <t>A 37967-2021</t>
        </is>
      </c>
      <c r="B1367" s="1" t="n">
        <v>44403</v>
      </c>
      <c r="C1367" s="1" t="n">
        <v>45661</v>
      </c>
      <c r="D1367" t="inlineStr">
        <is>
          <t>STOCKHOLMS LÄN</t>
        </is>
      </c>
      <c r="E1367" t="inlineStr">
        <is>
          <t>NYKVARN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37859-2021</t>
        </is>
      </c>
      <c r="B1368" s="1" t="n">
        <v>44403</v>
      </c>
      <c r="C1368" s="1" t="n">
        <v>45661</v>
      </c>
      <c r="D1368" t="inlineStr">
        <is>
          <t>STOCKHOLMS LÄN</t>
        </is>
      </c>
      <c r="E1368" t="inlineStr">
        <is>
          <t>NORRTÄLJE</t>
        </is>
      </c>
      <c r="F1368" t="inlineStr">
        <is>
          <t>Holmen skog AB</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38595-2021</t>
        </is>
      </c>
      <c r="B1369" s="1" t="n">
        <v>44407</v>
      </c>
      <c r="C1369" s="1" t="n">
        <v>45661</v>
      </c>
      <c r="D1369" t="inlineStr">
        <is>
          <t>STOCKHOLMS LÄN</t>
        </is>
      </c>
      <c r="E1369" t="inlineStr">
        <is>
          <t>HANINGE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38771-2021</t>
        </is>
      </c>
      <c r="B1370" s="1" t="n">
        <v>44410</v>
      </c>
      <c r="C1370" s="1" t="n">
        <v>45661</v>
      </c>
      <c r="D1370" t="inlineStr">
        <is>
          <t>STOCKHOLMS LÄN</t>
        </is>
      </c>
      <c r="E1370" t="inlineStr">
        <is>
          <t>NYNÄSHAMN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38752-2021</t>
        </is>
      </c>
      <c r="B1371" s="1" t="n">
        <v>44410</v>
      </c>
      <c r="C1371" s="1" t="n">
        <v>45661</v>
      </c>
      <c r="D1371" t="inlineStr">
        <is>
          <t>STOCKHOLMS LÄN</t>
        </is>
      </c>
      <c r="E1371" t="inlineStr">
        <is>
          <t>NYNÄSHAMN</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39133-2021</t>
        </is>
      </c>
      <c r="B1372" s="1" t="n">
        <v>44412</v>
      </c>
      <c r="C1372" s="1" t="n">
        <v>45661</v>
      </c>
      <c r="D1372" t="inlineStr">
        <is>
          <t>STOCKHOLMS LÄN</t>
        </is>
      </c>
      <c r="E1372" t="inlineStr">
        <is>
          <t>SÖDERTÄLJE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39073-2021</t>
        </is>
      </c>
      <c r="B1373" s="1" t="n">
        <v>44412</v>
      </c>
      <c r="C1373" s="1" t="n">
        <v>45661</v>
      </c>
      <c r="D1373" t="inlineStr">
        <is>
          <t>STOCKHOLMS LÄN</t>
        </is>
      </c>
      <c r="E1373" t="inlineStr">
        <is>
          <t>VÄRMDÖ</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39109-2021</t>
        </is>
      </c>
      <c r="B1374" s="1" t="n">
        <v>44412</v>
      </c>
      <c r="C1374" s="1" t="n">
        <v>45661</v>
      </c>
      <c r="D1374" t="inlineStr">
        <is>
          <t>STOCKHOLMS LÄN</t>
        </is>
      </c>
      <c r="E1374" t="inlineStr">
        <is>
          <t>VÄRMDÖ</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39082-2021</t>
        </is>
      </c>
      <c r="B1375" s="1" t="n">
        <v>44412</v>
      </c>
      <c r="C1375" s="1" t="n">
        <v>45661</v>
      </c>
      <c r="D1375" t="inlineStr">
        <is>
          <t>STOCKHOLMS LÄN</t>
        </is>
      </c>
      <c r="E1375" t="inlineStr">
        <is>
          <t>VÄRMDÖ</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39070-2021</t>
        </is>
      </c>
      <c r="B1376" s="1" t="n">
        <v>44412</v>
      </c>
      <c r="C1376" s="1" t="n">
        <v>45661</v>
      </c>
      <c r="D1376" t="inlineStr">
        <is>
          <t>STOCKHOLMS LÄN</t>
        </is>
      </c>
      <c r="E1376" t="inlineStr">
        <is>
          <t>VÄRMDÖ</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39157-2021</t>
        </is>
      </c>
      <c r="B1377" s="1" t="n">
        <v>44412</v>
      </c>
      <c r="C1377" s="1" t="n">
        <v>45661</v>
      </c>
      <c r="D1377" t="inlineStr">
        <is>
          <t>STOCKHOLMS LÄN</t>
        </is>
      </c>
      <c r="E1377" t="inlineStr">
        <is>
          <t>NORRTÄLJE</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39496-2021</t>
        </is>
      </c>
      <c r="B1378" s="1" t="n">
        <v>44414</v>
      </c>
      <c r="C1378" s="1" t="n">
        <v>45661</v>
      </c>
      <c r="D1378" t="inlineStr">
        <is>
          <t>STOCKHOLMS LÄN</t>
        </is>
      </c>
      <c r="E1378" t="inlineStr">
        <is>
          <t>NORRTÄLJE</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39497-2021</t>
        </is>
      </c>
      <c r="B1379" s="1" t="n">
        <v>44414</v>
      </c>
      <c r="C1379" s="1" t="n">
        <v>45661</v>
      </c>
      <c r="D1379" t="inlineStr">
        <is>
          <t>STOCKHOLMS LÄN</t>
        </is>
      </c>
      <c r="E1379" t="inlineStr">
        <is>
          <t>NORRTÄLJE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39651-2021</t>
        </is>
      </c>
      <c r="B1380" s="1" t="n">
        <v>44417</v>
      </c>
      <c r="C1380" s="1" t="n">
        <v>45661</v>
      </c>
      <c r="D1380" t="inlineStr">
        <is>
          <t>STOCKHOLMS LÄN</t>
        </is>
      </c>
      <c r="E1380" t="inlineStr">
        <is>
          <t>HANINGE</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40158-2021</t>
        </is>
      </c>
      <c r="B1381" s="1" t="n">
        <v>44418</v>
      </c>
      <c r="C1381" s="1" t="n">
        <v>45661</v>
      </c>
      <c r="D1381" t="inlineStr">
        <is>
          <t>STOCKHOLMS LÄN</t>
        </is>
      </c>
      <c r="E1381" t="inlineStr">
        <is>
          <t>NYNÄSHAMN</t>
        </is>
      </c>
      <c r="F1381" t="inlineStr">
        <is>
          <t>Kommuner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40183-2021</t>
        </is>
      </c>
      <c r="B1382" s="1" t="n">
        <v>44418</v>
      </c>
      <c r="C1382" s="1" t="n">
        <v>45661</v>
      </c>
      <c r="D1382" t="inlineStr">
        <is>
          <t>STOCKHOLMS LÄN</t>
        </is>
      </c>
      <c r="E1382" t="inlineStr">
        <is>
          <t>NYNÄSHAMN</t>
        </is>
      </c>
      <c r="F1382" t="inlineStr">
        <is>
          <t>Kommuner</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40143-2021</t>
        </is>
      </c>
      <c r="B1383" s="1" t="n">
        <v>44418</v>
      </c>
      <c r="C1383" s="1" t="n">
        <v>45661</v>
      </c>
      <c r="D1383" t="inlineStr">
        <is>
          <t>STOCKHOLMS LÄN</t>
        </is>
      </c>
      <c r="E1383" t="inlineStr">
        <is>
          <t>NYNÄSHAMN</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40425-2021</t>
        </is>
      </c>
      <c r="B1384" s="1" t="n">
        <v>44419</v>
      </c>
      <c r="C1384" s="1" t="n">
        <v>45661</v>
      </c>
      <c r="D1384" t="inlineStr">
        <is>
          <t>STOCKHOLMS LÄN</t>
        </is>
      </c>
      <c r="E1384" t="inlineStr">
        <is>
          <t>NORRTÄLJE</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40514-2021</t>
        </is>
      </c>
      <c r="B1385" s="1" t="n">
        <v>44420</v>
      </c>
      <c r="C1385" s="1" t="n">
        <v>45661</v>
      </c>
      <c r="D1385" t="inlineStr">
        <is>
          <t>STOCKHOLMS LÄN</t>
        </is>
      </c>
      <c r="E1385" t="inlineStr">
        <is>
          <t>UPPLANDS-BRO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40542-2021</t>
        </is>
      </c>
      <c r="B1386" s="1" t="n">
        <v>44420</v>
      </c>
      <c r="C1386" s="1" t="n">
        <v>45661</v>
      </c>
      <c r="D1386" t="inlineStr">
        <is>
          <t>STOCKHOLMS LÄN</t>
        </is>
      </c>
      <c r="E1386" t="inlineStr">
        <is>
          <t>NORRTÄLJE</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40510-2021</t>
        </is>
      </c>
      <c r="B1387" s="1" t="n">
        <v>44420</v>
      </c>
      <c r="C1387" s="1" t="n">
        <v>45661</v>
      </c>
      <c r="D1387" t="inlineStr">
        <is>
          <t>STOCKHOLMS LÄN</t>
        </is>
      </c>
      <c r="E1387" t="inlineStr">
        <is>
          <t>UPPLANDS-BRO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40546-2021</t>
        </is>
      </c>
      <c r="B1388" s="1" t="n">
        <v>44420</v>
      </c>
      <c r="C1388" s="1" t="n">
        <v>45661</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40751-2021</t>
        </is>
      </c>
      <c r="B1389" s="1" t="n">
        <v>44420</v>
      </c>
      <c r="C1389" s="1" t="n">
        <v>45661</v>
      </c>
      <c r="D1389" t="inlineStr">
        <is>
          <t>STOCKHOLMS LÄN</t>
        </is>
      </c>
      <c r="E1389" t="inlineStr">
        <is>
          <t>SÖDERTÄLJE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40753-2021</t>
        </is>
      </c>
      <c r="B1390" s="1" t="n">
        <v>44420</v>
      </c>
      <c r="C1390" s="1" t="n">
        <v>45661</v>
      </c>
      <c r="D1390" t="inlineStr">
        <is>
          <t>STOCKHOLMS LÄN</t>
        </is>
      </c>
      <c r="E1390" t="inlineStr">
        <is>
          <t>NYNÄSHAMN</t>
        </is>
      </c>
      <c r="F1390" t="inlineStr">
        <is>
          <t>Kommuner</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41378-2021</t>
        </is>
      </c>
      <c r="B1391" s="1" t="n">
        <v>44424</v>
      </c>
      <c r="C1391" s="1" t="n">
        <v>45661</v>
      </c>
      <c r="D1391" t="inlineStr">
        <is>
          <t>STOCKHOLMS LÄN</t>
        </is>
      </c>
      <c r="E1391" t="inlineStr">
        <is>
          <t>NYNÄSHAMN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41281-2021</t>
        </is>
      </c>
      <c r="B1392" s="1" t="n">
        <v>44424</v>
      </c>
      <c r="C1392" s="1" t="n">
        <v>45661</v>
      </c>
      <c r="D1392" t="inlineStr">
        <is>
          <t>STOCKHOLMS LÄN</t>
        </is>
      </c>
      <c r="E1392" t="inlineStr">
        <is>
          <t>NYNÄSHAMN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41465-2021</t>
        </is>
      </c>
      <c r="B1393" s="1" t="n">
        <v>44424</v>
      </c>
      <c r="C1393" s="1" t="n">
        <v>45661</v>
      </c>
      <c r="D1393" t="inlineStr">
        <is>
          <t>STOCKHOLMS LÄN</t>
        </is>
      </c>
      <c r="E1393" t="inlineStr">
        <is>
          <t>UPPLANDS-BRO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41463-2021</t>
        </is>
      </c>
      <c r="B1394" s="1" t="n">
        <v>44424</v>
      </c>
      <c r="C1394" s="1" t="n">
        <v>45661</v>
      </c>
      <c r="D1394" t="inlineStr">
        <is>
          <t>STOCKHOLMS LÄN</t>
        </is>
      </c>
      <c r="E1394" t="inlineStr">
        <is>
          <t>UPPLANDS-BRO</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41595-2021</t>
        </is>
      </c>
      <c r="B1395" s="1" t="n">
        <v>44425</v>
      </c>
      <c r="C1395" s="1" t="n">
        <v>45661</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41823-2021</t>
        </is>
      </c>
      <c r="B1396" s="1" t="n">
        <v>44425</v>
      </c>
      <c r="C1396" s="1" t="n">
        <v>45661</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41809-2021</t>
        </is>
      </c>
      <c r="B1397" s="1" t="n">
        <v>44425</v>
      </c>
      <c r="C1397" s="1" t="n">
        <v>45661</v>
      </c>
      <c r="D1397" t="inlineStr">
        <is>
          <t>STOCKHOLMS LÄN</t>
        </is>
      </c>
      <c r="E1397" t="inlineStr">
        <is>
          <t>HANINGE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41822-2021</t>
        </is>
      </c>
      <c r="B1398" s="1" t="n">
        <v>44425</v>
      </c>
      <c r="C1398" s="1" t="n">
        <v>45661</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42396-2021</t>
        </is>
      </c>
      <c r="B1399" s="1" t="n">
        <v>44427</v>
      </c>
      <c r="C1399" s="1" t="n">
        <v>45661</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42624-2021</t>
        </is>
      </c>
      <c r="B1400" s="1" t="n">
        <v>44428</v>
      </c>
      <c r="C1400" s="1" t="n">
        <v>45661</v>
      </c>
      <c r="D1400" t="inlineStr">
        <is>
          <t>STOCKHOLMS LÄN</t>
        </is>
      </c>
      <c r="E1400" t="inlineStr">
        <is>
          <t>VALLENTUNA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43478-2021</t>
        </is>
      </c>
      <c r="B1401" s="1" t="n">
        <v>44432</v>
      </c>
      <c r="C1401" s="1" t="n">
        <v>45661</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43709-2021</t>
        </is>
      </c>
      <c r="B1402" s="1" t="n">
        <v>44433</v>
      </c>
      <c r="C1402" s="1" t="n">
        <v>45661</v>
      </c>
      <c r="D1402" t="inlineStr">
        <is>
          <t>STOCKHOLMS LÄN</t>
        </is>
      </c>
      <c r="E1402" t="inlineStr">
        <is>
          <t>HANINGE</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43717-2021</t>
        </is>
      </c>
      <c r="B1403" s="1" t="n">
        <v>44433</v>
      </c>
      <c r="C1403" s="1" t="n">
        <v>45661</v>
      </c>
      <c r="D1403" t="inlineStr">
        <is>
          <t>STOCKHOLMS LÄN</t>
        </is>
      </c>
      <c r="E1403" t="inlineStr">
        <is>
          <t>BOTKYRKA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43893-2021</t>
        </is>
      </c>
      <c r="B1404" s="1" t="n">
        <v>44434</v>
      </c>
      <c r="C1404" s="1" t="n">
        <v>45661</v>
      </c>
      <c r="D1404" t="inlineStr">
        <is>
          <t>STOCKHOLMS LÄN</t>
        </is>
      </c>
      <c r="E1404" t="inlineStr">
        <is>
          <t>SALEM</t>
        </is>
      </c>
      <c r="F1404" t="inlineStr">
        <is>
          <t>Kommuner</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43922-2021</t>
        </is>
      </c>
      <c r="B1405" s="1" t="n">
        <v>44434</v>
      </c>
      <c r="C1405" s="1" t="n">
        <v>45661</v>
      </c>
      <c r="D1405" t="inlineStr">
        <is>
          <t>STOCKHOLMS LÄN</t>
        </is>
      </c>
      <c r="E1405" t="inlineStr">
        <is>
          <t>NYKVARN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44346-2021</t>
        </is>
      </c>
      <c r="B1406" s="1" t="n">
        <v>44434</v>
      </c>
      <c r="C1406" s="1" t="n">
        <v>45661</v>
      </c>
      <c r="D1406" t="inlineStr">
        <is>
          <t>STOCKHOLMS LÄN</t>
        </is>
      </c>
      <c r="E1406" t="inlineStr">
        <is>
          <t>VALLENTUNA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44274-2021</t>
        </is>
      </c>
      <c r="B1407" s="1" t="n">
        <v>44435</v>
      </c>
      <c r="C1407" s="1" t="n">
        <v>45661</v>
      </c>
      <c r="D1407" t="inlineStr">
        <is>
          <t>STOCKHOLMS LÄN</t>
        </is>
      </c>
      <c r="E1407" t="inlineStr">
        <is>
          <t>NORRTÄLJE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44650-2021</t>
        </is>
      </c>
      <c r="B1408" s="1" t="n">
        <v>44437</v>
      </c>
      <c r="C1408" s="1" t="n">
        <v>45661</v>
      </c>
      <c r="D1408" t="inlineStr">
        <is>
          <t>STOCKHOLMS LÄN</t>
        </is>
      </c>
      <c r="E1408" t="inlineStr">
        <is>
          <t>SÖDERTÄLJE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44947-2021</t>
        </is>
      </c>
      <c r="B1409" s="1" t="n">
        <v>44438</v>
      </c>
      <c r="C1409" s="1" t="n">
        <v>45661</v>
      </c>
      <c r="D1409" t="inlineStr">
        <is>
          <t>STOCKHOLMS LÄN</t>
        </is>
      </c>
      <c r="E1409" t="inlineStr">
        <is>
          <t>NYKVARN</t>
        </is>
      </c>
      <c r="F1409" t="inlineStr">
        <is>
          <t>Allmännings- och besparingsskogar</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45395-2021</t>
        </is>
      </c>
      <c r="B1410" s="1" t="n">
        <v>44440</v>
      </c>
      <c r="C1410" s="1" t="n">
        <v>45661</v>
      </c>
      <c r="D1410" t="inlineStr">
        <is>
          <t>STOCKHOLMS LÄN</t>
        </is>
      </c>
      <c r="E1410" t="inlineStr">
        <is>
          <t>HANINGE</t>
        </is>
      </c>
      <c r="F1410" t="inlineStr">
        <is>
          <t>Övriga statliga verk och myndigheter</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45572-2021</t>
        </is>
      </c>
      <c r="B1411" s="1" t="n">
        <v>44440</v>
      </c>
      <c r="C1411" s="1" t="n">
        <v>45661</v>
      </c>
      <c r="D1411" t="inlineStr">
        <is>
          <t>STOCKHOLMS LÄN</t>
        </is>
      </c>
      <c r="E1411" t="inlineStr">
        <is>
          <t>VÄRMDÖ</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45674-2021</t>
        </is>
      </c>
      <c r="B1412" s="1" t="n">
        <v>44441</v>
      </c>
      <c r="C1412" s="1" t="n">
        <v>45661</v>
      </c>
      <c r="D1412" t="inlineStr">
        <is>
          <t>STOCKHOLMS LÄN</t>
        </is>
      </c>
      <c r="E1412" t="inlineStr">
        <is>
          <t>SÖDERTÄLJE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46244-2021</t>
        </is>
      </c>
      <c r="B1413" s="1" t="n">
        <v>44442</v>
      </c>
      <c r="C1413" s="1" t="n">
        <v>45661</v>
      </c>
      <c r="D1413" t="inlineStr">
        <is>
          <t>STOCKHOLMS LÄN</t>
        </is>
      </c>
      <c r="E1413" t="inlineStr">
        <is>
          <t>UPPLANDS-BRO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46688-2021</t>
        </is>
      </c>
      <c r="B1414" s="1" t="n">
        <v>44445</v>
      </c>
      <c r="C1414" s="1" t="n">
        <v>45661</v>
      </c>
      <c r="D1414" t="inlineStr">
        <is>
          <t>STOCKHOLMS LÄN</t>
        </is>
      </c>
      <c r="E1414" t="inlineStr">
        <is>
          <t>SÖDERTÄLJE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46671-2021</t>
        </is>
      </c>
      <c r="B1415" s="1" t="n">
        <v>44445</v>
      </c>
      <c r="C1415" s="1" t="n">
        <v>45661</v>
      </c>
      <c r="D1415" t="inlineStr">
        <is>
          <t>STOCKHOLMS LÄN</t>
        </is>
      </c>
      <c r="E1415" t="inlineStr">
        <is>
          <t>SÖDERTÄLJE</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46935-2021</t>
        </is>
      </c>
      <c r="B1416" s="1" t="n">
        <v>44446</v>
      </c>
      <c r="C1416" s="1" t="n">
        <v>45661</v>
      </c>
      <c r="D1416" t="inlineStr">
        <is>
          <t>STOCKHOLMS LÄN</t>
        </is>
      </c>
      <c r="E1416" t="inlineStr">
        <is>
          <t>VALLENTUNA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46924-2021</t>
        </is>
      </c>
      <c r="B1417" s="1" t="n">
        <v>44446</v>
      </c>
      <c r="C1417" s="1" t="n">
        <v>45661</v>
      </c>
      <c r="D1417" t="inlineStr">
        <is>
          <t>STOCKHOLMS LÄN</t>
        </is>
      </c>
      <c r="E1417" t="inlineStr">
        <is>
          <t>VALLENTUNA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47344-2021</t>
        </is>
      </c>
      <c r="B1418" s="1" t="n">
        <v>44447</v>
      </c>
      <c r="C1418" s="1" t="n">
        <v>45661</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47349-2021</t>
        </is>
      </c>
      <c r="B1419" s="1" t="n">
        <v>44447</v>
      </c>
      <c r="C1419" s="1" t="n">
        <v>45661</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47691-2021</t>
        </is>
      </c>
      <c r="B1420" s="1" t="n">
        <v>44448</v>
      </c>
      <c r="C1420" s="1" t="n">
        <v>45661</v>
      </c>
      <c r="D1420" t="inlineStr">
        <is>
          <t>STOCKHOLMS LÄN</t>
        </is>
      </c>
      <c r="E1420" t="inlineStr">
        <is>
          <t>NORRTÄLJE</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48068-2021</t>
        </is>
      </c>
      <c r="B1421" s="1" t="n">
        <v>44449</v>
      </c>
      <c r="C1421" s="1" t="n">
        <v>45661</v>
      </c>
      <c r="D1421" t="inlineStr">
        <is>
          <t>STOCKHOLMS LÄN</t>
        </is>
      </c>
      <c r="E1421" t="inlineStr">
        <is>
          <t>VALLENTUNA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48078-2021</t>
        </is>
      </c>
      <c r="B1422" s="1" t="n">
        <v>44449</v>
      </c>
      <c r="C1422" s="1" t="n">
        <v>45661</v>
      </c>
      <c r="D1422" t="inlineStr">
        <is>
          <t>STOCKHOLMS LÄN</t>
        </is>
      </c>
      <c r="E1422" t="inlineStr">
        <is>
          <t>VALLENTUNA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48384-2021</t>
        </is>
      </c>
      <c r="B1423" s="1" t="n">
        <v>44451</v>
      </c>
      <c r="C1423" s="1" t="n">
        <v>45661</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48387-2021</t>
        </is>
      </c>
      <c r="B1424" s="1" t="n">
        <v>44451</v>
      </c>
      <c r="C1424" s="1" t="n">
        <v>45661</v>
      </c>
      <c r="D1424" t="inlineStr">
        <is>
          <t>STOCKHOLMS LÄN</t>
        </is>
      </c>
      <c r="E1424" t="inlineStr">
        <is>
          <t>SÖDERTÄLJE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48798-2021</t>
        </is>
      </c>
      <c r="B1425" s="1" t="n">
        <v>44452</v>
      </c>
      <c r="C1425" s="1" t="n">
        <v>45661</v>
      </c>
      <c r="D1425" t="inlineStr">
        <is>
          <t>STOCKHOLMS LÄN</t>
        </is>
      </c>
      <c r="E1425" t="inlineStr">
        <is>
          <t>NORRTÄLJE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48932-2021</t>
        </is>
      </c>
      <c r="B1426" s="1" t="n">
        <v>44453</v>
      </c>
      <c r="C1426" s="1" t="n">
        <v>45661</v>
      </c>
      <c r="D1426" t="inlineStr">
        <is>
          <t>STOCKHOLMS LÄN</t>
        </is>
      </c>
      <c r="E1426" t="inlineStr">
        <is>
          <t>NORRTÄLJE</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49123-2021</t>
        </is>
      </c>
      <c r="B1427" s="1" t="n">
        <v>44453</v>
      </c>
      <c r="C1427" s="1" t="n">
        <v>45661</v>
      </c>
      <c r="D1427" t="inlineStr">
        <is>
          <t>STOCKHOLMS LÄN</t>
        </is>
      </c>
      <c r="E1427" t="inlineStr">
        <is>
          <t>VÄRMDÖ</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49136-2021</t>
        </is>
      </c>
      <c r="B1428" s="1" t="n">
        <v>44454</v>
      </c>
      <c r="C1428" s="1" t="n">
        <v>45661</v>
      </c>
      <c r="D1428" t="inlineStr">
        <is>
          <t>STOCKHOLMS LÄN</t>
        </is>
      </c>
      <c r="E1428" t="inlineStr">
        <is>
          <t>SÖDERTÄLJE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49113-2021</t>
        </is>
      </c>
      <c r="B1429" s="1" t="n">
        <v>44453</v>
      </c>
      <c r="C1429" s="1" t="n">
        <v>45661</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49622-2021</t>
        </is>
      </c>
      <c r="B1430" s="1" t="n">
        <v>44455</v>
      </c>
      <c r="C1430" s="1" t="n">
        <v>45661</v>
      </c>
      <c r="D1430" t="inlineStr">
        <is>
          <t>STOCKHOLMS LÄN</t>
        </is>
      </c>
      <c r="E1430" t="inlineStr">
        <is>
          <t>UPPLANDS-BRO</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49657-2021</t>
        </is>
      </c>
      <c r="B1431" s="1" t="n">
        <v>44455</v>
      </c>
      <c r="C1431" s="1" t="n">
        <v>45661</v>
      </c>
      <c r="D1431" t="inlineStr">
        <is>
          <t>STOCKHOLMS LÄN</t>
        </is>
      </c>
      <c r="E1431" t="inlineStr">
        <is>
          <t>NYNÄSHAMN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50059-2021</t>
        </is>
      </c>
      <c r="B1432" s="1" t="n">
        <v>44455</v>
      </c>
      <c r="C1432" s="1" t="n">
        <v>45661</v>
      </c>
      <c r="D1432" t="inlineStr">
        <is>
          <t>STOCKHOLMS LÄN</t>
        </is>
      </c>
      <c r="E1432" t="inlineStr">
        <is>
          <t>SÖDERTÄLJE</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50038-2021</t>
        </is>
      </c>
      <c r="B1433" s="1" t="n">
        <v>44456</v>
      </c>
      <c r="C1433" s="1" t="n">
        <v>45661</v>
      </c>
      <c r="D1433" t="inlineStr">
        <is>
          <t>STOCKHOLMS LÄN</t>
        </is>
      </c>
      <c r="E1433" t="inlineStr">
        <is>
          <t>NORRTÄLJE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50117-2021</t>
        </is>
      </c>
      <c r="B1434" s="1" t="n">
        <v>44456</v>
      </c>
      <c r="C1434" s="1" t="n">
        <v>45661</v>
      </c>
      <c r="D1434" t="inlineStr">
        <is>
          <t>STOCKHOLMS LÄN</t>
        </is>
      </c>
      <c r="E1434" t="inlineStr">
        <is>
          <t>SÖDERTÄLJE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50108-2021</t>
        </is>
      </c>
      <c r="B1435" s="1" t="n">
        <v>44456</v>
      </c>
      <c r="C1435" s="1" t="n">
        <v>45661</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50252-2021</t>
        </is>
      </c>
      <c r="B1436" s="1" t="n">
        <v>44458</v>
      </c>
      <c r="C1436" s="1" t="n">
        <v>45661</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50602-2021</t>
        </is>
      </c>
      <c r="B1437" s="1" t="n">
        <v>44459</v>
      </c>
      <c r="C1437" s="1" t="n">
        <v>45661</v>
      </c>
      <c r="D1437" t="inlineStr">
        <is>
          <t>STOCKHOLMS LÄN</t>
        </is>
      </c>
      <c r="E1437" t="inlineStr">
        <is>
          <t>NORRTÄLJE</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50692-2021</t>
        </is>
      </c>
      <c r="B1438" s="1" t="n">
        <v>44460</v>
      </c>
      <c r="C1438" s="1" t="n">
        <v>45661</v>
      </c>
      <c r="D1438" t="inlineStr">
        <is>
          <t>STOCKHOLMS LÄN</t>
        </is>
      </c>
      <c r="E1438" t="inlineStr">
        <is>
          <t>SALEM</t>
        </is>
      </c>
      <c r="F1438" t="inlineStr">
        <is>
          <t>Kommuner</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50903-2021</t>
        </is>
      </c>
      <c r="B1439" s="1" t="n">
        <v>44460</v>
      </c>
      <c r="C1439" s="1" t="n">
        <v>45661</v>
      </c>
      <c r="D1439" t="inlineStr">
        <is>
          <t>STOCKHOLMS LÄN</t>
        </is>
      </c>
      <c r="E1439" t="inlineStr">
        <is>
          <t>HANINGE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51482-2021</t>
        </is>
      </c>
      <c r="B1440" s="1" t="n">
        <v>44460</v>
      </c>
      <c r="C1440" s="1" t="n">
        <v>45661</v>
      </c>
      <c r="D1440" t="inlineStr">
        <is>
          <t>STOCKHOLMS LÄN</t>
        </is>
      </c>
      <c r="E1440" t="inlineStr">
        <is>
          <t>SÖDERTÄLJE</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51454-2021</t>
        </is>
      </c>
      <c r="B1441" s="1" t="n">
        <v>44460</v>
      </c>
      <c r="C1441" s="1" t="n">
        <v>45661</v>
      </c>
      <c r="D1441" t="inlineStr">
        <is>
          <t>STOCKHOLMS LÄN</t>
        </is>
      </c>
      <c r="E1441" t="inlineStr">
        <is>
          <t>SÖDERTÄLJE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51279-2021</t>
        </is>
      </c>
      <c r="B1442" s="1" t="n">
        <v>44461</v>
      </c>
      <c r="C1442" s="1" t="n">
        <v>45661</v>
      </c>
      <c r="D1442" t="inlineStr">
        <is>
          <t>STOCKHOLMS LÄN</t>
        </is>
      </c>
      <c r="E1442" t="inlineStr">
        <is>
          <t>NORRTÄLJE</t>
        </is>
      </c>
      <c r="F1442" t="inlineStr">
        <is>
          <t>Holmen skog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51315-2021</t>
        </is>
      </c>
      <c r="B1443" s="1" t="n">
        <v>44461</v>
      </c>
      <c r="C1443" s="1" t="n">
        <v>45661</v>
      </c>
      <c r="D1443" t="inlineStr">
        <is>
          <t>STOCKHOLMS LÄN</t>
        </is>
      </c>
      <c r="E1443" t="inlineStr">
        <is>
          <t>NORRTÄLJE</t>
        </is>
      </c>
      <c r="F1443" t="inlineStr">
        <is>
          <t>Holmen skog AB</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51787-2021</t>
        </is>
      </c>
      <c r="B1444" s="1" t="n">
        <v>44462</v>
      </c>
      <c r="C1444" s="1" t="n">
        <v>45661</v>
      </c>
      <c r="D1444" t="inlineStr">
        <is>
          <t>STOCKHOLMS LÄN</t>
        </is>
      </c>
      <c r="E1444" t="inlineStr">
        <is>
          <t>NYKVARN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52214-2021</t>
        </is>
      </c>
      <c r="B1445" s="1" t="n">
        <v>44462</v>
      </c>
      <c r="C1445" s="1" t="n">
        <v>45661</v>
      </c>
      <c r="D1445" t="inlineStr">
        <is>
          <t>STOCKHOLMS LÄN</t>
        </is>
      </c>
      <c r="E1445" t="inlineStr">
        <is>
          <t>SÖDERTÄLJE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52090-2021</t>
        </is>
      </c>
      <c r="B1446" s="1" t="n">
        <v>44463</v>
      </c>
      <c r="C1446" s="1" t="n">
        <v>45661</v>
      </c>
      <c r="D1446" t="inlineStr">
        <is>
          <t>STOCKHOLMS LÄN</t>
        </is>
      </c>
      <c r="E1446" t="inlineStr">
        <is>
          <t>NORRTÄLJE</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52035-2021</t>
        </is>
      </c>
      <c r="B1447" s="1" t="n">
        <v>44463</v>
      </c>
      <c r="C1447" s="1" t="n">
        <v>45661</v>
      </c>
      <c r="D1447" t="inlineStr">
        <is>
          <t>STOCKHOLMS LÄN</t>
        </is>
      </c>
      <c r="E1447" t="inlineStr">
        <is>
          <t>BOTKYRKA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52377-2021</t>
        </is>
      </c>
      <c r="B1448" s="1" t="n">
        <v>44465</v>
      </c>
      <c r="C1448" s="1" t="n">
        <v>45661</v>
      </c>
      <c r="D1448" t="inlineStr">
        <is>
          <t>STOCKHOLMS LÄN</t>
        </is>
      </c>
      <c r="E1448" t="inlineStr">
        <is>
          <t>VALLENTUNA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52449-2021</t>
        </is>
      </c>
      <c r="B1449" s="1" t="n">
        <v>44466</v>
      </c>
      <c r="C1449" s="1" t="n">
        <v>45661</v>
      </c>
      <c r="D1449" t="inlineStr">
        <is>
          <t>STOCKHOLMS LÄN</t>
        </is>
      </c>
      <c r="E1449" t="inlineStr">
        <is>
          <t>NORRTÄLJE</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53042-2021</t>
        </is>
      </c>
      <c r="B1450" s="1" t="n">
        <v>44467</v>
      </c>
      <c r="C1450" s="1" t="n">
        <v>45661</v>
      </c>
      <c r="D1450" t="inlineStr">
        <is>
          <t>STOCKHOLMS LÄN</t>
        </is>
      </c>
      <c r="E1450" t="inlineStr">
        <is>
          <t>SÖDERTÄLJE</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53090-2021</t>
        </is>
      </c>
      <c r="B1451" s="1" t="n">
        <v>44467</v>
      </c>
      <c r="C1451" s="1" t="n">
        <v>45661</v>
      </c>
      <c r="D1451" t="inlineStr">
        <is>
          <t>STOCKHOLMS LÄN</t>
        </is>
      </c>
      <c r="E1451" t="inlineStr">
        <is>
          <t>SIGTUNA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53462-2021</t>
        </is>
      </c>
      <c r="B1452" s="1" t="n">
        <v>44468</v>
      </c>
      <c r="C1452" s="1" t="n">
        <v>45661</v>
      </c>
      <c r="D1452" t="inlineStr">
        <is>
          <t>STOCKHOLMS LÄN</t>
        </is>
      </c>
      <c r="E1452" t="inlineStr">
        <is>
          <t>SIGTUNA</t>
        </is>
      </c>
      <c r="F1452" t="inlineStr">
        <is>
          <t>Kyrkan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54276-2021</t>
        </is>
      </c>
      <c r="B1453" s="1" t="n">
        <v>44470</v>
      </c>
      <c r="C1453" s="1" t="n">
        <v>45661</v>
      </c>
      <c r="D1453" t="inlineStr">
        <is>
          <t>STOCKHOLMS LÄN</t>
        </is>
      </c>
      <c r="E1453" t="inlineStr">
        <is>
          <t>NORRTÄLJE</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54273-2021</t>
        </is>
      </c>
      <c r="B1454" s="1" t="n">
        <v>44470</v>
      </c>
      <c r="C1454" s="1" t="n">
        <v>45661</v>
      </c>
      <c r="D1454" t="inlineStr">
        <is>
          <t>STOCKHOLMS LÄN</t>
        </is>
      </c>
      <c r="E1454" t="inlineStr">
        <is>
          <t>NORRTÄLJE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54272-2021</t>
        </is>
      </c>
      <c r="B1455" s="1" t="n">
        <v>44470</v>
      </c>
      <c r="C1455" s="1" t="n">
        <v>45661</v>
      </c>
      <c r="D1455" t="inlineStr">
        <is>
          <t>STOCKHOLMS LÄN</t>
        </is>
      </c>
      <c r="E1455" t="inlineStr">
        <is>
          <t>NORRTÄLJE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54396-2021</t>
        </is>
      </c>
      <c r="B1456" s="1" t="n">
        <v>44472</v>
      </c>
      <c r="C1456" s="1" t="n">
        <v>45661</v>
      </c>
      <c r="D1456" t="inlineStr">
        <is>
          <t>STOCKHOLMS LÄN</t>
        </is>
      </c>
      <c r="E1456" t="inlineStr">
        <is>
          <t>NORRTÄLJE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54418-2021</t>
        </is>
      </c>
      <c r="B1457" s="1" t="n">
        <v>44473</v>
      </c>
      <c r="C1457" s="1" t="n">
        <v>45661</v>
      </c>
      <c r="D1457" t="inlineStr">
        <is>
          <t>STOCKHOLMS LÄN</t>
        </is>
      </c>
      <c r="E1457" t="inlineStr">
        <is>
          <t>NYKVARN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55058-2021</t>
        </is>
      </c>
      <c r="B1458" s="1" t="n">
        <v>44474</v>
      </c>
      <c r="C1458" s="1" t="n">
        <v>45661</v>
      </c>
      <c r="D1458" t="inlineStr">
        <is>
          <t>STOCKHOLMS LÄN</t>
        </is>
      </c>
      <c r="E1458" t="inlineStr">
        <is>
          <t>NORRTÄLJE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55112-2021</t>
        </is>
      </c>
      <c r="B1459" s="1" t="n">
        <v>44474</v>
      </c>
      <c r="C1459" s="1" t="n">
        <v>45661</v>
      </c>
      <c r="D1459" t="inlineStr">
        <is>
          <t>STOCKHOLMS LÄN</t>
        </is>
      </c>
      <c r="E1459" t="inlineStr">
        <is>
          <t>SIGTUNA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55861-2021</t>
        </is>
      </c>
      <c r="B1460" s="1" t="n">
        <v>44476</v>
      </c>
      <c r="C1460" s="1" t="n">
        <v>45661</v>
      </c>
      <c r="D1460" t="inlineStr">
        <is>
          <t>STOCKHOLMS LÄN</t>
        </is>
      </c>
      <c r="E1460" t="inlineStr">
        <is>
          <t>HANINGE</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55857-2021</t>
        </is>
      </c>
      <c r="B1461" s="1" t="n">
        <v>44476</v>
      </c>
      <c r="C1461" s="1" t="n">
        <v>45661</v>
      </c>
      <c r="D1461" t="inlineStr">
        <is>
          <t>STOCKHOLMS LÄN</t>
        </is>
      </c>
      <c r="E1461" t="inlineStr">
        <is>
          <t>HANINGE</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55853-2021</t>
        </is>
      </c>
      <c r="B1462" s="1" t="n">
        <v>44476</v>
      </c>
      <c r="C1462" s="1" t="n">
        <v>45661</v>
      </c>
      <c r="D1462" t="inlineStr">
        <is>
          <t>STOCKHOLMS LÄN</t>
        </is>
      </c>
      <c r="E1462" t="inlineStr">
        <is>
          <t>HANINGE</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56219-2021</t>
        </is>
      </c>
      <c r="B1463" s="1" t="n">
        <v>44477</v>
      </c>
      <c r="C1463" s="1" t="n">
        <v>45661</v>
      </c>
      <c r="D1463" t="inlineStr">
        <is>
          <t>STOCKHOLMS LÄN</t>
        </is>
      </c>
      <c r="E1463" t="inlineStr">
        <is>
          <t>NORRTÄLJE</t>
        </is>
      </c>
      <c r="F1463" t="inlineStr">
        <is>
          <t>Kommuner</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56225-2021</t>
        </is>
      </c>
      <c r="B1464" s="1" t="n">
        <v>44478</v>
      </c>
      <c r="C1464" s="1" t="n">
        <v>45661</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56724-2021</t>
        </is>
      </c>
      <c r="B1465" s="1" t="n">
        <v>44480</v>
      </c>
      <c r="C1465" s="1" t="n">
        <v>45661</v>
      </c>
      <c r="D1465" t="inlineStr">
        <is>
          <t>STOCKHOLMS LÄN</t>
        </is>
      </c>
      <c r="E1465" t="inlineStr">
        <is>
          <t>SIGTUNA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56756-2021</t>
        </is>
      </c>
      <c r="B1466" s="1" t="n">
        <v>44481</v>
      </c>
      <c r="C1466" s="1" t="n">
        <v>45661</v>
      </c>
      <c r="D1466" t="inlineStr">
        <is>
          <t>STOCKHOLMS LÄN</t>
        </is>
      </c>
      <c r="E1466" t="inlineStr">
        <is>
          <t>UPPLANDS-BRO</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56878-2021</t>
        </is>
      </c>
      <c r="B1467" s="1" t="n">
        <v>44481</v>
      </c>
      <c r="C1467" s="1" t="n">
        <v>45661</v>
      </c>
      <c r="D1467" t="inlineStr">
        <is>
          <t>STOCKHOLMS LÄN</t>
        </is>
      </c>
      <c r="E1467" t="inlineStr">
        <is>
          <t>NORRTÄLJE</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56816-2021</t>
        </is>
      </c>
      <c r="B1468" s="1" t="n">
        <v>44481</v>
      </c>
      <c r="C1468" s="1" t="n">
        <v>45661</v>
      </c>
      <c r="D1468" t="inlineStr">
        <is>
          <t>STOCKHOLMS LÄN</t>
        </is>
      </c>
      <c r="E1468" t="inlineStr">
        <is>
          <t>BOTKYRKA</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57039-2021</t>
        </is>
      </c>
      <c r="B1469" s="1" t="n">
        <v>44482</v>
      </c>
      <c r="C1469" s="1" t="n">
        <v>45661</v>
      </c>
      <c r="D1469" t="inlineStr">
        <is>
          <t>STOCKHOLMS LÄN</t>
        </is>
      </c>
      <c r="E1469" t="inlineStr">
        <is>
          <t>SÖDERTÄLJE</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57442-2021</t>
        </is>
      </c>
      <c r="B1470" s="1" t="n">
        <v>44483</v>
      </c>
      <c r="C1470" s="1" t="n">
        <v>45661</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57507-2021</t>
        </is>
      </c>
      <c r="B1471" s="1" t="n">
        <v>44483</v>
      </c>
      <c r="C1471" s="1" t="n">
        <v>45661</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57884-2021</t>
        </is>
      </c>
      <c r="B1472" s="1" t="n">
        <v>44485</v>
      </c>
      <c r="C1472" s="1" t="n">
        <v>45661</v>
      </c>
      <c r="D1472" t="inlineStr">
        <is>
          <t>STOCKHOLMS LÄN</t>
        </is>
      </c>
      <c r="E1472" t="inlineStr">
        <is>
          <t>SÖDERTÄLJE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57993-2021</t>
        </is>
      </c>
      <c r="B1473" s="1" t="n">
        <v>44487</v>
      </c>
      <c r="C1473" s="1" t="n">
        <v>45661</v>
      </c>
      <c r="D1473" t="inlineStr">
        <is>
          <t>STOCKHOLMS LÄN</t>
        </is>
      </c>
      <c r="E1473" t="inlineStr">
        <is>
          <t>UPPLANDS-BRO</t>
        </is>
      </c>
      <c r="F1473" t="inlineStr">
        <is>
          <t>Övriga statliga verk och myndigheter</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58011-2021</t>
        </is>
      </c>
      <c r="B1474" s="1" t="n">
        <v>44487</v>
      </c>
      <c r="C1474" s="1" t="n">
        <v>45661</v>
      </c>
      <c r="D1474" t="inlineStr">
        <is>
          <t>STOCKHOLMS LÄN</t>
        </is>
      </c>
      <c r="E1474" t="inlineStr">
        <is>
          <t>UPPLANDS-BRO</t>
        </is>
      </c>
      <c r="F1474" t="inlineStr">
        <is>
          <t>Övriga statliga verk och myndigheter</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58669-2021</t>
        </is>
      </c>
      <c r="B1475" s="1" t="n">
        <v>44489</v>
      </c>
      <c r="C1475" s="1" t="n">
        <v>45661</v>
      </c>
      <c r="D1475" t="inlineStr">
        <is>
          <t>STOCKHOLMS LÄN</t>
        </is>
      </c>
      <c r="E1475" t="inlineStr">
        <is>
          <t>UPPLANDS-BRO</t>
        </is>
      </c>
      <c r="F1475" t="inlineStr">
        <is>
          <t>Övriga statliga verk och myndigheter</t>
        </is>
      </c>
      <c r="G1475" t="n">
        <v>20.7</v>
      </c>
      <c r="H1475" t="n">
        <v>0</v>
      </c>
      <c r="I1475" t="n">
        <v>0</v>
      </c>
      <c r="J1475" t="n">
        <v>0</v>
      </c>
      <c r="K1475" t="n">
        <v>0</v>
      </c>
      <c r="L1475" t="n">
        <v>0</v>
      </c>
      <c r="M1475" t="n">
        <v>0</v>
      </c>
      <c r="N1475" t="n">
        <v>0</v>
      </c>
      <c r="O1475" t="n">
        <v>0</v>
      </c>
      <c r="P1475" t="n">
        <v>0</v>
      </c>
      <c r="Q1475" t="n">
        <v>0</v>
      </c>
      <c r="R1475" s="2" t="inlineStr"/>
    </row>
    <row r="1476" ht="15" customHeight="1">
      <c r="A1476" t="inlineStr">
        <is>
          <t>A 58663-2021</t>
        </is>
      </c>
      <c r="B1476" s="1" t="n">
        <v>44489</v>
      </c>
      <c r="C1476" s="1" t="n">
        <v>45661</v>
      </c>
      <c r="D1476" t="inlineStr">
        <is>
          <t>STOCKHOLMS LÄN</t>
        </is>
      </c>
      <c r="E1476" t="inlineStr">
        <is>
          <t>UPPLANDS-BRO</t>
        </is>
      </c>
      <c r="F1476" t="inlineStr">
        <is>
          <t>Övriga statliga verk och myndigheter</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58989-2021</t>
        </is>
      </c>
      <c r="B1477" s="1" t="n">
        <v>44490</v>
      </c>
      <c r="C1477" s="1" t="n">
        <v>45661</v>
      </c>
      <c r="D1477" t="inlineStr">
        <is>
          <t>STOCKHOLMS LÄN</t>
        </is>
      </c>
      <c r="E1477" t="inlineStr">
        <is>
          <t>NORRTÄLJE</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58990-2021</t>
        </is>
      </c>
      <c r="B1478" s="1" t="n">
        <v>44490</v>
      </c>
      <c r="C1478" s="1" t="n">
        <v>45661</v>
      </c>
      <c r="D1478" t="inlineStr">
        <is>
          <t>STOCKHOLMS LÄN</t>
        </is>
      </c>
      <c r="E1478" t="inlineStr">
        <is>
          <t>NORRTÄLJE</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59235-2021</t>
        </is>
      </c>
      <c r="B1479" s="1" t="n">
        <v>44490</v>
      </c>
      <c r="C1479" s="1" t="n">
        <v>45661</v>
      </c>
      <c r="D1479" t="inlineStr">
        <is>
          <t>STOCKHOLMS LÄN</t>
        </is>
      </c>
      <c r="E1479" t="inlineStr">
        <is>
          <t>SÖDERTÄLJE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59700-2021</t>
        </is>
      </c>
      <c r="B1480" s="1" t="n">
        <v>44494</v>
      </c>
      <c r="C1480" s="1" t="n">
        <v>45661</v>
      </c>
      <c r="D1480" t="inlineStr">
        <is>
          <t>STOCKHOLMS LÄN</t>
        </is>
      </c>
      <c r="E1480" t="inlineStr">
        <is>
          <t>UPPLANDS-BRO</t>
        </is>
      </c>
      <c r="F1480" t="inlineStr">
        <is>
          <t>Övriga statliga verk och myndigheter</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60217-2021</t>
        </is>
      </c>
      <c r="B1481" s="1" t="n">
        <v>44495</v>
      </c>
      <c r="C1481" s="1" t="n">
        <v>45661</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60184-2021</t>
        </is>
      </c>
      <c r="B1482" s="1" t="n">
        <v>44495</v>
      </c>
      <c r="C1482" s="1" t="n">
        <v>45661</v>
      </c>
      <c r="D1482" t="inlineStr">
        <is>
          <t>STOCKHOLMS LÄN</t>
        </is>
      </c>
      <c r="E1482" t="inlineStr">
        <is>
          <t>NORRTÄLJE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60186-2021</t>
        </is>
      </c>
      <c r="B1483" s="1" t="n">
        <v>44495</v>
      </c>
      <c r="C1483" s="1" t="n">
        <v>45661</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60209-2021</t>
        </is>
      </c>
      <c r="B1484" s="1" t="n">
        <v>44495</v>
      </c>
      <c r="C1484" s="1" t="n">
        <v>45661</v>
      </c>
      <c r="D1484" t="inlineStr">
        <is>
          <t>STOCKHOLMS LÄN</t>
        </is>
      </c>
      <c r="E1484" t="inlineStr">
        <is>
          <t>NORRTÄLJE</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60671-2021</t>
        </is>
      </c>
      <c r="B1485" s="1" t="n">
        <v>44496</v>
      </c>
      <c r="C1485" s="1" t="n">
        <v>45661</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60733-2021</t>
        </is>
      </c>
      <c r="B1486" s="1" t="n">
        <v>44496</v>
      </c>
      <c r="C1486" s="1" t="n">
        <v>45661</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60813-2021</t>
        </is>
      </c>
      <c r="B1487" s="1" t="n">
        <v>44496</v>
      </c>
      <c r="C1487" s="1" t="n">
        <v>45661</v>
      </c>
      <c r="D1487" t="inlineStr">
        <is>
          <t>STOCKHOLMS LÄN</t>
        </is>
      </c>
      <c r="E1487" t="inlineStr">
        <is>
          <t>NORRTÄLJE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60822-2021</t>
        </is>
      </c>
      <c r="B1488" s="1" t="n">
        <v>44496</v>
      </c>
      <c r="C1488" s="1" t="n">
        <v>45661</v>
      </c>
      <c r="D1488" t="inlineStr">
        <is>
          <t>STOCKHOLMS LÄN</t>
        </is>
      </c>
      <c r="E1488" t="inlineStr">
        <is>
          <t>NORRTÄLJE</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61196-2021</t>
        </is>
      </c>
      <c r="B1489" s="1" t="n">
        <v>44498</v>
      </c>
      <c r="C1489" s="1" t="n">
        <v>45661</v>
      </c>
      <c r="D1489" t="inlineStr">
        <is>
          <t>STOCKHOLMS LÄN</t>
        </is>
      </c>
      <c r="E1489" t="inlineStr">
        <is>
          <t>EKERÖ</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61937-2021</t>
        </is>
      </c>
      <c r="B1490" s="1" t="n">
        <v>44502</v>
      </c>
      <c r="C1490" s="1" t="n">
        <v>45661</v>
      </c>
      <c r="D1490" t="inlineStr">
        <is>
          <t>STOCKHOLMS LÄN</t>
        </is>
      </c>
      <c r="E1490" t="inlineStr">
        <is>
          <t>SIGTUNA</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62030-2021</t>
        </is>
      </c>
      <c r="B1491" s="1" t="n">
        <v>44502</v>
      </c>
      <c r="C1491" s="1" t="n">
        <v>45661</v>
      </c>
      <c r="D1491" t="inlineStr">
        <is>
          <t>STOCKHOLMS LÄN</t>
        </is>
      </c>
      <c r="E1491" t="inlineStr">
        <is>
          <t>NORRTÄLJE</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63530-2021</t>
        </is>
      </c>
      <c r="B1492" s="1" t="n">
        <v>44508</v>
      </c>
      <c r="C1492" s="1" t="n">
        <v>45661</v>
      </c>
      <c r="D1492" t="inlineStr">
        <is>
          <t>STOCKHOLMS LÄN</t>
        </is>
      </c>
      <c r="E1492" t="inlineStr">
        <is>
          <t>NORRTÄLJE</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63644-2021</t>
        </is>
      </c>
      <c r="B1493" s="1" t="n">
        <v>44508</v>
      </c>
      <c r="C1493" s="1" t="n">
        <v>45661</v>
      </c>
      <c r="D1493" t="inlineStr">
        <is>
          <t>STOCKHOLMS LÄN</t>
        </is>
      </c>
      <c r="E1493" t="inlineStr">
        <is>
          <t>SÖDERTÄLJE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64111-2021</t>
        </is>
      </c>
      <c r="B1494" s="1" t="n">
        <v>44509</v>
      </c>
      <c r="C1494" s="1" t="n">
        <v>45661</v>
      </c>
      <c r="D1494" t="inlineStr">
        <is>
          <t>STOCKHOLMS LÄN</t>
        </is>
      </c>
      <c r="E1494" t="inlineStr">
        <is>
          <t>SÖDERTÄLJE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63931-2021</t>
        </is>
      </c>
      <c r="B1495" s="1" t="n">
        <v>44509</v>
      </c>
      <c r="C1495" s="1" t="n">
        <v>45661</v>
      </c>
      <c r="D1495" t="inlineStr">
        <is>
          <t>STOCKHOLMS LÄN</t>
        </is>
      </c>
      <c r="E1495" t="inlineStr">
        <is>
          <t>NYNÄSHAMN</t>
        </is>
      </c>
      <c r="F1495" t="inlineStr">
        <is>
          <t>Kommuner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64137-2021</t>
        </is>
      </c>
      <c r="B1496" s="1" t="n">
        <v>44510</v>
      </c>
      <c r="C1496" s="1" t="n">
        <v>45661</v>
      </c>
      <c r="D1496" t="inlineStr">
        <is>
          <t>STOCKHOLMS LÄN</t>
        </is>
      </c>
      <c r="E1496" t="inlineStr">
        <is>
          <t>NORRTÄLJE</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64212-2021</t>
        </is>
      </c>
      <c r="B1497" s="1" t="n">
        <v>44510</v>
      </c>
      <c r="C1497" s="1" t="n">
        <v>45661</v>
      </c>
      <c r="D1497" t="inlineStr">
        <is>
          <t>STOCKHOLMS LÄN</t>
        </is>
      </c>
      <c r="E1497" t="inlineStr">
        <is>
          <t>NORRTÄLJE</t>
        </is>
      </c>
      <c r="G1497" t="n">
        <v>28.7</v>
      </c>
      <c r="H1497" t="n">
        <v>0</v>
      </c>
      <c r="I1497" t="n">
        <v>0</v>
      </c>
      <c r="J1497" t="n">
        <v>0</v>
      </c>
      <c r="K1497" t="n">
        <v>0</v>
      </c>
      <c r="L1497" t="n">
        <v>0</v>
      </c>
      <c r="M1497" t="n">
        <v>0</v>
      </c>
      <c r="N1497" t="n">
        <v>0</v>
      </c>
      <c r="O1497" t="n">
        <v>0</v>
      </c>
      <c r="P1497" t="n">
        <v>0</v>
      </c>
      <c r="Q1497" t="n">
        <v>0</v>
      </c>
      <c r="R1497" s="2" t="inlineStr"/>
    </row>
    <row r="1498" ht="15" customHeight="1">
      <c r="A1498" t="inlineStr">
        <is>
          <t>A 64074-2021</t>
        </is>
      </c>
      <c r="B1498" s="1" t="n">
        <v>44510</v>
      </c>
      <c r="C1498" s="1" t="n">
        <v>45661</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64145-2021</t>
        </is>
      </c>
      <c r="B1499" s="1" t="n">
        <v>44510</v>
      </c>
      <c r="C1499" s="1" t="n">
        <v>45661</v>
      </c>
      <c r="D1499" t="inlineStr">
        <is>
          <t>STOCKHOLMS LÄN</t>
        </is>
      </c>
      <c r="E1499" t="inlineStr">
        <is>
          <t>NORRTÄLJE</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64600-2021</t>
        </is>
      </c>
      <c r="B1500" s="1" t="n">
        <v>44511</v>
      </c>
      <c r="C1500" s="1" t="n">
        <v>45661</v>
      </c>
      <c r="D1500" t="inlineStr">
        <is>
          <t>STOCKHOLMS LÄN</t>
        </is>
      </c>
      <c r="E1500" t="inlineStr">
        <is>
          <t>NORRTÄLJE</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64599-2021</t>
        </is>
      </c>
      <c r="B1501" s="1" t="n">
        <v>44511</v>
      </c>
      <c r="C1501" s="1" t="n">
        <v>45661</v>
      </c>
      <c r="D1501" t="inlineStr">
        <is>
          <t>STOCKHOLMS LÄN</t>
        </is>
      </c>
      <c r="E1501" t="inlineStr">
        <is>
          <t>NORRTÄLJE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64628-2021</t>
        </is>
      </c>
      <c r="B1502" s="1" t="n">
        <v>44511</v>
      </c>
      <c r="C1502" s="1" t="n">
        <v>45661</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64915-2021</t>
        </is>
      </c>
      <c r="B1503" s="1" t="n">
        <v>44512</v>
      </c>
      <c r="C1503" s="1" t="n">
        <v>45661</v>
      </c>
      <c r="D1503" t="inlineStr">
        <is>
          <t>STOCKHOLMS LÄN</t>
        </is>
      </c>
      <c r="E1503" t="inlineStr">
        <is>
          <t>NORRTÄLJE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65129-2021</t>
        </is>
      </c>
      <c r="B1504" s="1" t="n">
        <v>44515</v>
      </c>
      <c r="C1504" s="1" t="n">
        <v>45661</v>
      </c>
      <c r="D1504" t="inlineStr">
        <is>
          <t>STOCKHOLMS LÄN</t>
        </is>
      </c>
      <c r="E1504" t="inlineStr">
        <is>
          <t>EKERÖ</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65340-2021</t>
        </is>
      </c>
      <c r="B1505" s="1" t="n">
        <v>44515</v>
      </c>
      <c r="C1505" s="1" t="n">
        <v>45661</v>
      </c>
      <c r="D1505" t="inlineStr">
        <is>
          <t>STOCKHOLMS LÄN</t>
        </is>
      </c>
      <c r="E1505" t="inlineStr">
        <is>
          <t>SIGTUNA</t>
        </is>
      </c>
      <c r="F1505" t="inlineStr">
        <is>
          <t>Kyrkan</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65359-2021</t>
        </is>
      </c>
      <c r="B1506" s="1" t="n">
        <v>44515</v>
      </c>
      <c r="C1506" s="1" t="n">
        <v>45661</v>
      </c>
      <c r="D1506" t="inlineStr">
        <is>
          <t>STOCKHOLMS LÄN</t>
        </is>
      </c>
      <c r="E1506" t="inlineStr">
        <is>
          <t>NORRTÄLJE</t>
        </is>
      </c>
      <c r="F1506" t="inlineStr">
        <is>
          <t>Kyrkan</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65499-2021</t>
        </is>
      </c>
      <c r="B1507" s="1" t="n">
        <v>44516</v>
      </c>
      <c r="C1507" s="1" t="n">
        <v>45661</v>
      </c>
      <c r="D1507" t="inlineStr">
        <is>
          <t>STOCKHOLMS LÄN</t>
        </is>
      </c>
      <c r="E1507" t="inlineStr">
        <is>
          <t>NORRTÄLJE</t>
        </is>
      </c>
      <c r="F1507" t="inlineStr">
        <is>
          <t>Kommuner</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65513-2021</t>
        </is>
      </c>
      <c r="B1508" s="1" t="n">
        <v>44516</v>
      </c>
      <c r="C1508" s="1" t="n">
        <v>45661</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65511-2021</t>
        </is>
      </c>
      <c r="B1509" s="1" t="n">
        <v>44516</v>
      </c>
      <c r="C1509" s="1" t="n">
        <v>45661</v>
      </c>
      <c r="D1509" t="inlineStr">
        <is>
          <t>STOCKHOLMS LÄN</t>
        </is>
      </c>
      <c r="E1509" t="inlineStr">
        <is>
          <t>NORRTÄLJE</t>
        </is>
      </c>
      <c r="F1509" t="inlineStr">
        <is>
          <t>Kommuner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65501-2021</t>
        </is>
      </c>
      <c r="B1510" s="1" t="n">
        <v>44516</v>
      </c>
      <c r="C1510" s="1" t="n">
        <v>45661</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65509-2021</t>
        </is>
      </c>
      <c r="B1511" s="1" t="n">
        <v>44516</v>
      </c>
      <c r="C1511" s="1" t="n">
        <v>45661</v>
      </c>
      <c r="D1511" t="inlineStr">
        <is>
          <t>STOCKHOLMS LÄN</t>
        </is>
      </c>
      <c r="E1511" t="inlineStr">
        <is>
          <t>NORRTÄLJE</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65611-2021</t>
        </is>
      </c>
      <c r="B1512" s="1" t="n">
        <v>44516</v>
      </c>
      <c r="C1512" s="1" t="n">
        <v>45661</v>
      </c>
      <c r="D1512" t="inlineStr">
        <is>
          <t>STOCKHOLMS LÄN</t>
        </is>
      </c>
      <c r="E1512" t="inlineStr">
        <is>
          <t>NORRTÄLJE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65737-2021</t>
        </is>
      </c>
      <c r="B1513" s="1" t="n">
        <v>44516</v>
      </c>
      <c r="C1513" s="1" t="n">
        <v>45661</v>
      </c>
      <c r="D1513" t="inlineStr">
        <is>
          <t>STOCKHOLMS LÄN</t>
        </is>
      </c>
      <c r="E1513" t="inlineStr">
        <is>
          <t>NORRTÄLJE</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66450-2021</t>
        </is>
      </c>
      <c r="B1514" s="1" t="n">
        <v>44518</v>
      </c>
      <c r="C1514" s="1" t="n">
        <v>45661</v>
      </c>
      <c r="D1514" t="inlineStr">
        <is>
          <t>STOCKHOLMS LÄN</t>
        </is>
      </c>
      <c r="E1514" t="inlineStr">
        <is>
          <t>NORRTÄLJE</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66608-2021</t>
        </is>
      </c>
      <c r="B1515" s="1" t="n">
        <v>44519</v>
      </c>
      <c r="C1515" s="1" t="n">
        <v>45661</v>
      </c>
      <c r="D1515" t="inlineStr">
        <is>
          <t>STOCKHOLMS LÄN</t>
        </is>
      </c>
      <c r="E1515" t="inlineStr">
        <is>
          <t>NORRTÄLJE</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66592-2021</t>
        </is>
      </c>
      <c r="B1516" s="1" t="n">
        <v>44519</v>
      </c>
      <c r="C1516" s="1" t="n">
        <v>45661</v>
      </c>
      <c r="D1516" t="inlineStr">
        <is>
          <t>STOCKHOLMS LÄN</t>
        </is>
      </c>
      <c r="E1516" t="inlineStr">
        <is>
          <t>NORRTÄLJE</t>
        </is>
      </c>
      <c r="F1516" t="inlineStr">
        <is>
          <t>Sveaskog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66769-2021</t>
        </is>
      </c>
      <c r="B1517" s="1" t="n">
        <v>44521</v>
      </c>
      <c r="C1517" s="1" t="n">
        <v>45661</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67244-2021</t>
        </is>
      </c>
      <c r="B1518" s="1" t="n">
        <v>44523</v>
      </c>
      <c r="C1518" s="1" t="n">
        <v>45661</v>
      </c>
      <c r="D1518" t="inlineStr">
        <is>
          <t>STOCKHOLMS LÄN</t>
        </is>
      </c>
      <c r="E1518" t="inlineStr">
        <is>
          <t>ÖSTERÅKER</t>
        </is>
      </c>
      <c r="F1518" t="inlineStr">
        <is>
          <t>Kommuner</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67220-2021</t>
        </is>
      </c>
      <c r="B1519" s="1" t="n">
        <v>44523</v>
      </c>
      <c r="C1519" s="1" t="n">
        <v>45661</v>
      </c>
      <c r="D1519" t="inlineStr">
        <is>
          <t>STOCKHOLMS LÄN</t>
        </is>
      </c>
      <c r="E1519" t="inlineStr">
        <is>
          <t>NYKVARN</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67265-2021</t>
        </is>
      </c>
      <c r="B1520" s="1" t="n">
        <v>44523</v>
      </c>
      <c r="C1520" s="1" t="n">
        <v>45661</v>
      </c>
      <c r="D1520" t="inlineStr">
        <is>
          <t>STOCKHOLMS LÄN</t>
        </is>
      </c>
      <c r="E1520" t="inlineStr">
        <is>
          <t>ÖSTERÅKER</t>
        </is>
      </c>
      <c r="F1520" t="inlineStr">
        <is>
          <t>Kommuner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67285-2021</t>
        </is>
      </c>
      <c r="B1521" s="1" t="n">
        <v>44523</v>
      </c>
      <c r="C1521" s="1" t="n">
        <v>45661</v>
      </c>
      <c r="D1521" t="inlineStr">
        <is>
          <t>STOCKHOLMS LÄN</t>
        </is>
      </c>
      <c r="E1521" t="inlineStr">
        <is>
          <t>NORRTÄLJE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67525-2021</t>
        </is>
      </c>
      <c r="B1522" s="1" t="n">
        <v>44524</v>
      </c>
      <c r="C1522" s="1" t="n">
        <v>45661</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67598-2021</t>
        </is>
      </c>
      <c r="B1523" s="1" t="n">
        <v>44524</v>
      </c>
      <c r="C1523" s="1" t="n">
        <v>45661</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67756-2021</t>
        </is>
      </c>
      <c r="B1524" s="1" t="n">
        <v>44524</v>
      </c>
      <c r="C1524" s="1" t="n">
        <v>45661</v>
      </c>
      <c r="D1524" t="inlineStr">
        <is>
          <t>STOCKHOLMS LÄN</t>
        </is>
      </c>
      <c r="E1524" t="inlineStr">
        <is>
          <t>VAXHOLM</t>
        </is>
      </c>
      <c r="F1524" t="inlineStr">
        <is>
          <t>Övriga statliga verk och myndigheter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67921-2021</t>
        </is>
      </c>
      <c r="B1525" s="1" t="n">
        <v>44525</v>
      </c>
      <c r="C1525" s="1" t="n">
        <v>45661</v>
      </c>
      <c r="D1525" t="inlineStr">
        <is>
          <t>STOCKHOLMS LÄN</t>
        </is>
      </c>
      <c r="E1525" t="inlineStr">
        <is>
          <t>NORRTÄLJE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67990-2021</t>
        </is>
      </c>
      <c r="B1526" s="1" t="n">
        <v>44525</v>
      </c>
      <c r="C1526" s="1" t="n">
        <v>45661</v>
      </c>
      <c r="D1526" t="inlineStr">
        <is>
          <t>STOCKHOLMS LÄN</t>
        </is>
      </c>
      <c r="E1526" t="inlineStr">
        <is>
          <t>NORRTÄLJE</t>
        </is>
      </c>
      <c r="F1526" t="inlineStr">
        <is>
          <t>Sveaskog</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67992-2021</t>
        </is>
      </c>
      <c r="B1527" s="1" t="n">
        <v>44525</v>
      </c>
      <c r="C1527" s="1" t="n">
        <v>45661</v>
      </c>
      <c r="D1527" t="inlineStr">
        <is>
          <t>STOCKHOLMS LÄN</t>
        </is>
      </c>
      <c r="E1527" t="inlineStr">
        <is>
          <t>NORRTÄLJE</t>
        </is>
      </c>
      <c r="F1527" t="inlineStr">
        <is>
          <t>Sveaskog</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67993-2021</t>
        </is>
      </c>
      <c r="B1528" s="1" t="n">
        <v>44525</v>
      </c>
      <c r="C1528" s="1" t="n">
        <v>45661</v>
      </c>
      <c r="D1528" t="inlineStr">
        <is>
          <t>STOCKHOLMS LÄN</t>
        </is>
      </c>
      <c r="E1528" t="inlineStr">
        <is>
          <t>NORRTÄLJE</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68896-2021</t>
        </is>
      </c>
      <c r="B1529" s="1" t="n">
        <v>44526</v>
      </c>
      <c r="C1529" s="1" t="n">
        <v>45661</v>
      </c>
      <c r="D1529" t="inlineStr">
        <is>
          <t>STOCKHOLMS LÄN</t>
        </is>
      </c>
      <c r="E1529" t="inlineStr">
        <is>
          <t>HANINGE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68894-2021</t>
        </is>
      </c>
      <c r="B1530" s="1" t="n">
        <v>44526</v>
      </c>
      <c r="C1530" s="1" t="n">
        <v>45661</v>
      </c>
      <c r="D1530" t="inlineStr">
        <is>
          <t>STOCKHOLMS LÄN</t>
        </is>
      </c>
      <c r="E1530" t="inlineStr">
        <is>
          <t>HANINGE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68273-2021</t>
        </is>
      </c>
      <c r="B1531" s="1" t="n">
        <v>44526</v>
      </c>
      <c r="C1531" s="1" t="n">
        <v>45661</v>
      </c>
      <c r="D1531" t="inlineStr">
        <is>
          <t>STOCKHOLMS LÄN</t>
        </is>
      </c>
      <c r="E1531" t="inlineStr">
        <is>
          <t>NORRTÄLJE</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68904-2021</t>
        </is>
      </c>
      <c r="B1532" s="1" t="n">
        <v>44526</v>
      </c>
      <c r="C1532" s="1" t="n">
        <v>45661</v>
      </c>
      <c r="D1532" t="inlineStr">
        <is>
          <t>STOCKHOLMS LÄN</t>
        </is>
      </c>
      <c r="E1532" t="inlineStr">
        <is>
          <t>HANINGE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68361-2021</t>
        </is>
      </c>
      <c r="B1533" s="1" t="n">
        <v>44528</v>
      </c>
      <c r="C1533" s="1" t="n">
        <v>45661</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68700-2021</t>
        </is>
      </c>
      <c r="B1534" s="1" t="n">
        <v>44529</v>
      </c>
      <c r="C1534" s="1" t="n">
        <v>45661</v>
      </c>
      <c r="D1534" t="inlineStr">
        <is>
          <t>STOCKHOLMS LÄN</t>
        </is>
      </c>
      <c r="E1534" t="inlineStr">
        <is>
          <t>SALEM</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68554-2021</t>
        </is>
      </c>
      <c r="B1535" s="1" t="n">
        <v>44529</v>
      </c>
      <c r="C1535" s="1" t="n">
        <v>45661</v>
      </c>
      <c r="D1535" t="inlineStr">
        <is>
          <t>STOCKHOLMS LÄN</t>
        </is>
      </c>
      <c r="E1535" t="inlineStr">
        <is>
          <t>UPPLANDS-BRO</t>
        </is>
      </c>
      <c r="F1535" t="inlineStr">
        <is>
          <t>Övriga statliga verk och myndigheter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68564-2021</t>
        </is>
      </c>
      <c r="B1536" s="1" t="n">
        <v>44529</v>
      </c>
      <c r="C1536" s="1" t="n">
        <v>45661</v>
      </c>
      <c r="D1536" t="inlineStr">
        <is>
          <t>STOCKHOLMS LÄN</t>
        </is>
      </c>
      <c r="E1536" t="inlineStr">
        <is>
          <t>UPPLANDS-BRO</t>
        </is>
      </c>
      <c r="F1536" t="inlineStr">
        <is>
          <t>Övriga statliga verk och myndigheter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69034-2021</t>
        </is>
      </c>
      <c r="B1537" s="1" t="n">
        <v>44529</v>
      </c>
      <c r="C1537" s="1" t="n">
        <v>45661</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69539-2021</t>
        </is>
      </c>
      <c r="B1538" s="1" t="n">
        <v>44531</v>
      </c>
      <c r="C1538" s="1" t="n">
        <v>45661</v>
      </c>
      <c r="D1538" t="inlineStr">
        <is>
          <t>STOCKHOLMS LÄN</t>
        </is>
      </c>
      <c r="E1538" t="inlineStr">
        <is>
          <t>NORRTÄLJE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69723-2021</t>
        </is>
      </c>
      <c r="B1539" s="1" t="n">
        <v>44532</v>
      </c>
      <c r="C1539" s="1" t="n">
        <v>45661</v>
      </c>
      <c r="D1539" t="inlineStr">
        <is>
          <t>STOCKHOLMS LÄN</t>
        </is>
      </c>
      <c r="E1539" t="inlineStr">
        <is>
          <t>NORRTÄLJE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69816-2021</t>
        </is>
      </c>
      <c r="B1540" s="1" t="n">
        <v>44532</v>
      </c>
      <c r="C1540" s="1" t="n">
        <v>45661</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70170-2021</t>
        </is>
      </c>
      <c r="B1541" s="1" t="n">
        <v>44533</v>
      </c>
      <c r="C1541" s="1" t="n">
        <v>45661</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69988-2021</t>
        </is>
      </c>
      <c r="B1542" s="1" t="n">
        <v>44533</v>
      </c>
      <c r="C1542" s="1" t="n">
        <v>45661</v>
      </c>
      <c r="D1542" t="inlineStr">
        <is>
          <t>STOCKHOLMS LÄN</t>
        </is>
      </c>
      <c r="E1542" t="inlineStr">
        <is>
          <t>NORRTÄLJE</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70201-2021</t>
        </is>
      </c>
      <c r="B1543" s="1" t="n">
        <v>44534</v>
      </c>
      <c r="C1543" s="1" t="n">
        <v>45661</v>
      </c>
      <c r="D1543" t="inlineStr">
        <is>
          <t>STOCKHOLMS LÄN</t>
        </is>
      </c>
      <c r="E1543" t="inlineStr">
        <is>
          <t>SÖDERTÄLJE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70469-2021</t>
        </is>
      </c>
      <c r="B1544" s="1" t="n">
        <v>44536</v>
      </c>
      <c r="C1544" s="1" t="n">
        <v>45661</v>
      </c>
      <c r="D1544" t="inlineStr">
        <is>
          <t>STOCKHOLMS LÄN</t>
        </is>
      </c>
      <c r="E1544" t="inlineStr">
        <is>
          <t>NORRTÄLJE</t>
        </is>
      </c>
      <c r="F1544" t="inlineStr">
        <is>
          <t>Holmen skog AB</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70608-2021</t>
        </is>
      </c>
      <c r="B1545" s="1" t="n">
        <v>44536</v>
      </c>
      <c r="C1545" s="1" t="n">
        <v>45661</v>
      </c>
      <c r="D1545" t="inlineStr">
        <is>
          <t>STOCKHOLMS LÄN</t>
        </is>
      </c>
      <c r="E1545" t="inlineStr">
        <is>
          <t>VALLENTUNA</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70850-2021</t>
        </is>
      </c>
      <c r="B1546" s="1" t="n">
        <v>44538</v>
      </c>
      <c r="C1546" s="1" t="n">
        <v>45661</v>
      </c>
      <c r="D1546" t="inlineStr">
        <is>
          <t>STOCKHOLMS LÄN</t>
        </is>
      </c>
      <c r="E1546" t="inlineStr">
        <is>
          <t>NYNÄSHAMN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71325-2021</t>
        </is>
      </c>
      <c r="B1547" s="1" t="n">
        <v>44539</v>
      </c>
      <c r="C1547" s="1" t="n">
        <v>45661</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71317-2021</t>
        </is>
      </c>
      <c r="B1548" s="1" t="n">
        <v>44539</v>
      </c>
      <c r="C1548" s="1" t="n">
        <v>45661</v>
      </c>
      <c r="D1548" t="inlineStr">
        <is>
          <t>STOCKHOLMS LÄN</t>
        </is>
      </c>
      <c r="E1548" t="inlineStr">
        <is>
          <t>VÄRMDÖ</t>
        </is>
      </c>
      <c r="F1548" t="inlineStr">
        <is>
          <t>Övriga Aktiebolag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71318-2021</t>
        </is>
      </c>
      <c r="B1549" s="1" t="n">
        <v>44539</v>
      </c>
      <c r="C1549" s="1" t="n">
        <v>45661</v>
      </c>
      <c r="D1549" t="inlineStr">
        <is>
          <t>STOCKHOLMS LÄN</t>
        </is>
      </c>
      <c r="E1549" t="inlineStr">
        <is>
          <t>VÄRMDÖ</t>
        </is>
      </c>
      <c r="F1549" t="inlineStr">
        <is>
          <t>Övriga Aktiebolag</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71540-2021</t>
        </is>
      </c>
      <c r="B1550" s="1" t="n">
        <v>44540</v>
      </c>
      <c r="C1550" s="1" t="n">
        <v>45661</v>
      </c>
      <c r="D1550" t="inlineStr">
        <is>
          <t>STOCKHOLMS LÄN</t>
        </is>
      </c>
      <c r="E1550" t="inlineStr">
        <is>
          <t>NYKVARN</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71552-2021</t>
        </is>
      </c>
      <c r="B1551" s="1" t="n">
        <v>44540</v>
      </c>
      <c r="C1551" s="1" t="n">
        <v>45661</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71479-2021</t>
        </is>
      </c>
      <c r="B1552" s="1" t="n">
        <v>44540</v>
      </c>
      <c r="C1552" s="1" t="n">
        <v>45661</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71543-2021</t>
        </is>
      </c>
      <c r="B1553" s="1" t="n">
        <v>44540</v>
      </c>
      <c r="C1553" s="1" t="n">
        <v>45661</v>
      </c>
      <c r="D1553" t="inlineStr">
        <is>
          <t>STOCKHOLMS LÄN</t>
        </is>
      </c>
      <c r="E1553" t="inlineStr">
        <is>
          <t>NORRTÄLJE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71873-2021</t>
        </is>
      </c>
      <c r="B1554" s="1" t="n">
        <v>44543</v>
      </c>
      <c r="C1554" s="1" t="n">
        <v>45661</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71876-2021</t>
        </is>
      </c>
      <c r="B1555" s="1" t="n">
        <v>44543</v>
      </c>
      <c r="C1555" s="1" t="n">
        <v>45661</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71880-2021</t>
        </is>
      </c>
      <c r="B1556" s="1" t="n">
        <v>44543</v>
      </c>
      <c r="C1556" s="1" t="n">
        <v>45661</v>
      </c>
      <c r="D1556" t="inlineStr">
        <is>
          <t>STOCKHOLMS LÄN</t>
        </is>
      </c>
      <c r="E1556" t="inlineStr">
        <is>
          <t>NORRTÄLJE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71871-2021</t>
        </is>
      </c>
      <c r="B1557" s="1" t="n">
        <v>44543</v>
      </c>
      <c r="C1557" s="1" t="n">
        <v>45661</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71878-2021</t>
        </is>
      </c>
      <c r="B1558" s="1" t="n">
        <v>44543</v>
      </c>
      <c r="C1558" s="1" t="n">
        <v>45661</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72097-2021</t>
        </is>
      </c>
      <c r="B1559" s="1" t="n">
        <v>44544</v>
      </c>
      <c r="C1559" s="1" t="n">
        <v>45661</v>
      </c>
      <c r="D1559" t="inlineStr">
        <is>
          <t>STOCKHOLMS LÄN</t>
        </is>
      </c>
      <c r="E1559" t="inlineStr">
        <is>
          <t>VÄRMDÖ</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72085-2021</t>
        </is>
      </c>
      <c r="B1560" s="1" t="n">
        <v>44544</v>
      </c>
      <c r="C1560" s="1" t="n">
        <v>45661</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72108-2021</t>
        </is>
      </c>
      <c r="B1561" s="1" t="n">
        <v>44544</v>
      </c>
      <c r="C1561" s="1" t="n">
        <v>45661</v>
      </c>
      <c r="D1561" t="inlineStr">
        <is>
          <t>STOCKHOLMS LÄN</t>
        </is>
      </c>
      <c r="E1561" t="inlineStr">
        <is>
          <t>VÄRMDÖ</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72176-2021</t>
        </is>
      </c>
      <c r="B1562" s="1" t="n">
        <v>44544</v>
      </c>
      <c r="C1562" s="1" t="n">
        <v>45661</v>
      </c>
      <c r="D1562" t="inlineStr">
        <is>
          <t>STOCKHOLMS LÄN</t>
        </is>
      </c>
      <c r="E1562" t="inlineStr">
        <is>
          <t>VÄRMDÖ</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72202-2021</t>
        </is>
      </c>
      <c r="B1563" s="1" t="n">
        <v>44544</v>
      </c>
      <c r="C1563" s="1" t="n">
        <v>45661</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72218-2021</t>
        </is>
      </c>
      <c r="B1564" s="1" t="n">
        <v>44544</v>
      </c>
      <c r="C1564" s="1" t="n">
        <v>45661</v>
      </c>
      <c r="D1564" t="inlineStr">
        <is>
          <t>STOCKHOLMS LÄN</t>
        </is>
      </c>
      <c r="E1564" t="inlineStr">
        <is>
          <t>SÖDERTÄLJE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72508-2021</t>
        </is>
      </c>
      <c r="B1565" s="1" t="n">
        <v>44544</v>
      </c>
      <c r="C1565" s="1" t="n">
        <v>45661</v>
      </c>
      <c r="D1565" t="inlineStr">
        <is>
          <t>STOCKHOLMS LÄN</t>
        </is>
      </c>
      <c r="E1565" t="inlineStr">
        <is>
          <t>ÖSTERÅKER</t>
        </is>
      </c>
      <c r="F1565" t="inlineStr">
        <is>
          <t>Övriga Aktiebolag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72308-2021</t>
        </is>
      </c>
      <c r="B1566" s="1" t="n">
        <v>44545</v>
      </c>
      <c r="C1566" s="1" t="n">
        <v>45661</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72343-2021</t>
        </is>
      </c>
      <c r="B1567" s="1" t="n">
        <v>44545</v>
      </c>
      <c r="C1567" s="1" t="n">
        <v>45661</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72357-2021</t>
        </is>
      </c>
      <c r="B1568" s="1" t="n">
        <v>44545</v>
      </c>
      <c r="C1568" s="1" t="n">
        <v>45661</v>
      </c>
      <c r="D1568" t="inlineStr">
        <is>
          <t>STOCKHOLMS LÄN</t>
        </is>
      </c>
      <c r="E1568" t="inlineStr">
        <is>
          <t>NORRTÄLJE</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72355-2021</t>
        </is>
      </c>
      <c r="B1569" s="1" t="n">
        <v>44545</v>
      </c>
      <c r="C1569" s="1" t="n">
        <v>45661</v>
      </c>
      <c r="D1569" t="inlineStr">
        <is>
          <t>STOCKHOLMS LÄN</t>
        </is>
      </c>
      <c r="E1569" t="inlineStr">
        <is>
          <t>NORRTÄLJE</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72353-2021</t>
        </is>
      </c>
      <c r="B1570" s="1" t="n">
        <v>44545</v>
      </c>
      <c r="C1570" s="1" t="n">
        <v>45661</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72515-2021</t>
        </is>
      </c>
      <c r="B1571" s="1" t="n">
        <v>44546</v>
      </c>
      <c r="C1571" s="1" t="n">
        <v>45661</v>
      </c>
      <c r="D1571" t="inlineStr">
        <is>
          <t>STOCKHOLMS LÄN</t>
        </is>
      </c>
      <c r="E1571" t="inlineStr">
        <is>
          <t>ÖSTERÅKER</t>
        </is>
      </c>
      <c r="F1571" t="inlineStr">
        <is>
          <t>Övriga Aktiebolag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72523-2021</t>
        </is>
      </c>
      <c r="B1572" s="1" t="n">
        <v>44546</v>
      </c>
      <c r="C1572" s="1" t="n">
        <v>45661</v>
      </c>
      <c r="D1572" t="inlineStr">
        <is>
          <t>STOCKHOLMS LÄN</t>
        </is>
      </c>
      <c r="E1572" t="inlineStr">
        <is>
          <t>UPPLANDS-BRO</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72530-2021</t>
        </is>
      </c>
      <c r="B1573" s="1" t="n">
        <v>44546</v>
      </c>
      <c r="C1573" s="1" t="n">
        <v>45661</v>
      </c>
      <c r="D1573" t="inlineStr">
        <is>
          <t>STOCKHOLMS LÄN</t>
        </is>
      </c>
      <c r="E1573" t="inlineStr">
        <is>
          <t>SIGTUNA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72524-2021</t>
        </is>
      </c>
      <c r="B1574" s="1" t="n">
        <v>44546</v>
      </c>
      <c r="C1574" s="1" t="n">
        <v>45661</v>
      </c>
      <c r="D1574" t="inlineStr">
        <is>
          <t>STOCKHOLMS LÄN</t>
        </is>
      </c>
      <c r="E1574" t="inlineStr">
        <is>
          <t>UPPLANDS-BRO</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72747-2021</t>
        </is>
      </c>
      <c r="B1575" s="1" t="n">
        <v>44546</v>
      </c>
      <c r="C1575" s="1" t="n">
        <v>45661</v>
      </c>
      <c r="D1575" t="inlineStr">
        <is>
          <t>STOCKHOLMS LÄN</t>
        </is>
      </c>
      <c r="E1575" t="inlineStr">
        <is>
          <t>NORRTÄLJE</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72704-2021</t>
        </is>
      </c>
      <c r="B1576" s="1" t="n">
        <v>44546</v>
      </c>
      <c r="C1576" s="1" t="n">
        <v>45661</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72890-2021</t>
        </is>
      </c>
      <c r="B1577" s="1" t="n">
        <v>44547</v>
      </c>
      <c r="C1577" s="1" t="n">
        <v>45661</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73300-2021</t>
        </is>
      </c>
      <c r="B1578" s="1" t="n">
        <v>44547</v>
      </c>
      <c r="C1578" s="1" t="n">
        <v>45661</v>
      </c>
      <c r="D1578" t="inlineStr">
        <is>
          <t>STOCKHOLMS LÄN</t>
        </is>
      </c>
      <c r="E1578" t="inlineStr">
        <is>
          <t>VAXHOLM</t>
        </is>
      </c>
      <c r="F1578" t="inlineStr">
        <is>
          <t>Övriga statliga verk och myndigheter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73311-2021</t>
        </is>
      </c>
      <c r="B1579" s="1" t="n">
        <v>44549</v>
      </c>
      <c r="C1579" s="1" t="n">
        <v>45661</v>
      </c>
      <c r="D1579" t="inlineStr">
        <is>
          <t>STOCKHOLMS LÄN</t>
        </is>
      </c>
      <c r="E1579" t="inlineStr">
        <is>
          <t>NORRTÄLJE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73307-2021</t>
        </is>
      </c>
      <c r="B1580" s="1" t="n">
        <v>44549</v>
      </c>
      <c r="C1580" s="1" t="n">
        <v>45661</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73151-2021</t>
        </is>
      </c>
      <c r="B1581" s="1" t="n">
        <v>44550</v>
      </c>
      <c r="C1581" s="1" t="n">
        <v>45661</v>
      </c>
      <c r="D1581" t="inlineStr">
        <is>
          <t>STOCKHOLMS LÄN</t>
        </is>
      </c>
      <c r="E1581" t="inlineStr">
        <is>
          <t>BOTKYRKA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73155-2021</t>
        </is>
      </c>
      <c r="B1582" s="1" t="n">
        <v>44550</v>
      </c>
      <c r="C1582" s="1" t="n">
        <v>45661</v>
      </c>
      <c r="D1582" t="inlineStr">
        <is>
          <t>STOCKHOLMS LÄN</t>
        </is>
      </c>
      <c r="E1582" t="inlineStr">
        <is>
          <t>BOTKYRKA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73212-2021</t>
        </is>
      </c>
      <c r="B1583" s="1" t="n">
        <v>44550</v>
      </c>
      <c r="C1583" s="1" t="n">
        <v>45661</v>
      </c>
      <c r="D1583" t="inlineStr">
        <is>
          <t>STOCKHOLMS LÄN</t>
        </is>
      </c>
      <c r="E1583" t="inlineStr">
        <is>
          <t>NYKVARN</t>
        </is>
      </c>
      <c r="F1583" t="inlineStr">
        <is>
          <t>Allmännings- och besparingsskogar</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73271-2021</t>
        </is>
      </c>
      <c r="B1584" s="1" t="n">
        <v>44550</v>
      </c>
      <c r="C1584" s="1" t="n">
        <v>45661</v>
      </c>
      <c r="D1584" t="inlineStr">
        <is>
          <t>STOCKHOLMS LÄN</t>
        </is>
      </c>
      <c r="E1584" t="inlineStr">
        <is>
          <t>NORRTÄLJE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73194-2021</t>
        </is>
      </c>
      <c r="B1585" s="1" t="n">
        <v>44550</v>
      </c>
      <c r="C1585" s="1" t="n">
        <v>45661</v>
      </c>
      <c r="D1585" t="inlineStr">
        <is>
          <t>STOCKHOLMS LÄN</t>
        </is>
      </c>
      <c r="E1585" t="inlineStr">
        <is>
          <t>BOTKYRKA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73504-2021</t>
        </is>
      </c>
      <c r="B1586" s="1" t="n">
        <v>44551</v>
      </c>
      <c r="C1586" s="1" t="n">
        <v>45661</v>
      </c>
      <c r="D1586" t="inlineStr">
        <is>
          <t>STOCKHOLMS LÄN</t>
        </is>
      </c>
      <c r="E1586" t="inlineStr">
        <is>
          <t>NORRTÄLJE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73772-2021</t>
        </is>
      </c>
      <c r="B1587" s="1" t="n">
        <v>44552</v>
      </c>
      <c r="C1587" s="1" t="n">
        <v>45661</v>
      </c>
      <c r="D1587" t="inlineStr">
        <is>
          <t>STOCKHOLMS LÄN</t>
        </is>
      </c>
      <c r="E1587" t="inlineStr">
        <is>
          <t>BOTKYRKA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73802-2021</t>
        </is>
      </c>
      <c r="B1588" s="1" t="n">
        <v>44552</v>
      </c>
      <c r="C1588" s="1" t="n">
        <v>45661</v>
      </c>
      <c r="D1588" t="inlineStr">
        <is>
          <t>STOCKHOLMS LÄN</t>
        </is>
      </c>
      <c r="E1588" t="inlineStr">
        <is>
          <t>VALLENTUNA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73855-2021</t>
        </is>
      </c>
      <c r="B1589" s="1" t="n">
        <v>44552</v>
      </c>
      <c r="C1589" s="1" t="n">
        <v>45661</v>
      </c>
      <c r="D1589" t="inlineStr">
        <is>
          <t>STOCKHOLMS LÄN</t>
        </is>
      </c>
      <c r="E1589" t="inlineStr">
        <is>
          <t>NORRTÄLJE</t>
        </is>
      </c>
      <c r="F1589" t="inlineStr">
        <is>
          <t>Övriga Aktiebolag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73963-2021</t>
        </is>
      </c>
      <c r="B1590" s="1" t="n">
        <v>44553</v>
      </c>
      <c r="C1590" s="1" t="n">
        <v>45661</v>
      </c>
      <c r="D1590" t="inlineStr">
        <is>
          <t>STOCKHOLMS LÄN</t>
        </is>
      </c>
      <c r="E1590" t="inlineStr">
        <is>
          <t>NYNÄSHAMN</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73967-2021</t>
        </is>
      </c>
      <c r="B1591" s="1" t="n">
        <v>44553</v>
      </c>
      <c r="C1591" s="1" t="n">
        <v>45661</v>
      </c>
      <c r="D1591" t="inlineStr">
        <is>
          <t>STOCKHOLMS LÄN</t>
        </is>
      </c>
      <c r="E1591" t="inlineStr">
        <is>
          <t>NYNÄSHAMN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73966-2021</t>
        </is>
      </c>
      <c r="B1592" s="1" t="n">
        <v>44553</v>
      </c>
      <c r="C1592" s="1" t="n">
        <v>45661</v>
      </c>
      <c r="D1592" t="inlineStr">
        <is>
          <t>STOCKHOLMS LÄN</t>
        </is>
      </c>
      <c r="E1592" t="inlineStr">
        <is>
          <t>NYNÄSHAMN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73992-2021</t>
        </is>
      </c>
      <c r="B1593" s="1" t="n">
        <v>44556</v>
      </c>
      <c r="C1593" s="1" t="n">
        <v>45661</v>
      </c>
      <c r="D1593" t="inlineStr">
        <is>
          <t>STOCKHOLMS LÄN</t>
        </is>
      </c>
      <c r="E1593" t="inlineStr">
        <is>
          <t>NORRTÄLJE</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73993-2021</t>
        </is>
      </c>
      <c r="B1594" s="1" t="n">
        <v>44556</v>
      </c>
      <c r="C1594" s="1" t="n">
        <v>45661</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74170-2021</t>
        </is>
      </c>
      <c r="B1595" s="1" t="n">
        <v>44557</v>
      </c>
      <c r="C1595" s="1" t="n">
        <v>45661</v>
      </c>
      <c r="D1595" t="inlineStr">
        <is>
          <t>STOCKHOLMS LÄN</t>
        </is>
      </c>
      <c r="E1595" t="inlineStr">
        <is>
          <t>SIGTUNA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74167-2021</t>
        </is>
      </c>
      <c r="B1596" s="1" t="n">
        <v>44557</v>
      </c>
      <c r="C1596" s="1" t="n">
        <v>45661</v>
      </c>
      <c r="D1596" t="inlineStr">
        <is>
          <t>STOCKHOLMS LÄN</t>
        </is>
      </c>
      <c r="E1596" t="inlineStr">
        <is>
          <t>SIGTUNA</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74173-2021</t>
        </is>
      </c>
      <c r="B1597" s="1" t="n">
        <v>44558</v>
      </c>
      <c r="C1597" s="1" t="n">
        <v>45661</v>
      </c>
      <c r="D1597" t="inlineStr">
        <is>
          <t>STOCKHOLMS LÄN</t>
        </is>
      </c>
      <c r="E1597" t="inlineStr">
        <is>
          <t>NYKVARN</t>
        </is>
      </c>
      <c r="F1597" t="inlineStr">
        <is>
          <t>Allmännings- och besparingsskogar</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236-2022</t>
        </is>
      </c>
      <c r="B1598" s="1" t="n">
        <v>44560</v>
      </c>
      <c r="C1598" s="1" t="n">
        <v>45661</v>
      </c>
      <c r="D1598" t="inlineStr">
        <is>
          <t>STOCKHOLMS LÄN</t>
        </is>
      </c>
      <c r="E1598" t="inlineStr">
        <is>
          <t>VALLENTUNA</t>
        </is>
      </c>
      <c r="F1598" t="inlineStr">
        <is>
          <t>Övriga Aktiebolag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178-2022</t>
        </is>
      </c>
      <c r="B1599" s="1" t="n">
        <v>44560</v>
      </c>
      <c r="C1599" s="1" t="n">
        <v>45661</v>
      </c>
      <c r="D1599" t="inlineStr">
        <is>
          <t>STOCKHOLMS LÄN</t>
        </is>
      </c>
      <c r="E1599" t="inlineStr">
        <is>
          <t>VALLENTUNA</t>
        </is>
      </c>
      <c r="F1599" t="inlineStr">
        <is>
          <t>Övriga Aktiebolag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242-2022</t>
        </is>
      </c>
      <c r="B1600" s="1" t="n">
        <v>44560</v>
      </c>
      <c r="C1600" s="1" t="n">
        <v>45661</v>
      </c>
      <c r="D1600" t="inlineStr">
        <is>
          <t>STOCKHOLMS LÄN</t>
        </is>
      </c>
      <c r="E1600" t="inlineStr">
        <is>
          <t>VALLENTUNA</t>
        </is>
      </c>
      <c r="F1600" t="inlineStr">
        <is>
          <t>Övriga Aktiebolag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74468-2021</t>
        </is>
      </c>
      <c r="B1601" s="1" t="n">
        <v>44560</v>
      </c>
      <c r="C1601" s="1" t="n">
        <v>45661</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185-2022</t>
        </is>
      </c>
      <c r="B1602" s="1" t="n">
        <v>44564</v>
      </c>
      <c r="C1602" s="1" t="n">
        <v>45661</v>
      </c>
      <c r="D1602" t="inlineStr">
        <is>
          <t>STOCKHOLMS LÄN</t>
        </is>
      </c>
      <c r="E1602" t="inlineStr">
        <is>
          <t>NORRTÄLJE</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190-2022</t>
        </is>
      </c>
      <c r="B1603" s="1" t="n">
        <v>44564</v>
      </c>
      <c r="C1603" s="1" t="n">
        <v>45661</v>
      </c>
      <c r="D1603" t="inlineStr">
        <is>
          <t>STOCKHOLMS LÄN</t>
        </is>
      </c>
      <c r="E1603" t="inlineStr">
        <is>
          <t>NORRTÄLJE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187-2022</t>
        </is>
      </c>
      <c r="B1604" s="1" t="n">
        <v>44564</v>
      </c>
      <c r="C1604" s="1" t="n">
        <v>45661</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314-2022</t>
        </is>
      </c>
      <c r="B1605" s="1" t="n">
        <v>44564</v>
      </c>
      <c r="C1605" s="1" t="n">
        <v>45661</v>
      </c>
      <c r="D1605" t="inlineStr">
        <is>
          <t>STOCKHOLMS LÄN</t>
        </is>
      </c>
      <c r="E1605" t="inlineStr">
        <is>
          <t>SÖDERTÄLJE</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77-2022</t>
        </is>
      </c>
      <c r="B1606" s="1" t="n">
        <v>44564</v>
      </c>
      <c r="C1606" s="1" t="n">
        <v>45661</v>
      </c>
      <c r="D1606" t="inlineStr">
        <is>
          <t>STOCKHOLMS LÄN</t>
        </is>
      </c>
      <c r="E1606" t="inlineStr">
        <is>
          <t>NORRTÄLJE</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386-2022</t>
        </is>
      </c>
      <c r="B1607" s="1" t="n">
        <v>44565</v>
      </c>
      <c r="C1607" s="1" t="n">
        <v>45661</v>
      </c>
      <c r="D1607" t="inlineStr">
        <is>
          <t>STOCKHOLMS LÄN</t>
        </is>
      </c>
      <c r="E1607" t="inlineStr">
        <is>
          <t>SÖDERTÄLJE</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459-2022</t>
        </is>
      </c>
      <c r="B1608" s="1" t="n">
        <v>44565</v>
      </c>
      <c r="C1608" s="1" t="n">
        <v>45661</v>
      </c>
      <c r="D1608" t="inlineStr">
        <is>
          <t>STOCKHOLMS LÄN</t>
        </is>
      </c>
      <c r="E1608" t="inlineStr">
        <is>
          <t>NORRTÄLJE</t>
        </is>
      </c>
      <c r="F1608" t="inlineStr">
        <is>
          <t>Övriga Aktiebolag</t>
        </is>
      </c>
      <c r="G1608" t="n">
        <v>17.3</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45661</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45661</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45661</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45661</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45661</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45661</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45661</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45661</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45661</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45661</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45661</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45661</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45661</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45661</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45661</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45661</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45661</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45661</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45661</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45661</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45661</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45661</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45661</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45661</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45661</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45661</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45661</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45661</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45661</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45661</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45661</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45661</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45661</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45661</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45661</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45661</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45661</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45661</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45661</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45661</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45661</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45661</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45661</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45661</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45661</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45661</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45661</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45661</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45661</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45661</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45661</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45661</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45661</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45661</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45661</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45661</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45661</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45661</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45661</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45661</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45661</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45661</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45661</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45661</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45661</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45661</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45661</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45661</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45661</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45661</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45661</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45661</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45661</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45661</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45661</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45661</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45661</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45661</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45661</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45661</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45661</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45661</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45661</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45661</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45661</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45661</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45661</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45661</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45661</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45661</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45661</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45661</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45661</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45661</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45661</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45661</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45661</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45661</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45661</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45661</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45661</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45661</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45661</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45661</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45661</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45661</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45661</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45661</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45661</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45661</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45661</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45661</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45661</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45661</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45661</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45661</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45661</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45661</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45661</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45661</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45661</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45661</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45661</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45661</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45661</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45661</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45661</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45661</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45661</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45661</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45661</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45661</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45661</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45661</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45661</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45661</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45661</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45661</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45661</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45661</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45661</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45661</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45661</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45661</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45661</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45661</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45661</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45661</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45661</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45661</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45661</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45661</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45661</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45661</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45661</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45661</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45661</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45661</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45661</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45661</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45661</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45661</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45661</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45661</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45661</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45661</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45661</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45661</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45661</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45661</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45661</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45661</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45661</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45661</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45661</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45661</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45661</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45661</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45661</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45661</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45661</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45661</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45661</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45661</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45661</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45661</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45661</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45661</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45661</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45661</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45661</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45661</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45661</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45661</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45661</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45661</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45661</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45661</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45661</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45661</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45661</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45661</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45661</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45661</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45661</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45661</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45661</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45661</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45661</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45661</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45661</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45661</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45661</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45661</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45661</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45661</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45661</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45661</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45661</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45661</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45661</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45661</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45661</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45661</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45661</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45661</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45661</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45661</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45661</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45661</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45661</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45661</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45661</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45661</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45661</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45661</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45661</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45661</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45661</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45661</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45661</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45661</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45661</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45661</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45661</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45661</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45661</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45661</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45661</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45661</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45661</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45661</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45661</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45661</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45661</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45661</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45661</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45661</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45661</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45661</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45661</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45661</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45661</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45661</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45661</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45661</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45661</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45661</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45661</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45661</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45661</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45661</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45661</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45661</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45661</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45661</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45661</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45661</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45661</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45661</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45661</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45661</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45661</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45661</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45661</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45661</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45661</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45661</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45661</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45661</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45661</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45661</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45661</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45661</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45661</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45661</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45661</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45661</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45661</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45661</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45661</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45661</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45661</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45661</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45661</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45661</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45661</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45661</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45661</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45661</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45661</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45661</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45661</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45661</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45661</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45661</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45661</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45661</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45661</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45661</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45661</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45661</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45661</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45661</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45661</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45661</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45661</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45661</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45661</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45661</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45661</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45661</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45661</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45661</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45661</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45661</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45661</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45661</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45661</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45661</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45661</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45661</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45661</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45661</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45661</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45661</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45661</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45661</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45661</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45661</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45661</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45661</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45661</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45661</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45661</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45661</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45661</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45661</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45661</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45661</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45661</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45661</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45661</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45661</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45661</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45661</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45661</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45661</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45661</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45661</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45661</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45661</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45661</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45661</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45661</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45661</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45661</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45661</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45661</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45661</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45661</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45661</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45661</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45661</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45661</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45661</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45661</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45661</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45661</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45661</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45661</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45661</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45661</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45661</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45661</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45661</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45661</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45661</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45661</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45661</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45661</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45661</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45661</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45661</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45661</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45661</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45661</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45661</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45661</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45661</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45661</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45661</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45661</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45661</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45661</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45661</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45661</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45661</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45661</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45661</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45661</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45661</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45661</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45661</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45661</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45661</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45661</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45661</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45661</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45661</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45661</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45661</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45661</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45661</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45661</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45661</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45661</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45661</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45661</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45661</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45661</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45661</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45661</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45661</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45661</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45661</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45661</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45661</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45661</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45661</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45661</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45661</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45661</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45661</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45661</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45661</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45661</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45661</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45661</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45661</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45661</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45661</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45661</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45661</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45661</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45661</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45661</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45661</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45661</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45661</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45661</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45661</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45661</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45661</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45661</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45661</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45661</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45661</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45661</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45661</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45661</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45661</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45661</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45661</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45661</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45661</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45661</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45661</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45661</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45661</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45661</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45661</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45661</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45661</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45661</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45661</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45661</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45661</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45661</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45661</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45661</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45661</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45661</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45661</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45661</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45661</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45661</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45661</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45661</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45661</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45661</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45661</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45661</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45661</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45661</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45661</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45661</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45661</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45661</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45661</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45661</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45661</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45661</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45661</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45661</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45661</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45661</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45661</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45661</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45661</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45661</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45661</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45661</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45661</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45661</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45661</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45661</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45661</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45661</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45661</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45661</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45661</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45661</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45661</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45661</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45661</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45661</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45661</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45661</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45661</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45661</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45661</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45661</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45661</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45661</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45661</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45661</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45661</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45661</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45661</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45661</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45661</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45661</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45661</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45661</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45661</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45661</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45661</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45661</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45661</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45661</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45661</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45661</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45661</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45661</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45661</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45661</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45661</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45661</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45661</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45661</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45661</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45661</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45661</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45661</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45661</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45661</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45661</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45661</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45661</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45661</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45661</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45661</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45661</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45661</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45661</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45661</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45661</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45661</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45661</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45661</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45661</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45661</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45661</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45661</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45661</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45661</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45661</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45661</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45661</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45661</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45661</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45661</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45661</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45661</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45661</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45661</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45661</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45661</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45661</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45661</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45661</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45661</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45661</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45661</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45661</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45661</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45661</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45661</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45661</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45661</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45661</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45661</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45661</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45661</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45661</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45661</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45661</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45661</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45661</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45661</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45661</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45661</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45661</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45661</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45661</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45661</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45661</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45661</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45661</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45661</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45661</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45661</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45661</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45661</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45661</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45661</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45661</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45661</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45661</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45661</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45661</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45661</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45661</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45661</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45661</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45661</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45661</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45661</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45661</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45661</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45661</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45661</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45661</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45661</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45661</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45661</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45661</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45661</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45661</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45661</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45661</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45661</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45661</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45661</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45661</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45661</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45661</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45661</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45661</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45661</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45661</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45661</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45661</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45661</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45661</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45661</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45661</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45661</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45661</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45661</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45661</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45661</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45661</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45661</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45661</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45661</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45661</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45661</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45661</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45661</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45661</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45661</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45661</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45661</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45661</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45661</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45661</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45661</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45661</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45661</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45661</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45661</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45661</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45661</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45661</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45661</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45661</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45661</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45661</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45661</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45661</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45661</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45661</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45661</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45661</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45661</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45661</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45661</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45661</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45661</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45661</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45661</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45661</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45661</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45661</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45661</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45661</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45661</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45661</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45661</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45661</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45661</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45661</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45661</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45661</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45661</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45661</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45661</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45661</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45661</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45661</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45661</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45661</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45661</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45661</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45661</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45661</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45661</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45661</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45661</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45661</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45661</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45661</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45661</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45661</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45661</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45661</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45661</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45661</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45661</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45661</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45661</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45661</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45661</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45661</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45661</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45661</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45661</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45661</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45661</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45661</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45661</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45661</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45661</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45661</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45661</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45661</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45661</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45661</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45661</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45661</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45661</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45661</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45661</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45661</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45661</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45661</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45661</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45661</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45661</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45661</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45661</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45661</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45661</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45661</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45661</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45661</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45661</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45661</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45661</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45661</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45661</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45661</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45661</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45661</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45661</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45661</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45661</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45661</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45661</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45661</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45661</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45661</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45661</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45661</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45661</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45661</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45661</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45661</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45661</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45661</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45661</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45661</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45661</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45661</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45661</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45661</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45661</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45661</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45661</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45661</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45661</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45661</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45661</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45661</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45661</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45661</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45661</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45661</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45661</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45661</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45661</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45661</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45661</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45661</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45661</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45661</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45661</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45661</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45661</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45661</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45661</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45661</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45661</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45661</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45661</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45661</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45661</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45661</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45661</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45661</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45661</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45661</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45661</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45661</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45661</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45661</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45661</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45661</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45661</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45661</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45661</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45661</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45661</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45661</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45661</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45661</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45661</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45661</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45661</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45661</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45661</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45661</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45661</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45661</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45661</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45661</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45661</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45661</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45661</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45661</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45661</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45661</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45661</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45661</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45661</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45661</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45661</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45661</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45661</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45661</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45661</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45661</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45661</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45661</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45661</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45661</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45661</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45661</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45661</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45661</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45661</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45661</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45661</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45661</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45661</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45661</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45661</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45661</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45661</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45661</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45661</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45661</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45661</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45661</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45661</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45661</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45661</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45661</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45661</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45661</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45661</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45661</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45661</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45661</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45661</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45661</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45661</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45661</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45661</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45661</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45661</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45661</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45661</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45661</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45661</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45661</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45661</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45661</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45661</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45661</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45661</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45661</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45661</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45661</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45661</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45661</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45661</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45661</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45661</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45661</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45661</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45661</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45661</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45661</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45661</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45661</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45661</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45661</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45661</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45661</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45661</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45661</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45661</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45661</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45661</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45661</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45661</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45661</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45661</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45661</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45661</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45661</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45661</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45661</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45661</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45661</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45661</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45661</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45661</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45661</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45661</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45661</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45661</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45661</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45661</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45661</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45661</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45661</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45661</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45661</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45661</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45661</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45661</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45661</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45661</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45661</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45661</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45661</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45661</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45661</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45661</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45661</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45661</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45661</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45661</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45661</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45661</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45661</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45661</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45661</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45661</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45661</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45661</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45661</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45661</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45661</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45661</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45661</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45661</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45661</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45661</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45661</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45661</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45661</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45661</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45661</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45661</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45661</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45661</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45661</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45661</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45661</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45661</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45661</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45661</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45661</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45661</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45661</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45661</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45661</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45661</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45661</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45661</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45661</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45661</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45661</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45661</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45661</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45661</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45661</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45661</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45661</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45661</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45661</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45661</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45661</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45661</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45661</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45661</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45661</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45661</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45661</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45661</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45661</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45661</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45661</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45661</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45661</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45661</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45661</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45661</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45661</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45661</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45661</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45661</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45661</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45661</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45661</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45661</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45661</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45661</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45661</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45661</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45661</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45661</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45661</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45661</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45661</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45661</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45661</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45661</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45661</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45661</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45661</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45661</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45661</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45661</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45661</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45661</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45661</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45661</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45661</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45661</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45661</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45661</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45661</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45661</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45661</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45661</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45661</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45661</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45661</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45661</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45661</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45661</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45661</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45661</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45661</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45661</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45661</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45661</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45661</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45661</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45661</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45661</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45661</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45661</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45661</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45661</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45661</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45661</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45661</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45661</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45661</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45661</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45661</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45661</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45661</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45661</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45661</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45661</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45661</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45661</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45661</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45661</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45661</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45661</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45661</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45661</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45661</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45661</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45661</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45661</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45661</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45661</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45661</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45661</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45661</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45661</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45661</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45661</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45661</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45661</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45661</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45661</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45661</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45661</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45661</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45661</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45661</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45661</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45661</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45661</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45661</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45661</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45661</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45661</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45661</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45661</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45661</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45661</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45661</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45661</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45661</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45661</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45661</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45661</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45661</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45661</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45661</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45661</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45661</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45661</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45661</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45661</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45661</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45661</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45661</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45661</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45661</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45661</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45661</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45661</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45661</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45661</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45661</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45661</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45661</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45661</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45661</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45661</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45661</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45661</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45661</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45661</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45661</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45661</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45661</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45661</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45661</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45661</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45661</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45661</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45661</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45661</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45661</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45661</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45661</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45661</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45661</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45661</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45661</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45661</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45661</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45661</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45661</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45661</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45661</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45661</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45661</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45661</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45661</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45661</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45661</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45661</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45661</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45661</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45661</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45661</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45661</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45661</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45661</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45661</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45661</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45661</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45661</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45661</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45661</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45661</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45661</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45661</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45661</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45661</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45661</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45661</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45661</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45661</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45661</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45661</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45661</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45661</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45661</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45661</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45661</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45661</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45661</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45661</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45661</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45661</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45661</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45661</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45661</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45661</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45661</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45661</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45661</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45661</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45661</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45661</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45661</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45661</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45661</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45661</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45661</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45661</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45661</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45661</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45661</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45661</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45661</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45661</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45661</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45661</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45661</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45661</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45661</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45661</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45661</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45661</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45661</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45661</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45661</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45661</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45661</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45661</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45661</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45661</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45661</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45661</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45661</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45661</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45661</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45661</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45661</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45661</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45661</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45661</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45661</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45661</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45661</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45661</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45661</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45661</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45661</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45661</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45661</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45661</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45661</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45661</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45661</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45661</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45661</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45661</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45661</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45661</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45661</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45661</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45661</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45661</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45661</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45661</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45661</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45661</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45661</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45661</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45661</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45661</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45661</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45661</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45661</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45661</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45661</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45661</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45661</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45661</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45661</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45661</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45661</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45661</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45661</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45661</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45661</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45661</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45661</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45661</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45661</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45661</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45661</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45661</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45661</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45661</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45661</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45661</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45661</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45661</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45661</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45661</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45661</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45661</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45661</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45661</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45661</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45661</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45661</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45661</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45661</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45661</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45661</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45661</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45661</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45661</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45661</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45661</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45661</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45661</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45661</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45661</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45661</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45661</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45661</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45661</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45661</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45661</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45661</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45661</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45661</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45661</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45661</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45661</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45661</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45661</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45661</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45661</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45661</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45661</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45661</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45661</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45661</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45661</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45661</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45661</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45661</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45661</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45661</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45661</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45661</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45661</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45661</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45661</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45661</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45661</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45661</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45661</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45661</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45661</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45661</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45661</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45661</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45661</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45661</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45661</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45661</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45661</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45661</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45661</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45661</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45661</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45661</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45661</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45661</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45661</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45661</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45661</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45661</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45661</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45661</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45661</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45661</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45661</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45661</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45661</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45661</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45661</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45661</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45661</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45661</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45661</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45661</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45661</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45661</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45661</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45661</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45661</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45661</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45661</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45661</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45661</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45661</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45661</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45661</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45661</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45661</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45661</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45661</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45661</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45661</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45661</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45661</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45661</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45661</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45661</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45661</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45661</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45661</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45661</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45661</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45661</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45661</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45661</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45661</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45661</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45661</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45661</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45661</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45661</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45661</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45661</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45661</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45661</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45661</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45661</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45661</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45661</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45661</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45661</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45661</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45661</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45661</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45661</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45661</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45661</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45661</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45661</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45661</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45661</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45661</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45661</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45661</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45661</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45661</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45661</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45661</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45661</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45661</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45661</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45661</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45661</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45661</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45661</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45661</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45661</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45661</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45661</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45661</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45661</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45661</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45661</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45661</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45661</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45661</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45661</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45661</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45661</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45661</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45661</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45661</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45661</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45661</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45661</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45661</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45661</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45661</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45661</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45661</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45661</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45661</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45661</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45661</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45661</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45661</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45661</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45661</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45661</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45661</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45661</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45661</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45661</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45661</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45661</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45661</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45661</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45661</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45661</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45661</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45661</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45661</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45661</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45661</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45661</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45661</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45661</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45661</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45661</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45661</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45661</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45661</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45661</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45661</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45661</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45661</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45661</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45661</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45661</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45661</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45661</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45661</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45661</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45661</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45661</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45661</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45661</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45661</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45661</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45661</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45661</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45661</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45661</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45661</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45661</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45661</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45661</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45661</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45661</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45661</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45661</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45661</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45661</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45661</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45661</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45661</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45661</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45661</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45661</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45661</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45661</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45661</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45661</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45661</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45661</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45661</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45661</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45661</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45661</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45661</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45661</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45661</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45661</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45661</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45661</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45661</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45661</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45661</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45661</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45661</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45661</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45661</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45661</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45661</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45661</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45661</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45661</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45661</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45661</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45661</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45661</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45661</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45661</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45661</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45661</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45661</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45661</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45661</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45661</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45661</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45661</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45661</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45661</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45661</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45661</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45661</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45661</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45661</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45661</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45661</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45661</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45661</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45661</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45661</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45661</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45661</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45661</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45661</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45661</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45661</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45661</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45661</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45661</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45661</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45661</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45661</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45661</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45661</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45661</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45661</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45661</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45661</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45661</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45661</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45661</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45661</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45661</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45661</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45661</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45661</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45661</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45661</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45661</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45661</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45661</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45661</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45661</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45661</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45661</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45661</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45661</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45661</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45661</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45661</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45661</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45661</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45661</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45661</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45661</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45661</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45661</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45661</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45661</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45661</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45661</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45661</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45661</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45661</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45661</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45661</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45661</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45661</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45661</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45661</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45661</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45661</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45661</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45661</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45661</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45661</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45661</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45661</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45661</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45661</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45661</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45661</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45661</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45661</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45661</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45661</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45661</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45661</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45661</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45661</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45661</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45661</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45661</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45661</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45661</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45661</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45661</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45661</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45661</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45661</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45661</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45661</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45661</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45661</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45661</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45661</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45661</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45661</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45661</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45661</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45661</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45661</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45661</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45661</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45661</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45661</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45661</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45661</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45661</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45661</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45661</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45661</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45661</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45661</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45661</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45661</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45661</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45661</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45661</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45661</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45661</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45661</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45661</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45661</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45661</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45661</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45661</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45661</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45661</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45661</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45661</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45661</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45661</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45661</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45661</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45661</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45661</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45661</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45661</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45661</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45661</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45661</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45661</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45661</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45661</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45661</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45661</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45661</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45661</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45661</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45661</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45661</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45661</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45661</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45661</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45661</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45661</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45661</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45661</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45661</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45661</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45661</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45661</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45661</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45661</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45661</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45661</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45661</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45661</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45661</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45661</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45661</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45661</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45661</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45661</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45661</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45661</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45661</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45661</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45661</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45661</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45661</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45661</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45661</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45661</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45661</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45661</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45661</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45661</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45661</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45661</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45661</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45661</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45661</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45661</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45661</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45661</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45661</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45661</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45661</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45661</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45661</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45661</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45661</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45661</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45661</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45661</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45661</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45661</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45661</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45661</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45661</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45661</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45661</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45661</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45661</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45661</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45661</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45661</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45661</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45661</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45661</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45661</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45661</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45661</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45661</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45661</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45661</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45661</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45661</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45661</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45661</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45661</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45661</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45661</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45661</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45661</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45661</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45661</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45661</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45661</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45661</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45661</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45661</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45661</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45661</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45661</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45661</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45661</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45661</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45661</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45661</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45661</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45661</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45661</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45661</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45661</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45661</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45661</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45661</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45661</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45661</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45661</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45661</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45661</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45661</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45661</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45661</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45661</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45661</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45661</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45661</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45661</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45661</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45661</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45661</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45661</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45661</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45661</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45661</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45661</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45661</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45661</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45661</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45661</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45661</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45661</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45661</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45661</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45661</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45661</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45661</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45661</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45661</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45661</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45661</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45661</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45661</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45661</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45661</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45661</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45661</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45661</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45661</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45661</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45661</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45661</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45661</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45661</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45661</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45661</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45661</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45661</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45661</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45661</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45661</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45661</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45661</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45661</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45661</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45661</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45661</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45661</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45661</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45661</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45661</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45661</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45661</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45661</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45661</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45661</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45661</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45661</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45661</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45661</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45661</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45661</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45661</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45661</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45661</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45661</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45661</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45661</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45661</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45661</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45661</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45661</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45661</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45661</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45661</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45661</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45661</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45661</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45661</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45661</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45661</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45661</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45661</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45661</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45661</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45661</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45661</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45661</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45661</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45661</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45661</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45661</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45661</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45661</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45661</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45661</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45661</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45661</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45661</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45661</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45661</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45661</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45661</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45661</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45661</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45661</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45661</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45661</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45661</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45661</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45661</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45661</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45661</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45661</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45661</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45661</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45661</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45661</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45661</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45661</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45661</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45661</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45661</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45661</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45661</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45661</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45661</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45661</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45661</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45661</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45661</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45661</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45661</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45661</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45661</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45661</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45661</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45661</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45661</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45661</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45661</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45661</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45661</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45661</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45661</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45661</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45661</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45661</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45661</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45661</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45661</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45661</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45661</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45661</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45661</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45661</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45661</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45661</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45661</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45661</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45661</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45661</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45661</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45661</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45661</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45661</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45661</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45661</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45661</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45661</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45661</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45661</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45661</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45661</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45661</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45661</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45661</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45661</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45661</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45661</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45661</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45661</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45661</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45661</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45661</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45661</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45661</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45661</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45661</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45661</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45661</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45661</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45661</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45661</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45661</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45661</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45661</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45661</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45661</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45661</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45661</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45661</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45661</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45661</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45661</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45661</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45661</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45661</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45661</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45661</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45661</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45661</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45661</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45661</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45661</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45661</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45661</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45661</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45661</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45661</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45661</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45661</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45661</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45661</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45661</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45661</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45661</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45661</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45661</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45661</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45661</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45661</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45661</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45661</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45661</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45661</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45661</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45661</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45661</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45661</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45661</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45661</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45661</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45661</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45661</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45661</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45661</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45661</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45661</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45661</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45661</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45661</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45661</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45661</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45661</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45661</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45661</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45661</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45661</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45661</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45661</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45661</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45661</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45661</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45661</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45661</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45661</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45661</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45661</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58853-2024</t>
        </is>
      </c>
      <c r="B3883" s="1" t="n">
        <v>45636</v>
      </c>
      <c r="C3883" s="1" t="n">
        <v>45661</v>
      </c>
      <c r="D3883" t="inlineStr">
        <is>
          <t>STOCKHOLMS LÄN</t>
        </is>
      </c>
      <c r="E3883" t="inlineStr">
        <is>
          <t>NORRTÄLJE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58863-2024</t>
        </is>
      </c>
      <c r="B3884" s="1" t="n">
        <v>45636</v>
      </c>
      <c r="C3884" s="1" t="n">
        <v>45661</v>
      </c>
      <c r="D3884" t="inlineStr">
        <is>
          <t>STOCKHOLMS LÄN</t>
        </is>
      </c>
      <c r="E3884" t="inlineStr">
        <is>
          <t>NORRTÄLJE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58839-2024</t>
        </is>
      </c>
      <c r="B3885" s="1" t="n">
        <v>45636</v>
      </c>
      <c r="C3885" s="1" t="n">
        <v>45661</v>
      </c>
      <c r="D3885" t="inlineStr">
        <is>
          <t>STOCKHOLMS LÄN</t>
        </is>
      </c>
      <c r="E3885" t="inlineStr">
        <is>
          <t>SIGTUNA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59156-2024</t>
        </is>
      </c>
      <c r="B3886" s="1" t="n">
        <v>45636</v>
      </c>
      <c r="C3886" s="1" t="n">
        <v>45661</v>
      </c>
      <c r="D3886" t="inlineStr">
        <is>
          <t>STOCKHOLMS LÄN</t>
        </is>
      </c>
      <c r="E3886" t="inlineStr">
        <is>
          <t>SIGTUNA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45661</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45661</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45661</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59364-2024</t>
        </is>
      </c>
      <c r="B3890" s="1" t="n">
        <v>45638</v>
      </c>
      <c r="C3890" s="1" t="n">
        <v>45661</v>
      </c>
      <c r="D3890" t="inlineStr">
        <is>
          <t>STOCKHOLMS LÄN</t>
        </is>
      </c>
      <c r="E3890" t="inlineStr">
        <is>
          <t>NYNÄSHAMN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59377-2024</t>
        </is>
      </c>
      <c r="B3891" s="1" t="n">
        <v>45638</v>
      </c>
      <c r="C3891" s="1" t="n">
        <v>45661</v>
      </c>
      <c r="D3891" t="inlineStr">
        <is>
          <t>STOCKHOLMS LÄN</t>
        </is>
      </c>
      <c r="E3891" t="inlineStr">
        <is>
          <t>UPPLANDS-BRO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59535-2024</t>
        </is>
      </c>
      <c r="B3892" s="1" t="n">
        <v>45638</v>
      </c>
      <c r="C3892" s="1" t="n">
        <v>45661</v>
      </c>
      <c r="D3892" t="inlineStr">
        <is>
          <t>STOCKHOLMS LÄN</t>
        </is>
      </c>
      <c r="E3892" t="inlineStr">
        <is>
          <t>NORRTÄLJE</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59534-2024</t>
        </is>
      </c>
      <c r="B3893" s="1" t="n">
        <v>45638</v>
      </c>
      <c r="C3893" s="1" t="n">
        <v>45661</v>
      </c>
      <c r="D3893" t="inlineStr">
        <is>
          <t>STOCKHOLMS LÄN</t>
        </is>
      </c>
      <c r="E3893" t="inlineStr">
        <is>
          <t>NORRTÄLJE</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45661</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45661</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59876-2024</t>
        </is>
      </c>
      <c r="B3896" s="1" t="n">
        <v>45640</v>
      </c>
      <c r="C3896" s="1" t="n">
        <v>45661</v>
      </c>
      <c r="D3896" t="inlineStr">
        <is>
          <t>STOCKHOLMS LÄN</t>
        </is>
      </c>
      <c r="E3896" t="inlineStr">
        <is>
          <t>NORRTÄLJE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59873-2024</t>
        </is>
      </c>
      <c r="B3897" s="1" t="n">
        <v>45640</v>
      </c>
      <c r="C3897" s="1" t="n">
        <v>45661</v>
      </c>
      <c r="D3897" t="inlineStr">
        <is>
          <t>STOCKHOLMS LÄN</t>
        </is>
      </c>
      <c r="E3897" t="inlineStr">
        <is>
          <t>NORRTÄLJE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59877-2024</t>
        </is>
      </c>
      <c r="B3898" s="1" t="n">
        <v>45640</v>
      </c>
      <c r="C3898" s="1" t="n">
        <v>45661</v>
      </c>
      <c r="D3898" t="inlineStr">
        <is>
          <t>STOCKHOLMS LÄN</t>
        </is>
      </c>
      <c r="E3898" t="inlineStr">
        <is>
          <t>NORRTÄLJE</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59874-2024</t>
        </is>
      </c>
      <c r="B3899" s="1" t="n">
        <v>45640</v>
      </c>
      <c r="C3899" s="1" t="n">
        <v>45661</v>
      </c>
      <c r="D3899" t="inlineStr">
        <is>
          <t>STOCKHOLMS LÄN</t>
        </is>
      </c>
      <c r="E3899" t="inlineStr">
        <is>
          <t>NORRTÄLJE</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59878-2024</t>
        </is>
      </c>
      <c r="B3900" s="1" t="n">
        <v>45640</v>
      </c>
      <c r="C3900" s="1" t="n">
        <v>45661</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59875-2024</t>
        </is>
      </c>
      <c r="B3901" s="1" t="n">
        <v>45640</v>
      </c>
      <c r="C3901" s="1" t="n">
        <v>45661</v>
      </c>
      <c r="D3901" t="inlineStr">
        <is>
          <t>STOCKHOLMS LÄN</t>
        </is>
      </c>
      <c r="E3901" t="inlineStr">
        <is>
          <t>NORRTÄLJE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60166-2024</t>
        </is>
      </c>
      <c r="B3902" s="1" t="n">
        <v>45642</v>
      </c>
      <c r="C3902" s="1" t="n">
        <v>45661</v>
      </c>
      <c r="D3902" t="inlineStr">
        <is>
          <t>STOCKHOLMS LÄN</t>
        </is>
      </c>
      <c r="E3902" t="inlineStr">
        <is>
          <t>NORRTÄLJE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45661</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60205-2024</t>
        </is>
      </c>
      <c r="B3904" s="1" t="n">
        <v>45642</v>
      </c>
      <c r="C3904" s="1" t="n">
        <v>45661</v>
      </c>
      <c r="D3904" t="inlineStr">
        <is>
          <t>STOCKHOLMS LÄN</t>
        </is>
      </c>
      <c r="E3904" t="inlineStr">
        <is>
          <t>SIGTUNA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60160-2024</t>
        </is>
      </c>
      <c r="B3905" s="1" t="n">
        <v>45642</v>
      </c>
      <c r="C3905" s="1" t="n">
        <v>45661</v>
      </c>
      <c r="D3905" t="inlineStr">
        <is>
          <t>STOCKHOLMS LÄN</t>
        </is>
      </c>
      <c r="E3905" t="inlineStr">
        <is>
          <t>NORRTÄLJE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45661</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60423-2024</t>
        </is>
      </c>
      <c r="B3907" s="1" t="n">
        <v>45643</v>
      </c>
      <c r="C3907" s="1" t="n">
        <v>45661</v>
      </c>
      <c r="D3907" t="inlineStr">
        <is>
          <t>STOCKHOLMS LÄN</t>
        </is>
      </c>
      <c r="E3907" t="inlineStr">
        <is>
          <t>SIGTUNA</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60434-2024</t>
        </is>
      </c>
      <c r="B3908" s="1" t="n">
        <v>45643</v>
      </c>
      <c r="C3908" s="1" t="n">
        <v>45661</v>
      </c>
      <c r="D3908" t="inlineStr">
        <is>
          <t>STOCKHOLMS LÄN</t>
        </is>
      </c>
      <c r="E3908" t="inlineStr">
        <is>
          <t>SIGTUNA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60455-2024</t>
        </is>
      </c>
      <c r="B3909" s="1" t="n">
        <v>45643</v>
      </c>
      <c r="C3909" s="1" t="n">
        <v>45661</v>
      </c>
      <c r="D3909" t="inlineStr">
        <is>
          <t>STOCKHOLMS LÄN</t>
        </is>
      </c>
      <c r="E3909" t="inlineStr">
        <is>
          <t>SIGTUNA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60509-2024</t>
        </is>
      </c>
      <c r="B3910" s="1" t="n">
        <v>45643</v>
      </c>
      <c r="C3910" s="1" t="n">
        <v>45661</v>
      </c>
      <c r="D3910" t="inlineStr">
        <is>
          <t>STOCKHOLMS LÄN</t>
        </is>
      </c>
      <c r="E3910" t="inlineStr">
        <is>
          <t>EKERÖ</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60532-2024</t>
        </is>
      </c>
      <c r="B3911" s="1" t="n">
        <v>45643</v>
      </c>
      <c r="C3911" s="1" t="n">
        <v>45661</v>
      </c>
      <c r="D3911" t="inlineStr">
        <is>
          <t>STOCKHOLMS LÄN</t>
        </is>
      </c>
      <c r="E3911" t="inlineStr">
        <is>
          <t>NACKA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60635-2024</t>
        </is>
      </c>
      <c r="B3912" s="1" t="n">
        <v>45644</v>
      </c>
      <c r="C3912" s="1" t="n">
        <v>45661</v>
      </c>
      <c r="D3912" t="inlineStr">
        <is>
          <t>STOCKHOLMS LÄN</t>
        </is>
      </c>
      <c r="E3912" t="inlineStr">
        <is>
          <t>SÖDERTÄLJE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45661</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60865-2024</t>
        </is>
      </c>
      <c r="B3914" s="1" t="n">
        <v>45644</v>
      </c>
      <c r="C3914" s="1" t="n">
        <v>45661</v>
      </c>
      <c r="D3914" t="inlineStr">
        <is>
          <t>STOCKHOLMS LÄN</t>
        </is>
      </c>
      <c r="E3914" t="inlineStr">
        <is>
          <t>SIGTUNA</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45661</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60884-2024</t>
        </is>
      </c>
      <c r="B3916" s="1" t="n">
        <v>45644</v>
      </c>
      <c r="C3916" s="1" t="n">
        <v>45661</v>
      </c>
      <c r="D3916" t="inlineStr">
        <is>
          <t>STOCKHOLMS LÄN</t>
        </is>
      </c>
      <c r="E3916" t="inlineStr">
        <is>
          <t>NORRTÄLJE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45661</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45661</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61217-2024</t>
        </is>
      </c>
      <c r="B3919" s="1" t="n">
        <v>45645</v>
      </c>
      <c r="C3919" s="1" t="n">
        <v>45661</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45661</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45661</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61516-2024</t>
        </is>
      </c>
      <c r="B3922" s="1" t="n">
        <v>45646</v>
      </c>
      <c r="C3922" s="1" t="n">
        <v>45661</v>
      </c>
      <c r="D3922" t="inlineStr">
        <is>
          <t>STOCKHOLMS LÄN</t>
        </is>
      </c>
      <c r="E3922" t="inlineStr">
        <is>
          <t>NORRTÄLJE</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61442-2024</t>
        </is>
      </c>
      <c r="B3923" s="1" t="n">
        <v>45646</v>
      </c>
      <c r="C3923" s="1" t="n">
        <v>45661</v>
      </c>
      <c r="D3923" t="inlineStr">
        <is>
          <t>STOCKHOLMS LÄN</t>
        </is>
      </c>
      <c r="E3923" t="inlineStr">
        <is>
          <t>VALLENTUNA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61569-2024</t>
        </is>
      </c>
      <c r="B3924" s="1" t="n">
        <v>45646</v>
      </c>
      <c r="C3924" s="1" t="n">
        <v>45661</v>
      </c>
      <c r="D3924" t="inlineStr">
        <is>
          <t>STOCKHOLMS LÄN</t>
        </is>
      </c>
      <c r="E3924" t="inlineStr">
        <is>
          <t>SIGTUNA</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61582-2024</t>
        </is>
      </c>
      <c r="B3925" s="1" t="n">
        <v>45646</v>
      </c>
      <c r="C3925" s="1" t="n">
        <v>45661</v>
      </c>
      <c r="D3925" t="inlineStr">
        <is>
          <t>STOCKHOLMS LÄN</t>
        </is>
      </c>
      <c r="E3925" t="inlineStr">
        <is>
          <t>SIGTUNA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61589-2024</t>
        </is>
      </c>
      <c r="B3926" s="1" t="n">
        <v>45646</v>
      </c>
      <c r="C3926" s="1" t="n">
        <v>45661</v>
      </c>
      <c r="D3926" t="inlineStr">
        <is>
          <t>STOCKHOLMS LÄN</t>
        </is>
      </c>
      <c r="E3926" t="inlineStr">
        <is>
          <t>SIGTUNA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61576-2024</t>
        </is>
      </c>
      <c r="B3927" s="1" t="n">
        <v>45646</v>
      </c>
      <c r="C3927" s="1" t="n">
        <v>45661</v>
      </c>
      <c r="D3927" t="inlineStr">
        <is>
          <t>STOCKHOLMS LÄN</t>
        </is>
      </c>
      <c r="E3927" t="inlineStr">
        <is>
          <t>SIGTUNA</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45661</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45661</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45661</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22-2025</t>
        </is>
      </c>
      <c r="B3931" s="1" t="n">
        <v>45658</v>
      </c>
      <c r="C3931" s="1" t="n">
        <v>45661</v>
      </c>
      <c r="D3931" t="inlineStr">
        <is>
          <t>STOCKHOLMS LÄN</t>
        </is>
      </c>
      <c r="E3931" t="inlineStr">
        <is>
          <t>NORRTÄLJE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25-2025</t>
        </is>
      </c>
      <c r="B3932" s="1" t="n">
        <v>45658</v>
      </c>
      <c r="C3932" s="1" t="n">
        <v>45661</v>
      </c>
      <c r="D3932" t="inlineStr">
        <is>
          <t>STOCKHOLMS LÄN</t>
        </is>
      </c>
      <c r="E3932" t="inlineStr">
        <is>
          <t>BOTKYRKA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19-2025</t>
        </is>
      </c>
      <c r="B3933" s="1" t="n">
        <v>45658</v>
      </c>
      <c r="C3933" s="1" t="n">
        <v>45661</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27-2025</t>
        </is>
      </c>
      <c r="B3934" s="1" t="n">
        <v>45659</v>
      </c>
      <c r="C3934" s="1" t="n">
        <v>45661</v>
      </c>
      <c r="D3934" t="inlineStr">
        <is>
          <t>STOCKHOLMS LÄN</t>
        </is>
      </c>
      <c r="E3934" t="inlineStr">
        <is>
          <t>BOTKYRKA</t>
        </is>
      </c>
      <c r="G3934" t="n">
        <v>1.2</v>
      </c>
      <c r="H3934" t="n">
        <v>0</v>
      </c>
      <c r="I3934" t="n">
        <v>0</v>
      </c>
      <c r="J3934" t="n">
        <v>0</v>
      </c>
      <c r="K3934" t="n">
        <v>0</v>
      </c>
      <c r="L3934" t="n">
        <v>0</v>
      </c>
      <c r="M3934" t="n">
        <v>0</v>
      </c>
      <c r="N3934" t="n">
        <v>0</v>
      </c>
      <c r="O3934" t="n">
        <v>0</v>
      </c>
      <c r="P3934" t="n">
        <v>0</v>
      </c>
      <c r="Q3934" t="n">
        <v>0</v>
      </c>
      <c r="R3934" s="2" t="inlineStr"/>
    </row>
    <row r="3935">
      <c r="A3935" t="inlineStr">
        <is>
          <t>A 44-2025</t>
        </is>
      </c>
      <c r="B3935" s="1" t="n">
        <v>45659</v>
      </c>
      <c r="C3935" s="1" t="n">
        <v>45661</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2025-01-04T15:57:25Z</dcterms:created>
  <dcterms:modified xmlns:dcterms="http://purl.org/dc/terms/" xmlns:xsi="http://www.w3.org/2001/XMLSchema-instance" xsi:type="dcterms:W3CDTF">2025-01-04T15:57:29Z</dcterms:modified>
</cp:coreProperties>
</file>
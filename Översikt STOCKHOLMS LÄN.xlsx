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45512</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45512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45512</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45512</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45512</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45512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45512</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45512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45512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45512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45512</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45512</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45512</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45512</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45512</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45512</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45512</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45512</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45512</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45512</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45512</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45512</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45512</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45512</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45512</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45512</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45512</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45512</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45512</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45512</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45512</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45512</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45512</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45512</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45512</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45512</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45512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45512</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45512</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45512</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45512</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45512</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45512</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45512</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45512</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45512</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45512</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45512</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45512</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45512</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45512</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45512</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45512</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45512</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45512</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45512</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45512</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45512</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45512</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45512</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45512</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45512</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45512</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45512</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45512</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45512</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45512</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45512</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45512</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45512</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45512</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45512</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45512</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45512</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45512</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45512</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45512</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45512</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45512</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45512</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45512</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45512</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45512</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45512</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45512</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45512</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45512</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45512</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45512</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45512</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45512</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45512</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45512</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45512</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45512</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45512</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45512</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45512</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45512</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45512</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45512</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45512</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45512</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45512</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45512</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45512</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45512</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45512</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45512</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45512</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45512</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45512</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45512</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45512</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45512</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45512</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45512</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45512</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45512</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45512</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45512</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45512</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45512</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45512</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45512</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45512</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45512</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45512</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45512</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45512</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45512</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45512</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45512</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45512</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45512</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45512</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45512</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45512</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45512</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45512</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2803-2020</t>
        </is>
      </c>
      <c r="B142" s="1" t="n">
        <v>43850</v>
      </c>
      <c r="C142" s="1" t="n">
        <v>45512</v>
      </c>
      <c r="D142" t="inlineStr">
        <is>
          <t>STOCKHOLMS LÄN</t>
        </is>
      </c>
      <c r="E142" t="inlineStr">
        <is>
          <t>NORRTÄLJE</t>
        </is>
      </c>
      <c r="G142" t="n">
        <v>1.2</v>
      </c>
      <c r="H142" t="n">
        <v>2</v>
      </c>
      <c r="I142" t="n">
        <v>2</v>
      </c>
      <c r="J142" t="n">
        <v>0</v>
      </c>
      <c r="K142" t="n">
        <v>1</v>
      </c>
      <c r="L142" t="n">
        <v>0</v>
      </c>
      <c r="M142" t="n">
        <v>0</v>
      </c>
      <c r="N142" t="n">
        <v>0</v>
      </c>
      <c r="O142" t="n">
        <v>1</v>
      </c>
      <c r="P142" t="n">
        <v>1</v>
      </c>
      <c r="Q142" t="n">
        <v>4</v>
      </c>
      <c r="R142" s="2" t="inlineStr">
        <is>
          <t>Knärot
Brandticka
Tibast
Tjäder</t>
        </is>
      </c>
      <c r="S142">
        <f>HYPERLINK("https://klasma.github.io/Logging_0188/artfynd/A 2803-2020 artfynd.xlsx", "A 2803-2020")</f>
        <v/>
      </c>
      <c r="T142">
        <f>HYPERLINK("https://klasma.github.io/Logging_0188/kartor/A 2803-2020 karta.png", "A 2803-2020")</f>
        <v/>
      </c>
      <c r="U142">
        <f>HYPERLINK("https://klasma.github.io/Logging_0188/knärot/A 2803-2020 karta knärot.png", "A 2803-2020")</f>
        <v/>
      </c>
      <c r="V142">
        <f>HYPERLINK("https://klasma.github.io/Logging_0188/klagomål/A 2803-2020 FSC-klagomål.docx", "A 2803-2020")</f>
        <v/>
      </c>
      <c r="W142">
        <f>HYPERLINK("https://klasma.github.io/Logging_0188/klagomålsmail/A 2803-2020 FSC-klagomål mail.docx", "A 2803-2020")</f>
        <v/>
      </c>
      <c r="X142">
        <f>HYPERLINK("https://klasma.github.io/Logging_0188/tillsyn/A 2803-2020 tillsynsbegäran.docx", "A 2803-2020")</f>
        <v/>
      </c>
      <c r="Y142">
        <f>HYPERLINK("https://klasma.github.io/Logging_0188/tillsynsmail/A 2803-2020 tillsynsbegäran mail.docx", "A 2803-2020")</f>
        <v/>
      </c>
      <c r="Z142">
        <f>HYPERLINK("https://klasma.github.io/Logging_0188/fåglar/A 2803-2020 prioriterade fågelarter.docx", "A 2803-2020")</f>
        <v/>
      </c>
    </row>
    <row r="143" ht="15" customHeight="1">
      <c r="A143" t="inlineStr">
        <is>
          <t>A 5732-2020</t>
        </is>
      </c>
      <c r="B143" s="1" t="n">
        <v>43863</v>
      </c>
      <c r="C143" s="1" t="n">
        <v>45512</v>
      </c>
      <c r="D143" t="inlineStr">
        <is>
          <t>STOCKHOLMS LÄN</t>
        </is>
      </c>
      <c r="E143" t="inlineStr">
        <is>
          <t>NORRTÄLJE</t>
        </is>
      </c>
      <c r="G143" t="n">
        <v>1.8</v>
      </c>
      <c r="H143" t="n">
        <v>0</v>
      </c>
      <c r="I143" t="n">
        <v>2</v>
      </c>
      <c r="J143" t="n">
        <v>2</v>
      </c>
      <c r="K143" t="n">
        <v>0</v>
      </c>
      <c r="L143" t="n">
        <v>0</v>
      </c>
      <c r="M143" t="n">
        <v>0</v>
      </c>
      <c r="N143" t="n">
        <v>0</v>
      </c>
      <c r="O143" t="n">
        <v>2</v>
      </c>
      <c r="P143" t="n">
        <v>0</v>
      </c>
      <c r="Q143" t="n">
        <v>4</v>
      </c>
      <c r="R143" s="2" t="inlineStr">
        <is>
          <t>Svart taggsvamp
Äggspindling
Kryddspindling
Strimspindling</t>
        </is>
      </c>
      <c r="S143">
        <f>HYPERLINK("https://klasma.github.io/Logging_0188/artfynd/A 5732-2020 artfynd.xlsx", "A 5732-2020")</f>
        <v/>
      </c>
      <c r="T143">
        <f>HYPERLINK("https://klasma.github.io/Logging_0188/kartor/A 5732-2020 karta.png", "A 5732-2020")</f>
        <v/>
      </c>
      <c r="V143">
        <f>HYPERLINK("https://klasma.github.io/Logging_0188/klagomål/A 5732-2020 FSC-klagomål.docx", "A 5732-2020")</f>
        <v/>
      </c>
      <c r="W143">
        <f>HYPERLINK("https://klasma.github.io/Logging_0188/klagomålsmail/A 5732-2020 FSC-klagomål mail.docx", "A 5732-2020")</f>
        <v/>
      </c>
      <c r="X143">
        <f>HYPERLINK("https://klasma.github.io/Logging_0188/tillsyn/A 5732-2020 tillsynsbegäran.docx", "A 5732-2020")</f>
        <v/>
      </c>
      <c r="Y143">
        <f>HYPERLINK("https://klasma.github.io/Logging_0188/tillsynsmail/A 5732-2020 tillsynsbegäran mail.docx", "A 5732-2020")</f>
        <v/>
      </c>
    </row>
    <row r="144" ht="15" customHeight="1">
      <c r="A144" t="inlineStr">
        <is>
          <t>A 11714-2021</t>
        </is>
      </c>
      <c r="B144" s="1" t="n">
        <v>44265</v>
      </c>
      <c r="C144" s="1" t="n">
        <v>45512</v>
      </c>
      <c r="D144" t="inlineStr">
        <is>
          <t>STOCKHOLMS LÄN</t>
        </is>
      </c>
      <c r="E144" t="inlineStr">
        <is>
          <t>SIGTUNA</t>
        </is>
      </c>
      <c r="F144" t="inlineStr">
        <is>
          <t>Sveaskog</t>
        </is>
      </c>
      <c r="G144" t="n">
        <v>11.4</v>
      </c>
      <c r="H144" t="n">
        <v>0</v>
      </c>
      <c r="I144" t="n">
        <v>3</v>
      </c>
      <c r="J144" t="n">
        <v>1</v>
      </c>
      <c r="K144" t="n">
        <v>0</v>
      </c>
      <c r="L144" t="n">
        <v>0</v>
      </c>
      <c r="M144" t="n">
        <v>0</v>
      </c>
      <c r="N144" t="n">
        <v>0</v>
      </c>
      <c r="O144" t="n">
        <v>1</v>
      </c>
      <c r="P144" t="n">
        <v>0</v>
      </c>
      <c r="Q144" t="n">
        <v>4</v>
      </c>
      <c r="R144" s="2" t="inlineStr">
        <is>
          <t>Spretfibbla
Guldkremla
Snövit fingersvamp
Svavelriska</t>
        </is>
      </c>
      <c r="S144">
        <f>HYPERLINK("https://klasma.github.io/Logging_0191/artfynd/A 11714-2021 artfynd.xlsx", "A 11714-2021")</f>
        <v/>
      </c>
      <c r="T144">
        <f>HYPERLINK("https://klasma.github.io/Logging_0191/kartor/A 11714-2021 karta.png", "A 11714-2021")</f>
        <v/>
      </c>
      <c r="V144">
        <f>HYPERLINK("https://klasma.github.io/Logging_0191/klagomål/A 11714-2021 FSC-klagomål.docx", "A 11714-2021")</f>
        <v/>
      </c>
      <c r="W144">
        <f>HYPERLINK("https://klasma.github.io/Logging_0191/klagomålsmail/A 11714-2021 FSC-klagomål mail.docx", "A 11714-2021")</f>
        <v/>
      </c>
      <c r="X144">
        <f>HYPERLINK("https://klasma.github.io/Logging_0191/tillsyn/A 11714-2021 tillsynsbegäran.docx", "A 11714-2021")</f>
        <v/>
      </c>
      <c r="Y144">
        <f>HYPERLINK("https://klasma.github.io/Logging_0191/tillsynsmail/A 11714-2021 tillsynsbegäran mail.docx", "A 11714-2021")</f>
        <v/>
      </c>
    </row>
    <row r="145" ht="15" customHeight="1">
      <c r="A145" t="inlineStr">
        <is>
          <t>A 24052-2021</t>
        </is>
      </c>
      <c r="B145" s="1" t="n">
        <v>44336</v>
      </c>
      <c r="C145" s="1" t="n">
        <v>45512</v>
      </c>
      <c r="D145" t="inlineStr">
        <is>
          <t>STOCKHOLMS LÄN</t>
        </is>
      </c>
      <c r="E145" t="inlineStr">
        <is>
          <t>NORRTÄLJE</t>
        </is>
      </c>
      <c r="G145" t="n">
        <v>8.6</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HYPERLINK("https://klasma.github.io/Logging_0188/artfynd/A 24052-2021 artfynd.xlsx", "A 24052-2021")</f>
        <v/>
      </c>
      <c r="T145">
        <f>HYPERLINK("https://klasma.github.io/Logging_0188/kartor/A 24052-2021 karta.png", "A 24052-2021")</f>
        <v/>
      </c>
      <c r="V145">
        <f>HYPERLINK("https://klasma.github.io/Logging_0188/klagomål/A 24052-2021 FSC-klagomål.docx", "A 24052-2021")</f>
        <v/>
      </c>
      <c r="W145">
        <f>HYPERLINK("https://klasma.github.io/Logging_0188/klagomålsmail/A 24052-2021 FSC-klagomål mail.docx", "A 24052-2021")</f>
        <v/>
      </c>
      <c r="X145">
        <f>HYPERLINK("https://klasma.github.io/Logging_0188/tillsyn/A 24052-2021 tillsynsbegäran.docx", "A 24052-2021")</f>
        <v/>
      </c>
      <c r="Y145">
        <f>HYPERLINK("https://klasma.github.io/Logging_0188/tillsynsmail/A 24052-2021 tillsynsbegäran mail.docx", "A 24052-2021")</f>
        <v/>
      </c>
    </row>
    <row r="146" ht="15" customHeight="1">
      <c r="A146" t="inlineStr">
        <is>
          <t>A 72305-2021</t>
        </is>
      </c>
      <c r="B146" s="1" t="n">
        <v>44545</v>
      </c>
      <c r="C146" s="1" t="n">
        <v>45512</v>
      </c>
      <c r="D146" t="inlineStr">
        <is>
          <t>STOCKHOLMS LÄN</t>
        </is>
      </c>
      <c r="E146" t="inlineStr">
        <is>
          <t>NORRTÄLJE</t>
        </is>
      </c>
      <c r="G146" t="n">
        <v>1.5</v>
      </c>
      <c r="H146" t="n">
        <v>1</v>
      </c>
      <c r="I146" t="n">
        <v>3</v>
      </c>
      <c r="J146" t="n">
        <v>0</v>
      </c>
      <c r="K146" t="n">
        <v>0</v>
      </c>
      <c r="L146" t="n">
        <v>0</v>
      </c>
      <c r="M146" t="n">
        <v>0</v>
      </c>
      <c r="N146" t="n">
        <v>0</v>
      </c>
      <c r="O146" t="n">
        <v>0</v>
      </c>
      <c r="P146" t="n">
        <v>0</v>
      </c>
      <c r="Q146" t="n">
        <v>4</v>
      </c>
      <c r="R146" s="2" t="inlineStr">
        <is>
          <t>Svart trolldruva
Sårläka
Vårärt
Blåsippa</t>
        </is>
      </c>
      <c r="S146">
        <f>HYPERLINK("https://klasma.github.io/Logging_0188/artfynd/A 72305-2021 artfynd.xlsx", "A 72305-2021")</f>
        <v/>
      </c>
      <c r="T146">
        <f>HYPERLINK("https://klasma.github.io/Logging_0188/kartor/A 72305-2021 karta.png", "A 72305-2021")</f>
        <v/>
      </c>
      <c r="V146">
        <f>HYPERLINK("https://klasma.github.io/Logging_0188/klagomål/A 72305-2021 FSC-klagomål.docx", "A 72305-2021")</f>
        <v/>
      </c>
      <c r="W146">
        <f>HYPERLINK("https://klasma.github.io/Logging_0188/klagomålsmail/A 72305-2021 FSC-klagomål mail.docx", "A 72305-2021")</f>
        <v/>
      </c>
      <c r="X146">
        <f>HYPERLINK("https://klasma.github.io/Logging_0188/tillsyn/A 72305-2021 tillsynsbegäran.docx", "A 72305-2021")</f>
        <v/>
      </c>
      <c r="Y146">
        <f>HYPERLINK("https://klasma.github.io/Logging_0188/tillsynsmail/A 72305-2021 tillsynsbegäran mail.docx", "A 72305-2021")</f>
        <v/>
      </c>
    </row>
    <row r="147" ht="15" customHeight="1">
      <c r="A147" t="inlineStr">
        <is>
          <t>A 73783-2021</t>
        </is>
      </c>
      <c r="B147" s="1" t="n">
        <v>44552</v>
      </c>
      <c r="C147" s="1" t="n">
        <v>45512</v>
      </c>
      <c r="D147" t="inlineStr">
        <is>
          <t>STOCKHOLMS LÄN</t>
        </is>
      </c>
      <c r="E147" t="inlineStr">
        <is>
          <t>UPPLANDS-BRO</t>
        </is>
      </c>
      <c r="G147" t="n">
        <v>5.9</v>
      </c>
      <c r="H147" t="n">
        <v>0</v>
      </c>
      <c r="I147" t="n">
        <v>1</v>
      </c>
      <c r="J147" t="n">
        <v>3</v>
      </c>
      <c r="K147" t="n">
        <v>0</v>
      </c>
      <c r="L147" t="n">
        <v>0</v>
      </c>
      <c r="M147" t="n">
        <v>0</v>
      </c>
      <c r="N147" t="n">
        <v>0</v>
      </c>
      <c r="O147" t="n">
        <v>3</v>
      </c>
      <c r="P147" t="n">
        <v>0</v>
      </c>
      <c r="Q147" t="n">
        <v>4</v>
      </c>
      <c r="R147" s="2" t="inlineStr">
        <is>
          <t>Blek fingersvamp
Dofttaggsvamp
Svartvit taggsvamp
Skarp dropptaggsvamp</t>
        </is>
      </c>
      <c r="S147">
        <f>HYPERLINK("https://klasma.github.io/Logging_0139/artfynd/A 73783-2021 artfynd.xlsx", "A 73783-2021")</f>
        <v/>
      </c>
      <c r="T147">
        <f>HYPERLINK("https://klasma.github.io/Logging_0139/kartor/A 73783-2021 karta.png", "A 73783-2021")</f>
        <v/>
      </c>
      <c r="V147">
        <f>HYPERLINK("https://klasma.github.io/Logging_0139/klagomål/A 73783-2021 FSC-klagomål.docx", "A 73783-2021")</f>
        <v/>
      </c>
      <c r="W147">
        <f>HYPERLINK("https://klasma.github.io/Logging_0139/klagomålsmail/A 73783-2021 FSC-klagomål mail.docx", "A 73783-2021")</f>
        <v/>
      </c>
      <c r="X147">
        <f>HYPERLINK("https://klasma.github.io/Logging_0139/tillsyn/A 73783-2021 tillsynsbegäran.docx", "A 73783-2021")</f>
        <v/>
      </c>
      <c r="Y147">
        <f>HYPERLINK("https://klasma.github.io/Logging_0139/tillsynsmail/A 73783-2021 tillsynsbegäran mail.docx", "A 73783-2021")</f>
        <v/>
      </c>
    </row>
    <row r="148" ht="15" customHeight="1">
      <c r="A148" t="inlineStr">
        <is>
          <t>A 4384-2022</t>
        </is>
      </c>
      <c r="B148" s="1" t="n">
        <v>44589</v>
      </c>
      <c r="C148" s="1" t="n">
        <v>45512</v>
      </c>
      <c r="D148" t="inlineStr">
        <is>
          <t>STOCKHOLMS LÄN</t>
        </is>
      </c>
      <c r="E148" t="inlineStr">
        <is>
          <t>SÖDERTÄLJE</t>
        </is>
      </c>
      <c r="F148" t="inlineStr">
        <is>
          <t>Övriga statliga verk och myndigheter</t>
        </is>
      </c>
      <c r="G148" t="n">
        <v>1.9</v>
      </c>
      <c r="H148" t="n">
        <v>2</v>
      </c>
      <c r="I148" t="n">
        <v>2</v>
      </c>
      <c r="J148" t="n">
        <v>0</v>
      </c>
      <c r="K148" t="n">
        <v>1</v>
      </c>
      <c r="L148" t="n">
        <v>0</v>
      </c>
      <c r="M148" t="n">
        <v>0</v>
      </c>
      <c r="N148" t="n">
        <v>0</v>
      </c>
      <c r="O148" t="n">
        <v>1</v>
      </c>
      <c r="P148" t="n">
        <v>1</v>
      </c>
      <c r="Q148" t="n">
        <v>4</v>
      </c>
      <c r="R148" s="2" t="inlineStr">
        <is>
          <t>Bombmurkla
Dunmossa
Sårläka
Blåsippa</t>
        </is>
      </c>
      <c r="S148">
        <f>HYPERLINK("https://klasma.github.io/Logging_0181/artfynd/A 4384-2022 artfynd.xlsx", "A 4384-2022")</f>
        <v/>
      </c>
      <c r="T148">
        <f>HYPERLINK("https://klasma.github.io/Logging_0181/kartor/A 4384-2022 karta.png", "A 4384-2022")</f>
        <v/>
      </c>
      <c r="U148">
        <f>HYPERLINK("https://klasma.github.io/Logging_0181/knärot/A 4384-2022 karta knärot.png", "A 4384-2022")</f>
        <v/>
      </c>
      <c r="V148">
        <f>HYPERLINK("https://klasma.github.io/Logging_0181/klagomål/A 4384-2022 FSC-klagomål.docx", "A 4384-2022")</f>
        <v/>
      </c>
      <c r="W148">
        <f>HYPERLINK("https://klasma.github.io/Logging_0181/klagomålsmail/A 4384-2022 FSC-klagomål mail.docx", "A 4384-2022")</f>
        <v/>
      </c>
      <c r="X148">
        <f>HYPERLINK("https://klasma.github.io/Logging_0181/tillsyn/A 4384-2022 tillsynsbegäran.docx", "A 4384-2022")</f>
        <v/>
      </c>
      <c r="Y148">
        <f>HYPERLINK("https://klasma.github.io/Logging_0181/tillsynsmail/A 4384-2022 tillsynsbegäran mail.docx", "A 4384-2022")</f>
        <v/>
      </c>
    </row>
    <row r="149" ht="15" customHeight="1">
      <c r="A149" t="inlineStr">
        <is>
          <t>A 14771-2022</t>
        </is>
      </c>
      <c r="B149" s="1" t="n">
        <v>44656</v>
      </c>
      <c r="C149" s="1" t="n">
        <v>45512</v>
      </c>
      <c r="D149" t="inlineStr">
        <is>
          <t>STOCKHOLMS LÄN</t>
        </is>
      </c>
      <c r="E149" t="inlineStr">
        <is>
          <t>SÖDERTÄLJE</t>
        </is>
      </c>
      <c r="G149" t="n">
        <v>3.8</v>
      </c>
      <c r="H149" t="n">
        <v>3</v>
      </c>
      <c r="I149" t="n">
        <v>1</v>
      </c>
      <c r="J149" t="n">
        <v>0</v>
      </c>
      <c r="K149" t="n">
        <v>0</v>
      </c>
      <c r="L149" t="n">
        <v>0</v>
      </c>
      <c r="M149" t="n">
        <v>0</v>
      </c>
      <c r="N149" t="n">
        <v>0</v>
      </c>
      <c r="O149" t="n">
        <v>0</v>
      </c>
      <c r="P149" t="n">
        <v>0</v>
      </c>
      <c r="Q149" t="n">
        <v>4</v>
      </c>
      <c r="R149" s="2" t="inlineStr">
        <is>
          <t>Grönpyrola
Vanlig groda
Vanlig padda
Revlummer</t>
        </is>
      </c>
      <c r="S149">
        <f>HYPERLINK("https://klasma.github.io/Logging_0181/artfynd/A 14771-2022 artfynd.xlsx", "A 14771-2022")</f>
        <v/>
      </c>
      <c r="T149">
        <f>HYPERLINK("https://klasma.github.io/Logging_0181/kartor/A 14771-2022 karta.png", "A 14771-2022")</f>
        <v/>
      </c>
      <c r="V149">
        <f>HYPERLINK("https://klasma.github.io/Logging_0181/klagomål/A 14771-2022 FSC-klagomål.docx", "A 14771-2022")</f>
        <v/>
      </c>
      <c r="W149">
        <f>HYPERLINK("https://klasma.github.io/Logging_0181/klagomålsmail/A 14771-2022 FSC-klagomål mail.docx", "A 14771-2022")</f>
        <v/>
      </c>
      <c r="X149">
        <f>HYPERLINK("https://klasma.github.io/Logging_0181/tillsyn/A 14771-2022 tillsynsbegäran.docx", "A 14771-2022")</f>
        <v/>
      </c>
      <c r="Y149">
        <f>HYPERLINK("https://klasma.github.io/Logging_0181/tillsynsmail/A 14771-2022 tillsynsbegäran mail.docx", "A 14771-2022")</f>
        <v/>
      </c>
    </row>
    <row r="150" ht="15" customHeight="1">
      <c r="A150" t="inlineStr">
        <is>
          <t>A 52261-2022</t>
        </is>
      </c>
      <c r="B150" s="1" t="n">
        <v>44873</v>
      </c>
      <c r="C150" s="1" t="n">
        <v>45512</v>
      </c>
      <c r="D150" t="inlineStr">
        <is>
          <t>STOCKHOLMS LÄN</t>
        </is>
      </c>
      <c r="E150" t="inlineStr">
        <is>
          <t>NYNÄSHAMN</t>
        </is>
      </c>
      <c r="G150" t="n">
        <v>3.8</v>
      </c>
      <c r="H150" t="n">
        <v>1</v>
      </c>
      <c r="I150" t="n">
        <v>1</v>
      </c>
      <c r="J150" t="n">
        <v>2</v>
      </c>
      <c r="K150" t="n">
        <v>0</v>
      </c>
      <c r="L150" t="n">
        <v>0</v>
      </c>
      <c r="M150" t="n">
        <v>0</v>
      </c>
      <c r="N150" t="n">
        <v>0</v>
      </c>
      <c r="O150" t="n">
        <v>2</v>
      </c>
      <c r="P150" t="n">
        <v>0</v>
      </c>
      <c r="Q150" t="n">
        <v>4</v>
      </c>
      <c r="R150" s="2" t="inlineStr">
        <is>
          <t>Tallticka
Vedskivlav
Hasselticka
Blåsippa</t>
        </is>
      </c>
      <c r="S150">
        <f>HYPERLINK("https://klasma.github.io/Logging_0192/artfynd/A 52261-2022 artfynd.xlsx", "A 52261-2022")</f>
        <v/>
      </c>
      <c r="T150">
        <f>HYPERLINK("https://klasma.github.io/Logging_0192/kartor/A 52261-2022 karta.png", "A 52261-2022")</f>
        <v/>
      </c>
      <c r="V150">
        <f>HYPERLINK("https://klasma.github.io/Logging_0192/klagomål/A 52261-2022 FSC-klagomål.docx", "A 52261-2022")</f>
        <v/>
      </c>
      <c r="W150">
        <f>HYPERLINK("https://klasma.github.io/Logging_0192/klagomålsmail/A 52261-2022 FSC-klagomål mail.docx", "A 52261-2022")</f>
        <v/>
      </c>
      <c r="X150">
        <f>HYPERLINK("https://klasma.github.io/Logging_0192/tillsyn/A 52261-2022 tillsynsbegäran.docx", "A 52261-2022")</f>
        <v/>
      </c>
      <c r="Y150">
        <f>HYPERLINK("https://klasma.github.io/Logging_0192/tillsynsmail/A 52261-2022 tillsynsbegäran mail.docx", "A 52261-2022")</f>
        <v/>
      </c>
    </row>
    <row r="151" ht="15" customHeight="1">
      <c r="A151" t="inlineStr">
        <is>
          <t>A 5558-2023</t>
        </is>
      </c>
      <c r="B151" s="1" t="n">
        <v>44960</v>
      </c>
      <c r="C151" s="1" t="n">
        <v>45512</v>
      </c>
      <c r="D151" t="inlineStr">
        <is>
          <t>STOCKHOLMS LÄN</t>
        </is>
      </c>
      <c r="E151" t="inlineStr">
        <is>
          <t>NYNÄSHAMN</t>
        </is>
      </c>
      <c r="G151" t="n">
        <v>8.5</v>
      </c>
      <c r="H151" t="n">
        <v>0</v>
      </c>
      <c r="I151" t="n">
        <v>3</v>
      </c>
      <c r="J151" t="n">
        <v>1</v>
      </c>
      <c r="K151" t="n">
        <v>0</v>
      </c>
      <c r="L151" t="n">
        <v>0</v>
      </c>
      <c r="M151" t="n">
        <v>0</v>
      </c>
      <c r="N151" t="n">
        <v>0</v>
      </c>
      <c r="O151" t="n">
        <v>1</v>
      </c>
      <c r="P151" t="n">
        <v>0</v>
      </c>
      <c r="Q151" t="n">
        <v>4</v>
      </c>
      <c r="R151" s="2" t="inlineStr">
        <is>
          <t>Tallticka
Blåmossa
Granbarkgnagare
Slät lönnlav</t>
        </is>
      </c>
      <c r="S151">
        <f>HYPERLINK("https://klasma.github.io/Logging_0192/artfynd/A 5558-2023 artfynd.xlsx", "A 5558-2023")</f>
        <v/>
      </c>
      <c r="T151">
        <f>HYPERLINK("https://klasma.github.io/Logging_0192/kartor/A 5558-2023 karta.png", "A 5558-2023")</f>
        <v/>
      </c>
      <c r="V151">
        <f>HYPERLINK("https://klasma.github.io/Logging_0192/klagomål/A 5558-2023 FSC-klagomål.docx", "A 5558-2023")</f>
        <v/>
      </c>
      <c r="W151">
        <f>HYPERLINK("https://klasma.github.io/Logging_0192/klagomålsmail/A 5558-2023 FSC-klagomål mail.docx", "A 5558-2023")</f>
        <v/>
      </c>
      <c r="X151">
        <f>HYPERLINK("https://klasma.github.io/Logging_0192/tillsyn/A 5558-2023 tillsynsbegäran.docx", "A 5558-2023")</f>
        <v/>
      </c>
      <c r="Y151">
        <f>HYPERLINK("https://klasma.github.io/Logging_0192/tillsynsmail/A 5558-2023 tillsynsbegäran mail.docx", "A 5558-2023")</f>
        <v/>
      </c>
    </row>
    <row r="152" ht="15" customHeight="1">
      <c r="A152" t="inlineStr">
        <is>
          <t>A 12577-2023</t>
        </is>
      </c>
      <c r="B152" s="1" t="n">
        <v>45000</v>
      </c>
      <c r="C152" s="1" t="n">
        <v>45512</v>
      </c>
      <c r="D152" t="inlineStr">
        <is>
          <t>STOCKHOLMS LÄN</t>
        </is>
      </c>
      <c r="E152" t="inlineStr">
        <is>
          <t>VALLENTUNA</t>
        </is>
      </c>
      <c r="G152" t="n">
        <v>3</v>
      </c>
      <c r="H152" t="n">
        <v>2</v>
      </c>
      <c r="I152" t="n">
        <v>3</v>
      </c>
      <c r="J152" t="n">
        <v>0</v>
      </c>
      <c r="K152" t="n">
        <v>0</v>
      </c>
      <c r="L152" t="n">
        <v>0</v>
      </c>
      <c r="M152" t="n">
        <v>0</v>
      </c>
      <c r="N152" t="n">
        <v>0</v>
      </c>
      <c r="O152" t="n">
        <v>0</v>
      </c>
      <c r="P152" t="n">
        <v>0</v>
      </c>
      <c r="Q152" t="n">
        <v>4</v>
      </c>
      <c r="R152" s="2" t="inlineStr">
        <is>
          <t>Grön sköldmossa
Jättesvampmal
Rävticka
Blåsippa</t>
        </is>
      </c>
      <c r="S152">
        <f>HYPERLINK("https://klasma.github.io/Logging_0115/artfynd/A 12577-2023 artfynd.xlsx", "A 12577-2023")</f>
        <v/>
      </c>
      <c r="T152">
        <f>HYPERLINK("https://klasma.github.io/Logging_0115/kartor/A 12577-2023 karta.png", "A 12577-2023")</f>
        <v/>
      </c>
      <c r="V152">
        <f>HYPERLINK("https://klasma.github.io/Logging_0115/klagomål/A 12577-2023 FSC-klagomål.docx", "A 12577-2023")</f>
        <v/>
      </c>
      <c r="W152">
        <f>HYPERLINK("https://klasma.github.io/Logging_0115/klagomålsmail/A 12577-2023 FSC-klagomål mail.docx", "A 12577-2023")</f>
        <v/>
      </c>
      <c r="X152">
        <f>HYPERLINK("https://klasma.github.io/Logging_0115/tillsyn/A 12577-2023 tillsynsbegäran.docx", "A 12577-2023")</f>
        <v/>
      </c>
      <c r="Y152">
        <f>HYPERLINK("https://klasma.github.io/Logging_0115/tillsynsmail/A 12577-2023 tillsynsbegäran mail.docx", "A 12577-2023")</f>
        <v/>
      </c>
    </row>
    <row r="153" ht="15" customHeight="1">
      <c r="A153" t="inlineStr">
        <is>
          <t>A 35421-2023</t>
        </is>
      </c>
      <c r="B153" s="1" t="n">
        <v>45146</v>
      </c>
      <c r="C153" s="1" t="n">
        <v>45512</v>
      </c>
      <c r="D153" t="inlineStr">
        <is>
          <t>STOCKHOLMS LÄN</t>
        </is>
      </c>
      <c r="E153" t="inlineStr">
        <is>
          <t>SALEM</t>
        </is>
      </c>
      <c r="F153" t="inlineStr">
        <is>
          <t>Kommuner</t>
        </is>
      </c>
      <c r="G153" t="n">
        <v>5.8</v>
      </c>
      <c r="H153" t="n">
        <v>0</v>
      </c>
      <c r="I153" t="n">
        <v>3</v>
      </c>
      <c r="J153" t="n">
        <v>1</v>
      </c>
      <c r="K153" t="n">
        <v>0</v>
      </c>
      <c r="L153" t="n">
        <v>0</v>
      </c>
      <c r="M153" t="n">
        <v>0</v>
      </c>
      <c r="N153" t="n">
        <v>0</v>
      </c>
      <c r="O153" t="n">
        <v>1</v>
      </c>
      <c r="P153" t="n">
        <v>0</v>
      </c>
      <c r="Q153" t="n">
        <v>4</v>
      </c>
      <c r="R153" s="2" t="inlineStr">
        <is>
          <t>Mindre timmerman
Dropptaggsvamp
Granbarkgnagare
Grovticka</t>
        </is>
      </c>
      <c r="S153">
        <f>HYPERLINK("https://klasma.github.io/Logging_0128/artfynd/A 35421-2023 artfynd.xlsx", "A 35421-2023")</f>
        <v/>
      </c>
      <c r="T153">
        <f>HYPERLINK("https://klasma.github.io/Logging_0128/kartor/A 35421-2023 karta.png", "A 35421-2023")</f>
        <v/>
      </c>
      <c r="V153">
        <f>HYPERLINK("https://klasma.github.io/Logging_0128/klagomål/A 35421-2023 FSC-klagomål.docx", "A 35421-2023")</f>
        <v/>
      </c>
      <c r="W153">
        <f>HYPERLINK("https://klasma.github.io/Logging_0128/klagomålsmail/A 35421-2023 FSC-klagomål mail.docx", "A 35421-2023")</f>
        <v/>
      </c>
      <c r="X153">
        <f>HYPERLINK("https://klasma.github.io/Logging_0128/tillsyn/A 35421-2023 tillsynsbegäran.docx", "A 35421-2023")</f>
        <v/>
      </c>
      <c r="Y153">
        <f>HYPERLINK("https://klasma.github.io/Logging_0128/tillsynsmail/A 35421-2023 tillsynsbegäran mail.docx", "A 35421-2023")</f>
        <v/>
      </c>
    </row>
    <row r="154" ht="15" customHeight="1">
      <c r="A154" t="inlineStr">
        <is>
          <t>A 49418-2023</t>
        </is>
      </c>
      <c r="B154" s="1" t="n">
        <v>45211</v>
      </c>
      <c r="C154" s="1" t="n">
        <v>45512</v>
      </c>
      <c r="D154" t="inlineStr">
        <is>
          <t>STOCKHOLMS LÄN</t>
        </is>
      </c>
      <c r="E154" t="inlineStr">
        <is>
          <t>HUDDINGE</t>
        </is>
      </c>
      <c r="F154" t="inlineStr">
        <is>
          <t>Kommuner</t>
        </is>
      </c>
      <c r="G154" t="n">
        <v>3.5</v>
      </c>
      <c r="H154" t="n">
        <v>0</v>
      </c>
      <c r="I154" t="n">
        <v>4</v>
      </c>
      <c r="J154" t="n">
        <v>0</v>
      </c>
      <c r="K154" t="n">
        <v>0</v>
      </c>
      <c r="L154" t="n">
        <v>0</v>
      </c>
      <c r="M154" t="n">
        <v>0</v>
      </c>
      <c r="N154" t="n">
        <v>0</v>
      </c>
      <c r="O154" t="n">
        <v>0</v>
      </c>
      <c r="P154" t="n">
        <v>0</v>
      </c>
      <c r="Q154" t="n">
        <v>4</v>
      </c>
      <c r="R154" s="2" t="inlineStr">
        <is>
          <t>Bronshjon
Grovticka
Vedticka
Vågbandad barkbock</t>
        </is>
      </c>
      <c r="S154">
        <f>HYPERLINK("https://klasma.github.io/Logging_0126/artfynd/A 49418-2023 artfynd.xlsx", "A 49418-2023")</f>
        <v/>
      </c>
      <c r="T154">
        <f>HYPERLINK("https://klasma.github.io/Logging_0126/kartor/A 49418-2023 karta.png", "A 49418-2023")</f>
        <v/>
      </c>
      <c r="V154">
        <f>HYPERLINK("https://klasma.github.io/Logging_0126/klagomål/A 49418-2023 FSC-klagomål.docx", "A 49418-2023")</f>
        <v/>
      </c>
      <c r="W154">
        <f>HYPERLINK("https://klasma.github.io/Logging_0126/klagomålsmail/A 49418-2023 FSC-klagomål mail.docx", "A 49418-2023")</f>
        <v/>
      </c>
      <c r="X154">
        <f>HYPERLINK("https://klasma.github.io/Logging_0126/tillsyn/A 49418-2023 tillsynsbegäran.docx", "A 49418-2023")</f>
        <v/>
      </c>
      <c r="Y154">
        <f>HYPERLINK("https://klasma.github.io/Logging_0126/tillsynsmail/A 49418-2023 tillsynsbegäran mail.docx", "A 49418-2023")</f>
        <v/>
      </c>
    </row>
    <row r="155" ht="15" customHeight="1">
      <c r="A155" t="inlineStr">
        <is>
          <t>A 56785-2023</t>
        </is>
      </c>
      <c r="B155" s="1" t="n">
        <v>45244</v>
      </c>
      <c r="C155" s="1" t="n">
        <v>45512</v>
      </c>
      <c r="D155" t="inlineStr">
        <is>
          <t>STOCKHOLMS LÄN</t>
        </is>
      </c>
      <c r="E155" t="inlineStr">
        <is>
          <t>NORRTÄLJE</t>
        </is>
      </c>
      <c r="G155" t="n">
        <v>7.7</v>
      </c>
      <c r="H155" t="n">
        <v>0</v>
      </c>
      <c r="I155" t="n">
        <v>1</v>
      </c>
      <c r="J155" t="n">
        <v>3</v>
      </c>
      <c r="K155" t="n">
        <v>0</v>
      </c>
      <c r="L155" t="n">
        <v>0</v>
      </c>
      <c r="M155" t="n">
        <v>0</v>
      </c>
      <c r="N155" t="n">
        <v>0</v>
      </c>
      <c r="O155" t="n">
        <v>3</v>
      </c>
      <c r="P155" t="n">
        <v>0</v>
      </c>
      <c r="Q155" t="n">
        <v>4</v>
      </c>
      <c r="R155" s="2" t="inlineStr">
        <is>
          <t>Plattad lövvedborre
Skeppsvarvsfluga
Triplax rufipes
Dorcatoma chrysomelina</t>
        </is>
      </c>
      <c r="S155">
        <f>HYPERLINK("https://klasma.github.io/Logging_0188/artfynd/A 56785-2023 artfynd.xlsx", "A 56785-2023")</f>
        <v/>
      </c>
      <c r="T155">
        <f>HYPERLINK("https://klasma.github.io/Logging_0188/kartor/A 56785-2023 karta.png", "A 56785-2023")</f>
        <v/>
      </c>
      <c r="V155">
        <f>HYPERLINK("https://klasma.github.io/Logging_0188/klagomål/A 56785-2023 FSC-klagomål.docx", "A 56785-2023")</f>
        <v/>
      </c>
      <c r="W155">
        <f>HYPERLINK("https://klasma.github.io/Logging_0188/klagomålsmail/A 56785-2023 FSC-klagomål mail.docx", "A 56785-2023")</f>
        <v/>
      </c>
      <c r="X155">
        <f>HYPERLINK("https://klasma.github.io/Logging_0188/tillsyn/A 56785-2023 tillsynsbegäran.docx", "A 56785-2023")</f>
        <v/>
      </c>
      <c r="Y155">
        <f>HYPERLINK("https://klasma.github.io/Logging_0188/tillsynsmail/A 56785-2023 tillsynsbegäran mail.docx", "A 56785-2023")</f>
        <v/>
      </c>
    </row>
    <row r="156" ht="15" customHeight="1">
      <c r="A156" t="inlineStr">
        <is>
          <t>A 4996-2024</t>
        </is>
      </c>
      <c r="B156" s="1" t="n">
        <v>45329</v>
      </c>
      <c r="C156" s="1" t="n">
        <v>45512</v>
      </c>
      <c r="D156" t="inlineStr">
        <is>
          <t>STOCKHOLMS LÄN</t>
        </is>
      </c>
      <c r="E156" t="inlineStr">
        <is>
          <t>EKERÖ</t>
        </is>
      </c>
      <c r="G156" t="n">
        <v>136.9</v>
      </c>
      <c r="H156" t="n">
        <v>3</v>
      </c>
      <c r="I156" t="n">
        <v>1</v>
      </c>
      <c r="J156" t="n">
        <v>0</v>
      </c>
      <c r="K156" t="n">
        <v>1</v>
      </c>
      <c r="L156" t="n">
        <v>0</v>
      </c>
      <c r="M156" t="n">
        <v>0</v>
      </c>
      <c r="N156" t="n">
        <v>0</v>
      </c>
      <c r="O156" t="n">
        <v>1</v>
      </c>
      <c r="P156" t="n">
        <v>1</v>
      </c>
      <c r="Q156" t="n">
        <v>4</v>
      </c>
      <c r="R156" s="2" t="inlineStr">
        <is>
          <t>Bombmurkla
Sårläka
Grönvit nattviol
Blåsippa</t>
        </is>
      </c>
      <c r="S156">
        <f>HYPERLINK("https://klasma.github.io/Logging_0125/artfynd/A 4996-2024 artfynd.xlsx", "A 4996-2024")</f>
        <v/>
      </c>
      <c r="T156">
        <f>HYPERLINK("https://klasma.github.io/Logging_0125/kartor/A 4996-2024 karta.png", "A 4996-2024")</f>
        <v/>
      </c>
      <c r="V156">
        <f>HYPERLINK("https://klasma.github.io/Logging_0125/klagomål/A 4996-2024 FSC-klagomål.docx", "A 4996-2024")</f>
        <v/>
      </c>
      <c r="W156">
        <f>HYPERLINK("https://klasma.github.io/Logging_0125/klagomålsmail/A 4996-2024 FSC-klagomål mail.docx", "A 4996-2024")</f>
        <v/>
      </c>
      <c r="X156">
        <f>HYPERLINK("https://klasma.github.io/Logging_0125/tillsyn/A 4996-2024 tillsynsbegäran.docx", "A 4996-2024")</f>
        <v/>
      </c>
      <c r="Y156">
        <f>HYPERLINK("https://klasma.github.io/Logging_0125/tillsynsmail/A 4996-2024 tillsynsbegäran mail.docx", "A 4996-2024")</f>
        <v/>
      </c>
    </row>
    <row r="157" ht="15" customHeight="1">
      <c r="A157" t="inlineStr">
        <is>
          <t>A 24218-2024</t>
        </is>
      </c>
      <c r="B157" s="1" t="n">
        <v>45457</v>
      </c>
      <c r="C157" s="1" t="n">
        <v>45512</v>
      </c>
      <c r="D157" t="inlineStr">
        <is>
          <t>STOCKHOLMS LÄN</t>
        </is>
      </c>
      <c r="E157" t="inlineStr">
        <is>
          <t>NORRTÄLJE</t>
        </is>
      </c>
      <c r="G157" t="n">
        <v>3.4</v>
      </c>
      <c r="H157" t="n">
        <v>0</v>
      </c>
      <c r="I157" t="n">
        <v>4</v>
      </c>
      <c r="J157" t="n">
        <v>0</v>
      </c>
      <c r="K157" t="n">
        <v>0</v>
      </c>
      <c r="L157" t="n">
        <v>0</v>
      </c>
      <c r="M157" t="n">
        <v>0</v>
      </c>
      <c r="N157" t="n">
        <v>0</v>
      </c>
      <c r="O157" t="n">
        <v>0</v>
      </c>
      <c r="P157" t="n">
        <v>0</v>
      </c>
      <c r="Q157" t="n">
        <v>4</v>
      </c>
      <c r="R157" s="2" t="inlineStr">
        <is>
          <t>Fjällig taggsvamp s.str.
Olivspindling
Rökmusseron
Tjockfotad fingersvamp</t>
        </is>
      </c>
      <c r="S157">
        <f>HYPERLINK("https://klasma.github.io/Logging_0188/artfynd/A 24218-2024 artfynd.xlsx", "A 24218-2024")</f>
        <v/>
      </c>
      <c r="T157">
        <f>HYPERLINK("https://klasma.github.io/Logging_0188/kartor/A 24218-2024 karta.png", "A 24218-2024")</f>
        <v/>
      </c>
      <c r="V157">
        <f>HYPERLINK("https://klasma.github.io/Logging_0188/klagomål/A 24218-2024 FSC-klagomål.docx", "A 24218-2024")</f>
        <v/>
      </c>
      <c r="W157">
        <f>HYPERLINK("https://klasma.github.io/Logging_0188/klagomålsmail/A 24218-2024 FSC-klagomål mail.docx", "A 24218-2024")</f>
        <v/>
      </c>
      <c r="X157">
        <f>HYPERLINK("https://klasma.github.io/Logging_0188/tillsyn/A 24218-2024 tillsynsbegäran.docx", "A 24218-2024")</f>
        <v/>
      </c>
      <c r="Y157">
        <f>HYPERLINK("https://klasma.github.io/Logging_0188/tillsynsmail/A 24218-2024 tillsynsbegäran mail.docx", "A 24218-2024")</f>
        <v/>
      </c>
    </row>
    <row r="158" ht="15" customHeight="1">
      <c r="A158" t="inlineStr">
        <is>
          <t>A 26537-2024</t>
        </is>
      </c>
      <c r="B158" s="1" t="n">
        <v>45469</v>
      </c>
      <c r="C158" s="1" t="n">
        <v>45512</v>
      </c>
      <c r="D158" t="inlineStr">
        <is>
          <t>STOCKHOLMS LÄN</t>
        </is>
      </c>
      <c r="E158" t="inlineStr">
        <is>
          <t>SALEM</t>
        </is>
      </c>
      <c r="F158" t="inlineStr">
        <is>
          <t>Kommuner</t>
        </is>
      </c>
      <c r="G158" t="n">
        <v>7.3</v>
      </c>
      <c r="H158" t="n">
        <v>3</v>
      </c>
      <c r="I158" t="n">
        <v>0</v>
      </c>
      <c r="J158" t="n">
        <v>1</v>
      </c>
      <c r="K158" t="n">
        <v>1</v>
      </c>
      <c r="L158" t="n">
        <v>0</v>
      </c>
      <c r="M158" t="n">
        <v>0</v>
      </c>
      <c r="N158" t="n">
        <v>0</v>
      </c>
      <c r="O158" t="n">
        <v>2</v>
      </c>
      <c r="P158" t="n">
        <v>1</v>
      </c>
      <c r="Q158" t="n">
        <v>4</v>
      </c>
      <c r="R158" s="2" t="inlineStr">
        <is>
          <t>Apelticka
Grönsångare
Kungsfågel
Kopparödla</t>
        </is>
      </c>
      <c r="S158">
        <f>HYPERLINK("https://klasma.github.io/Logging_0128/artfynd/A 26537-2024 artfynd.xlsx", "A 26537-2024")</f>
        <v/>
      </c>
      <c r="T158">
        <f>HYPERLINK("https://klasma.github.io/Logging_0128/kartor/A 26537-2024 karta.png", "A 26537-2024")</f>
        <v/>
      </c>
      <c r="V158">
        <f>HYPERLINK("https://klasma.github.io/Logging_0128/klagomål/A 26537-2024 FSC-klagomål.docx", "A 26537-2024")</f>
        <v/>
      </c>
      <c r="W158">
        <f>HYPERLINK("https://klasma.github.io/Logging_0128/klagomålsmail/A 26537-2024 FSC-klagomål mail.docx", "A 26537-2024")</f>
        <v/>
      </c>
      <c r="X158">
        <f>HYPERLINK("https://klasma.github.io/Logging_0128/tillsyn/A 26537-2024 tillsynsbegäran.docx", "A 26537-2024")</f>
        <v/>
      </c>
      <c r="Y158">
        <f>HYPERLINK("https://klasma.github.io/Logging_0128/tillsynsmail/A 26537-2024 tillsynsbegäran mail.docx", "A 26537-2024")</f>
        <v/>
      </c>
      <c r="Z158">
        <f>HYPERLINK("https://klasma.github.io/Logging_0128/fåglar/A 26537-2024 prioriterade fågelarter.docx", "A 26537-2024")</f>
        <v/>
      </c>
    </row>
    <row r="159" ht="15" customHeight="1">
      <c r="A159" t="inlineStr">
        <is>
          <t>A 19617-2019</t>
        </is>
      </c>
      <c r="B159" s="1" t="n">
        <v>43566</v>
      </c>
      <c r="C159" s="1" t="n">
        <v>45512</v>
      </c>
      <c r="D159" t="inlineStr">
        <is>
          <t>STOCKHOLMS LÄN</t>
        </is>
      </c>
      <c r="E159" t="inlineStr">
        <is>
          <t>NORRTÄLJE</t>
        </is>
      </c>
      <c r="G159" t="n">
        <v>16.1</v>
      </c>
      <c r="H159" t="n">
        <v>2</v>
      </c>
      <c r="I159" t="n">
        <v>1</v>
      </c>
      <c r="J159" t="n">
        <v>1</v>
      </c>
      <c r="K159" t="n">
        <v>0</v>
      </c>
      <c r="L159" t="n">
        <v>0</v>
      </c>
      <c r="M159" t="n">
        <v>0</v>
      </c>
      <c r="N159" t="n">
        <v>0</v>
      </c>
      <c r="O159" t="n">
        <v>1</v>
      </c>
      <c r="P159" t="n">
        <v>0</v>
      </c>
      <c r="Q159" t="n">
        <v>3</v>
      </c>
      <c r="R159" s="2" t="inlineStr">
        <is>
          <t>Havsörn
Myskbock
Blåsippa</t>
        </is>
      </c>
      <c r="S159">
        <f>HYPERLINK("https://klasma.github.io/Logging_0188/artfynd/A 19617-2019 artfynd.xlsx", "A 19617-2019")</f>
        <v/>
      </c>
      <c r="T159">
        <f>HYPERLINK("https://klasma.github.io/Logging_0188/kartor/A 19617-2019 karta.png", "A 19617-2019")</f>
        <v/>
      </c>
      <c r="V159">
        <f>HYPERLINK("https://klasma.github.io/Logging_0188/klagomål/A 19617-2019 FSC-klagomål.docx", "A 19617-2019")</f>
        <v/>
      </c>
      <c r="W159">
        <f>HYPERLINK("https://klasma.github.io/Logging_0188/klagomålsmail/A 19617-2019 FSC-klagomål mail.docx", "A 19617-2019")</f>
        <v/>
      </c>
      <c r="X159">
        <f>HYPERLINK("https://klasma.github.io/Logging_0188/tillsyn/A 19617-2019 tillsynsbegäran.docx", "A 19617-2019")</f>
        <v/>
      </c>
      <c r="Y159">
        <f>HYPERLINK("https://klasma.github.io/Logging_0188/tillsynsmail/A 19617-2019 tillsynsbegäran mail.docx", "A 19617-2019")</f>
        <v/>
      </c>
      <c r="Z159">
        <f>HYPERLINK("https://klasma.github.io/Logging_0188/fåglar/A 19617-2019 prioriterade fågelarter.docx", "A 19617-2019")</f>
        <v/>
      </c>
    </row>
    <row r="160" ht="15" customHeight="1">
      <c r="A160" t="inlineStr">
        <is>
          <t>A 59655-2019</t>
        </is>
      </c>
      <c r="B160" s="1" t="n">
        <v>43776</v>
      </c>
      <c r="C160" s="1" t="n">
        <v>45512</v>
      </c>
      <c r="D160" t="inlineStr">
        <is>
          <t>STOCKHOLMS LÄN</t>
        </is>
      </c>
      <c r="E160" t="inlineStr">
        <is>
          <t>SÖDERTÄLJE</t>
        </is>
      </c>
      <c r="G160" t="n">
        <v>2.2</v>
      </c>
      <c r="H160" t="n">
        <v>0</v>
      </c>
      <c r="I160" t="n">
        <v>3</v>
      </c>
      <c r="J160" t="n">
        <v>0</v>
      </c>
      <c r="K160" t="n">
        <v>0</v>
      </c>
      <c r="L160" t="n">
        <v>0</v>
      </c>
      <c r="M160" t="n">
        <v>0</v>
      </c>
      <c r="N160" t="n">
        <v>0</v>
      </c>
      <c r="O160" t="n">
        <v>0</v>
      </c>
      <c r="P160" t="n">
        <v>0</v>
      </c>
      <c r="Q160" t="n">
        <v>3</v>
      </c>
      <c r="R160" s="2" t="inlineStr">
        <is>
          <t>Fjällig taggsvamp s.str.
Guldkremla
Skarp dropptaggsvamp</t>
        </is>
      </c>
      <c r="S160">
        <f>HYPERLINK("https://klasma.github.io/Logging_0181/artfynd/A 59655-2019 artfynd.xlsx", "A 59655-2019")</f>
        <v/>
      </c>
      <c r="T160">
        <f>HYPERLINK("https://klasma.github.io/Logging_0181/kartor/A 59655-2019 karta.png", "A 59655-2019")</f>
        <v/>
      </c>
      <c r="V160">
        <f>HYPERLINK("https://klasma.github.io/Logging_0181/klagomål/A 59655-2019 FSC-klagomål.docx", "A 59655-2019")</f>
        <v/>
      </c>
      <c r="W160">
        <f>HYPERLINK("https://klasma.github.io/Logging_0181/klagomålsmail/A 59655-2019 FSC-klagomål mail.docx", "A 59655-2019")</f>
        <v/>
      </c>
      <c r="X160">
        <f>HYPERLINK("https://klasma.github.io/Logging_0181/tillsyn/A 59655-2019 tillsynsbegäran.docx", "A 59655-2019")</f>
        <v/>
      </c>
      <c r="Y160">
        <f>HYPERLINK("https://klasma.github.io/Logging_0181/tillsynsmail/A 59655-2019 tillsynsbegäran mail.docx", "A 59655-2019")</f>
        <v/>
      </c>
    </row>
    <row r="161" ht="15" customHeight="1">
      <c r="A161" t="inlineStr">
        <is>
          <t>A 13892-2020</t>
        </is>
      </c>
      <c r="B161" s="1" t="n">
        <v>43906</v>
      </c>
      <c r="C161" s="1" t="n">
        <v>45512</v>
      </c>
      <c r="D161" t="inlineStr">
        <is>
          <t>STOCKHOLMS LÄN</t>
        </is>
      </c>
      <c r="E161" t="inlineStr">
        <is>
          <t>HANINGE</t>
        </is>
      </c>
      <c r="G161" t="n">
        <v>2.7</v>
      </c>
      <c r="H161" t="n">
        <v>0</v>
      </c>
      <c r="I161" t="n">
        <v>1</v>
      </c>
      <c r="J161" t="n">
        <v>2</v>
      </c>
      <c r="K161" t="n">
        <v>0</v>
      </c>
      <c r="L161" t="n">
        <v>0</v>
      </c>
      <c r="M161" t="n">
        <v>0</v>
      </c>
      <c r="N161" t="n">
        <v>0</v>
      </c>
      <c r="O161" t="n">
        <v>2</v>
      </c>
      <c r="P161" t="n">
        <v>0</v>
      </c>
      <c r="Q161" t="n">
        <v>3</v>
      </c>
      <c r="R161" s="2" t="inlineStr">
        <is>
          <t>Ekticka
Ullticka
Fjällig taggsvamp s.str.</t>
        </is>
      </c>
      <c r="S161">
        <f>HYPERLINK("https://klasma.github.io/Logging_0136/artfynd/A 13892-2020 artfynd.xlsx", "A 13892-2020")</f>
        <v/>
      </c>
      <c r="T161">
        <f>HYPERLINK("https://klasma.github.io/Logging_0136/kartor/A 13892-2020 karta.png", "A 13892-2020")</f>
        <v/>
      </c>
      <c r="V161">
        <f>HYPERLINK("https://klasma.github.io/Logging_0136/klagomål/A 13892-2020 FSC-klagomål.docx", "A 13892-2020")</f>
        <v/>
      </c>
      <c r="W161">
        <f>HYPERLINK("https://klasma.github.io/Logging_0136/klagomålsmail/A 13892-2020 FSC-klagomål mail.docx", "A 13892-2020")</f>
        <v/>
      </c>
      <c r="X161">
        <f>HYPERLINK("https://klasma.github.io/Logging_0136/tillsyn/A 13892-2020 tillsynsbegäran.docx", "A 13892-2020")</f>
        <v/>
      </c>
      <c r="Y161">
        <f>HYPERLINK("https://klasma.github.io/Logging_0136/tillsynsmail/A 13892-2020 tillsynsbegäran mail.docx", "A 13892-2020")</f>
        <v/>
      </c>
    </row>
    <row r="162" ht="15" customHeight="1">
      <c r="A162" t="inlineStr">
        <is>
          <t>A 20571-2020</t>
        </is>
      </c>
      <c r="B162" s="1" t="n">
        <v>43948</v>
      </c>
      <c r="C162" s="1" t="n">
        <v>45512</v>
      </c>
      <c r="D162" t="inlineStr">
        <is>
          <t>STOCKHOLMS LÄN</t>
        </is>
      </c>
      <c r="E162" t="inlineStr">
        <is>
          <t>SIGTUNA</t>
        </is>
      </c>
      <c r="G162" t="n">
        <v>2.9</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HYPERLINK("https://klasma.github.io/Logging_0191/artfynd/A 20571-2020 artfynd.xlsx", "A 20571-2020")</f>
        <v/>
      </c>
      <c r="T162">
        <f>HYPERLINK("https://klasma.github.io/Logging_0191/kartor/A 20571-2020 karta.png", "A 20571-2020")</f>
        <v/>
      </c>
      <c r="V162">
        <f>HYPERLINK("https://klasma.github.io/Logging_0191/klagomål/A 20571-2020 FSC-klagomål.docx", "A 20571-2020")</f>
        <v/>
      </c>
      <c r="W162">
        <f>HYPERLINK("https://klasma.github.io/Logging_0191/klagomålsmail/A 20571-2020 FSC-klagomål mail.docx", "A 20571-2020")</f>
        <v/>
      </c>
      <c r="X162">
        <f>HYPERLINK("https://klasma.github.io/Logging_0191/tillsyn/A 20571-2020 tillsynsbegäran.docx", "A 20571-2020")</f>
        <v/>
      </c>
      <c r="Y162">
        <f>HYPERLINK("https://klasma.github.io/Logging_0191/tillsynsmail/A 20571-2020 tillsynsbegäran mail.docx", "A 20571-2020")</f>
        <v/>
      </c>
    </row>
    <row r="163" ht="15" customHeight="1">
      <c r="A163" t="inlineStr">
        <is>
          <t>A 24386-2020</t>
        </is>
      </c>
      <c r="B163" s="1" t="n">
        <v>43973</v>
      </c>
      <c r="C163" s="1" t="n">
        <v>45512</v>
      </c>
      <c r="D163" t="inlineStr">
        <is>
          <t>STOCKHOLMS LÄN</t>
        </is>
      </c>
      <c r="E163" t="inlineStr">
        <is>
          <t>SIGTUNA</t>
        </is>
      </c>
      <c r="G163" t="n">
        <v>4.5</v>
      </c>
      <c r="H163" t="n">
        <v>1</v>
      </c>
      <c r="I163" t="n">
        <v>0</v>
      </c>
      <c r="J163" t="n">
        <v>2</v>
      </c>
      <c r="K163" t="n">
        <v>0</v>
      </c>
      <c r="L163" t="n">
        <v>0</v>
      </c>
      <c r="M163" t="n">
        <v>0</v>
      </c>
      <c r="N163" t="n">
        <v>0</v>
      </c>
      <c r="O163" t="n">
        <v>2</v>
      </c>
      <c r="P163" t="n">
        <v>0</v>
      </c>
      <c r="Q163" t="n">
        <v>3</v>
      </c>
      <c r="R163" s="2" t="inlineStr">
        <is>
          <t>Granticka
Ullticka
Blåsippa</t>
        </is>
      </c>
      <c r="S163">
        <f>HYPERLINK("https://klasma.github.io/Logging_0191/artfynd/A 24386-2020 artfynd.xlsx", "A 24386-2020")</f>
        <v/>
      </c>
      <c r="T163">
        <f>HYPERLINK("https://klasma.github.io/Logging_0191/kartor/A 24386-2020 karta.png", "A 24386-2020")</f>
        <v/>
      </c>
      <c r="V163">
        <f>HYPERLINK("https://klasma.github.io/Logging_0191/klagomål/A 24386-2020 FSC-klagomål.docx", "A 24386-2020")</f>
        <v/>
      </c>
      <c r="W163">
        <f>HYPERLINK("https://klasma.github.io/Logging_0191/klagomålsmail/A 24386-2020 FSC-klagomål mail.docx", "A 24386-2020")</f>
        <v/>
      </c>
      <c r="X163">
        <f>HYPERLINK("https://klasma.github.io/Logging_0191/tillsyn/A 24386-2020 tillsynsbegäran.docx", "A 24386-2020")</f>
        <v/>
      </c>
      <c r="Y163">
        <f>HYPERLINK("https://klasma.github.io/Logging_0191/tillsynsmail/A 24386-2020 tillsynsbegäran mail.docx", "A 24386-2020")</f>
        <v/>
      </c>
    </row>
    <row r="164" ht="15" customHeight="1">
      <c r="A164" t="inlineStr">
        <is>
          <t>A 45510-2020</t>
        </is>
      </c>
      <c r="B164" s="1" t="n">
        <v>44089</v>
      </c>
      <c r="C164" s="1" t="n">
        <v>45512</v>
      </c>
      <c r="D164" t="inlineStr">
        <is>
          <t>STOCKHOLMS LÄN</t>
        </is>
      </c>
      <c r="E164" t="inlineStr">
        <is>
          <t>NACKA</t>
        </is>
      </c>
      <c r="G164" t="n">
        <v>5.6</v>
      </c>
      <c r="H164" t="n">
        <v>3</v>
      </c>
      <c r="I164" t="n">
        <v>0</v>
      </c>
      <c r="J164" t="n">
        <v>2</v>
      </c>
      <c r="K164" t="n">
        <v>0</v>
      </c>
      <c r="L164" t="n">
        <v>0</v>
      </c>
      <c r="M164" t="n">
        <v>0</v>
      </c>
      <c r="N164" t="n">
        <v>0</v>
      </c>
      <c r="O164" t="n">
        <v>2</v>
      </c>
      <c r="P164" t="n">
        <v>0</v>
      </c>
      <c r="Q164" t="n">
        <v>3</v>
      </c>
      <c r="R164" s="2" t="inlineStr">
        <is>
          <t>Björktrast
Spillkråka
Huggorm</t>
        </is>
      </c>
      <c r="S164">
        <f>HYPERLINK("https://klasma.github.io/Logging_0182/artfynd/A 45510-2020 artfynd.xlsx", "A 45510-2020")</f>
        <v/>
      </c>
      <c r="T164">
        <f>HYPERLINK("https://klasma.github.io/Logging_0182/kartor/A 45510-2020 karta.png", "A 45510-2020")</f>
        <v/>
      </c>
      <c r="V164">
        <f>HYPERLINK("https://klasma.github.io/Logging_0182/klagomål/A 45510-2020 FSC-klagomål.docx", "A 45510-2020")</f>
        <v/>
      </c>
      <c r="W164">
        <f>HYPERLINK("https://klasma.github.io/Logging_0182/klagomålsmail/A 45510-2020 FSC-klagomål mail.docx", "A 45510-2020")</f>
        <v/>
      </c>
      <c r="X164">
        <f>HYPERLINK("https://klasma.github.io/Logging_0182/tillsyn/A 45510-2020 tillsynsbegäran.docx", "A 45510-2020")</f>
        <v/>
      </c>
      <c r="Y164">
        <f>HYPERLINK("https://klasma.github.io/Logging_0182/tillsynsmail/A 45510-2020 tillsynsbegäran mail.docx", "A 45510-2020")</f>
        <v/>
      </c>
      <c r="Z164">
        <f>HYPERLINK("https://klasma.github.io/Logging_0182/fåglar/A 45510-2020 prioriterade fågelarter.docx", "A 45510-2020")</f>
        <v/>
      </c>
    </row>
    <row r="165" ht="15" customHeight="1">
      <c r="A165" t="inlineStr">
        <is>
          <t>A 46303-2020</t>
        </is>
      </c>
      <c r="B165" s="1" t="n">
        <v>44092</v>
      </c>
      <c r="C165" s="1" t="n">
        <v>45512</v>
      </c>
      <c r="D165" t="inlineStr">
        <is>
          <t>STOCKHOLMS LÄN</t>
        </is>
      </c>
      <c r="E165" t="inlineStr">
        <is>
          <t>SÖDERTÄLJE</t>
        </is>
      </c>
      <c r="G165" t="n">
        <v>1.8</v>
      </c>
      <c r="H165" t="n">
        <v>0</v>
      </c>
      <c r="I165" t="n">
        <v>0</v>
      </c>
      <c r="J165" t="n">
        <v>0</v>
      </c>
      <c r="K165" t="n">
        <v>1</v>
      </c>
      <c r="L165" t="n">
        <v>1</v>
      </c>
      <c r="M165" t="n">
        <v>1</v>
      </c>
      <c r="N165" t="n">
        <v>0</v>
      </c>
      <c r="O165" t="n">
        <v>3</v>
      </c>
      <c r="P165" t="n">
        <v>3</v>
      </c>
      <c r="Q165" t="n">
        <v>3</v>
      </c>
      <c r="R165" s="2" t="inlineStr">
        <is>
          <t>Skogsalm
Ask
Grenticka</t>
        </is>
      </c>
      <c r="S165">
        <f>HYPERLINK("https://klasma.github.io/Logging_0181/artfynd/A 46303-2020 artfynd.xlsx", "A 46303-2020")</f>
        <v/>
      </c>
      <c r="T165">
        <f>HYPERLINK("https://klasma.github.io/Logging_0181/kartor/A 46303-2020 karta.png", "A 46303-2020")</f>
        <v/>
      </c>
      <c r="V165">
        <f>HYPERLINK("https://klasma.github.io/Logging_0181/klagomål/A 46303-2020 FSC-klagomål.docx", "A 46303-2020")</f>
        <v/>
      </c>
      <c r="W165">
        <f>HYPERLINK("https://klasma.github.io/Logging_0181/klagomålsmail/A 46303-2020 FSC-klagomål mail.docx", "A 46303-2020")</f>
        <v/>
      </c>
      <c r="X165">
        <f>HYPERLINK("https://klasma.github.io/Logging_0181/tillsyn/A 46303-2020 tillsynsbegäran.docx", "A 46303-2020")</f>
        <v/>
      </c>
      <c r="Y165">
        <f>HYPERLINK("https://klasma.github.io/Logging_0181/tillsynsmail/A 46303-2020 tillsynsbegäran mail.docx", "A 46303-2020")</f>
        <v/>
      </c>
    </row>
    <row r="166" ht="15" customHeight="1">
      <c r="A166" t="inlineStr">
        <is>
          <t>A 53981-2020</t>
        </is>
      </c>
      <c r="B166" s="1" t="n">
        <v>44125</v>
      </c>
      <c r="C166" s="1" t="n">
        <v>45512</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45512</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45512</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45512</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45512</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45512</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45512</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45512</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45512</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45512</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45512</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45512</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45512</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45512</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45512</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45512</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45512</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45512</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45512</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45512</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45512</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45512</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45512</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45512</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45512</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45512</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24365-2023</t>
        </is>
      </c>
      <c r="B192" s="1" t="n">
        <v>45076</v>
      </c>
      <c r="C192" s="1" t="n">
        <v>45512</v>
      </c>
      <c r="D192" t="inlineStr">
        <is>
          <t>STOCKHOLMS LÄN</t>
        </is>
      </c>
      <c r="E192" t="inlineStr">
        <is>
          <t>HUDDINGE</t>
        </is>
      </c>
      <c r="G192" t="n">
        <v>0.7</v>
      </c>
      <c r="H192" t="n">
        <v>0</v>
      </c>
      <c r="I192" t="n">
        <v>3</v>
      </c>
      <c r="J192" t="n">
        <v>0</v>
      </c>
      <c r="K192" t="n">
        <v>0</v>
      </c>
      <c r="L192" t="n">
        <v>0</v>
      </c>
      <c r="M192" t="n">
        <v>0</v>
      </c>
      <c r="N192" t="n">
        <v>0</v>
      </c>
      <c r="O192" t="n">
        <v>0</v>
      </c>
      <c r="P192" t="n">
        <v>0</v>
      </c>
      <c r="Q192" t="n">
        <v>3</v>
      </c>
      <c r="R192" s="2" t="inlineStr">
        <is>
          <t>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32041-2023</t>
        </is>
      </c>
      <c r="B193" s="1" t="n">
        <v>45119</v>
      </c>
      <c r="C193" s="1" t="n">
        <v>45512</v>
      </c>
      <c r="D193" t="inlineStr">
        <is>
          <t>STOCKHOLMS LÄN</t>
        </is>
      </c>
      <c r="E193" t="inlineStr">
        <is>
          <t>SÖDERTÄLJE</t>
        </is>
      </c>
      <c r="F193" t="inlineStr">
        <is>
          <t>Sveaskog</t>
        </is>
      </c>
      <c r="G193" t="n">
        <v>1</v>
      </c>
      <c r="H193" t="n">
        <v>0</v>
      </c>
      <c r="I193" t="n">
        <v>0</v>
      </c>
      <c r="J193" t="n">
        <v>2</v>
      </c>
      <c r="K193" t="n">
        <v>0</v>
      </c>
      <c r="L193" t="n">
        <v>1</v>
      </c>
      <c r="M193" t="n">
        <v>0</v>
      </c>
      <c r="N193" t="n">
        <v>0</v>
      </c>
      <c r="O193" t="n">
        <v>3</v>
      </c>
      <c r="P193" t="n">
        <v>1</v>
      </c>
      <c r="Q193" t="n">
        <v>3</v>
      </c>
      <c r="R193" s="2" t="inlineStr">
        <is>
          <t>Stor bockrot
Krusfrö
Svinrot</t>
        </is>
      </c>
      <c r="S193">
        <f>HYPERLINK("https://klasma.github.io/Logging_0181/artfynd/A 32041-2023 artfynd.xlsx", "A 32041-2023")</f>
        <v/>
      </c>
      <c r="T193">
        <f>HYPERLINK("https://klasma.github.io/Logging_0181/kartor/A 32041-2023 karta.png", "A 32041-2023")</f>
        <v/>
      </c>
      <c r="V193">
        <f>HYPERLINK("https://klasma.github.io/Logging_0181/klagomål/A 32041-2023 FSC-klagomål.docx", "A 32041-2023")</f>
        <v/>
      </c>
      <c r="W193">
        <f>HYPERLINK("https://klasma.github.io/Logging_0181/klagomålsmail/A 32041-2023 FSC-klagomål mail.docx", "A 32041-2023")</f>
        <v/>
      </c>
      <c r="X193">
        <f>HYPERLINK("https://klasma.github.io/Logging_0181/tillsyn/A 32041-2023 tillsynsbegäran.docx", "A 32041-2023")</f>
        <v/>
      </c>
      <c r="Y193">
        <f>HYPERLINK("https://klasma.github.io/Logging_0181/tillsynsmail/A 32041-2023 tillsynsbegäran mail.docx", "A 32041-2023")</f>
        <v/>
      </c>
    </row>
    <row r="194" ht="15" customHeight="1">
      <c r="A194" t="inlineStr">
        <is>
          <t>A 33166-2023</t>
        </is>
      </c>
      <c r="B194" s="1" t="n">
        <v>45126</v>
      </c>
      <c r="C194" s="1" t="n">
        <v>45512</v>
      </c>
      <c r="D194" t="inlineStr">
        <is>
          <t>STOCKHOLMS LÄN</t>
        </is>
      </c>
      <c r="E194" t="inlineStr">
        <is>
          <t>VÄRMDÖ</t>
        </is>
      </c>
      <c r="G194" t="n">
        <v>3.8</v>
      </c>
      <c r="H194" t="n">
        <v>0</v>
      </c>
      <c r="I194" t="n">
        <v>0</v>
      </c>
      <c r="J194" t="n">
        <v>3</v>
      </c>
      <c r="K194" t="n">
        <v>0</v>
      </c>
      <c r="L194" t="n">
        <v>0</v>
      </c>
      <c r="M194" t="n">
        <v>0</v>
      </c>
      <c r="N194" t="n">
        <v>0</v>
      </c>
      <c r="O194" t="n">
        <v>3</v>
      </c>
      <c r="P194" t="n">
        <v>0</v>
      </c>
      <c r="Q194" t="n">
        <v>3</v>
      </c>
      <c r="R194" s="2" t="inlineStr">
        <is>
          <t>Backklöver
Gullklöver
Vippärt</t>
        </is>
      </c>
      <c r="S194">
        <f>HYPERLINK("https://klasma.github.io/Logging_0120/artfynd/A 33166-2023 artfynd.xlsx", "A 33166-2023")</f>
        <v/>
      </c>
      <c r="T194">
        <f>HYPERLINK("https://klasma.github.io/Logging_0120/kartor/A 33166-2023 karta.png", "A 33166-2023")</f>
        <v/>
      </c>
      <c r="V194">
        <f>HYPERLINK("https://klasma.github.io/Logging_0120/klagomål/A 33166-2023 FSC-klagomål.docx", "A 33166-2023")</f>
        <v/>
      </c>
      <c r="W194">
        <f>HYPERLINK("https://klasma.github.io/Logging_0120/klagomålsmail/A 33166-2023 FSC-klagomål mail.docx", "A 33166-2023")</f>
        <v/>
      </c>
      <c r="X194">
        <f>HYPERLINK("https://klasma.github.io/Logging_0120/tillsyn/A 33166-2023 tillsynsbegäran.docx", "A 33166-2023")</f>
        <v/>
      </c>
      <c r="Y194">
        <f>HYPERLINK("https://klasma.github.io/Logging_0120/tillsynsmail/A 33166-2023 tillsynsbegäran mail.docx", "A 33166-2023")</f>
        <v/>
      </c>
    </row>
    <row r="195" ht="15" customHeight="1">
      <c r="A195" t="inlineStr">
        <is>
          <t>A 36662-2023</t>
        </is>
      </c>
      <c r="B195" s="1" t="n">
        <v>45153</v>
      </c>
      <c r="C195" s="1" t="n">
        <v>45512</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45512</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43304-2023</t>
        </is>
      </c>
      <c r="B197" s="1" t="n">
        <v>45183</v>
      </c>
      <c r="C197" s="1" t="n">
        <v>45512</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45512</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45512</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45512</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45512</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13571-2024</t>
        </is>
      </c>
      <c r="B202" s="1" t="n">
        <v>45389</v>
      </c>
      <c r="C202" s="1" t="n">
        <v>45512</v>
      </c>
      <c r="D202" t="inlineStr">
        <is>
          <t>STOCKHOLMS LÄN</t>
        </is>
      </c>
      <c r="E202" t="inlineStr">
        <is>
          <t>VALLENTUNA</t>
        </is>
      </c>
      <c r="G202" t="n">
        <v>21.7</v>
      </c>
      <c r="H202" t="n">
        <v>1</v>
      </c>
      <c r="I202" t="n">
        <v>1</v>
      </c>
      <c r="J202" t="n">
        <v>1</v>
      </c>
      <c r="K202" t="n">
        <v>0</v>
      </c>
      <c r="L202" t="n">
        <v>0</v>
      </c>
      <c r="M202" t="n">
        <v>0</v>
      </c>
      <c r="N202" t="n">
        <v>0</v>
      </c>
      <c r="O202" t="n">
        <v>1</v>
      </c>
      <c r="P202" t="n">
        <v>0</v>
      </c>
      <c r="Q202" t="n">
        <v>3</v>
      </c>
      <c r="R202" s="2" t="inlineStr">
        <is>
          <t>Vedskivlav
Vedticka
Tjäder</t>
        </is>
      </c>
      <c r="S202">
        <f>HYPERLINK("https://klasma.github.io/Logging_0115/artfynd/A 13571-2024 artfynd.xlsx", "A 13571-2024")</f>
        <v/>
      </c>
      <c r="T202">
        <f>HYPERLINK("https://klasma.github.io/Logging_0115/kartor/A 13571-2024 karta.png", "A 13571-2024")</f>
        <v/>
      </c>
      <c r="V202">
        <f>HYPERLINK("https://klasma.github.io/Logging_0115/klagomål/A 13571-2024 FSC-klagomål.docx", "A 13571-2024")</f>
        <v/>
      </c>
      <c r="W202">
        <f>HYPERLINK("https://klasma.github.io/Logging_0115/klagomålsmail/A 13571-2024 FSC-klagomål mail.docx", "A 13571-2024")</f>
        <v/>
      </c>
      <c r="X202">
        <f>HYPERLINK("https://klasma.github.io/Logging_0115/tillsyn/A 13571-2024 tillsynsbegäran.docx", "A 13571-2024")</f>
        <v/>
      </c>
      <c r="Y202">
        <f>HYPERLINK("https://klasma.github.io/Logging_0115/tillsynsmail/A 13571-2024 tillsynsbegäran mail.docx", "A 13571-2024")</f>
        <v/>
      </c>
      <c r="Z202">
        <f>HYPERLINK("https://klasma.github.io/Logging_0115/fåglar/A 13571-2024 prioriterade fågelarter.docx", "A 13571-2024")</f>
        <v/>
      </c>
    </row>
    <row r="203" ht="15" customHeight="1">
      <c r="A203" t="inlineStr">
        <is>
          <t>A 18451-2024</t>
        </is>
      </c>
      <c r="B203" s="1" t="n">
        <v>45425</v>
      </c>
      <c r="C203" s="1" t="n">
        <v>45512</v>
      </c>
      <c r="D203" t="inlineStr">
        <is>
          <t>STOCKHOLMS LÄN</t>
        </is>
      </c>
      <c r="E203" t="inlineStr">
        <is>
          <t>SIGTUNA</t>
        </is>
      </c>
      <c r="G203" t="n">
        <v>6.4</v>
      </c>
      <c r="H203" t="n">
        <v>3</v>
      </c>
      <c r="I203" t="n">
        <v>0</v>
      </c>
      <c r="J203" t="n">
        <v>1</v>
      </c>
      <c r="K203" t="n">
        <v>0</v>
      </c>
      <c r="L203" t="n">
        <v>0</v>
      </c>
      <c r="M203" t="n">
        <v>0</v>
      </c>
      <c r="N203" t="n">
        <v>0</v>
      </c>
      <c r="O203" t="n">
        <v>1</v>
      </c>
      <c r="P203" t="n">
        <v>0</v>
      </c>
      <c r="Q203" t="n">
        <v>3</v>
      </c>
      <c r="R203" s="2" t="inlineStr">
        <is>
          <t>Spillkråka
Kungsfågel
Blåsippa</t>
        </is>
      </c>
      <c r="S203">
        <f>HYPERLINK("https://klasma.github.io/Logging_0191/artfynd/A 18451-2024 artfynd.xlsx", "A 18451-2024")</f>
        <v/>
      </c>
      <c r="T203">
        <f>HYPERLINK("https://klasma.github.io/Logging_0191/kartor/A 18451-2024 karta.png", "A 18451-2024")</f>
        <v/>
      </c>
      <c r="V203">
        <f>HYPERLINK("https://klasma.github.io/Logging_0191/klagomål/A 18451-2024 FSC-klagomål.docx", "A 18451-2024")</f>
        <v/>
      </c>
      <c r="W203">
        <f>HYPERLINK("https://klasma.github.io/Logging_0191/klagomålsmail/A 18451-2024 FSC-klagomål mail.docx", "A 18451-2024")</f>
        <v/>
      </c>
      <c r="X203">
        <f>HYPERLINK("https://klasma.github.io/Logging_0191/tillsyn/A 18451-2024 tillsynsbegäran.docx", "A 18451-2024")</f>
        <v/>
      </c>
      <c r="Y203">
        <f>HYPERLINK("https://klasma.github.io/Logging_0191/tillsynsmail/A 18451-2024 tillsynsbegäran mail.docx", "A 18451-2024")</f>
        <v/>
      </c>
      <c r="Z203">
        <f>HYPERLINK("https://klasma.github.io/Logging_0191/fåglar/A 18451-2024 prioriterade fågelarter.docx", "A 18451-2024")</f>
        <v/>
      </c>
    </row>
    <row r="204" ht="15" customHeight="1">
      <c r="A204" t="inlineStr">
        <is>
          <t>A 21978-2024</t>
        </is>
      </c>
      <c r="B204" s="1" t="n">
        <v>45443</v>
      </c>
      <c r="C204" s="1" t="n">
        <v>45512</v>
      </c>
      <c r="D204" t="inlineStr">
        <is>
          <t>STOCKHOLMS LÄN</t>
        </is>
      </c>
      <c r="E204" t="inlineStr">
        <is>
          <t>HANINGE</t>
        </is>
      </c>
      <c r="G204" t="n">
        <v>12.4</v>
      </c>
      <c r="H204" t="n">
        <v>2</v>
      </c>
      <c r="I204" t="n">
        <v>1</v>
      </c>
      <c r="J204" t="n">
        <v>1</v>
      </c>
      <c r="K204" t="n">
        <v>0</v>
      </c>
      <c r="L204" t="n">
        <v>0</v>
      </c>
      <c r="M204" t="n">
        <v>0</v>
      </c>
      <c r="N204" t="n">
        <v>0</v>
      </c>
      <c r="O204" t="n">
        <v>1</v>
      </c>
      <c r="P204" t="n">
        <v>0</v>
      </c>
      <c r="Q204" t="n">
        <v>3</v>
      </c>
      <c r="R204" s="2" t="inlineStr">
        <is>
          <t>Granticka
Grön sköldmossa
Vanlig snok</t>
        </is>
      </c>
      <c r="S204">
        <f>HYPERLINK("https://klasma.github.io/Logging_0136/artfynd/A 21978-2024 artfynd.xlsx", "A 21978-2024")</f>
        <v/>
      </c>
      <c r="T204">
        <f>HYPERLINK("https://klasma.github.io/Logging_0136/kartor/A 21978-2024 karta.png", "A 21978-2024")</f>
        <v/>
      </c>
      <c r="V204">
        <f>HYPERLINK("https://klasma.github.io/Logging_0136/klagomål/A 21978-2024 FSC-klagomål.docx", "A 21978-2024")</f>
        <v/>
      </c>
      <c r="W204">
        <f>HYPERLINK("https://klasma.github.io/Logging_0136/klagomålsmail/A 21978-2024 FSC-klagomål mail.docx", "A 21978-2024")</f>
        <v/>
      </c>
      <c r="X204">
        <f>HYPERLINK("https://klasma.github.io/Logging_0136/tillsyn/A 21978-2024 tillsynsbegäran.docx", "A 21978-2024")</f>
        <v/>
      </c>
      <c r="Y204">
        <f>HYPERLINK("https://klasma.github.io/Logging_0136/tillsynsmail/A 21978-2024 tillsynsbegäran mail.docx", "A 21978-2024")</f>
        <v/>
      </c>
    </row>
    <row r="205" ht="15" customHeight="1">
      <c r="A205" t="inlineStr">
        <is>
          <t>A 23830-2019</t>
        </is>
      </c>
      <c r="B205" s="1" t="n">
        <v>43595</v>
      </c>
      <c r="C205" s="1" t="n">
        <v>45512</v>
      </c>
      <c r="D205" t="inlineStr">
        <is>
          <t>STOCKHOLMS LÄN</t>
        </is>
      </c>
      <c r="E205" t="inlineStr">
        <is>
          <t>NORRTÄLJE</t>
        </is>
      </c>
      <c r="G205" t="n">
        <v>3</v>
      </c>
      <c r="H205" t="n">
        <v>2</v>
      </c>
      <c r="I205" t="n">
        <v>1</v>
      </c>
      <c r="J205" t="n">
        <v>0</v>
      </c>
      <c r="K205" t="n">
        <v>0</v>
      </c>
      <c r="L205" t="n">
        <v>0</v>
      </c>
      <c r="M205" t="n">
        <v>0</v>
      </c>
      <c r="N205" t="n">
        <v>0</v>
      </c>
      <c r="O205" t="n">
        <v>0</v>
      </c>
      <c r="P205" t="n">
        <v>0</v>
      </c>
      <c r="Q205" t="n">
        <v>2</v>
      </c>
      <c r="R205" s="2" t="inlineStr">
        <is>
          <t>Guckusko
Grönvit nattviol</t>
        </is>
      </c>
      <c r="S205">
        <f>HYPERLINK("https://klasma.github.io/Logging_0188/artfynd/A 23830-2019 artfynd.xlsx", "A 23830-2019")</f>
        <v/>
      </c>
      <c r="T205">
        <f>HYPERLINK("https://klasma.github.io/Logging_0188/kartor/A 23830-2019 karta.png", "A 23830-2019")</f>
        <v/>
      </c>
      <c r="V205">
        <f>HYPERLINK("https://klasma.github.io/Logging_0188/klagomål/A 23830-2019 FSC-klagomål.docx", "A 23830-2019")</f>
        <v/>
      </c>
      <c r="W205">
        <f>HYPERLINK("https://klasma.github.io/Logging_0188/klagomålsmail/A 23830-2019 FSC-klagomål mail.docx", "A 23830-2019")</f>
        <v/>
      </c>
      <c r="X205">
        <f>HYPERLINK("https://klasma.github.io/Logging_0188/tillsyn/A 23830-2019 tillsynsbegäran.docx", "A 23830-2019")</f>
        <v/>
      </c>
      <c r="Y205">
        <f>HYPERLINK("https://klasma.github.io/Logging_0188/tillsynsmail/A 23830-2019 tillsynsbegäran mail.docx", "A 23830-2019")</f>
        <v/>
      </c>
    </row>
    <row r="206" ht="15" customHeight="1">
      <c r="A206" t="inlineStr">
        <is>
          <t>A 31893-2019</t>
        </is>
      </c>
      <c r="B206" s="1" t="n">
        <v>43642</v>
      </c>
      <c r="C206" s="1" t="n">
        <v>45512</v>
      </c>
      <c r="D206" t="inlineStr">
        <is>
          <t>STOCKHOLMS LÄN</t>
        </is>
      </c>
      <c r="E206" t="inlineStr">
        <is>
          <t>NYNÄSHAMN</t>
        </is>
      </c>
      <c r="F206" t="inlineStr">
        <is>
          <t>Kommuner</t>
        </is>
      </c>
      <c r="G206" t="n">
        <v>3.4</v>
      </c>
      <c r="H206" t="n">
        <v>1</v>
      </c>
      <c r="I206" t="n">
        <v>1</v>
      </c>
      <c r="J206" t="n">
        <v>0</v>
      </c>
      <c r="K206" t="n">
        <v>0</v>
      </c>
      <c r="L206" t="n">
        <v>0</v>
      </c>
      <c r="M206" t="n">
        <v>0</v>
      </c>
      <c r="N206" t="n">
        <v>0</v>
      </c>
      <c r="O206" t="n">
        <v>0</v>
      </c>
      <c r="P206" t="n">
        <v>0</v>
      </c>
      <c r="Q206" t="n">
        <v>2</v>
      </c>
      <c r="R206" s="2" t="inlineStr">
        <is>
          <t>Stubbspretmossa
Revlummer</t>
        </is>
      </c>
      <c r="S206">
        <f>HYPERLINK("https://klasma.github.io/Logging_0192/artfynd/A 31893-2019 artfynd.xlsx", "A 31893-2019")</f>
        <v/>
      </c>
      <c r="T206">
        <f>HYPERLINK("https://klasma.github.io/Logging_0192/kartor/A 31893-2019 karta.png", "A 31893-2019")</f>
        <v/>
      </c>
      <c r="V206">
        <f>HYPERLINK("https://klasma.github.io/Logging_0192/klagomål/A 31893-2019 FSC-klagomål.docx", "A 31893-2019")</f>
        <v/>
      </c>
      <c r="W206">
        <f>HYPERLINK("https://klasma.github.io/Logging_0192/klagomålsmail/A 31893-2019 FSC-klagomål mail.docx", "A 31893-2019")</f>
        <v/>
      </c>
      <c r="X206">
        <f>HYPERLINK("https://klasma.github.io/Logging_0192/tillsyn/A 31893-2019 tillsynsbegäran.docx", "A 31893-2019")</f>
        <v/>
      </c>
      <c r="Y206">
        <f>HYPERLINK("https://klasma.github.io/Logging_0192/tillsynsmail/A 31893-2019 tillsynsbegäran mail.docx", "A 31893-2019")</f>
        <v/>
      </c>
    </row>
    <row r="207" ht="15" customHeight="1">
      <c r="A207" t="inlineStr">
        <is>
          <t>A 37730-2019</t>
        </is>
      </c>
      <c r="B207" s="1" t="n">
        <v>43682</v>
      </c>
      <c r="C207" s="1" t="n">
        <v>45512</v>
      </c>
      <c r="D207" t="inlineStr">
        <is>
          <t>STOCKHOLMS LÄN</t>
        </is>
      </c>
      <c r="E207" t="inlineStr">
        <is>
          <t>VÄRMDÖ</t>
        </is>
      </c>
      <c r="G207" t="n">
        <v>1.4</v>
      </c>
      <c r="H207" t="n">
        <v>0</v>
      </c>
      <c r="I207" t="n">
        <v>2</v>
      </c>
      <c r="J207" t="n">
        <v>0</v>
      </c>
      <c r="K207" t="n">
        <v>0</v>
      </c>
      <c r="L207" t="n">
        <v>0</v>
      </c>
      <c r="M207" t="n">
        <v>0</v>
      </c>
      <c r="N207" t="n">
        <v>0</v>
      </c>
      <c r="O207" t="n">
        <v>0</v>
      </c>
      <c r="P207" t="n">
        <v>0</v>
      </c>
      <c r="Q207" t="n">
        <v>2</v>
      </c>
      <c r="R207" s="2" t="inlineStr">
        <is>
          <t>Kornknutmossa
Stubbspretmossa</t>
        </is>
      </c>
      <c r="S207">
        <f>HYPERLINK("https://klasma.github.io/Logging_0120/artfynd/A 37730-2019 artfynd.xlsx", "A 37730-2019")</f>
        <v/>
      </c>
      <c r="T207">
        <f>HYPERLINK("https://klasma.github.io/Logging_0120/kartor/A 37730-2019 karta.png", "A 37730-2019")</f>
        <v/>
      </c>
      <c r="V207">
        <f>HYPERLINK("https://klasma.github.io/Logging_0120/klagomål/A 37730-2019 FSC-klagomål.docx", "A 37730-2019")</f>
        <v/>
      </c>
      <c r="W207">
        <f>HYPERLINK("https://klasma.github.io/Logging_0120/klagomålsmail/A 37730-2019 FSC-klagomål mail.docx", "A 37730-2019")</f>
        <v/>
      </c>
      <c r="X207">
        <f>HYPERLINK("https://klasma.github.io/Logging_0120/tillsyn/A 37730-2019 tillsynsbegäran.docx", "A 37730-2019")</f>
        <v/>
      </c>
      <c r="Y207">
        <f>HYPERLINK("https://klasma.github.io/Logging_0120/tillsynsmail/A 37730-2019 tillsynsbegäran mail.docx", "A 37730-2019")</f>
        <v/>
      </c>
    </row>
    <row r="208" ht="15" customHeight="1">
      <c r="A208" t="inlineStr">
        <is>
          <t>A 47875-2019</t>
        </is>
      </c>
      <c r="B208" s="1" t="n">
        <v>43725</v>
      </c>
      <c r="C208" s="1" t="n">
        <v>45512</v>
      </c>
      <c r="D208" t="inlineStr">
        <is>
          <t>STOCKHOLMS LÄN</t>
        </is>
      </c>
      <c r="E208" t="inlineStr">
        <is>
          <t>NORRTÄLJE</t>
        </is>
      </c>
      <c r="G208" t="n">
        <v>10.9</v>
      </c>
      <c r="H208" t="n">
        <v>1</v>
      </c>
      <c r="I208" t="n">
        <v>0</v>
      </c>
      <c r="J208" t="n">
        <v>1</v>
      </c>
      <c r="K208" t="n">
        <v>0</v>
      </c>
      <c r="L208" t="n">
        <v>0</v>
      </c>
      <c r="M208" t="n">
        <v>0</v>
      </c>
      <c r="N208" t="n">
        <v>0</v>
      </c>
      <c r="O208" t="n">
        <v>1</v>
      </c>
      <c r="P208" t="n">
        <v>0</v>
      </c>
      <c r="Q208" t="n">
        <v>2</v>
      </c>
      <c r="R208" s="2" t="inlineStr">
        <is>
          <t>Vippärt
Mattlummer</t>
        </is>
      </c>
      <c r="S208">
        <f>HYPERLINK("https://klasma.github.io/Logging_0188/artfynd/A 47875-2019 artfynd.xlsx", "A 47875-2019")</f>
        <v/>
      </c>
      <c r="T208">
        <f>HYPERLINK("https://klasma.github.io/Logging_0188/kartor/A 47875-2019 karta.png", "A 47875-2019")</f>
        <v/>
      </c>
      <c r="V208">
        <f>HYPERLINK("https://klasma.github.io/Logging_0188/klagomål/A 47875-2019 FSC-klagomål.docx", "A 47875-2019")</f>
        <v/>
      </c>
      <c r="W208">
        <f>HYPERLINK("https://klasma.github.io/Logging_0188/klagomålsmail/A 47875-2019 FSC-klagomål mail.docx", "A 47875-2019")</f>
        <v/>
      </c>
      <c r="X208">
        <f>HYPERLINK("https://klasma.github.io/Logging_0188/tillsyn/A 47875-2019 tillsynsbegäran.docx", "A 47875-2019")</f>
        <v/>
      </c>
      <c r="Y208">
        <f>HYPERLINK("https://klasma.github.io/Logging_0188/tillsynsmail/A 47875-2019 tillsynsbegäran mail.docx", "A 47875-2019")</f>
        <v/>
      </c>
    </row>
    <row r="209" ht="15" customHeight="1">
      <c r="A209" t="inlineStr">
        <is>
          <t>A 1335-2020</t>
        </is>
      </c>
      <c r="B209" s="1" t="n">
        <v>43843</v>
      </c>
      <c r="C209" s="1" t="n">
        <v>45512</v>
      </c>
      <c r="D209" t="inlineStr">
        <is>
          <t>STOCKHOLMS LÄN</t>
        </is>
      </c>
      <c r="E209" t="inlineStr">
        <is>
          <t>BOTKYRKA</t>
        </is>
      </c>
      <c r="G209" t="n">
        <v>13.4</v>
      </c>
      <c r="H209" t="n">
        <v>0</v>
      </c>
      <c r="I209" t="n">
        <v>1</v>
      </c>
      <c r="J209" t="n">
        <v>0</v>
      </c>
      <c r="K209" t="n">
        <v>1</v>
      </c>
      <c r="L209" t="n">
        <v>0</v>
      </c>
      <c r="M209" t="n">
        <v>0</v>
      </c>
      <c r="N209" t="n">
        <v>0</v>
      </c>
      <c r="O209" t="n">
        <v>1</v>
      </c>
      <c r="P209" t="n">
        <v>1</v>
      </c>
      <c r="Q209" t="n">
        <v>2</v>
      </c>
      <c r="R209" s="2" t="inlineStr">
        <is>
          <t>Vedspik
Blodticka</t>
        </is>
      </c>
      <c r="S209">
        <f>HYPERLINK("https://klasma.github.io/Logging_0127/artfynd/A 1335-2020 artfynd.xlsx", "A 1335-2020")</f>
        <v/>
      </c>
      <c r="T209">
        <f>HYPERLINK("https://klasma.github.io/Logging_0127/kartor/A 1335-2020 karta.png", "A 1335-2020")</f>
        <v/>
      </c>
      <c r="V209">
        <f>HYPERLINK("https://klasma.github.io/Logging_0127/klagomål/A 1335-2020 FSC-klagomål.docx", "A 1335-2020")</f>
        <v/>
      </c>
      <c r="W209">
        <f>HYPERLINK("https://klasma.github.io/Logging_0127/klagomålsmail/A 1335-2020 FSC-klagomål mail.docx", "A 1335-2020")</f>
        <v/>
      </c>
      <c r="X209">
        <f>HYPERLINK("https://klasma.github.io/Logging_0127/tillsyn/A 1335-2020 tillsynsbegäran.docx", "A 1335-2020")</f>
        <v/>
      </c>
      <c r="Y209">
        <f>HYPERLINK("https://klasma.github.io/Logging_0127/tillsynsmail/A 1335-2020 tillsynsbegäran mail.docx", "A 1335-2020")</f>
        <v/>
      </c>
    </row>
    <row r="210" ht="15" customHeight="1">
      <c r="A210" t="inlineStr">
        <is>
          <t>A 2810-2020</t>
        </is>
      </c>
      <c r="B210" s="1" t="n">
        <v>43850</v>
      </c>
      <c r="C210" s="1" t="n">
        <v>45512</v>
      </c>
      <c r="D210" t="inlineStr">
        <is>
          <t>STOCKHOLMS LÄN</t>
        </is>
      </c>
      <c r="E210" t="inlineStr">
        <is>
          <t>NORRTÄLJE</t>
        </is>
      </c>
      <c r="G210" t="n">
        <v>0.9</v>
      </c>
      <c r="H210" t="n">
        <v>1</v>
      </c>
      <c r="I210" t="n">
        <v>1</v>
      </c>
      <c r="J210" t="n">
        <v>0</v>
      </c>
      <c r="K210" t="n">
        <v>1</v>
      </c>
      <c r="L210" t="n">
        <v>0</v>
      </c>
      <c r="M210" t="n">
        <v>0</v>
      </c>
      <c r="N210" t="n">
        <v>0</v>
      </c>
      <c r="O210" t="n">
        <v>1</v>
      </c>
      <c r="P210" t="n">
        <v>1</v>
      </c>
      <c r="Q210" t="n">
        <v>2</v>
      </c>
      <c r="R210" s="2" t="inlineStr">
        <is>
          <t>Knärot
Grönpyrola</t>
        </is>
      </c>
      <c r="S210">
        <f>HYPERLINK("https://klasma.github.io/Logging_0188/artfynd/A 2810-2020 artfynd.xlsx", "A 2810-2020")</f>
        <v/>
      </c>
      <c r="T210">
        <f>HYPERLINK("https://klasma.github.io/Logging_0188/kartor/A 2810-2020 karta.png", "A 2810-2020")</f>
        <v/>
      </c>
      <c r="U210">
        <f>HYPERLINK("https://klasma.github.io/Logging_0188/knärot/A 2810-2020 karta knärot.png", "A 2810-2020")</f>
        <v/>
      </c>
      <c r="V210">
        <f>HYPERLINK("https://klasma.github.io/Logging_0188/klagomål/A 2810-2020 FSC-klagomål.docx", "A 2810-2020")</f>
        <v/>
      </c>
      <c r="W210">
        <f>HYPERLINK("https://klasma.github.io/Logging_0188/klagomålsmail/A 2810-2020 FSC-klagomål mail.docx", "A 2810-2020")</f>
        <v/>
      </c>
      <c r="X210">
        <f>HYPERLINK("https://klasma.github.io/Logging_0188/tillsyn/A 2810-2020 tillsynsbegäran.docx", "A 2810-2020")</f>
        <v/>
      </c>
      <c r="Y210">
        <f>HYPERLINK("https://klasma.github.io/Logging_0188/tillsynsmail/A 2810-2020 tillsynsbegäran mail.docx", "A 2810-2020")</f>
        <v/>
      </c>
    </row>
    <row r="211" ht="15" customHeight="1">
      <c r="A211" t="inlineStr">
        <is>
          <t>A 3215-2020</t>
        </is>
      </c>
      <c r="B211" s="1" t="n">
        <v>43851</v>
      </c>
      <c r="C211" s="1" t="n">
        <v>45512</v>
      </c>
      <c r="D211" t="inlineStr">
        <is>
          <t>STOCKHOLMS LÄN</t>
        </is>
      </c>
      <c r="E211" t="inlineStr">
        <is>
          <t>NYNÄSHAMN</t>
        </is>
      </c>
      <c r="G211" t="n">
        <v>2.5</v>
      </c>
      <c r="H211" t="n">
        <v>0</v>
      </c>
      <c r="I211" t="n">
        <v>2</v>
      </c>
      <c r="J211" t="n">
        <v>0</v>
      </c>
      <c r="K211" t="n">
        <v>0</v>
      </c>
      <c r="L211" t="n">
        <v>0</v>
      </c>
      <c r="M211" t="n">
        <v>0</v>
      </c>
      <c r="N211" t="n">
        <v>0</v>
      </c>
      <c r="O211" t="n">
        <v>0</v>
      </c>
      <c r="P211" t="n">
        <v>0</v>
      </c>
      <c r="Q211" t="n">
        <v>2</v>
      </c>
      <c r="R211" s="2" t="inlineStr">
        <is>
          <t>Sårläka
Thomsons trägnagare</t>
        </is>
      </c>
      <c r="S211">
        <f>HYPERLINK("https://klasma.github.io/Logging_0192/artfynd/A 3215-2020 artfynd.xlsx", "A 3215-2020")</f>
        <v/>
      </c>
      <c r="T211">
        <f>HYPERLINK("https://klasma.github.io/Logging_0192/kartor/A 3215-2020 karta.png", "A 3215-2020")</f>
        <v/>
      </c>
      <c r="V211">
        <f>HYPERLINK("https://klasma.github.io/Logging_0192/klagomål/A 3215-2020 FSC-klagomål.docx", "A 3215-2020")</f>
        <v/>
      </c>
      <c r="W211">
        <f>HYPERLINK("https://klasma.github.io/Logging_0192/klagomålsmail/A 3215-2020 FSC-klagomål mail.docx", "A 3215-2020")</f>
        <v/>
      </c>
      <c r="X211">
        <f>HYPERLINK("https://klasma.github.io/Logging_0192/tillsyn/A 3215-2020 tillsynsbegäran.docx", "A 3215-2020")</f>
        <v/>
      </c>
      <c r="Y211">
        <f>HYPERLINK("https://klasma.github.io/Logging_0192/tillsynsmail/A 3215-2020 tillsynsbegäran mail.docx", "A 3215-2020")</f>
        <v/>
      </c>
    </row>
    <row r="212" ht="15" customHeight="1">
      <c r="A212" t="inlineStr">
        <is>
          <t>A 4124-2020</t>
        </is>
      </c>
      <c r="B212" s="1" t="n">
        <v>43857</v>
      </c>
      <c r="C212" s="1" t="n">
        <v>45512</v>
      </c>
      <c r="D212" t="inlineStr">
        <is>
          <t>STOCKHOLMS LÄN</t>
        </is>
      </c>
      <c r="E212" t="inlineStr">
        <is>
          <t>VALLENTUNA</t>
        </is>
      </c>
      <c r="G212" t="n">
        <v>1.2</v>
      </c>
      <c r="H212" t="n">
        <v>0</v>
      </c>
      <c r="I212" t="n">
        <v>1</v>
      </c>
      <c r="J212" t="n">
        <v>1</v>
      </c>
      <c r="K212" t="n">
        <v>0</v>
      </c>
      <c r="L212" t="n">
        <v>0</v>
      </c>
      <c r="M212" t="n">
        <v>0</v>
      </c>
      <c r="N212" t="n">
        <v>0</v>
      </c>
      <c r="O212" t="n">
        <v>1</v>
      </c>
      <c r="P212" t="n">
        <v>0</v>
      </c>
      <c r="Q212" t="n">
        <v>2</v>
      </c>
      <c r="R212" s="2" t="inlineStr">
        <is>
          <t>Barrpraktbagge
Blompraktbagge</t>
        </is>
      </c>
      <c r="S212">
        <f>HYPERLINK("https://klasma.github.io/Logging_0115/artfynd/A 4124-2020 artfynd.xlsx", "A 4124-2020")</f>
        <v/>
      </c>
      <c r="T212">
        <f>HYPERLINK("https://klasma.github.io/Logging_0115/kartor/A 4124-2020 karta.png", "A 4124-2020")</f>
        <v/>
      </c>
      <c r="V212">
        <f>HYPERLINK("https://klasma.github.io/Logging_0115/klagomål/A 4124-2020 FSC-klagomål.docx", "A 4124-2020")</f>
        <v/>
      </c>
      <c r="W212">
        <f>HYPERLINK("https://klasma.github.io/Logging_0115/klagomålsmail/A 4124-2020 FSC-klagomål mail.docx", "A 4124-2020")</f>
        <v/>
      </c>
      <c r="X212">
        <f>HYPERLINK("https://klasma.github.io/Logging_0115/tillsyn/A 4124-2020 tillsynsbegäran.docx", "A 4124-2020")</f>
        <v/>
      </c>
      <c r="Y212">
        <f>HYPERLINK("https://klasma.github.io/Logging_0115/tillsynsmail/A 4124-2020 tillsynsbegäran mail.docx", "A 4124-2020")</f>
        <v/>
      </c>
    </row>
    <row r="213" ht="15" customHeight="1">
      <c r="A213" t="inlineStr">
        <is>
          <t>A 4058-2020</t>
        </is>
      </c>
      <c r="B213" s="1" t="n">
        <v>43857</v>
      </c>
      <c r="C213" s="1" t="n">
        <v>45512</v>
      </c>
      <c r="D213" t="inlineStr">
        <is>
          <t>STOCKHOLMS LÄN</t>
        </is>
      </c>
      <c r="E213" t="inlineStr">
        <is>
          <t>BOTKYRKA</t>
        </is>
      </c>
      <c r="G213" t="n">
        <v>17.9</v>
      </c>
      <c r="H213" t="n">
        <v>0</v>
      </c>
      <c r="I213" t="n">
        <v>1</v>
      </c>
      <c r="J213" t="n">
        <v>1</v>
      </c>
      <c r="K213" t="n">
        <v>0</v>
      </c>
      <c r="L213" t="n">
        <v>0</v>
      </c>
      <c r="M213" t="n">
        <v>0</v>
      </c>
      <c r="N213" t="n">
        <v>0</v>
      </c>
      <c r="O213" t="n">
        <v>1</v>
      </c>
      <c r="P213" t="n">
        <v>0</v>
      </c>
      <c r="Q213" t="n">
        <v>2</v>
      </c>
      <c r="R213" s="2" t="inlineStr">
        <is>
          <t>Ekticka
Springkorn</t>
        </is>
      </c>
      <c r="S213">
        <f>HYPERLINK("https://klasma.github.io/Logging_0127/artfynd/A 4058-2020 artfynd.xlsx", "A 4058-2020")</f>
        <v/>
      </c>
      <c r="T213">
        <f>HYPERLINK("https://klasma.github.io/Logging_0127/kartor/A 4058-2020 karta.png", "A 4058-2020")</f>
        <v/>
      </c>
      <c r="V213">
        <f>HYPERLINK("https://klasma.github.io/Logging_0127/klagomål/A 4058-2020 FSC-klagomål.docx", "A 4058-2020")</f>
        <v/>
      </c>
      <c r="W213">
        <f>HYPERLINK("https://klasma.github.io/Logging_0127/klagomålsmail/A 4058-2020 FSC-klagomål mail.docx", "A 4058-2020")</f>
        <v/>
      </c>
      <c r="X213">
        <f>HYPERLINK("https://klasma.github.io/Logging_0127/tillsyn/A 4058-2020 tillsynsbegäran.docx", "A 4058-2020")</f>
        <v/>
      </c>
      <c r="Y213">
        <f>HYPERLINK("https://klasma.github.io/Logging_0127/tillsynsmail/A 4058-2020 tillsynsbegäran mail.docx", "A 4058-2020")</f>
        <v/>
      </c>
    </row>
    <row r="214" ht="15" customHeight="1">
      <c r="A214" t="inlineStr">
        <is>
          <t>A 4266-2020</t>
        </is>
      </c>
      <c r="B214" s="1" t="n">
        <v>43857</v>
      </c>
      <c r="C214" s="1" t="n">
        <v>45512</v>
      </c>
      <c r="D214" t="inlineStr">
        <is>
          <t>STOCKHOLMS LÄN</t>
        </is>
      </c>
      <c r="E214" t="inlineStr">
        <is>
          <t>VALLENTUNA</t>
        </is>
      </c>
      <c r="G214" t="n">
        <v>4.5</v>
      </c>
      <c r="H214" t="n">
        <v>0</v>
      </c>
      <c r="I214" t="n">
        <v>1</v>
      </c>
      <c r="J214" t="n">
        <v>1</v>
      </c>
      <c r="K214" t="n">
        <v>0</v>
      </c>
      <c r="L214" t="n">
        <v>0</v>
      </c>
      <c r="M214" t="n">
        <v>0</v>
      </c>
      <c r="N214" t="n">
        <v>0</v>
      </c>
      <c r="O214" t="n">
        <v>1</v>
      </c>
      <c r="P214" t="n">
        <v>0</v>
      </c>
      <c r="Q214" t="n">
        <v>2</v>
      </c>
      <c r="R214" s="2" t="inlineStr">
        <is>
          <t>Slåtterfibbla
Korthornad vedstekel</t>
        </is>
      </c>
      <c r="S214">
        <f>HYPERLINK("https://klasma.github.io/Logging_0115/artfynd/A 4266-2020 artfynd.xlsx", "A 4266-2020")</f>
        <v/>
      </c>
      <c r="T214">
        <f>HYPERLINK("https://klasma.github.io/Logging_0115/kartor/A 4266-2020 karta.png", "A 4266-2020")</f>
        <v/>
      </c>
      <c r="V214">
        <f>HYPERLINK("https://klasma.github.io/Logging_0115/klagomål/A 4266-2020 FSC-klagomål.docx", "A 4266-2020")</f>
        <v/>
      </c>
      <c r="W214">
        <f>HYPERLINK("https://klasma.github.io/Logging_0115/klagomålsmail/A 4266-2020 FSC-klagomål mail.docx", "A 4266-2020")</f>
        <v/>
      </c>
      <c r="X214">
        <f>HYPERLINK("https://klasma.github.io/Logging_0115/tillsyn/A 4266-2020 tillsynsbegäran.docx", "A 4266-2020")</f>
        <v/>
      </c>
      <c r="Y214">
        <f>HYPERLINK("https://klasma.github.io/Logging_0115/tillsynsmail/A 4266-2020 tillsynsbegäran mail.docx", "A 4266-2020")</f>
        <v/>
      </c>
    </row>
    <row r="215" ht="15" customHeight="1">
      <c r="A215" t="inlineStr">
        <is>
          <t>A 6272-2020</t>
        </is>
      </c>
      <c r="B215" s="1" t="n">
        <v>43866</v>
      </c>
      <c r="C215" s="1" t="n">
        <v>45512</v>
      </c>
      <c r="D215" t="inlineStr">
        <is>
          <t>STOCKHOLMS LÄN</t>
        </is>
      </c>
      <c r="E215" t="inlineStr">
        <is>
          <t>NORRTÄLJE</t>
        </is>
      </c>
      <c r="F215" t="inlineStr">
        <is>
          <t>Övriga statliga verk och myndigheter</t>
        </is>
      </c>
      <c r="G215" t="n">
        <v>1.9</v>
      </c>
      <c r="H215" t="n">
        <v>1</v>
      </c>
      <c r="I215" t="n">
        <v>1</v>
      </c>
      <c r="J215" t="n">
        <v>1</v>
      </c>
      <c r="K215" t="n">
        <v>0</v>
      </c>
      <c r="L215" t="n">
        <v>0</v>
      </c>
      <c r="M215" t="n">
        <v>0</v>
      </c>
      <c r="N215" t="n">
        <v>0</v>
      </c>
      <c r="O215" t="n">
        <v>1</v>
      </c>
      <c r="P215" t="n">
        <v>0</v>
      </c>
      <c r="Q215" t="n">
        <v>2</v>
      </c>
      <c r="R215" s="2" t="inlineStr">
        <is>
          <t>Silversmygare
Nästrot</t>
        </is>
      </c>
      <c r="S215">
        <f>HYPERLINK("https://klasma.github.io/Logging_0188/artfynd/A 6272-2020 artfynd.xlsx", "A 6272-2020")</f>
        <v/>
      </c>
      <c r="T215">
        <f>HYPERLINK("https://klasma.github.io/Logging_0188/kartor/A 6272-2020 karta.png", "A 6272-2020")</f>
        <v/>
      </c>
      <c r="V215">
        <f>HYPERLINK("https://klasma.github.io/Logging_0188/klagomål/A 6272-2020 FSC-klagomål.docx", "A 6272-2020")</f>
        <v/>
      </c>
      <c r="W215">
        <f>HYPERLINK("https://klasma.github.io/Logging_0188/klagomålsmail/A 6272-2020 FSC-klagomål mail.docx", "A 6272-2020")</f>
        <v/>
      </c>
      <c r="X215">
        <f>HYPERLINK("https://klasma.github.io/Logging_0188/tillsyn/A 6272-2020 tillsynsbegäran.docx", "A 6272-2020")</f>
        <v/>
      </c>
      <c r="Y215">
        <f>HYPERLINK("https://klasma.github.io/Logging_0188/tillsynsmail/A 6272-2020 tillsynsbegäran mail.docx", "A 6272-2020")</f>
        <v/>
      </c>
    </row>
    <row r="216" ht="15" customHeight="1">
      <c r="A216" t="inlineStr">
        <is>
          <t>A 19565-2020</t>
        </is>
      </c>
      <c r="B216" s="1" t="n">
        <v>43936</v>
      </c>
      <c r="C216" s="1" t="n">
        <v>45512</v>
      </c>
      <c r="D216" t="inlineStr">
        <is>
          <t>STOCKHOLMS LÄN</t>
        </is>
      </c>
      <c r="E216" t="inlineStr">
        <is>
          <t>NORRTÄLJE</t>
        </is>
      </c>
      <c r="G216" t="n">
        <v>2.4</v>
      </c>
      <c r="H216" t="n">
        <v>0</v>
      </c>
      <c r="I216" t="n">
        <v>2</v>
      </c>
      <c r="J216" t="n">
        <v>0</v>
      </c>
      <c r="K216" t="n">
        <v>0</v>
      </c>
      <c r="L216" t="n">
        <v>0</v>
      </c>
      <c r="M216" t="n">
        <v>0</v>
      </c>
      <c r="N216" t="n">
        <v>0</v>
      </c>
      <c r="O216" t="n">
        <v>0</v>
      </c>
      <c r="P216" t="n">
        <v>0</v>
      </c>
      <c r="Q216" t="n">
        <v>2</v>
      </c>
      <c r="R216" s="2" t="inlineStr">
        <is>
          <t>Mörk husmossa
Rödgul trumpetsvamp</t>
        </is>
      </c>
      <c r="S216">
        <f>HYPERLINK("https://klasma.github.io/Logging_0188/artfynd/A 19565-2020 artfynd.xlsx", "A 19565-2020")</f>
        <v/>
      </c>
      <c r="T216">
        <f>HYPERLINK("https://klasma.github.io/Logging_0188/kartor/A 19565-2020 karta.png", "A 19565-2020")</f>
        <v/>
      </c>
      <c r="V216">
        <f>HYPERLINK("https://klasma.github.io/Logging_0188/klagomål/A 19565-2020 FSC-klagomål.docx", "A 19565-2020")</f>
        <v/>
      </c>
      <c r="W216">
        <f>HYPERLINK("https://klasma.github.io/Logging_0188/klagomålsmail/A 19565-2020 FSC-klagomål mail.docx", "A 19565-2020")</f>
        <v/>
      </c>
      <c r="X216">
        <f>HYPERLINK("https://klasma.github.io/Logging_0188/tillsyn/A 19565-2020 tillsynsbegäran.docx", "A 19565-2020")</f>
        <v/>
      </c>
      <c r="Y216">
        <f>HYPERLINK("https://klasma.github.io/Logging_0188/tillsynsmail/A 19565-2020 tillsynsbegäran mail.docx", "A 19565-2020")</f>
        <v/>
      </c>
    </row>
    <row r="217" ht="15" customHeight="1">
      <c r="A217" t="inlineStr">
        <is>
          <t>A 21187-2020</t>
        </is>
      </c>
      <c r="B217" s="1" t="n">
        <v>43951</v>
      </c>
      <c r="C217" s="1" t="n">
        <v>45512</v>
      </c>
      <c r="D217" t="inlineStr">
        <is>
          <t>STOCKHOLMS LÄN</t>
        </is>
      </c>
      <c r="E217" t="inlineStr">
        <is>
          <t>HANINGE</t>
        </is>
      </c>
      <c r="G217" t="n">
        <v>1.2</v>
      </c>
      <c r="H217" t="n">
        <v>0</v>
      </c>
      <c r="I217" t="n">
        <v>1</v>
      </c>
      <c r="J217" t="n">
        <v>0</v>
      </c>
      <c r="K217" t="n">
        <v>1</v>
      </c>
      <c r="L217" t="n">
        <v>0</v>
      </c>
      <c r="M217" t="n">
        <v>0</v>
      </c>
      <c r="N217" t="n">
        <v>0</v>
      </c>
      <c r="O217" t="n">
        <v>1</v>
      </c>
      <c r="P217" t="n">
        <v>1</v>
      </c>
      <c r="Q217" t="n">
        <v>2</v>
      </c>
      <c r="R217" s="2" t="inlineStr">
        <is>
          <t>Fläckfingersvamp
Granbarkgnagare</t>
        </is>
      </c>
      <c r="S217">
        <f>HYPERLINK("https://klasma.github.io/Logging_0136/artfynd/A 21187-2020 artfynd.xlsx", "A 21187-2020")</f>
        <v/>
      </c>
      <c r="T217">
        <f>HYPERLINK("https://klasma.github.io/Logging_0136/kartor/A 21187-2020 karta.png", "A 21187-2020")</f>
        <v/>
      </c>
      <c r="V217">
        <f>HYPERLINK("https://klasma.github.io/Logging_0136/klagomål/A 21187-2020 FSC-klagomål.docx", "A 21187-2020")</f>
        <v/>
      </c>
      <c r="W217">
        <f>HYPERLINK("https://klasma.github.io/Logging_0136/klagomålsmail/A 21187-2020 FSC-klagomål mail.docx", "A 21187-2020")</f>
        <v/>
      </c>
      <c r="X217">
        <f>HYPERLINK("https://klasma.github.io/Logging_0136/tillsyn/A 21187-2020 tillsynsbegäran.docx", "A 21187-2020")</f>
        <v/>
      </c>
      <c r="Y217">
        <f>HYPERLINK("https://klasma.github.io/Logging_0136/tillsynsmail/A 21187-2020 tillsynsbegäran mail.docx", "A 21187-2020")</f>
        <v/>
      </c>
    </row>
    <row r="218" ht="15" customHeight="1">
      <c r="A218" t="inlineStr">
        <is>
          <t>A 24751-2020</t>
        </is>
      </c>
      <c r="B218" s="1" t="n">
        <v>43978</v>
      </c>
      <c r="C218" s="1" t="n">
        <v>45512</v>
      </c>
      <c r="D218" t="inlineStr">
        <is>
          <t>STOCKHOLMS LÄN</t>
        </is>
      </c>
      <c r="E218" t="inlineStr">
        <is>
          <t>VALLENTUNA</t>
        </is>
      </c>
      <c r="G218" t="n">
        <v>5.3</v>
      </c>
      <c r="H218" t="n">
        <v>0</v>
      </c>
      <c r="I218" t="n">
        <v>2</v>
      </c>
      <c r="J218" t="n">
        <v>0</v>
      </c>
      <c r="K218" t="n">
        <v>0</v>
      </c>
      <c r="L218" t="n">
        <v>0</v>
      </c>
      <c r="M218" t="n">
        <v>0</v>
      </c>
      <c r="N218" t="n">
        <v>0</v>
      </c>
      <c r="O218" t="n">
        <v>0</v>
      </c>
      <c r="P218" t="n">
        <v>0</v>
      </c>
      <c r="Q218" t="n">
        <v>2</v>
      </c>
      <c r="R218" s="2" t="inlineStr">
        <is>
          <t>Lönnlav
Stor aspticka</t>
        </is>
      </c>
      <c r="S218">
        <f>HYPERLINK("https://klasma.github.io/Logging_0115/artfynd/A 24751-2020 artfynd.xlsx", "A 24751-2020")</f>
        <v/>
      </c>
      <c r="T218">
        <f>HYPERLINK("https://klasma.github.io/Logging_0115/kartor/A 24751-2020 karta.png", "A 24751-2020")</f>
        <v/>
      </c>
      <c r="V218">
        <f>HYPERLINK("https://klasma.github.io/Logging_0115/klagomål/A 24751-2020 FSC-klagomål.docx", "A 24751-2020")</f>
        <v/>
      </c>
      <c r="W218">
        <f>HYPERLINK("https://klasma.github.io/Logging_0115/klagomålsmail/A 24751-2020 FSC-klagomål mail.docx", "A 24751-2020")</f>
        <v/>
      </c>
      <c r="X218">
        <f>HYPERLINK("https://klasma.github.io/Logging_0115/tillsyn/A 24751-2020 tillsynsbegäran.docx", "A 24751-2020")</f>
        <v/>
      </c>
      <c r="Y218">
        <f>HYPERLINK("https://klasma.github.io/Logging_0115/tillsynsmail/A 24751-2020 tillsynsbegäran mail.docx", "A 24751-2020")</f>
        <v/>
      </c>
    </row>
    <row r="219" ht="15" customHeight="1">
      <c r="A219" t="inlineStr">
        <is>
          <t>A 46237-2020</t>
        </is>
      </c>
      <c r="B219" s="1" t="n">
        <v>44092</v>
      </c>
      <c r="C219" s="1" t="n">
        <v>45512</v>
      </c>
      <c r="D219" t="inlineStr">
        <is>
          <t>STOCKHOLMS LÄN</t>
        </is>
      </c>
      <c r="E219" t="inlineStr">
        <is>
          <t>SÖDERTÄLJE</t>
        </is>
      </c>
      <c r="G219" t="n">
        <v>1.1</v>
      </c>
      <c r="H219" t="n">
        <v>1</v>
      </c>
      <c r="I219" t="n">
        <v>1</v>
      </c>
      <c r="J219" t="n">
        <v>0</v>
      </c>
      <c r="K219" t="n">
        <v>1</v>
      </c>
      <c r="L219" t="n">
        <v>0</v>
      </c>
      <c r="M219" t="n">
        <v>0</v>
      </c>
      <c r="N219" t="n">
        <v>0</v>
      </c>
      <c r="O219" t="n">
        <v>1</v>
      </c>
      <c r="P219" t="n">
        <v>1</v>
      </c>
      <c r="Q219" t="n">
        <v>2</v>
      </c>
      <c r="R219" s="2" t="inlineStr">
        <is>
          <t>Knärot
Rödbrun jordstjärna</t>
        </is>
      </c>
      <c r="S219">
        <f>HYPERLINK("https://klasma.github.io/Logging_0181/artfynd/A 46237-2020 artfynd.xlsx", "A 46237-2020")</f>
        <v/>
      </c>
      <c r="T219">
        <f>HYPERLINK("https://klasma.github.io/Logging_0181/kartor/A 46237-2020 karta.png", "A 46237-2020")</f>
        <v/>
      </c>
      <c r="U219">
        <f>HYPERLINK("https://klasma.github.io/Logging_0181/knärot/A 46237-2020 karta knärot.png", "A 46237-2020")</f>
        <v/>
      </c>
      <c r="V219">
        <f>HYPERLINK("https://klasma.github.io/Logging_0181/klagomål/A 46237-2020 FSC-klagomål.docx", "A 46237-2020")</f>
        <v/>
      </c>
      <c r="W219">
        <f>HYPERLINK("https://klasma.github.io/Logging_0181/klagomålsmail/A 46237-2020 FSC-klagomål mail.docx", "A 46237-2020")</f>
        <v/>
      </c>
      <c r="X219">
        <f>HYPERLINK("https://klasma.github.io/Logging_0181/tillsyn/A 46237-2020 tillsynsbegäran.docx", "A 46237-2020")</f>
        <v/>
      </c>
      <c r="Y219">
        <f>HYPERLINK("https://klasma.github.io/Logging_0181/tillsynsmail/A 46237-2020 tillsynsbegäran mail.docx", "A 46237-2020")</f>
        <v/>
      </c>
    </row>
    <row r="220" ht="15" customHeight="1">
      <c r="A220" t="inlineStr">
        <is>
          <t>A 49269-2020</t>
        </is>
      </c>
      <c r="B220" s="1" t="n">
        <v>44105</v>
      </c>
      <c r="C220" s="1" t="n">
        <v>45512</v>
      </c>
      <c r="D220" t="inlineStr">
        <is>
          <t>STOCKHOLMS LÄN</t>
        </is>
      </c>
      <c r="E220" t="inlineStr">
        <is>
          <t>SIGTUNA</t>
        </is>
      </c>
      <c r="G220" t="n">
        <v>12.9</v>
      </c>
      <c r="H220" t="n">
        <v>2</v>
      </c>
      <c r="I220" t="n">
        <v>0</v>
      </c>
      <c r="J220" t="n">
        <v>1</v>
      </c>
      <c r="K220" t="n">
        <v>0</v>
      </c>
      <c r="L220" t="n">
        <v>0</v>
      </c>
      <c r="M220" t="n">
        <v>0</v>
      </c>
      <c r="N220" t="n">
        <v>0</v>
      </c>
      <c r="O220" t="n">
        <v>1</v>
      </c>
      <c r="P220" t="n">
        <v>0</v>
      </c>
      <c r="Q220" t="n">
        <v>2</v>
      </c>
      <c r="R220" s="2" t="inlineStr">
        <is>
          <t>Gulsparv
Gullviva</t>
        </is>
      </c>
      <c r="S220">
        <f>HYPERLINK("https://klasma.github.io/Logging_0191/artfynd/A 49269-2020 artfynd.xlsx", "A 49269-2020")</f>
        <v/>
      </c>
      <c r="T220">
        <f>HYPERLINK("https://klasma.github.io/Logging_0191/kartor/A 49269-2020 karta.png", "A 49269-2020")</f>
        <v/>
      </c>
      <c r="V220">
        <f>HYPERLINK("https://klasma.github.io/Logging_0191/klagomål/A 49269-2020 FSC-klagomål.docx", "A 49269-2020")</f>
        <v/>
      </c>
      <c r="W220">
        <f>HYPERLINK("https://klasma.github.io/Logging_0191/klagomålsmail/A 49269-2020 FSC-klagomål mail.docx", "A 49269-2020")</f>
        <v/>
      </c>
      <c r="X220">
        <f>HYPERLINK("https://klasma.github.io/Logging_0191/tillsyn/A 49269-2020 tillsynsbegäran.docx", "A 49269-2020")</f>
        <v/>
      </c>
      <c r="Y220">
        <f>HYPERLINK("https://klasma.github.io/Logging_0191/tillsynsmail/A 49269-2020 tillsynsbegäran mail.docx", "A 49269-2020")</f>
        <v/>
      </c>
      <c r="Z220">
        <f>HYPERLINK("https://klasma.github.io/Logging_0191/fåglar/A 49269-2020 prioriterade fågelarter.docx", "A 49269-2020")</f>
        <v/>
      </c>
    </row>
    <row r="221" ht="15" customHeight="1">
      <c r="A221" t="inlineStr">
        <is>
          <t>A 53858-2020</t>
        </is>
      </c>
      <c r="B221" s="1" t="n">
        <v>44125</v>
      </c>
      <c r="C221" s="1" t="n">
        <v>45512</v>
      </c>
      <c r="D221" t="inlineStr">
        <is>
          <t>STOCKHOLMS LÄN</t>
        </is>
      </c>
      <c r="E221" t="inlineStr">
        <is>
          <t>HANINGE</t>
        </is>
      </c>
      <c r="G221" t="n">
        <v>18.5</v>
      </c>
      <c r="H221" t="n">
        <v>2</v>
      </c>
      <c r="I221" t="n">
        <v>1</v>
      </c>
      <c r="J221" t="n">
        <v>0</v>
      </c>
      <c r="K221" t="n">
        <v>0</v>
      </c>
      <c r="L221" t="n">
        <v>0</v>
      </c>
      <c r="M221" t="n">
        <v>0</v>
      </c>
      <c r="N221" t="n">
        <v>0</v>
      </c>
      <c r="O221" t="n">
        <v>0</v>
      </c>
      <c r="P221" t="n">
        <v>0</v>
      </c>
      <c r="Q221" t="n">
        <v>2</v>
      </c>
      <c r="R221" s="2" t="inlineStr">
        <is>
          <t>Korallrot
Fläcknycklar</t>
        </is>
      </c>
      <c r="S221">
        <f>HYPERLINK("https://klasma.github.io/Logging_0136/artfynd/A 53858-2020 artfynd.xlsx", "A 53858-2020")</f>
        <v/>
      </c>
      <c r="T221">
        <f>HYPERLINK("https://klasma.github.io/Logging_0136/kartor/A 53858-2020 karta.png", "A 53858-2020")</f>
        <v/>
      </c>
      <c r="V221">
        <f>HYPERLINK("https://klasma.github.io/Logging_0136/klagomål/A 53858-2020 FSC-klagomål.docx", "A 53858-2020")</f>
        <v/>
      </c>
      <c r="W221">
        <f>HYPERLINK("https://klasma.github.io/Logging_0136/klagomålsmail/A 53858-2020 FSC-klagomål mail.docx", "A 53858-2020")</f>
        <v/>
      </c>
      <c r="X221">
        <f>HYPERLINK("https://klasma.github.io/Logging_0136/tillsyn/A 53858-2020 tillsynsbegäran.docx", "A 53858-2020")</f>
        <v/>
      </c>
      <c r="Y221">
        <f>HYPERLINK("https://klasma.github.io/Logging_0136/tillsynsmail/A 53858-2020 tillsynsbegäran mail.docx", "A 53858-2020")</f>
        <v/>
      </c>
    </row>
    <row r="222" ht="15" customHeight="1">
      <c r="A222" t="inlineStr">
        <is>
          <t>A 559-2021</t>
        </is>
      </c>
      <c r="B222" s="1" t="n">
        <v>44203</v>
      </c>
      <c r="C222" s="1" t="n">
        <v>45512</v>
      </c>
      <c r="D222" t="inlineStr">
        <is>
          <t>STOCKHOLMS LÄN</t>
        </is>
      </c>
      <c r="E222" t="inlineStr">
        <is>
          <t>NYNÄSHAMN</t>
        </is>
      </c>
      <c r="G222" t="n">
        <v>19.5</v>
      </c>
      <c r="H222" t="n">
        <v>0</v>
      </c>
      <c r="I222" t="n">
        <v>0</v>
      </c>
      <c r="J222" t="n">
        <v>2</v>
      </c>
      <c r="K222" t="n">
        <v>0</v>
      </c>
      <c r="L222" t="n">
        <v>0</v>
      </c>
      <c r="M222" t="n">
        <v>0</v>
      </c>
      <c r="N222" t="n">
        <v>0</v>
      </c>
      <c r="O222" t="n">
        <v>2</v>
      </c>
      <c r="P222" t="n">
        <v>0</v>
      </c>
      <c r="Q222" t="n">
        <v>2</v>
      </c>
      <c r="R222" s="2" t="inlineStr">
        <is>
          <t>Garnlav
Ullticka</t>
        </is>
      </c>
      <c r="S222">
        <f>HYPERLINK("https://klasma.github.io/Logging_0192/artfynd/A 559-2021 artfynd.xlsx", "A 559-2021")</f>
        <v/>
      </c>
      <c r="T222">
        <f>HYPERLINK("https://klasma.github.io/Logging_0192/kartor/A 559-2021 karta.png", "A 559-2021")</f>
        <v/>
      </c>
      <c r="V222">
        <f>HYPERLINK("https://klasma.github.io/Logging_0192/klagomål/A 559-2021 FSC-klagomål.docx", "A 559-2021")</f>
        <v/>
      </c>
      <c r="W222">
        <f>HYPERLINK("https://klasma.github.io/Logging_0192/klagomålsmail/A 559-2021 FSC-klagomål mail.docx", "A 559-2021")</f>
        <v/>
      </c>
      <c r="X222">
        <f>HYPERLINK("https://klasma.github.io/Logging_0192/tillsyn/A 559-2021 tillsynsbegäran.docx", "A 559-2021")</f>
        <v/>
      </c>
      <c r="Y222">
        <f>HYPERLINK("https://klasma.github.io/Logging_0192/tillsynsmail/A 559-2021 tillsynsbegäran mail.docx", "A 559-2021")</f>
        <v/>
      </c>
    </row>
    <row r="223" ht="15" customHeight="1">
      <c r="A223" t="inlineStr">
        <is>
          <t>A 2294-2021</t>
        </is>
      </c>
      <c r="B223" s="1" t="n">
        <v>44212</v>
      </c>
      <c r="C223" s="1" t="n">
        <v>45512</v>
      </c>
      <c r="D223" t="inlineStr">
        <is>
          <t>STOCKHOLMS LÄN</t>
        </is>
      </c>
      <c r="E223" t="inlineStr">
        <is>
          <t>NYNÄSHAMN</t>
        </is>
      </c>
      <c r="G223" t="n">
        <v>22.1</v>
      </c>
      <c r="H223" t="n">
        <v>0</v>
      </c>
      <c r="I223" t="n">
        <v>0</v>
      </c>
      <c r="J223" t="n">
        <v>2</v>
      </c>
      <c r="K223" t="n">
        <v>0</v>
      </c>
      <c r="L223" t="n">
        <v>0</v>
      </c>
      <c r="M223" t="n">
        <v>0</v>
      </c>
      <c r="N223" t="n">
        <v>0</v>
      </c>
      <c r="O223" t="n">
        <v>2</v>
      </c>
      <c r="P223" t="n">
        <v>0</v>
      </c>
      <c r="Q223" t="n">
        <v>2</v>
      </c>
      <c r="R223" s="2" t="inlineStr">
        <is>
          <t>Solvända
Ängsskära</t>
        </is>
      </c>
      <c r="S223">
        <f>HYPERLINK("https://klasma.github.io/Logging_0192/artfynd/A 2294-2021 artfynd.xlsx", "A 2294-2021")</f>
        <v/>
      </c>
      <c r="T223">
        <f>HYPERLINK("https://klasma.github.io/Logging_0192/kartor/A 2294-2021 karta.png", "A 2294-2021")</f>
        <v/>
      </c>
      <c r="V223">
        <f>HYPERLINK("https://klasma.github.io/Logging_0192/klagomål/A 2294-2021 FSC-klagomål.docx", "A 2294-2021")</f>
        <v/>
      </c>
      <c r="W223">
        <f>HYPERLINK("https://klasma.github.io/Logging_0192/klagomålsmail/A 2294-2021 FSC-klagomål mail.docx", "A 2294-2021")</f>
        <v/>
      </c>
      <c r="X223">
        <f>HYPERLINK("https://klasma.github.io/Logging_0192/tillsyn/A 2294-2021 tillsynsbegäran.docx", "A 2294-2021")</f>
        <v/>
      </c>
      <c r="Y223">
        <f>HYPERLINK("https://klasma.github.io/Logging_0192/tillsynsmail/A 2294-2021 tillsynsbegäran mail.docx", "A 2294-2021")</f>
        <v/>
      </c>
    </row>
    <row r="224" ht="15" customHeight="1">
      <c r="A224" t="inlineStr">
        <is>
          <t>A 9956-2021</t>
        </is>
      </c>
      <c r="B224" s="1" t="n">
        <v>44252</v>
      </c>
      <c r="C224" s="1" t="n">
        <v>45512</v>
      </c>
      <c r="D224" t="inlineStr">
        <is>
          <t>STOCKHOLMS LÄN</t>
        </is>
      </c>
      <c r="E224" t="inlineStr">
        <is>
          <t>UPPLANDS-BRO</t>
        </is>
      </c>
      <c r="F224" t="inlineStr">
        <is>
          <t>Kyrkan</t>
        </is>
      </c>
      <c r="G224" t="n">
        <v>3.4</v>
      </c>
      <c r="H224" t="n">
        <v>0</v>
      </c>
      <c r="I224" t="n">
        <v>1</v>
      </c>
      <c r="J224" t="n">
        <v>1</v>
      </c>
      <c r="K224" t="n">
        <v>0</v>
      </c>
      <c r="L224" t="n">
        <v>0</v>
      </c>
      <c r="M224" t="n">
        <v>0</v>
      </c>
      <c r="N224" t="n">
        <v>0</v>
      </c>
      <c r="O224" t="n">
        <v>1</v>
      </c>
      <c r="P224" t="n">
        <v>0</v>
      </c>
      <c r="Q224" t="n">
        <v>2</v>
      </c>
      <c r="R224" s="2" t="inlineStr">
        <is>
          <t>Dofttaggsvamp
Svavelriska</t>
        </is>
      </c>
      <c r="S224">
        <f>HYPERLINK("https://klasma.github.io/Logging_0139/artfynd/A 9956-2021 artfynd.xlsx", "A 9956-2021")</f>
        <v/>
      </c>
      <c r="T224">
        <f>HYPERLINK("https://klasma.github.io/Logging_0139/kartor/A 9956-2021 karta.png", "A 9956-2021")</f>
        <v/>
      </c>
      <c r="V224">
        <f>HYPERLINK("https://klasma.github.io/Logging_0139/klagomål/A 9956-2021 FSC-klagomål.docx", "A 9956-2021")</f>
        <v/>
      </c>
      <c r="W224">
        <f>HYPERLINK("https://klasma.github.io/Logging_0139/klagomålsmail/A 9956-2021 FSC-klagomål mail.docx", "A 9956-2021")</f>
        <v/>
      </c>
      <c r="X224">
        <f>HYPERLINK("https://klasma.github.io/Logging_0139/tillsyn/A 9956-2021 tillsynsbegäran.docx", "A 9956-2021")</f>
        <v/>
      </c>
      <c r="Y224">
        <f>HYPERLINK("https://klasma.github.io/Logging_0139/tillsynsmail/A 9956-2021 tillsynsbegäran mail.docx", "A 9956-2021")</f>
        <v/>
      </c>
    </row>
    <row r="225" ht="15" customHeight="1">
      <c r="A225" t="inlineStr">
        <is>
          <t>A 15314-2021</t>
        </is>
      </c>
      <c r="B225" s="1" t="n">
        <v>44284</v>
      </c>
      <c r="C225" s="1" t="n">
        <v>45512</v>
      </c>
      <c r="D225" t="inlineStr">
        <is>
          <t>STOCKHOLMS LÄN</t>
        </is>
      </c>
      <c r="E225" t="inlineStr">
        <is>
          <t>NYNÄSHAMN</t>
        </is>
      </c>
      <c r="F225" t="inlineStr">
        <is>
          <t>Kommuner</t>
        </is>
      </c>
      <c r="G225" t="n">
        <v>9</v>
      </c>
      <c r="H225" t="n">
        <v>1</v>
      </c>
      <c r="I225" t="n">
        <v>1</v>
      </c>
      <c r="J225" t="n">
        <v>1</v>
      </c>
      <c r="K225" t="n">
        <v>0</v>
      </c>
      <c r="L225" t="n">
        <v>0</v>
      </c>
      <c r="M225" t="n">
        <v>0</v>
      </c>
      <c r="N225" t="n">
        <v>0</v>
      </c>
      <c r="O225" t="n">
        <v>1</v>
      </c>
      <c r="P225" t="n">
        <v>0</v>
      </c>
      <c r="Q225" t="n">
        <v>2</v>
      </c>
      <c r="R225" s="2" t="inlineStr">
        <is>
          <t>Granticka
Grön sköldmossa</t>
        </is>
      </c>
      <c r="S225">
        <f>HYPERLINK("https://klasma.github.io/Logging_0192/artfynd/A 15314-2021 artfynd.xlsx", "A 15314-2021")</f>
        <v/>
      </c>
      <c r="T225">
        <f>HYPERLINK("https://klasma.github.io/Logging_0192/kartor/A 15314-2021 karta.png", "A 15314-2021")</f>
        <v/>
      </c>
      <c r="V225">
        <f>HYPERLINK("https://klasma.github.io/Logging_0192/klagomål/A 15314-2021 FSC-klagomål.docx", "A 15314-2021")</f>
        <v/>
      </c>
      <c r="W225">
        <f>HYPERLINK("https://klasma.github.io/Logging_0192/klagomålsmail/A 15314-2021 FSC-klagomål mail.docx", "A 15314-2021")</f>
        <v/>
      </c>
      <c r="X225">
        <f>HYPERLINK("https://klasma.github.io/Logging_0192/tillsyn/A 15314-2021 tillsynsbegäran.docx", "A 15314-2021")</f>
        <v/>
      </c>
      <c r="Y225">
        <f>HYPERLINK("https://klasma.github.io/Logging_0192/tillsynsmail/A 15314-2021 tillsynsbegäran mail.docx", "A 15314-2021")</f>
        <v/>
      </c>
    </row>
    <row r="226" ht="15" customHeight="1">
      <c r="A226" t="inlineStr">
        <is>
          <t>A 16084-2021</t>
        </is>
      </c>
      <c r="B226" s="1" t="n">
        <v>44288</v>
      </c>
      <c r="C226" s="1" t="n">
        <v>45512</v>
      </c>
      <c r="D226" t="inlineStr">
        <is>
          <t>STOCKHOLMS LÄN</t>
        </is>
      </c>
      <c r="E226" t="inlineStr">
        <is>
          <t>VÄRMDÖ</t>
        </is>
      </c>
      <c r="G226" t="n">
        <v>1.2</v>
      </c>
      <c r="H226" t="n">
        <v>0</v>
      </c>
      <c r="I226" t="n">
        <v>1</v>
      </c>
      <c r="J226" t="n">
        <v>1</v>
      </c>
      <c r="K226" t="n">
        <v>0</v>
      </c>
      <c r="L226" t="n">
        <v>0</v>
      </c>
      <c r="M226" t="n">
        <v>0</v>
      </c>
      <c r="N226" t="n">
        <v>0</v>
      </c>
      <c r="O226" t="n">
        <v>1</v>
      </c>
      <c r="P226" t="n">
        <v>0</v>
      </c>
      <c r="Q226" t="n">
        <v>2</v>
      </c>
      <c r="R226" s="2" t="inlineStr">
        <is>
          <t>Reliktbock
Grovticka</t>
        </is>
      </c>
      <c r="S226">
        <f>HYPERLINK("https://klasma.github.io/Logging_0120/artfynd/A 16084-2021 artfynd.xlsx", "A 16084-2021")</f>
        <v/>
      </c>
      <c r="T226">
        <f>HYPERLINK("https://klasma.github.io/Logging_0120/kartor/A 16084-2021 karta.png", "A 16084-2021")</f>
        <v/>
      </c>
      <c r="V226">
        <f>HYPERLINK("https://klasma.github.io/Logging_0120/klagomål/A 16084-2021 FSC-klagomål.docx", "A 16084-2021")</f>
        <v/>
      </c>
      <c r="W226">
        <f>HYPERLINK("https://klasma.github.io/Logging_0120/klagomålsmail/A 16084-2021 FSC-klagomål mail.docx", "A 16084-2021")</f>
        <v/>
      </c>
      <c r="X226">
        <f>HYPERLINK("https://klasma.github.io/Logging_0120/tillsyn/A 16084-2021 tillsynsbegäran.docx", "A 16084-2021")</f>
        <v/>
      </c>
      <c r="Y226">
        <f>HYPERLINK("https://klasma.github.io/Logging_0120/tillsynsmail/A 16084-2021 tillsynsbegäran mail.docx", "A 16084-2021")</f>
        <v/>
      </c>
    </row>
    <row r="227" ht="15" customHeight="1">
      <c r="A227" t="inlineStr">
        <is>
          <t>A 16869-2021</t>
        </is>
      </c>
      <c r="B227" s="1" t="n">
        <v>44295</v>
      </c>
      <c r="C227" s="1" t="n">
        <v>45512</v>
      </c>
      <c r="D227" t="inlineStr">
        <is>
          <t>STOCKHOLMS LÄN</t>
        </is>
      </c>
      <c r="E227" t="inlineStr">
        <is>
          <t>NYNÄSHAMN</t>
        </is>
      </c>
      <c r="F227" t="inlineStr">
        <is>
          <t>Kommuner</t>
        </is>
      </c>
      <c r="G227" t="n">
        <v>6.5</v>
      </c>
      <c r="H227" t="n">
        <v>1</v>
      </c>
      <c r="I227" t="n">
        <v>2</v>
      </c>
      <c r="J227" t="n">
        <v>0</v>
      </c>
      <c r="K227" t="n">
        <v>0</v>
      </c>
      <c r="L227" t="n">
        <v>0</v>
      </c>
      <c r="M227" t="n">
        <v>0</v>
      </c>
      <c r="N227" t="n">
        <v>0</v>
      </c>
      <c r="O227" t="n">
        <v>0</v>
      </c>
      <c r="P227" t="n">
        <v>0</v>
      </c>
      <c r="Q227" t="n">
        <v>2</v>
      </c>
      <c r="R227" s="2" t="inlineStr">
        <is>
          <t>Grön sköldmossa
Kattfotslav</t>
        </is>
      </c>
      <c r="S227">
        <f>HYPERLINK("https://klasma.github.io/Logging_0192/artfynd/A 16869-2021 artfynd.xlsx", "A 16869-2021")</f>
        <v/>
      </c>
      <c r="T227">
        <f>HYPERLINK("https://klasma.github.io/Logging_0192/kartor/A 16869-2021 karta.png", "A 16869-2021")</f>
        <v/>
      </c>
      <c r="V227">
        <f>HYPERLINK("https://klasma.github.io/Logging_0192/klagomål/A 16869-2021 FSC-klagomål.docx", "A 16869-2021")</f>
        <v/>
      </c>
      <c r="W227">
        <f>HYPERLINK("https://klasma.github.io/Logging_0192/klagomålsmail/A 16869-2021 FSC-klagomål mail.docx", "A 16869-2021")</f>
        <v/>
      </c>
      <c r="X227">
        <f>HYPERLINK("https://klasma.github.io/Logging_0192/tillsyn/A 16869-2021 tillsynsbegäran.docx", "A 16869-2021")</f>
        <v/>
      </c>
      <c r="Y227">
        <f>HYPERLINK("https://klasma.github.io/Logging_0192/tillsynsmail/A 16869-2021 tillsynsbegäran mail.docx", "A 16869-2021")</f>
        <v/>
      </c>
    </row>
    <row r="228" ht="15" customHeight="1">
      <c r="A228" t="inlineStr">
        <is>
          <t>A 17648-2021</t>
        </is>
      </c>
      <c r="B228" s="1" t="n">
        <v>44300</v>
      </c>
      <c r="C228" s="1" t="n">
        <v>45512</v>
      </c>
      <c r="D228" t="inlineStr">
        <is>
          <t>STOCKHOLMS LÄN</t>
        </is>
      </c>
      <c r="E228" t="inlineStr">
        <is>
          <t>SÖDERTÄLJE</t>
        </is>
      </c>
      <c r="G228" t="n">
        <v>11.8</v>
      </c>
      <c r="H228" t="n">
        <v>0</v>
      </c>
      <c r="I228" t="n">
        <v>0</v>
      </c>
      <c r="J228" t="n">
        <v>1</v>
      </c>
      <c r="K228" t="n">
        <v>1</v>
      </c>
      <c r="L228" t="n">
        <v>0</v>
      </c>
      <c r="M228" t="n">
        <v>0</v>
      </c>
      <c r="N228" t="n">
        <v>0</v>
      </c>
      <c r="O228" t="n">
        <v>2</v>
      </c>
      <c r="P228" t="n">
        <v>1</v>
      </c>
      <c r="Q228" t="n">
        <v>2</v>
      </c>
      <c r="R228" s="2" t="inlineStr">
        <is>
          <t>Hedpärlemorfjäril
Sexfläckig bastardsvärmare</t>
        </is>
      </c>
      <c r="S228">
        <f>HYPERLINK("https://klasma.github.io/Logging_0181/artfynd/A 17648-2021 artfynd.xlsx", "A 17648-2021")</f>
        <v/>
      </c>
      <c r="T228">
        <f>HYPERLINK("https://klasma.github.io/Logging_0181/kartor/A 17648-2021 karta.png", "A 17648-2021")</f>
        <v/>
      </c>
      <c r="V228">
        <f>HYPERLINK("https://klasma.github.io/Logging_0181/klagomål/A 17648-2021 FSC-klagomål.docx", "A 17648-2021")</f>
        <v/>
      </c>
      <c r="W228">
        <f>HYPERLINK("https://klasma.github.io/Logging_0181/klagomålsmail/A 17648-2021 FSC-klagomål mail.docx", "A 17648-2021")</f>
        <v/>
      </c>
      <c r="X228">
        <f>HYPERLINK("https://klasma.github.io/Logging_0181/tillsyn/A 17648-2021 tillsynsbegäran.docx", "A 17648-2021")</f>
        <v/>
      </c>
      <c r="Y228">
        <f>HYPERLINK("https://klasma.github.io/Logging_0181/tillsynsmail/A 17648-2021 tillsynsbegäran mail.docx", "A 17648-2021")</f>
        <v/>
      </c>
    </row>
    <row r="229" ht="15" customHeight="1">
      <c r="A229" t="inlineStr">
        <is>
          <t>A 31803-2021</t>
        </is>
      </c>
      <c r="B229" s="1" t="n">
        <v>44370</v>
      </c>
      <c r="C229" s="1" t="n">
        <v>45512</v>
      </c>
      <c r="D229" t="inlineStr">
        <is>
          <t>STOCKHOLMS LÄN</t>
        </is>
      </c>
      <c r="E229" t="inlineStr">
        <is>
          <t>NORRTÄLJE</t>
        </is>
      </c>
      <c r="G229" t="n">
        <v>4.6</v>
      </c>
      <c r="H229" t="n">
        <v>0</v>
      </c>
      <c r="I229" t="n">
        <v>1</v>
      </c>
      <c r="J229" t="n">
        <v>1</v>
      </c>
      <c r="K229" t="n">
        <v>0</v>
      </c>
      <c r="L229" t="n">
        <v>0</v>
      </c>
      <c r="M229" t="n">
        <v>0</v>
      </c>
      <c r="N229" t="n">
        <v>0</v>
      </c>
      <c r="O229" t="n">
        <v>1</v>
      </c>
      <c r="P229" t="n">
        <v>0</v>
      </c>
      <c r="Q229" t="n">
        <v>2</v>
      </c>
      <c r="R229" s="2" t="inlineStr">
        <is>
          <t>Slåtterfibbla
Vårärt</t>
        </is>
      </c>
      <c r="S229">
        <f>HYPERLINK("https://klasma.github.io/Logging_0188/artfynd/A 31803-2021 artfynd.xlsx", "A 31803-2021")</f>
        <v/>
      </c>
      <c r="T229">
        <f>HYPERLINK("https://klasma.github.io/Logging_0188/kartor/A 31803-2021 karta.png", "A 31803-2021")</f>
        <v/>
      </c>
      <c r="V229">
        <f>HYPERLINK("https://klasma.github.io/Logging_0188/klagomål/A 31803-2021 FSC-klagomål.docx", "A 31803-2021")</f>
        <v/>
      </c>
      <c r="W229">
        <f>HYPERLINK("https://klasma.github.io/Logging_0188/klagomålsmail/A 31803-2021 FSC-klagomål mail.docx", "A 31803-2021")</f>
        <v/>
      </c>
      <c r="X229">
        <f>HYPERLINK("https://klasma.github.io/Logging_0188/tillsyn/A 31803-2021 tillsynsbegäran.docx", "A 31803-2021")</f>
        <v/>
      </c>
      <c r="Y229">
        <f>HYPERLINK("https://klasma.github.io/Logging_0188/tillsynsmail/A 31803-2021 tillsynsbegäran mail.docx", "A 31803-2021")</f>
        <v/>
      </c>
    </row>
    <row r="230" ht="15" customHeight="1">
      <c r="A230" t="inlineStr">
        <is>
          <t>A 40072-2021</t>
        </is>
      </c>
      <c r="B230" s="1" t="n">
        <v>44418</v>
      </c>
      <c r="C230" s="1" t="n">
        <v>45512</v>
      </c>
      <c r="D230" t="inlineStr">
        <is>
          <t>STOCKHOLMS LÄN</t>
        </is>
      </c>
      <c r="E230" t="inlineStr">
        <is>
          <t>NORRTÄLJE</t>
        </is>
      </c>
      <c r="G230" t="n">
        <v>1.1</v>
      </c>
      <c r="H230" t="n">
        <v>2</v>
      </c>
      <c r="I230" t="n">
        <v>0</v>
      </c>
      <c r="J230" t="n">
        <v>2</v>
      </c>
      <c r="K230" t="n">
        <v>0</v>
      </c>
      <c r="L230" t="n">
        <v>0</v>
      </c>
      <c r="M230" t="n">
        <v>0</v>
      </c>
      <c r="N230" t="n">
        <v>0</v>
      </c>
      <c r="O230" t="n">
        <v>2</v>
      </c>
      <c r="P230" t="n">
        <v>0</v>
      </c>
      <c r="Q230" t="n">
        <v>2</v>
      </c>
      <c r="R230" s="2" t="inlineStr">
        <is>
          <t>Rördrom
Slaguggla</t>
        </is>
      </c>
      <c r="S230">
        <f>HYPERLINK("https://klasma.github.io/Logging_0188/artfynd/A 40072-2021 artfynd.xlsx", "A 40072-2021")</f>
        <v/>
      </c>
      <c r="T230">
        <f>HYPERLINK("https://klasma.github.io/Logging_0188/kartor/A 40072-2021 karta.png", "A 40072-2021")</f>
        <v/>
      </c>
      <c r="V230">
        <f>HYPERLINK("https://klasma.github.io/Logging_0188/klagomål/A 40072-2021 FSC-klagomål.docx", "A 40072-2021")</f>
        <v/>
      </c>
      <c r="W230">
        <f>HYPERLINK("https://klasma.github.io/Logging_0188/klagomålsmail/A 40072-2021 FSC-klagomål mail.docx", "A 40072-2021")</f>
        <v/>
      </c>
      <c r="X230">
        <f>HYPERLINK("https://klasma.github.io/Logging_0188/tillsyn/A 40072-2021 tillsynsbegäran.docx", "A 40072-2021")</f>
        <v/>
      </c>
      <c r="Y230">
        <f>HYPERLINK("https://klasma.github.io/Logging_0188/tillsynsmail/A 40072-2021 tillsynsbegäran mail.docx", "A 40072-2021")</f>
        <v/>
      </c>
      <c r="Z230">
        <f>HYPERLINK("https://klasma.github.io/Logging_0188/fåglar/A 40072-2021 prioriterade fågelarter.docx", "A 40072-2021")</f>
        <v/>
      </c>
    </row>
    <row r="231" ht="15" customHeight="1">
      <c r="A231" t="inlineStr">
        <is>
          <t>A 58676-2021</t>
        </is>
      </c>
      <c r="B231" s="1" t="n">
        <v>44489</v>
      </c>
      <c r="C231" s="1" t="n">
        <v>45512</v>
      </c>
      <c r="D231" t="inlineStr">
        <is>
          <t>STOCKHOLMS LÄN</t>
        </is>
      </c>
      <c r="E231" t="inlineStr">
        <is>
          <t>NORRTÄLJE</t>
        </is>
      </c>
      <c r="G231" t="n">
        <v>0.6</v>
      </c>
      <c r="H231" t="n">
        <v>2</v>
      </c>
      <c r="I231" t="n">
        <v>0</v>
      </c>
      <c r="J231" t="n">
        <v>0</v>
      </c>
      <c r="K231" t="n">
        <v>0</v>
      </c>
      <c r="L231" t="n">
        <v>0</v>
      </c>
      <c r="M231" t="n">
        <v>0</v>
      </c>
      <c r="N231" t="n">
        <v>0</v>
      </c>
      <c r="O231" t="n">
        <v>0</v>
      </c>
      <c r="P231" t="n">
        <v>0</v>
      </c>
      <c r="Q231" t="n">
        <v>2</v>
      </c>
      <c r="R231" s="2" t="inlineStr">
        <is>
          <t>Nattviol
Blåsippa</t>
        </is>
      </c>
      <c r="S231">
        <f>HYPERLINK("https://klasma.github.io/Logging_0188/artfynd/A 58676-2021 artfynd.xlsx", "A 58676-2021")</f>
        <v/>
      </c>
      <c r="T231">
        <f>HYPERLINK("https://klasma.github.io/Logging_0188/kartor/A 58676-2021 karta.png", "A 58676-2021")</f>
        <v/>
      </c>
      <c r="V231">
        <f>HYPERLINK("https://klasma.github.io/Logging_0188/klagomål/A 58676-2021 FSC-klagomål.docx", "A 58676-2021")</f>
        <v/>
      </c>
      <c r="W231">
        <f>HYPERLINK("https://klasma.github.io/Logging_0188/klagomålsmail/A 58676-2021 FSC-klagomål mail.docx", "A 58676-2021")</f>
        <v/>
      </c>
      <c r="X231">
        <f>HYPERLINK("https://klasma.github.io/Logging_0188/tillsyn/A 58676-2021 tillsynsbegäran.docx", "A 58676-2021")</f>
        <v/>
      </c>
      <c r="Y231">
        <f>HYPERLINK("https://klasma.github.io/Logging_0188/tillsynsmail/A 58676-2021 tillsynsbegäran mail.docx", "A 58676-2021")</f>
        <v/>
      </c>
    </row>
    <row r="232" ht="15" customHeight="1">
      <c r="A232" t="inlineStr">
        <is>
          <t>A 61275-2021</t>
        </is>
      </c>
      <c r="B232" s="1" t="n">
        <v>44498</v>
      </c>
      <c r="C232" s="1" t="n">
        <v>45512</v>
      </c>
      <c r="D232" t="inlineStr">
        <is>
          <t>STOCKHOLMS LÄN</t>
        </is>
      </c>
      <c r="E232" t="inlineStr">
        <is>
          <t>ÖSTERÅKER</t>
        </is>
      </c>
      <c r="G232" t="n">
        <v>2.1</v>
      </c>
      <c r="H232" t="n">
        <v>2</v>
      </c>
      <c r="I232" t="n">
        <v>0</v>
      </c>
      <c r="J232" t="n">
        <v>0</v>
      </c>
      <c r="K232" t="n">
        <v>0</v>
      </c>
      <c r="L232" t="n">
        <v>0</v>
      </c>
      <c r="M232" t="n">
        <v>0</v>
      </c>
      <c r="N232" t="n">
        <v>0</v>
      </c>
      <c r="O232" t="n">
        <v>0</v>
      </c>
      <c r="P232" t="n">
        <v>0</v>
      </c>
      <c r="Q232" t="n">
        <v>2</v>
      </c>
      <c r="R232" s="2" t="inlineStr">
        <is>
          <t>Fläcknycklar
Nattviol</t>
        </is>
      </c>
      <c r="S232">
        <f>HYPERLINK("https://klasma.github.io/Logging_0117/artfynd/A 61275-2021 artfynd.xlsx", "A 61275-2021")</f>
        <v/>
      </c>
      <c r="T232">
        <f>HYPERLINK("https://klasma.github.io/Logging_0117/kartor/A 61275-2021 karta.png", "A 61275-2021")</f>
        <v/>
      </c>
      <c r="V232">
        <f>HYPERLINK("https://klasma.github.io/Logging_0117/klagomål/A 61275-2021 FSC-klagomål.docx", "A 61275-2021")</f>
        <v/>
      </c>
      <c r="W232">
        <f>HYPERLINK("https://klasma.github.io/Logging_0117/klagomålsmail/A 61275-2021 FSC-klagomål mail.docx", "A 61275-2021")</f>
        <v/>
      </c>
      <c r="X232">
        <f>HYPERLINK("https://klasma.github.io/Logging_0117/tillsyn/A 61275-2021 tillsynsbegäran.docx", "A 61275-2021")</f>
        <v/>
      </c>
      <c r="Y232">
        <f>HYPERLINK("https://klasma.github.io/Logging_0117/tillsynsmail/A 61275-2021 tillsynsbegäran mail.docx", "A 61275-2021")</f>
        <v/>
      </c>
    </row>
    <row r="233" ht="15" customHeight="1">
      <c r="A233" t="inlineStr">
        <is>
          <t>A 60-2022</t>
        </is>
      </c>
      <c r="B233" s="1" t="n">
        <v>44560</v>
      </c>
      <c r="C233" s="1" t="n">
        <v>45512</v>
      </c>
      <c r="D233" t="inlineStr">
        <is>
          <t>STOCKHOLMS LÄN</t>
        </is>
      </c>
      <c r="E233" t="inlineStr">
        <is>
          <t>VALLENTUNA</t>
        </is>
      </c>
      <c r="F233" t="inlineStr">
        <is>
          <t>Övriga Aktiebolag</t>
        </is>
      </c>
      <c r="G233" t="n">
        <v>14.3</v>
      </c>
      <c r="H233" t="n">
        <v>0</v>
      </c>
      <c r="I233" t="n">
        <v>2</v>
      </c>
      <c r="J233" t="n">
        <v>0</v>
      </c>
      <c r="K233" t="n">
        <v>0</v>
      </c>
      <c r="L233" t="n">
        <v>0</v>
      </c>
      <c r="M233" t="n">
        <v>0</v>
      </c>
      <c r="N233" t="n">
        <v>0</v>
      </c>
      <c r="O233" t="n">
        <v>0</v>
      </c>
      <c r="P233" t="n">
        <v>0</v>
      </c>
      <c r="Q233" t="n">
        <v>2</v>
      </c>
      <c r="R233" s="2" t="inlineStr">
        <is>
          <t>Vätteros
Vårärt</t>
        </is>
      </c>
      <c r="S233">
        <f>HYPERLINK("https://klasma.github.io/Logging_0115/artfynd/A 60-2022 artfynd.xlsx", "A 60-2022")</f>
        <v/>
      </c>
      <c r="T233">
        <f>HYPERLINK("https://klasma.github.io/Logging_0115/kartor/A 60-2022 karta.png", "A 60-2022")</f>
        <v/>
      </c>
      <c r="V233">
        <f>HYPERLINK("https://klasma.github.io/Logging_0115/klagomål/A 60-2022 FSC-klagomål.docx", "A 60-2022")</f>
        <v/>
      </c>
      <c r="W233">
        <f>HYPERLINK("https://klasma.github.io/Logging_0115/klagomålsmail/A 60-2022 FSC-klagomål mail.docx", "A 60-2022")</f>
        <v/>
      </c>
      <c r="X233">
        <f>HYPERLINK("https://klasma.github.io/Logging_0115/tillsyn/A 60-2022 tillsynsbegäran.docx", "A 60-2022")</f>
        <v/>
      </c>
      <c r="Y233">
        <f>HYPERLINK("https://klasma.github.io/Logging_0115/tillsynsmail/A 60-2022 tillsynsbegäran mail.docx", "A 60-2022")</f>
        <v/>
      </c>
    </row>
    <row r="234" ht="15" customHeight="1">
      <c r="A234" t="inlineStr">
        <is>
          <t>A 46-2022</t>
        </is>
      </c>
      <c r="B234" s="1" t="n">
        <v>44560</v>
      </c>
      <c r="C234" s="1" t="n">
        <v>45512</v>
      </c>
      <c r="D234" t="inlineStr">
        <is>
          <t>STOCKHOLMS LÄN</t>
        </is>
      </c>
      <c r="E234" t="inlineStr">
        <is>
          <t>VALLENTUNA</t>
        </is>
      </c>
      <c r="F234" t="inlineStr">
        <is>
          <t>Övriga Aktiebolag</t>
        </is>
      </c>
      <c r="G234" t="n">
        <v>7.9</v>
      </c>
      <c r="H234" t="n">
        <v>1</v>
      </c>
      <c r="I234" t="n">
        <v>1</v>
      </c>
      <c r="J234" t="n">
        <v>0</v>
      </c>
      <c r="K234" t="n">
        <v>0</v>
      </c>
      <c r="L234" t="n">
        <v>0</v>
      </c>
      <c r="M234" t="n">
        <v>0</v>
      </c>
      <c r="N234" t="n">
        <v>0</v>
      </c>
      <c r="O234" t="n">
        <v>0</v>
      </c>
      <c r="P234" t="n">
        <v>0</v>
      </c>
      <c r="Q234" t="n">
        <v>2</v>
      </c>
      <c r="R234" s="2" t="inlineStr">
        <is>
          <t>Fällmossa
Blåsippa</t>
        </is>
      </c>
      <c r="S234">
        <f>HYPERLINK("https://klasma.github.io/Logging_0115/artfynd/A 46-2022 artfynd.xlsx", "A 46-2022")</f>
        <v/>
      </c>
      <c r="T234">
        <f>HYPERLINK("https://klasma.github.io/Logging_0115/kartor/A 46-2022 karta.png", "A 46-2022")</f>
        <v/>
      </c>
      <c r="V234">
        <f>HYPERLINK("https://klasma.github.io/Logging_0115/klagomål/A 46-2022 FSC-klagomål.docx", "A 46-2022")</f>
        <v/>
      </c>
      <c r="W234">
        <f>HYPERLINK("https://klasma.github.io/Logging_0115/klagomålsmail/A 46-2022 FSC-klagomål mail.docx", "A 46-2022")</f>
        <v/>
      </c>
      <c r="X234">
        <f>HYPERLINK("https://klasma.github.io/Logging_0115/tillsyn/A 46-2022 tillsynsbegäran.docx", "A 46-2022")</f>
        <v/>
      </c>
      <c r="Y234">
        <f>HYPERLINK("https://klasma.github.io/Logging_0115/tillsynsmail/A 46-2022 tillsynsbegäran mail.docx", "A 46-2022")</f>
        <v/>
      </c>
    </row>
    <row r="235" ht="15" customHeight="1">
      <c r="A235" t="inlineStr">
        <is>
          <t>A 1061-2022</t>
        </is>
      </c>
      <c r="B235" s="1" t="n">
        <v>44571</v>
      </c>
      <c r="C235" s="1" t="n">
        <v>45512</v>
      </c>
      <c r="D235" t="inlineStr">
        <is>
          <t>STOCKHOLMS LÄN</t>
        </is>
      </c>
      <c r="E235" t="inlineStr">
        <is>
          <t>UPPLANDS VÄSBY</t>
        </is>
      </c>
      <c r="G235" t="n">
        <v>5.3</v>
      </c>
      <c r="H235" t="n">
        <v>1</v>
      </c>
      <c r="I235" t="n">
        <v>1</v>
      </c>
      <c r="J235" t="n">
        <v>0</v>
      </c>
      <c r="K235" t="n">
        <v>0</v>
      </c>
      <c r="L235" t="n">
        <v>0</v>
      </c>
      <c r="M235" t="n">
        <v>0</v>
      </c>
      <c r="N235" t="n">
        <v>0</v>
      </c>
      <c r="O235" t="n">
        <v>0</v>
      </c>
      <c r="P235" t="n">
        <v>0</v>
      </c>
      <c r="Q235" t="n">
        <v>2</v>
      </c>
      <c r="R235" s="2" t="inlineStr">
        <is>
          <t>Blomkålssvamp
Blåsippa</t>
        </is>
      </c>
      <c r="S235">
        <f>HYPERLINK("https://klasma.github.io/Logging_0114/artfynd/A 1061-2022 artfynd.xlsx", "A 1061-2022")</f>
        <v/>
      </c>
      <c r="T235">
        <f>HYPERLINK("https://klasma.github.io/Logging_0114/kartor/A 1061-2022 karta.png", "A 1061-2022")</f>
        <v/>
      </c>
      <c r="V235">
        <f>HYPERLINK("https://klasma.github.io/Logging_0114/klagomål/A 1061-2022 FSC-klagomål.docx", "A 1061-2022")</f>
        <v/>
      </c>
      <c r="W235">
        <f>HYPERLINK("https://klasma.github.io/Logging_0114/klagomålsmail/A 1061-2022 FSC-klagomål mail.docx", "A 1061-2022")</f>
        <v/>
      </c>
      <c r="X235">
        <f>HYPERLINK("https://klasma.github.io/Logging_0114/tillsyn/A 1061-2022 tillsynsbegäran.docx", "A 1061-2022")</f>
        <v/>
      </c>
      <c r="Y235">
        <f>HYPERLINK("https://klasma.github.io/Logging_0114/tillsynsmail/A 1061-2022 tillsynsbegäran mail.docx", "A 1061-2022")</f>
        <v/>
      </c>
    </row>
    <row r="236" ht="15" customHeight="1">
      <c r="A236" t="inlineStr">
        <is>
          <t>A 6852-2022</t>
        </is>
      </c>
      <c r="B236" s="1" t="n">
        <v>44602</v>
      </c>
      <c r="C236" s="1" t="n">
        <v>45512</v>
      </c>
      <c r="D236" t="inlineStr">
        <is>
          <t>STOCKHOLMS LÄN</t>
        </is>
      </c>
      <c r="E236" t="inlineStr">
        <is>
          <t>NYKVARN</t>
        </is>
      </c>
      <c r="F236" t="inlineStr">
        <is>
          <t>Kommuner</t>
        </is>
      </c>
      <c r="G236" t="n">
        <v>5</v>
      </c>
      <c r="H236" t="n">
        <v>0</v>
      </c>
      <c r="I236" t="n">
        <v>2</v>
      </c>
      <c r="J236" t="n">
        <v>0</v>
      </c>
      <c r="K236" t="n">
        <v>0</v>
      </c>
      <c r="L236" t="n">
        <v>0</v>
      </c>
      <c r="M236" t="n">
        <v>0</v>
      </c>
      <c r="N236" t="n">
        <v>0</v>
      </c>
      <c r="O236" t="n">
        <v>0</v>
      </c>
      <c r="P236" t="n">
        <v>0</v>
      </c>
      <c r="Q236" t="n">
        <v>2</v>
      </c>
      <c r="R236" s="2" t="inlineStr">
        <is>
          <t>Fjällig taggsvamp s.str.
Skarp dropptaggsvamp</t>
        </is>
      </c>
      <c r="S236">
        <f>HYPERLINK("https://klasma.github.io/Logging_0140/artfynd/A 6852-2022 artfynd.xlsx", "A 6852-2022")</f>
        <v/>
      </c>
      <c r="T236">
        <f>HYPERLINK("https://klasma.github.io/Logging_0140/kartor/A 6852-2022 karta.png", "A 6852-2022")</f>
        <v/>
      </c>
      <c r="V236">
        <f>HYPERLINK("https://klasma.github.io/Logging_0140/klagomål/A 6852-2022 FSC-klagomål.docx", "A 6852-2022")</f>
        <v/>
      </c>
      <c r="W236">
        <f>HYPERLINK("https://klasma.github.io/Logging_0140/klagomålsmail/A 6852-2022 FSC-klagomål mail.docx", "A 6852-2022")</f>
        <v/>
      </c>
      <c r="X236">
        <f>HYPERLINK("https://klasma.github.io/Logging_0140/tillsyn/A 6852-2022 tillsynsbegäran.docx", "A 6852-2022")</f>
        <v/>
      </c>
      <c r="Y236">
        <f>HYPERLINK("https://klasma.github.io/Logging_0140/tillsynsmail/A 6852-2022 tillsynsbegäran mail.docx", "A 6852-2022")</f>
        <v/>
      </c>
    </row>
    <row r="237" ht="15" customHeight="1">
      <c r="A237" t="inlineStr">
        <is>
          <t>A 9745-2022</t>
        </is>
      </c>
      <c r="B237" s="1" t="n">
        <v>44618</v>
      </c>
      <c r="C237" s="1" t="n">
        <v>45512</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16260-2022</t>
        </is>
      </c>
      <c r="B238" s="1" t="n">
        <v>44670</v>
      </c>
      <c r="C238" s="1" t="n">
        <v>45512</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19862-2022</t>
        </is>
      </c>
      <c r="B239" s="1" t="n">
        <v>44696</v>
      </c>
      <c r="C239" s="1" t="n">
        <v>45512</v>
      </c>
      <c r="D239" t="inlineStr">
        <is>
          <t>STOCKHOLMS LÄN</t>
        </is>
      </c>
      <c r="E239" t="inlineStr">
        <is>
          <t>NORRTÄLJE</t>
        </is>
      </c>
      <c r="G239" t="n">
        <v>6</v>
      </c>
      <c r="H239" t="n">
        <v>1</v>
      </c>
      <c r="I239" t="n">
        <v>0</v>
      </c>
      <c r="J239" t="n">
        <v>1</v>
      </c>
      <c r="K239" t="n">
        <v>0</v>
      </c>
      <c r="L239" t="n">
        <v>0</v>
      </c>
      <c r="M239" t="n">
        <v>0</v>
      </c>
      <c r="N239" t="n">
        <v>0</v>
      </c>
      <c r="O239" t="n">
        <v>1</v>
      </c>
      <c r="P239" t="n">
        <v>0</v>
      </c>
      <c r="Q239" t="n">
        <v>2</v>
      </c>
      <c r="R239" s="2" t="inlineStr">
        <is>
          <t>Granticka
Blåsippa</t>
        </is>
      </c>
      <c r="S239">
        <f>HYPERLINK("https://klasma.github.io/Logging_0188/artfynd/A 19862-2022 artfynd.xlsx", "A 19862-2022")</f>
        <v/>
      </c>
      <c r="T239">
        <f>HYPERLINK("https://klasma.github.io/Logging_0188/kartor/A 19862-2022 karta.png", "A 19862-2022")</f>
        <v/>
      </c>
      <c r="V239">
        <f>HYPERLINK("https://klasma.github.io/Logging_0188/klagomål/A 19862-2022 FSC-klagomål.docx", "A 19862-2022")</f>
        <v/>
      </c>
      <c r="W239">
        <f>HYPERLINK("https://klasma.github.io/Logging_0188/klagomålsmail/A 19862-2022 FSC-klagomål mail.docx", "A 19862-2022")</f>
        <v/>
      </c>
      <c r="X239">
        <f>HYPERLINK("https://klasma.github.io/Logging_0188/tillsyn/A 19862-2022 tillsynsbegäran.docx", "A 19862-2022")</f>
        <v/>
      </c>
      <c r="Y239">
        <f>HYPERLINK("https://klasma.github.io/Logging_0188/tillsynsmail/A 19862-2022 tillsynsbegäran mail.docx", "A 19862-2022")</f>
        <v/>
      </c>
    </row>
    <row r="240" ht="15" customHeight="1">
      <c r="A240" t="inlineStr">
        <is>
          <t>A 27742-2022</t>
        </is>
      </c>
      <c r="B240" s="1" t="n">
        <v>44743</v>
      </c>
      <c r="C240" s="1" t="n">
        <v>45512</v>
      </c>
      <c r="D240" t="inlineStr">
        <is>
          <t>STOCKHOLMS LÄN</t>
        </is>
      </c>
      <c r="E240" t="inlineStr">
        <is>
          <t>NORRTÄLJE</t>
        </is>
      </c>
      <c r="G240" t="n">
        <v>3.9</v>
      </c>
      <c r="H240" t="n">
        <v>1</v>
      </c>
      <c r="I240" t="n">
        <v>1</v>
      </c>
      <c r="J240" t="n">
        <v>0</v>
      </c>
      <c r="K240" t="n">
        <v>0</v>
      </c>
      <c r="L240" t="n">
        <v>0</v>
      </c>
      <c r="M240" t="n">
        <v>0</v>
      </c>
      <c r="N240" t="n">
        <v>0</v>
      </c>
      <c r="O240" t="n">
        <v>0</v>
      </c>
      <c r="P240" t="n">
        <v>0</v>
      </c>
      <c r="Q240" t="n">
        <v>2</v>
      </c>
      <c r="R240" s="2" t="inlineStr">
        <is>
          <t>Svavelriska
Blåsippa</t>
        </is>
      </c>
      <c r="S240">
        <f>HYPERLINK("https://klasma.github.io/Logging_0188/artfynd/A 27742-2022 artfynd.xlsx", "A 27742-2022")</f>
        <v/>
      </c>
      <c r="T240">
        <f>HYPERLINK("https://klasma.github.io/Logging_0188/kartor/A 27742-2022 karta.png", "A 27742-2022")</f>
        <v/>
      </c>
      <c r="V240">
        <f>HYPERLINK("https://klasma.github.io/Logging_0188/klagomål/A 27742-2022 FSC-klagomål.docx", "A 27742-2022")</f>
        <v/>
      </c>
      <c r="W240">
        <f>HYPERLINK("https://klasma.github.io/Logging_0188/klagomålsmail/A 27742-2022 FSC-klagomål mail.docx", "A 27742-2022")</f>
        <v/>
      </c>
      <c r="X240">
        <f>HYPERLINK("https://klasma.github.io/Logging_0188/tillsyn/A 27742-2022 tillsynsbegäran.docx", "A 27742-2022")</f>
        <v/>
      </c>
      <c r="Y240">
        <f>HYPERLINK("https://klasma.github.io/Logging_0188/tillsynsmail/A 27742-2022 tillsynsbegäran mail.docx", "A 27742-2022")</f>
        <v/>
      </c>
    </row>
    <row r="241" ht="15" customHeight="1">
      <c r="A241" t="inlineStr">
        <is>
          <t>A 31523-2022</t>
        </is>
      </c>
      <c r="B241" s="1" t="n">
        <v>44775</v>
      </c>
      <c r="C241" s="1" t="n">
        <v>45512</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34068-2022</t>
        </is>
      </c>
      <c r="B242" s="1" t="n">
        <v>44791</v>
      </c>
      <c r="C242" s="1" t="n">
        <v>45512</v>
      </c>
      <c r="D242" t="inlineStr">
        <is>
          <t>STOCKHOLMS LÄN</t>
        </is>
      </c>
      <c r="E242" t="inlineStr">
        <is>
          <t>SIGTUNA</t>
        </is>
      </c>
      <c r="G242" t="n">
        <v>5.8</v>
      </c>
      <c r="H242" t="n">
        <v>1</v>
      </c>
      <c r="I242" t="n">
        <v>0</v>
      </c>
      <c r="J242" t="n">
        <v>0</v>
      </c>
      <c r="K242" t="n">
        <v>0</v>
      </c>
      <c r="L242" t="n">
        <v>1</v>
      </c>
      <c r="M242" t="n">
        <v>0</v>
      </c>
      <c r="N242" t="n">
        <v>0</v>
      </c>
      <c r="O242" t="n">
        <v>1</v>
      </c>
      <c r="P242" t="n">
        <v>1</v>
      </c>
      <c r="Q242" t="n">
        <v>2</v>
      </c>
      <c r="R242" s="2" t="inlineStr">
        <is>
          <t>Ask
Gullviva</t>
        </is>
      </c>
      <c r="S242">
        <f>HYPERLINK("https://klasma.github.io/Logging_0191/artfynd/A 34068-2022 artfynd.xlsx", "A 34068-2022")</f>
        <v/>
      </c>
      <c r="T242">
        <f>HYPERLINK("https://klasma.github.io/Logging_0191/kartor/A 34068-2022 karta.png", "A 34068-2022")</f>
        <v/>
      </c>
      <c r="V242">
        <f>HYPERLINK("https://klasma.github.io/Logging_0191/klagomål/A 34068-2022 FSC-klagomål.docx", "A 34068-2022")</f>
        <v/>
      </c>
      <c r="W242">
        <f>HYPERLINK("https://klasma.github.io/Logging_0191/klagomålsmail/A 34068-2022 FSC-klagomål mail.docx", "A 34068-2022")</f>
        <v/>
      </c>
      <c r="X242">
        <f>HYPERLINK("https://klasma.github.io/Logging_0191/tillsyn/A 34068-2022 tillsynsbegäran.docx", "A 34068-2022")</f>
        <v/>
      </c>
      <c r="Y242">
        <f>HYPERLINK("https://klasma.github.io/Logging_0191/tillsynsmail/A 34068-2022 tillsynsbegäran mail.docx", "A 34068-2022")</f>
        <v/>
      </c>
    </row>
    <row r="243" ht="15" customHeight="1">
      <c r="A243" t="inlineStr">
        <is>
          <t>A 38597-2022</t>
        </is>
      </c>
      <c r="B243" s="1" t="n">
        <v>44813</v>
      </c>
      <c r="C243" s="1" t="n">
        <v>45512</v>
      </c>
      <c r="D243" t="inlineStr">
        <is>
          <t>STOCKHOLMS LÄN</t>
        </is>
      </c>
      <c r="E243" t="inlineStr">
        <is>
          <t>NORRTÄLJE</t>
        </is>
      </c>
      <c r="G243" t="n">
        <v>13.2</v>
      </c>
      <c r="H243" t="n">
        <v>1</v>
      </c>
      <c r="I243" t="n">
        <v>1</v>
      </c>
      <c r="J243" t="n">
        <v>0</v>
      </c>
      <c r="K243" t="n">
        <v>0</v>
      </c>
      <c r="L243" t="n">
        <v>1</v>
      </c>
      <c r="M243" t="n">
        <v>0</v>
      </c>
      <c r="N243" t="n">
        <v>0</v>
      </c>
      <c r="O243" t="n">
        <v>1</v>
      </c>
      <c r="P243" t="n">
        <v>1</v>
      </c>
      <c r="Q243" t="n">
        <v>2</v>
      </c>
      <c r="R243" s="2" t="inlineStr">
        <is>
          <t>Asknätfjäril
Scharlakansvårskål agg.</t>
        </is>
      </c>
      <c r="S243">
        <f>HYPERLINK("https://klasma.github.io/Logging_0188/artfynd/A 38597-2022 artfynd.xlsx", "A 38597-2022")</f>
        <v/>
      </c>
      <c r="T243">
        <f>HYPERLINK("https://klasma.github.io/Logging_0188/kartor/A 38597-2022 karta.png", "A 38597-2022")</f>
        <v/>
      </c>
      <c r="V243">
        <f>HYPERLINK("https://klasma.github.io/Logging_0188/klagomål/A 38597-2022 FSC-klagomål.docx", "A 38597-2022")</f>
        <v/>
      </c>
      <c r="W243">
        <f>HYPERLINK("https://klasma.github.io/Logging_0188/klagomålsmail/A 38597-2022 FSC-klagomål mail.docx", "A 38597-2022")</f>
        <v/>
      </c>
      <c r="X243">
        <f>HYPERLINK("https://klasma.github.io/Logging_0188/tillsyn/A 38597-2022 tillsynsbegäran.docx", "A 38597-2022")</f>
        <v/>
      </c>
      <c r="Y243">
        <f>HYPERLINK("https://klasma.github.io/Logging_0188/tillsynsmail/A 38597-2022 tillsynsbegäran mail.docx", "A 38597-2022")</f>
        <v/>
      </c>
    </row>
    <row r="244" ht="15" customHeight="1">
      <c r="A244" t="inlineStr">
        <is>
          <t>A 52046-2022</t>
        </is>
      </c>
      <c r="B244" s="1" t="n">
        <v>44868</v>
      </c>
      <c r="C244" s="1" t="n">
        <v>45512</v>
      </c>
      <c r="D244" t="inlineStr">
        <is>
          <t>STOCKHOLMS LÄN</t>
        </is>
      </c>
      <c r="E244" t="inlineStr">
        <is>
          <t>SÖDERTÄLJE</t>
        </is>
      </c>
      <c r="F244" t="inlineStr">
        <is>
          <t>Kommuner</t>
        </is>
      </c>
      <c r="G244" t="n">
        <v>22.9</v>
      </c>
      <c r="H244" t="n">
        <v>1</v>
      </c>
      <c r="I244" t="n">
        <v>1</v>
      </c>
      <c r="J244" t="n">
        <v>0</v>
      </c>
      <c r="K244" t="n">
        <v>0</v>
      </c>
      <c r="L244" t="n">
        <v>0</v>
      </c>
      <c r="M244" t="n">
        <v>0</v>
      </c>
      <c r="N244" t="n">
        <v>0</v>
      </c>
      <c r="O244" t="n">
        <v>0</v>
      </c>
      <c r="P244" t="n">
        <v>0</v>
      </c>
      <c r="Q244" t="n">
        <v>2</v>
      </c>
      <c r="R244" s="2" t="inlineStr">
        <is>
          <t>Tjockfotad fingersvamp
Nattviol</t>
        </is>
      </c>
      <c r="S244">
        <f>HYPERLINK("https://klasma.github.io/Logging_0181/artfynd/A 52046-2022 artfynd.xlsx", "A 52046-2022")</f>
        <v/>
      </c>
      <c r="T244">
        <f>HYPERLINK("https://klasma.github.io/Logging_0181/kartor/A 52046-2022 karta.png", "A 52046-2022")</f>
        <v/>
      </c>
      <c r="V244">
        <f>HYPERLINK("https://klasma.github.io/Logging_0181/klagomål/A 52046-2022 FSC-klagomål.docx", "A 52046-2022")</f>
        <v/>
      </c>
      <c r="W244">
        <f>HYPERLINK("https://klasma.github.io/Logging_0181/klagomålsmail/A 52046-2022 FSC-klagomål mail.docx", "A 52046-2022")</f>
        <v/>
      </c>
      <c r="X244">
        <f>HYPERLINK("https://klasma.github.io/Logging_0181/tillsyn/A 52046-2022 tillsynsbegäran.docx", "A 52046-2022")</f>
        <v/>
      </c>
      <c r="Y244">
        <f>HYPERLINK("https://klasma.github.io/Logging_0181/tillsynsmail/A 52046-2022 tillsynsbegäran mail.docx", "A 52046-2022")</f>
        <v/>
      </c>
    </row>
    <row r="245" ht="15" customHeight="1">
      <c r="A245" t="inlineStr">
        <is>
          <t>A 52124-2022</t>
        </is>
      </c>
      <c r="B245" s="1" t="n">
        <v>44868</v>
      </c>
      <c r="C245" s="1" t="n">
        <v>45512</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51980-2022</t>
        </is>
      </c>
      <c r="B246" s="1" t="n">
        <v>44872</v>
      </c>
      <c r="C246" s="1" t="n">
        <v>45512</v>
      </c>
      <c r="D246" t="inlineStr">
        <is>
          <t>STOCKHOLMS LÄN</t>
        </is>
      </c>
      <c r="E246" t="inlineStr">
        <is>
          <t>NORRTÄLJE</t>
        </is>
      </c>
      <c r="G246" t="n">
        <v>7.9</v>
      </c>
      <c r="H246" t="n">
        <v>1</v>
      </c>
      <c r="I246" t="n">
        <v>2</v>
      </c>
      <c r="J246" t="n">
        <v>0</v>
      </c>
      <c r="K246" t="n">
        <v>0</v>
      </c>
      <c r="L246" t="n">
        <v>0</v>
      </c>
      <c r="M246" t="n">
        <v>0</v>
      </c>
      <c r="N246" t="n">
        <v>0</v>
      </c>
      <c r="O246" t="n">
        <v>0</v>
      </c>
      <c r="P246" t="n">
        <v>0</v>
      </c>
      <c r="Q246" t="n">
        <v>2</v>
      </c>
      <c r="R246" s="2" t="inlineStr">
        <is>
          <t>Rödgul trumpetsvamp
Skogsknipprot</t>
        </is>
      </c>
      <c r="S246">
        <f>HYPERLINK("https://klasma.github.io/Logging_0188/artfynd/A 51980-2022 artfynd.xlsx", "A 51980-2022")</f>
        <v/>
      </c>
      <c r="T246">
        <f>HYPERLINK("https://klasma.github.io/Logging_0188/kartor/A 51980-2022 karta.png", "A 51980-2022")</f>
        <v/>
      </c>
      <c r="V246">
        <f>HYPERLINK("https://klasma.github.io/Logging_0188/klagomål/A 51980-2022 FSC-klagomål.docx", "A 51980-2022")</f>
        <v/>
      </c>
      <c r="W246">
        <f>HYPERLINK("https://klasma.github.io/Logging_0188/klagomålsmail/A 51980-2022 FSC-klagomål mail.docx", "A 51980-2022")</f>
        <v/>
      </c>
      <c r="X246">
        <f>HYPERLINK("https://klasma.github.io/Logging_0188/tillsyn/A 51980-2022 tillsynsbegäran.docx", "A 51980-2022")</f>
        <v/>
      </c>
      <c r="Y246">
        <f>HYPERLINK("https://klasma.github.io/Logging_0188/tillsynsmail/A 51980-2022 tillsynsbegäran mail.docx", "A 51980-2022")</f>
        <v/>
      </c>
    </row>
    <row r="247" ht="15" customHeight="1">
      <c r="A247" t="inlineStr">
        <is>
          <t>A 61302-2022</t>
        </is>
      </c>
      <c r="B247" s="1" t="n">
        <v>44915</v>
      </c>
      <c r="C247" s="1" t="n">
        <v>45512</v>
      </c>
      <c r="D247" t="inlineStr">
        <is>
          <t>STOCKHOLMS LÄN</t>
        </is>
      </c>
      <c r="E247" t="inlineStr">
        <is>
          <t>SALEM</t>
        </is>
      </c>
      <c r="F247" t="inlineStr">
        <is>
          <t>Kommuner</t>
        </is>
      </c>
      <c r="G247" t="n">
        <v>14.8</v>
      </c>
      <c r="H247" t="n">
        <v>0</v>
      </c>
      <c r="I247" t="n">
        <v>2</v>
      </c>
      <c r="J247" t="n">
        <v>0</v>
      </c>
      <c r="K247" t="n">
        <v>0</v>
      </c>
      <c r="L247" t="n">
        <v>0</v>
      </c>
      <c r="M247" t="n">
        <v>0</v>
      </c>
      <c r="N247" t="n">
        <v>0</v>
      </c>
      <c r="O247" t="n">
        <v>0</v>
      </c>
      <c r="P247" t="n">
        <v>0</v>
      </c>
      <c r="Q247" t="n">
        <v>2</v>
      </c>
      <c r="R247" s="2" t="inlineStr">
        <is>
          <t>Trådticka
Zontaggsvamp</t>
        </is>
      </c>
      <c r="S247">
        <f>HYPERLINK("https://klasma.github.io/Logging_0128/artfynd/A 61302-2022 artfynd.xlsx", "A 61302-2022")</f>
        <v/>
      </c>
      <c r="T247">
        <f>HYPERLINK("https://klasma.github.io/Logging_0128/kartor/A 61302-2022 karta.png", "A 61302-2022")</f>
        <v/>
      </c>
      <c r="V247">
        <f>HYPERLINK("https://klasma.github.io/Logging_0128/klagomål/A 61302-2022 FSC-klagomål.docx", "A 61302-2022")</f>
        <v/>
      </c>
      <c r="W247">
        <f>HYPERLINK("https://klasma.github.io/Logging_0128/klagomålsmail/A 61302-2022 FSC-klagomål mail.docx", "A 61302-2022")</f>
        <v/>
      </c>
      <c r="X247">
        <f>HYPERLINK("https://klasma.github.io/Logging_0128/tillsyn/A 61302-2022 tillsynsbegäran.docx", "A 61302-2022")</f>
        <v/>
      </c>
      <c r="Y247">
        <f>HYPERLINK("https://klasma.github.io/Logging_0128/tillsynsmail/A 61302-2022 tillsynsbegäran mail.docx", "A 61302-2022")</f>
        <v/>
      </c>
    </row>
    <row r="248" ht="15" customHeight="1">
      <c r="A248" t="inlineStr">
        <is>
          <t>A 61357-2022</t>
        </is>
      </c>
      <c r="B248" s="1" t="n">
        <v>44915</v>
      </c>
      <c r="C248" s="1" t="n">
        <v>45512</v>
      </c>
      <c r="D248" t="inlineStr">
        <is>
          <t>STOCKHOLMS LÄN</t>
        </is>
      </c>
      <c r="E248" t="inlineStr">
        <is>
          <t>ÖSTERÅKER</t>
        </is>
      </c>
      <c r="G248" t="n">
        <v>3.5</v>
      </c>
      <c r="H248" t="n">
        <v>0</v>
      </c>
      <c r="I248" t="n">
        <v>2</v>
      </c>
      <c r="J248" t="n">
        <v>0</v>
      </c>
      <c r="K248" t="n">
        <v>0</v>
      </c>
      <c r="L248" t="n">
        <v>0</v>
      </c>
      <c r="M248" t="n">
        <v>0</v>
      </c>
      <c r="N248" t="n">
        <v>0</v>
      </c>
      <c r="O248" t="n">
        <v>0</v>
      </c>
      <c r="P248" t="n">
        <v>0</v>
      </c>
      <c r="Q248" t="n">
        <v>2</v>
      </c>
      <c r="R248" s="2" t="inlineStr">
        <is>
          <t>Dvärgtufs
Slanklav</t>
        </is>
      </c>
      <c r="S248">
        <f>HYPERLINK("https://klasma.github.io/Logging_0117/artfynd/A 61357-2022 artfynd.xlsx", "A 61357-2022")</f>
        <v/>
      </c>
      <c r="T248">
        <f>HYPERLINK("https://klasma.github.io/Logging_0117/kartor/A 61357-2022 karta.png", "A 61357-2022")</f>
        <v/>
      </c>
      <c r="V248">
        <f>HYPERLINK("https://klasma.github.io/Logging_0117/klagomål/A 61357-2022 FSC-klagomål.docx", "A 61357-2022")</f>
        <v/>
      </c>
      <c r="W248">
        <f>HYPERLINK("https://klasma.github.io/Logging_0117/klagomålsmail/A 61357-2022 FSC-klagomål mail.docx", "A 61357-2022")</f>
        <v/>
      </c>
      <c r="X248">
        <f>HYPERLINK("https://klasma.github.io/Logging_0117/tillsyn/A 61357-2022 tillsynsbegäran.docx", "A 61357-2022")</f>
        <v/>
      </c>
      <c r="Y248">
        <f>HYPERLINK("https://klasma.github.io/Logging_0117/tillsynsmail/A 61357-2022 tillsynsbegäran mail.docx", "A 61357-2022")</f>
        <v/>
      </c>
    </row>
    <row r="249" ht="15" customHeight="1">
      <c r="A249" t="inlineStr">
        <is>
          <t>A 61363-2022</t>
        </is>
      </c>
      <c r="B249" s="1" t="n">
        <v>44915</v>
      </c>
      <c r="C249" s="1" t="n">
        <v>45512</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1561-2023</t>
        </is>
      </c>
      <c r="B250" s="1" t="n">
        <v>44937</v>
      </c>
      <c r="C250" s="1" t="n">
        <v>45512</v>
      </c>
      <c r="D250" t="inlineStr">
        <is>
          <t>STOCKHOLMS LÄN</t>
        </is>
      </c>
      <c r="E250" t="inlineStr">
        <is>
          <t>NYNÄSHAMN</t>
        </is>
      </c>
      <c r="G250" t="n">
        <v>1.3</v>
      </c>
      <c r="H250" t="n">
        <v>1</v>
      </c>
      <c r="I250" t="n">
        <v>0</v>
      </c>
      <c r="J250" t="n">
        <v>1</v>
      </c>
      <c r="K250" t="n">
        <v>0</v>
      </c>
      <c r="L250" t="n">
        <v>0</v>
      </c>
      <c r="M250" t="n">
        <v>0</v>
      </c>
      <c r="N250" t="n">
        <v>0</v>
      </c>
      <c r="O250" t="n">
        <v>1</v>
      </c>
      <c r="P250" t="n">
        <v>0</v>
      </c>
      <c r="Q250" t="n">
        <v>2</v>
      </c>
      <c r="R250" s="2" t="inlineStr">
        <is>
          <t>Tallticka
Blåsippa</t>
        </is>
      </c>
      <c r="S250">
        <f>HYPERLINK("https://klasma.github.io/Logging_0192/artfynd/A 1561-2023 artfynd.xlsx", "A 1561-2023")</f>
        <v/>
      </c>
      <c r="T250">
        <f>HYPERLINK("https://klasma.github.io/Logging_0192/kartor/A 1561-2023 karta.png", "A 1561-2023")</f>
        <v/>
      </c>
      <c r="V250">
        <f>HYPERLINK("https://klasma.github.io/Logging_0192/klagomål/A 1561-2023 FSC-klagomål.docx", "A 1561-2023")</f>
        <v/>
      </c>
      <c r="W250">
        <f>HYPERLINK("https://klasma.github.io/Logging_0192/klagomålsmail/A 1561-2023 FSC-klagomål mail.docx", "A 1561-2023")</f>
        <v/>
      </c>
      <c r="X250">
        <f>HYPERLINK("https://klasma.github.io/Logging_0192/tillsyn/A 1561-2023 tillsynsbegäran.docx", "A 1561-2023")</f>
        <v/>
      </c>
      <c r="Y250">
        <f>HYPERLINK("https://klasma.github.io/Logging_0192/tillsynsmail/A 1561-2023 tillsynsbegäran mail.docx", "A 1561-2023")</f>
        <v/>
      </c>
    </row>
    <row r="251" ht="15" customHeight="1">
      <c r="A251" t="inlineStr">
        <is>
          <t>A 1697-2023</t>
        </is>
      </c>
      <c r="B251" s="1" t="n">
        <v>44938</v>
      </c>
      <c r="C251" s="1" t="n">
        <v>45512</v>
      </c>
      <c r="D251" t="inlineStr">
        <is>
          <t>STOCKHOLMS LÄN</t>
        </is>
      </c>
      <c r="E251" t="inlineStr">
        <is>
          <t>BOTKYRKA</t>
        </is>
      </c>
      <c r="G251" t="n">
        <v>1.1</v>
      </c>
      <c r="H251" t="n">
        <v>0</v>
      </c>
      <c r="I251" t="n">
        <v>1</v>
      </c>
      <c r="J251" t="n">
        <v>1</v>
      </c>
      <c r="K251" t="n">
        <v>0</v>
      </c>
      <c r="L251" t="n">
        <v>0</v>
      </c>
      <c r="M251" t="n">
        <v>0</v>
      </c>
      <c r="N251" t="n">
        <v>0</v>
      </c>
      <c r="O251" t="n">
        <v>1</v>
      </c>
      <c r="P251" t="n">
        <v>0</v>
      </c>
      <c r="Q251" t="n">
        <v>2</v>
      </c>
      <c r="R251" s="2" t="inlineStr">
        <is>
          <t>Lunglav
Bårdlav</t>
        </is>
      </c>
      <c r="S251">
        <f>HYPERLINK("https://klasma.github.io/Logging_0127/artfynd/A 1697-2023 artfynd.xlsx", "A 1697-2023")</f>
        <v/>
      </c>
      <c r="T251">
        <f>HYPERLINK("https://klasma.github.io/Logging_0127/kartor/A 1697-2023 karta.png", "A 1697-2023")</f>
        <v/>
      </c>
      <c r="V251">
        <f>HYPERLINK("https://klasma.github.io/Logging_0127/klagomål/A 1697-2023 FSC-klagomål.docx", "A 1697-2023")</f>
        <v/>
      </c>
      <c r="W251">
        <f>HYPERLINK("https://klasma.github.io/Logging_0127/klagomålsmail/A 1697-2023 FSC-klagomål mail.docx", "A 1697-2023")</f>
        <v/>
      </c>
      <c r="X251">
        <f>HYPERLINK("https://klasma.github.io/Logging_0127/tillsyn/A 1697-2023 tillsynsbegäran.docx", "A 1697-2023")</f>
        <v/>
      </c>
      <c r="Y251">
        <f>HYPERLINK("https://klasma.github.io/Logging_0127/tillsynsmail/A 1697-2023 tillsynsbegäran mail.docx", "A 1697-2023")</f>
        <v/>
      </c>
    </row>
    <row r="252" ht="15" customHeight="1">
      <c r="A252" t="inlineStr">
        <is>
          <t>A 2992-2023</t>
        </is>
      </c>
      <c r="B252" s="1" t="n">
        <v>44945</v>
      </c>
      <c r="C252" s="1" t="n">
        <v>45512</v>
      </c>
      <c r="D252" t="inlineStr">
        <is>
          <t>STOCKHOLMS LÄN</t>
        </is>
      </c>
      <c r="E252" t="inlineStr">
        <is>
          <t>SALEM</t>
        </is>
      </c>
      <c r="F252" t="inlineStr">
        <is>
          <t>Kommuner</t>
        </is>
      </c>
      <c r="G252" t="n">
        <v>1.7</v>
      </c>
      <c r="H252" t="n">
        <v>0</v>
      </c>
      <c r="I252" t="n">
        <v>1</v>
      </c>
      <c r="J252" t="n">
        <v>0</v>
      </c>
      <c r="K252" t="n">
        <v>1</v>
      </c>
      <c r="L252" t="n">
        <v>0</v>
      </c>
      <c r="M252" t="n">
        <v>0</v>
      </c>
      <c r="N252" t="n">
        <v>0</v>
      </c>
      <c r="O252" t="n">
        <v>1</v>
      </c>
      <c r="P252" t="n">
        <v>1</v>
      </c>
      <c r="Q252" t="n">
        <v>2</v>
      </c>
      <c r="R252" s="2" t="inlineStr">
        <is>
          <t>Rynkskinn
Blåmossa</t>
        </is>
      </c>
      <c r="S252">
        <f>HYPERLINK("https://klasma.github.io/Logging_0128/artfynd/A 2992-2023 artfynd.xlsx", "A 2992-2023")</f>
        <v/>
      </c>
      <c r="T252">
        <f>HYPERLINK("https://klasma.github.io/Logging_0128/kartor/A 2992-2023 karta.png", "A 2992-2023")</f>
        <v/>
      </c>
      <c r="V252">
        <f>HYPERLINK("https://klasma.github.io/Logging_0128/klagomål/A 2992-2023 FSC-klagomål.docx", "A 2992-2023")</f>
        <v/>
      </c>
      <c r="W252">
        <f>HYPERLINK("https://klasma.github.io/Logging_0128/klagomålsmail/A 2992-2023 FSC-klagomål mail.docx", "A 2992-2023")</f>
        <v/>
      </c>
      <c r="X252">
        <f>HYPERLINK("https://klasma.github.io/Logging_0128/tillsyn/A 2992-2023 tillsynsbegäran.docx", "A 2992-2023")</f>
        <v/>
      </c>
      <c r="Y252">
        <f>HYPERLINK("https://klasma.github.io/Logging_0128/tillsynsmail/A 2992-2023 tillsynsbegäran mail.docx", "A 2992-2023")</f>
        <v/>
      </c>
    </row>
    <row r="253" ht="15" customHeight="1">
      <c r="A253" t="inlineStr">
        <is>
          <t>A 7341-2023</t>
        </is>
      </c>
      <c r="B253" s="1" t="n">
        <v>44971</v>
      </c>
      <c r="C253" s="1" t="n">
        <v>45512</v>
      </c>
      <c r="D253" t="inlineStr">
        <is>
          <t>STOCKHOLMS LÄN</t>
        </is>
      </c>
      <c r="E253" t="inlineStr">
        <is>
          <t>NORRTÄLJE</t>
        </is>
      </c>
      <c r="F253" t="inlineStr">
        <is>
          <t>Holmen skog AB</t>
        </is>
      </c>
      <c r="G253" t="n">
        <v>10.7</v>
      </c>
      <c r="H253" t="n">
        <v>0</v>
      </c>
      <c r="I253" t="n">
        <v>0</v>
      </c>
      <c r="J253" t="n">
        <v>2</v>
      </c>
      <c r="K253" t="n">
        <v>0</v>
      </c>
      <c r="L253" t="n">
        <v>0</v>
      </c>
      <c r="M253" t="n">
        <v>0</v>
      </c>
      <c r="N253" t="n">
        <v>0</v>
      </c>
      <c r="O253" t="n">
        <v>2</v>
      </c>
      <c r="P253" t="n">
        <v>0</v>
      </c>
      <c r="Q253" t="n">
        <v>2</v>
      </c>
      <c r="R253" s="2" t="inlineStr">
        <is>
          <t>Mindre bastardsvärmare
Smalsprötad bastardsvärmare</t>
        </is>
      </c>
      <c r="S253">
        <f>HYPERLINK("https://klasma.github.io/Logging_0188/artfynd/A 7341-2023 artfynd.xlsx", "A 7341-2023")</f>
        <v/>
      </c>
      <c r="T253">
        <f>HYPERLINK("https://klasma.github.io/Logging_0188/kartor/A 7341-2023 karta.png", "A 7341-2023")</f>
        <v/>
      </c>
      <c r="V253">
        <f>HYPERLINK("https://klasma.github.io/Logging_0188/klagomål/A 7341-2023 FSC-klagomål.docx", "A 7341-2023")</f>
        <v/>
      </c>
      <c r="W253">
        <f>HYPERLINK("https://klasma.github.io/Logging_0188/klagomålsmail/A 7341-2023 FSC-klagomål mail.docx", "A 7341-2023")</f>
        <v/>
      </c>
      <c r="X253">
        <f>HYPERLINK("https://klasma.github.io/Logging_0188/tillsyn/A 7341-2023 tillsynsbegäran.docx", "A 7341-2023")</f>
        <v/>
      </c>
      <c r="Y253">
        <f>HYPERLINK("https://klasma.github.io/Logging_0188/tillsynsmail/A 7341-2023 tillsynsbegäran mail.docx", "A 7341-2023")</f>
        <v/>
      </c>
    </row>
    <row r="254" ht="15" customHeight="1">
      <c r="A254" t="inlineStr">
        <is>
          <t>A 10136-2023</t>
        </is>
      </c>
      <c r="B254" s="1" t="n">
        <v>44986</v>
      </c>
      <c r="C254" s="1" t="n">
        <v>45512</v>
      </c>
      <c r="D254" t="inlineStr">
        <is>
          <t>STOCKHOLMS LÄN</t>
        </is>
      </c>
      <c r="E254" t="inlineStr">
        <is>
          <t>NORRTÄLJE</t>
        </is>
      </c>
      <c r="F254" t="inlineStr">
        <is>
          <t>Övriga statliga verk och myndigheter</t>
        </is>
      </c>
      <c r="G254" t="n">
        <v>3.6</v>
      </c>
      <c r="H254" t="n">
        <v>0</v>
      </c>
      <c r="I254" t="n">
        <v>0</v>
      </c>
      <c r="J254" t="n">
        <v>1</v>
      </c>
      <c r="K254" t="n">
        <v>1</v>
      </c>
      <c r="L254" t="n">
        <v>0</v>
      </c>
      <c r="M254" t="n">
        <v>0</v>
      </c>
      <c r="N254" t="n">
        <v>0</v>
      </c>
      <c r="O254" t="n">
        <v>2</v>
      </c>
      <c r="P254" t="n">
        <v>1</v>
      </c>
      <c r="Q254" t="n">
        <v>2</v>
      </c>
      <c r="R254" s="2" t="inlineStr">
        <is>
          <t>Svartfjällig musseron
Persiljespindling</t>
        </is>
      </c>
      <c r="S254">
        <f>HYPERLINK("https://klasma.github.io/Logging_0188/artfynd/A 10136-2023 artfynd.xlsx", "A 10136-2023")</f>
        <v/>
      </c>
      <c r="T254">
        <f>HYPERLINK("https://klasma.github.io/Logging_0188/kartor/A 10136-2023 karta.png", "A 10136-2023")</f>
        <v/>
      </c>
      <c r="V254">
        <f>HYPERLINK("https://klasma.github.io/Logging_0188/klagomål/A 10136-2023 FSC-klagomål.docx", "A 10136-2023")</f>
        <v/>
      </c>
      <c r="W254">
        <f>HYPERLINK("https://klasma.github.io/Logging_0188/klagomålsmail/A 10136-2023 FSC-klagomål mail.docx", "A 10136-2023")</f>
        <v/>
      </c>
      <c r="X254">
        <f>HYPERLINK("https://klasma.github.io/Logging_0188/tillsyn/A 10136-2023 tillsynsbegäran.docx", "A 10136-2023")</f>
        <v/>
      </c>
      <c r="Y254">
        <f>HYPERLINK("https://klasma.github.io/Logging_0188/tillsynsmail/A 10136-2023 tillsynsbegäran mail.docx", "A 10136-2023")</f>
        <v/>
      </c>
    </row>
    <row r="255" ht="15" customHeight="1">
      <c r="A255" t="inlineStr">
        <is>
          <t>A 14729-2023</t>
        </is>
      </c>
      <c r="B255" s="1" t="n">
        <v>45014</v>
      </c>
      <c r="C255" s="1" t="n">
        <v>45512</v>
      </c>
      <c r="D255" t="inlineStr">
        <is>
          <t>STOCKHOLMS LÄN</t>
        </is>
      </c>
      <c r="E255" t="inlineStr">
        <is>
          <t>HANINGE</t>
        </is>
      </c>
      <c r="G255" t="n">
        <v>0.2</v>
      </c>
      <c r="H255" t="n">
        <v>0</v>
      </c>
      <c r="I255" t="n">
        <v>1</v>
      </c>
      <c r="J255" t="n">
        <v>1</v>
      </c>
      <c r="K255" t="n">
        <v>0</v>
      </c>
      <c r="L255" t="n">
        <v>0</v>
      </c>
      <c r="M255" t="n">
        <v>0</v>
      </c>
      <c r="N255" t="n">
        <v>0</v>
      </c>
      <c r="O255" t="n">
        <v>1</v>
      </c>
      <c r="P255" t="n">
        <v>0</v>
      </c>
      <c r="Q255" t="n">
        <v>2</v>
      </c>
      <c r="R255" s="2" t="inlineStr">
        <is>
          <t>Ullticka
Mindre märgborre</t>
        </is>
      </c>
      <c r="S255">
        <f>HYPERLINK("https://klasma.github.io/Logging_0136/artfynd/A 14729-2023 artfynd.xlsx", "A 14729-2023")</f>
        <v/>
      </c>
      <c r="T255">
        <f>HYPERLINK("https://klasma.github.io/Logging_0136/kartor/A 14729-2023 karta.png", "A 14729-2023")</f>
        <v/>
      </c>
      <c r="V255">
        <f>HYPERLINK("https://klasma.github.io/Logging_0136/klagomål/A 14729-2023 FSC-klagomål.docx", "A 14729-2023")</f>
        <v/>
      </c>
      <c r="W255">
        <f>HYPERLINK("https://klasma.github.io/Logging_0136/klagomålsmail/A 14729-2023 FSC-klagomål mail.docx", "A 14729-2023")</f>
        <v/>
      </c>
      <c r="X255">
        <f>HYPERLINK("https://klasma.github.io/Logging_0136/tillsyn/A 14729-2023 tillsynsbegäran.docx", "A 14729-2023")</f>
        <v/>
      </c>
      <c r="Y255">
        <f>HYPERLINK("https://klasma.github.io/Logging_0136/tillsynsmail/A 14729-2023 tillsynsbegäran mail.docx", "A 14729-2023")</f>
        <v/>
      </c>
    </row>
    <row r="256" ht="15" customHeight="1">
      <c r="A256" t="inlineStr">
        <is>
          <t>A 15574-2023</t>
        </is>
      </c>
      <c r="B256" s="1" t="n">
        <v>45020</v>
      </c>
      <c r="C256" s="1" t="n">
        <v>45512</v>
      </c>
      <c r="D256" t="inlineStr">
        <is>
          <t>STOCKHOLMS LÄN</t>
        </is>
      </c>
      <c r="E256" t="inlineStr">
        <is>
          <t>NYKVARN</t>
        </is>
      </c>
      <c r="F256" t="inlineStr">
        <is>
          <t>Sveaskog</t>
        </is>
      </c>
      <c r="G256" t="n">
        <v>17.7</v>
      </c>
      <c r="H256" t="n">
        <v>0</v>
      </c>
      <c r="I256" t="n">
        <v>1</v>
      </c>
      <c r="J256" t="n">
        <v>1</v>
      </c>
      <c r="K256" t="n">
        <v>0</v>
      </c>
      <c r="L256" t="n">
        <v>0</v>
      </c>
      <c r="M256" t="n">
        <v>0</v>
      </c>
      <c r="N256" t="n">
        <v>0</v>
      </c>
      <c r="O256" t="n">
        <v>1</v>
      </c>
      <c r="P256" t="n">
        <v>0</v>
      </c>
      <c r="Q256" t="n">
        <v>2</v>
      </c>
      <c r="R256" s="2" t="inlineStr">
        <is>
          <t>Rödbrun blekspik
Gulpudrad spiklav</t>
        </is>
      </c>
      <c r="S256">
        <f>HYPERLINK("https://klasma.github.io/Logging_0140/artfynd/A 15574-2023 artfynd.xlsx", "A 15574-2023")</f>
        <v/>
      </c>
      <c r="T256">
        <f>HYPERLINK("https://klasma.github.io/Logging_0140/kartor/A 15574-2023 karta.png", "A 15574-2023")</f>
        <v/>
      </c>
      <c r="V256">
        <f>HYPERLINK("https://klasma.github.io/Logging_0140/klagomål/A 15574-2023 FSC-klagomål.docx", "A 15574-2023")</f>
        <v/>
      </c>
      <c r="W256">
        <f>HYPERLINK("https://klasma.github.io/Logging_0140/klagomålsmail/A 15574-2023 FSC-klagomål mail.docx", "A 15574-2023")</f>
        <v/>
      </c>
      <c r="X256">
        <f>HYPERLINK("https://klasma.github.io/Logging_0140/tillsyn/A 15574-2023 tillsynsbegäran.docx", "A 15574-2023")</f>
        <v/>
      </c>
      <c r="Y256">
        <f>HYPERLINK("https://klasma.github.io/Logging_0140/tillsynsmail/A 15574-2023 tillsynsbegäran mail.docx", "A 15574-2023")</f>
        <v/>
      </c>
    </row>
    <row r="257" ht="15" customHeight="1">
      <c r="A257" t="inlineStr">
        <is>
          <t>A 21748-2023</t>
        </is>
      </c>
      <c r="B257" s="1" t="n">
        <v>45065</v>
      </c>
      <c r="C257" s="1" t="n">
        <v>45512</v>
      </c>
      <c r="D257" t="inlineStr">
        <is>
          <t>STOCKHOLMS LÄN</t>
        </is>
      </c>
      <c r="E257" t="inlineStr">
        <is>
          <t>NORRTÄLJE</t>
        </is>
      </c>
      <c r="F257" t="inlineStr">
        <is>
          <t>Holmen skog AB</t>
        </is>
      </c>
      <c r="G257" t="n">
        <v>2.4</v>
      </c>
      <c r="H257" t="n">
        <v>0</v>
      </c>
      <c r="I257" t="n">
        <v>2</v>
      </c>
      <c r="J257" t="n">
        <v>0</v>
      </c>
      <c r="K257" t="n">
        <v>0</v>
      </c>
      <c r="L257" t="n">
        <v>0</v>
      </c>
      <c r="M257" t="n">
        <v>0</v>
      </c>
      <c r="N257" t="n">
        <v>0</v>
      </c>
      <c r="O257" t="n">
        <v>0</v>
      </c>
      <c r="P257" t="n">
        <v>0</v>
      </c>
      <c r="Q257" t="n">
        <v>2</v>
      </c>
      <c r="R257" s="2" t="inlineStr">
        <is>
          <t>Aspvedgnagare
Tibast</t>
        </is>
      </c>
      <c r="S257">
        <f>HYPERLINK("https://klasma.github.io/Logging_0188/artfynd/A 21748-2023 artfynd.xlsx", "A 21748-2023")</f>
        <v/>
      </c>
      <c r="T257">
        <f>HYPERLINK("https://klasma.github.io/Logging_0188/kartor/A 21748-2023 karta.png", "A 21748-2023")</f>
        <v/>
      </c>
      <c r="V257">
        <f>HYPERLINK("https://klasma.github.io/Logging_0188/klagomål/A 21748-2023 FSC-klagomål.docx", "A 21748-2023")</f>
        <v/>
      </c>
      <c r="W257">
        <f>HYPERLINK("https://klasma.github.io/Logging_0188/klagomålsmail/A 21748-2023 FSC-klagomål mail.docx", "A 21748-2023")</f>
        <v/>
      </c>
      <c r="X257">
        <f>HYPERLINK("https://klasma.github.io/Logging_0188/tillsyn/A 21748-2023 tillsynsbegäran.docx", "A 21748-2023")</f>
        <v/>
      </c>
      <c r="Y257">
        <f>HYPERLINK("https://klasma.github.io/Logging_0188/tillsynsmail/A 21748-2023 tillsynsbegäran mail.docx", "A 21748-2023")</f>
        <v/>
      </c>
    </row>
    <row r="258" ht="15" customHeight="1">
      <c r="A258" t="inlineStr">
        <is>
          <t>A 23861-2023</t>
        </is>
      </c>
      <c r="B258" s="1" t="n">
        <v>45078</v>
      </c>
      <c r="C258" s="1" t="n">
        <v>45512</v>
      </c>
      <c r="D258" t="inlineStr">
        <is>
          <t>STOCKHOLMS LÄN</t>
        </is>
      </c>
      <c r="E258" t="inlineStr">
        <is>
          <t>NORRTÄLJE</t>
        </is>
      </c>
      <c r="G258" t="n">
        <v>3.3</v>
      </c>
      <c r="H258" t="n">
        <v>1</v>
      </c>
      <c r="I258" t="n">
        <v>1</v>
      </c>
      <c r="J258" t="n">
        <v>0</v>
      </c>
      <c r="K258" t="n">
        <v>0</v>
      </c>
      <c r="L258" t="n">
        <v>0</v>
      </c>
      <c r="M258" t="n">
        <v>0</v>
      </c>
      <c r="N258" t="n">
        <v>0</v>
      </c>
      <c r="O258" t="n">
        <v>0</v>
      </c>
      <c r="P258" t="n">
        <v>0</v>
      </c>
      <c r="Q258" t="n">
        <v>2</v>
      </c>
      <c r="R258" s="2" t="inlineStr">
        <is>
          <t>Tibast
Blåsippa</t>
        </is>
      </c>
      <c r="S258">
        <f>HYPERLINK("https://klasma.github.io/Logging_0188/artfynd/A 23861-2023 artfynd.xlsx", "A 23861-2023")</f>
        <v/>
      </c>
      <c r="T258">
        <f>HYPERLINK("https://klasma.github.io/Logging_0188/kartor/A 23861-2023 karta.png", "A 23861-2023")</f>
        <v/>
      </c>
      <c r="V258">
        <f>HYPERLINK("https://klasma.github.io/Logging_0188/klagomål/A 23861-2023 FSC-klagomål.docx", "A 23861-2023")</f>
        <v/>
      </c>
      <c r="W258">
        <f>HYPERLINK("https://klasma.github.io/Logging_0188/klagomålsmail/A 23861-2023 FSC-klagomål mail.docx", "A 23861-2023")</f>
        <v/>
      </c>
      <c r="X258">
        <f>HYPERLINK("https://klasma.github.io/Logging_0188/tillsyn/A 23861-2023 tillsynsbegäran.docx", "A 23861-2023")</f>
        <v/>
      </c>
      <c r="Y258">
        <f>HYPERLINK("https://klasma.github.io/Logging_0188/tillsynsmail/A 23861-2023 tillsynsbegäran mail.docx", "A 23861-2023")</f>
        <v/>
      </c>
    </row>
    <row r="259" ht="15" customHeight="1">
      <c r="A259" t="inlineStr">
        <is>
          <t>A 32317-2023</t>
        </is>
      </c>
      <c r="B259" s="1" t="n">
        <v>45120</v>
      </c>
      <c r="C259" s="1" t="n">
        <v>45512</v>
      </c>
      <c r="D259" t="inlineStr">
        <is>
          <t>STOCKHOLMS LÄN</t>
        </is>
      </c>
      <c r="E259" t="inlineStr">
        <is>
          <t>VÄRMDÖ</t>
        </is>
      </c>
      <c r="G259" t="n">
        <v>21.2</v>
      </c>
      <c r="H259" t="n">
        <v>2</v>
      </c>
      <c r="I259" t="n">
        <v>0</v>
      </c>
      <c r="J259" t="n">
        <v>0</v>
      </c>
      <c r="K259" t="n">
        <v>0</v>
      </c>
      <c r="L259" t="n">
        <v>0</v>
      </c>
      <c r="M259" t="n">
        <v>0</v>
      </c>
      <c r="N259" t="n">
        <v>0</v>
      </c>
      <c r="O259" t="n">
        <v>0</v>
      </c>
      <c r="P259" t="n">
        <v>0</v>
      </c>
      <c r="Q259" t="n">
        <v>2</v>
      </c>
      <c r="R259" s="2" t="inlineStr">
        <is>
          <t>Adam och eva
Gullviva</t>
        </is>
      </c>
      <c r="S259">
        <f>HYPERLINK("https://klasma.github.io/Logging_0120/artfynd/A 32317-2023 artfynd.xlsx", "A 32317-2023")</f>
        <v/>
      </c>
      <c r="T259">
        <f>HYPERLINK("https://klasma.github.io/Logging_0120/kartor/A 32317-2023 karta.png", "A 32317-2023")</f>
        <v/>
      </c>
      <c r="V259">
        <f>HYPERLINK("https://klasma.github.io/Logging_0120/klagomål/A 32317-2023 FSC-klagomål.docx", "A 32317-2023")</f>
        <v/>
      </c>
      <c r="W259">
        <f>HYPERLINK("https://klasma.github.io/Logging_0120/klagomålsmail/A 32317-2023 FSC-klagomål mail.docx", "A 32317-2023")</f>
        <v/>
      </c>
      <c r="X259">
        <f>HYPERLINK("https://klasma.github.io/Logging_0120/tillsyn/A 32317-2023 tillsynsbegäran.docx", "A 32317-2023")</f>
        <v/>
      </c>
      <c r="Y259">
        <f>HYPERLINK("https://klasma.github.io/Logging_0120/tillsynsmail/A 32317-2023 tillsynsbegäran mail.docx", "A 32317-2023")</f>
        <v/>
      </c>
    </row>
    <row r="260" ht="15" customHeight="1">
      <c r="A260" t="inlineStr">
        <is>
          <t>A 33165-2023</t>
        </is>
      </c>
      <c r="B260" s="1" t="n">
        <v>45126</v>
      </c>
      <c r="C260" s="1" t="n">
        <v>45512</v>
      </c>
      <c r="D260" t="inlineStr">
        <is>
          <t>STOCKHOLMS LÄN</t>
        </is>
      </c>
      <c r="E260" t="inlineStr">
        <is>
          <t>VÄRMDÖ</t>
        </is>
      </c>
      <c r="G260" t="n">
        <v>9.1</v>
      </c>
      <c r="H260" t="n">
        <v>0</v>
      </c>
      <c r="I260" t="n">
        <v>0</v>
      </c>
      <c r="J260" t="n">
        <v>0</v>
      </c>
      <c r="K260" t="n">
        <v>1</v>
      </c>
      <c r="L260" t="n">
        <v>1</v>
      </c>
      <c r="M260" t="n">
        <v>0</v>
      </c>
      <c r="N260" t="n">
        <v>0</v>
      </c>
      <c r="O260" t="n">
        <v>2</v>
      </c>
      <c r="P260" t="n">
        <v>2</v>
      </c>
      <c r="Q260" t="n">
        <v>2</v>
      </c>
      <c r="R260" s="2" t="inlineStr">
        <is>
          <t>Ask
Mörk kraterlav</t>
        </is>
      </c>
      <c r="S260">
        <f>HYPERLINK("https://klasma.github.io/Logging_0120/artfynd/A 33165-2023 artfynd.xlsx", "A 33165-2023")</f>
        <v/>
      </c>
      <c r="T260">
        <f>HYPERLINK("https://klasma.github.io/Logging_0120/kartor/A 33165-2023 karta.png", "A 33165-2023")</f>
        <v/>
      </c>
      <c r="V260">
        <f>HYPERLINK("https://klasma.github.io/Logging_0120/klagomål/A 33165-2023 FSC-klagomål.docx", "A 33165-2023")</f>
        <v/>
      </c>
      <c r="W260">
        <f>HYPERLINK("https://klasma.github.io/Logging_0120/klagomålsmail/A 33165-2023 FSC-klagomål mail.docx", "A 33165-2023")</f>
        <v/>
      </c>
      <c r="X260">
        <f>HYPERLINK("https://klasma.github.io/Logging_0120/tillsyn/A 33165-2023 tillsynsbegäran.docx", "A 33165-2023")</f>
        <v/>
      </c>
      <c r="Y260">
        <f>HYPERLINK("https://klasma.github.io/Logging_0120/tillsynsmail/A 33165-2023 tillsynsbegäran mail.docx", "A 33165-2023")</f>
        <v/>
      </c>
    </row>
    <row r="261" ht="15" customHeight="1">
      <c r="A261" t="inlineStr">
        <is>
          <t>A 33287-2023</t>
        </is>
      </c>
      <c r="B261" s="1" t="n">
        <v>45127</v>
      </c>
      <c r="C261" s="1" t="n">
        <v>45512</v>
      </c>
      <c r="D261" t="inlineStr">
        <is>
          <t>STOCKHOLMS LÄN</t>
        </is>
      </c>
      <c r="E261" t="inlineStr">
        <is>
          <t>NORRTÄLJE</t>
        </is>
      </c>
      <c r="F261" t="inlineStr">
        <is>
          <t>Holmen skog AB</t>
        </is>
      </c>
      <c r="G261" t="n">
        <v>3.3</v>
      </c>
      <c r="H261" t="n">
        <v>0</v>
      </c>
      <c r="I261" t="n">
        <v>0</v>
      </c>
      <c r="J261" t="n">
        <v>2</v>
      </c>
      <c r="K261" t="n">
        <v>0</v>
      </c>
      <c r="L261" t="n">
        <v>0</v>
      </c>
      <c r="M261" t="n">
        <v>0</v>
      </c>
      <c r="N261" t="n">
        <v>0</v>
      </c>
      <c r="O261" t="n">
        <v>2</v>
      </c>
      <c r="P261" t="n">
        <v>0</v>
      </c>
      <c r="Q261" t="n">
        <v>2</v>
      </c>
      <c r="R261" s="2" t="inlineStr">
        <is>
          <t>Smalsprötad bastardsvärmare
Violettkantad guldvinge</t>
        </is>
      </c>
      <c r="S261">
        <f>HYPERLINK("https://klasma.github.io/Logging_0188/artfynd/A 33287-2023 artfynd.xlsx", "A 33287-2023")</f>
        <v/>
      </c>
      <c r="T261">
        <f>HYPERLINK("https://klasma.github.io/Logging_0188/kartor/A 33287-2023 karta.png", "A 33287-2023")</f>
        <v/>
      </c>
      <c r="V261">
        <f>HYPERLINK("https://klasma.github.io/Logging_0188/klagomål/A 33287-2023 FSC-klagomål.docx", "A 33287-2023")</f>
        <v/>
      </c>
      <c r="W261">
        <f>HYPERLINK("https://klasma.github.io/Logging_0188/klagomålsmail/A 33287-2023 FSC-klagomål mail.docx", "A 33287-2023")</f>
        <v/>
      </c>
      <c r="X261">
        <f>HYPERLINK("https://klasma.github.io/Logging_0188/tillsyn/A 33287-2023 tillsynsbegäran.docx", "A 33287-2023")</f>
        <v/>
      </c>
      <c r="Y261">
        <f>HYPERLINK("https://klasma.github.io/Logging_0188/tillsynsmail/A 33287-2023 tillsynsbegäran mail.docx", "A 33287-2023")</f>
        <v/>
      </c>
    </row>
    <row r="262" ht="15" customHeight="1">
      <c r="A262" t="inlineStr">
        <is>
          <t>A 35937-2023</t>
        </is>
      </c>
      <c r="B262" s="1" t="n">
        <v>45148</v>
      </c>
      <c r="C262" s="1" t="n">
        <v>45512</v>
      </c>
      <c r="D262" t="inlineStr">
        <is>
          <t>STOCKHOLMS LÄN</t>
        </is>
      </c>
      <c r="E262" t="inlineStr">
        <is>
          <t>SÖDERTÄLJE</t>
        </is>
      </c>
      <c r="G262" t="n">
        <v>3</v>
      </c>
      <c r="H262" t="n">
        <v>0</v>
      </c>
      <c r="I262" t="n">
        <v>0</v>
      </c>
      <c r="J262" t="n">
        <v>0</v>
      </c>
      <c r="K262" t="n">
        <v>0</v>
      </c>
      <c r="L262" t="n">
        <v>1</v>
      </c>
      <c r="M262" t="n">
        <v>1</v>
      </c>
      <c r="N262" t="n">
        <v>0</v>
      </c>
      <c r="O262" t="n">
        <v>2</v>
      </c>
      <c r="P262" t="n">
        <v>2</v>
      </c>
      <c r="Q262" t="n">
        <v>2</v>
      </c>
      <c r="R262" s="2" t="inlineStr">
        <is>
          <t>Skogsalm
Ask</t>
        </is>
      </c>
      <c r="S262">
        <f>HYPERLINK("https://klasma.github.io/Logging_0181/artfynd/A 35937-2023 artfynd.xlsx", "A 35937-2023")</f>
        <v/>
      </c>
      <c r="T262">
        <f>HYPERLINK("https://klasma.github.io/Logging_0181/kartor/A 35937-2023 karta.png", "A 35937-2023")</f>
        <v/>
      </c>
      <c r="V262">
        <f>HYPERLINK("https://klasma.github.io/Logging_0181/klagomål/A 35937-2023 FSC-klagomål.docx", "A 35937-2023")</f>
        <v/>
      </c>
      <c r="W262">
        <f>HYPERLINK("https://klasma.github.io/Logging_0181/klagomålsmail/A 35937-2023 FSC-klagomål mail.docx", "A 35937-2023")</f>
        <v/>
      </c>
      <c r="X262">
        <f>HYPERLINK("https://klasma.github.io/Logging_0181/tillsyn/A 35937-2023 tillsynsbegäran.docx", "A 35937-2023")</f>
        <v/>
      </c>
      <c r="Y262">
        <f>HYPERLINK("https://klasma.github.io/Logging_0181/tillsynsmail/A 35937-2023 tillsynsbegäran mail.docx", "A 35937-2023")</f>
        <v/>
      </c>
    </row>
    <row r="263" ht="15" customHeight="1">
      <c r="A263" t="inlineStr">
        <is>
          <t>A 40444-2023</t>
        </is>
      </c>
      <c r="B263" s="1" t="n">
        <v>45170</v>
      </c>
      <c r="C263" s="1" t="n">
        <v>45512</v>
      </c>
      <c r="D263" t="inlineStr">
        <is>
          <t>STOCKHOLMS LÄN</t>
        </is>
      </c>
      <c r="E263" t="inlineStr">
        <is>
          <t>BOTKYRKA</t>
        </is>
      </c>
      <c r="F263" t="inlineStr">
        <is>
          <t>Övriga Aktiebolag</t>
        </is>
      </c>
      <c r="G263" t="n">
        <v>0.6</v>
      </c>
      <c r="H263" t="n">
        <v>2</v>
      </c>
      <c r="I263" t="n">
        <v>0</v>
      </c>
      <c r="J263" t="n">
        <v>1</v>
      </c>
      <c r="K263" t="n">
        <v>0</v>
      </c>
      <c r="L263" t="n">
        <v>0</v>
      </c>
      <c r="M263" t="n">
        <v>0</v>
      </c>
      <c r="N263" t="n">
        <v>0</v>
      </c>
      <c r="O263" t="n">
        <v>1</v>
      </c>
      <c r="P263" t="n">
        <v>0</v>
      </c>
      <c r="Q263" t="n">
        <v>2</v>
      </c>
      <c r="R263" s="2" t="inlineStr">
        <is>
          <t>Gulsparv
Kopparödla</t>
        </is>
      </c>
      <c r="S263">
        <f>HYPERLINK("https://klasma.github.io/Logging_0127/artfynd/A 40444-2023 artfynd.xlsx", "A 40444-2023")</f>
        <v/>
      </c>
      <c r="T263">
        <f>HYPERLINK("https://klasma.github.io/Logging_0127/kartor/A 40444-2023 karta.png", "A 40444-2023")</f>
        <v/>
      </c>
      <c r="V263">
        <f>HYPERLINK("https://klasma.github.io/Logging_0127/klagomål/A 40444-2023 FSC-klagomål.docx", "A 40444-2023")</f>
        <v/>
      </c>
      <c r="W263">
        <f>HYPERLINK("https://klasma.github.io/Logging_0127/klagomålsmail/A 40444-2023 FSC-klagomål mail.docx", "A 40444-2023")</f>
        <v/>
      </c>
      <c r="X263">
        <f>HYPERLINK("https://klasma.github.io/Logging_0127/tillsyn/A 40444-2023 tillsynsbegäran.docx", "A 40444-2023")</f>
        <v/>
      </c>
      <c r="Y263">
        <f>HYPERLINK("https://klasma.github.io/Logging_0127/tillsynsmail/A 40444-2023 tillsynsbegäran mail.docx", "A 40444-2023")</f>
        <v/>
      </c>
      <c r="Z263">
        <f>HYPERLINK("https://klasma.github.io/Logging_0127/fåglar/A 40444-2023 prioriterade fågelarter.docx", "A 40444-2023")</f>
        <v/>
      </c>
    </row>
    <row r="264" ht="15" customHeight="1">
      <c r="A264" t="inlineStr">
        <is>
          <t>A 41021-2023</t>
        </is>
      </c>
      <c r="B264" s="1" t="n">
        <v>45173</v>
      </c>
      <c r="C264" s="1" t="n">
        <v>45512</v>
      </c>
      <c r="D264" t="inlineStr">
        <is>
          <t>STOCKHOLMS LÄN</t>
        </is>
      </c>
      <c r="E264" t="inlineStr">
        <is>
          <t>VALLENTUNA</t>
        </is>
      </c>
      <c r="G264" t="n">
        <v>3</v>
      </c>
      <c r="H264" t="n">
        <v>0</v>
      </c>
      <c r="I264" t="n">
        <v>1</v>
      </c>
      <c r="J264" t="n">
        <v>1</v>
      </c>
      <c r="K264" t="n">
        <v>0</v>
      </c>
      <c r="L264" t="n">
        <v>0</v>
      </c>
      <c r="M264" t="n">
        <v>0</v>
      </c>
      <c r="N264" t="n">
        <v>0</v>
      </c>
      <c r="O264" t="n">
        <v>1</v>
      </c>
      <c r="P264" t="n">
        <v>0</v>
      </c>
      <c r="Q264" t="n">
        <v>2</v>
      </c>
      <c r="R264" s="2" t="inlineStr">
        <is>
          <t>Orange taggsvamp
Fjällig taggsvamp s.str.</t>
        </is>
      </c>
      <c r="S264">
        <f>HYPERLINK("https://klasma.github.io/Logging_0115/artfynd/A 41021-2023 artfynd.xlsx", "A 41021-2023")</f>
        <v/>
      </c>
      <c r="T264">
        <f>HYPERLINK("https://klasma.github.io/Logging_0115/kartor/A 41021-2023 karta.png", "A 41021-2023")</f>
        <v/>
      </c>
      <c r="V264">
        <f>HYPERLINK("https://klasma.github.io/Logging_0115/klagomål/A 41021-2023 FSC-klagomål.docx", "A 41021-2023")</f>
        <v/>
      </c>
      <c r="W264">
        <f>HYPERLINK("https://klasma.github.io/Logging_0115/klagomålsmail/A 41021-2023 FSC-klagomål mail.docx", "A 41021-2023")</f>
        <v/>
      </c>
      <c r="X264">
        <f>HYPERLINK("https://klasma.github.io/Logging_0115/tillsyn/A 41021-2023 tillsynsbegäran.docx", "A 41021-2023")</f>
        <v/>
      </c>
      <c r="Y264">
        <f>HYPERLINK("https://klasma.github.io/Logging_0115/tillsynsmail/A 41021-2023 tillsynsbegäran mail.docx", "A 41021-2023")</f>
        <v/>
      </c>
    </row>
    <row r="265" ht="15" customHeight="1">
      <c r="A265" t="inlineStr">
        <is>
          <t>A 43525-2023</t>
        </is>
      </c>
      <c r="B265" s="1" t="n">
        <v>45184</v>
      </c>
      <c r="C265" s="1" t="n">
        <v>45512</v>
      </c>
      <c r="D265" t="inlineStr">
        <is>
          <t>STOCKHOLMS LÄN</t>
        </is>
      </c>
      <c r="E265" t="inlineStr">
        <is>
          <t>SÖDERTÄLJE</t>
        </is>
      </c>
      <c r="F265" t="inlineStr">
        <is>
          <t>Sveaskog</t>
        </is>
      </c>
      <c r="G265" t="n">
        <v>3.7</v>
      </c>
      <c r="H265" t="n">
        <v>1</v>
      </c>
      <c r="I265" t="n">
        <v>0</v>
      </c>
      <c r="J265" t="n">
        <v>1</v>
      </c>
      <c r="K265" t="n">
        <v>0</v>
      </c>
      <c r="L265" t="n">
        <v>0</v>
      </c>
      <c r="M265" t="n">
        <v>0</v>
      </c>
      <c r="N265" t="n">
        <v>0</v>
      </c>
      <c r="O265" t="n">
        <v>1</v>
      </c>
      <c r="P265" t="n">
        <v>0</v>
      </c>
      <c r="Q265" t="n">
        <v>2</v>
      </c>
      <c r="R265" s="2" t="inlineStr">
        <is>
          <t>Slåtterfibbla
Fläcknycklar</t>
        </is>
      </c>
      <c r="S265">
        <f>HYPERLINK("https://klasma.github.io/Logging_0181/artfynd/A 43525-2023 artfynd.xlsx", "A 43525-2023")</f>
        <v/>
      </c>
      <c r="T265">
        <f>HYPERLINK("https://klasma.github.io/Logging_0181/kartor/A 43525-2023 karta.png", "A 43525-2023")</f>
        <v/>
      </c>
      <c r="V265">
        <f>HYPERLINK("https://klasma.github.io/Logging_0181/klagomål/A 43525-2023 FSC-klagomål.docx", "A 43525-2023")</f>
        <v/>
      </c>
      <c r="W265">
        <f>HYPERLINK("https://klasma.github.io/Logging_0181/klagomålsmail/A 43525-2023 FSC-klagomål mail.docx", "A 43525-2023")</f>
        <v/>
      </c>
      <c r="X265">
        <f>HYPERLINK("https://klasma.github.io/Logging_0181/tillsyn/A 43525-2023 tillsynsbegäran.docx", "A 43525-2023")</f>
        <v/>
      </c>
      <c r="Y265">
        <f>HYPERLINK("https://klasma.github.io/Logging_0181/tillsynsmail/A 43525-2023 tillsynsbegäran mail.docx", "A 43525-2023")</f>
        <v/>
      </c>
    </row>
    <row r="266" ht="15" customHeight="1">
      <c r="A266" t="inlineStr">
        <is>
          <t>A 46953-2023</t>
        </is>
      </c>
      <c r="B266" s="1" t="n">
        <v>45195</v>
      </c>
      <c r="C266" s="1" t="n">
        <v>45512</v>
      </c>
      <c r="D266" t="inlineStr">
        <is>
          <t>STOCKHOLMS LÄN</t>
        </is>
      </c>
      <c r="E266" t="inlineStr">
        <is>
          <t>BOTKYRKA</t>
        </is>
      </c>
      <c r="G266" t="n">
        <v>4.6</v>
      </c>
      <c r="H266" t="n">
        <v>0</v>
      </c>
      <c r="I266" t="n">
        <v>2</v>
      </c>
      <c r="J266" t="n">
        <v>0</v>
      </c>
      <c r="K266" t="n">
        <v>0</v>
      </c>
      <c r="L266" t="n">
        <v>0</v>
      </c>
      <c r="M266" t="n">
        <v>0</v>
      </c>
      <c r="N266" t="n">
        <v>0</v>
      </c>
      <c r="O266" t="n">
        <v>0</v>
      </c>
      <c r="P266" t="n">
        <v>0</v>
      </c>
      <c r="Q266" t="n">
        <v>2</v>
      </c>
      <c r="R266" s="2" t="inlineStr">
        <is>
          <t>Rödgul trumpetsvamp
Sotriska</t>
        </is>
      </c>
      <c r="S266">
        <f>HYPERLINK("https://klasma.github.io/Logging_0127/artfynd/A 46953-2023 artfynd.xlsx", "A 46953-2023")</f>
        <v/>
      </c>
      <c r="T266">
        <f>HYPERLINK("https://klasma.github.io/Logging_0127/kartor/A 46953-2023 karta.png", "A 46953-2023")</f>
        <v/>
      </c>
      <c r="V266">
        <f>HYPERLINK("https://klasma.github.io/Logging_0127/klagomål/A 46953-2023 FSC-klagomål.docx", "A 46953-2023")</f>
        <v/>
      </c>
      <c r="W266">
        <f>HYPERLINK("https://klasma.github.io/Logging_0127/klagomålsmail/A 46953-2023 FSC-klagomål mail.docx", "A 46953-2023")</f>
        <v/>
      </c>
      <c r="X266">
        <f>HYPERLINK("https://klasma.github.io/Logging_0127/tillsyn/A 46953-2023 tillsynsbegäran.docx", "A 46953-2023")</f>
        <v/>
      </c>
      <c r="Y266">
        <f>HYPERLINK("https://klasma.github.io/Logging_0127/tillsynsmail/A 46953-2023 tillsynsbegäran mail.docx", "A 46953-2023")</f>
        <v/>
      </c>
    </row>
    <row r="267" ht="15" customHeight="1">
      <c r="A267" t="inlineStr">
        <is>
          <t>A 47098-2023</t>
        </is>
      </c>
      <c r="B267" s="1" t="n">
        <v>45196</v>
      </c>
      <c r="C267" s="1" t="n">
        <v>45512</v>
      </c>
      <c r="D267" t="inlineStr">
        <is>
          <t>STOCKHOLMS LÄN</t>
        </is>
      </c>
      <c r="E267" t="inlineStr">
        <is>
          <t>NYNÄSHAMN</t>
        </is>
      </c>
      <c r="G267" t="n">
        <v>8</v>
      </c>
      <c r="H267" t="n">
        <v>0</v>
      </c>
      <c r="I267" t="n">
        <v>2</v>
      </c>
      <c r="J267" t="n">
        <v>0</v>
      </c>
      <c r="K267" t="n">
        <v>0</v>
      </c>
      <c r="L267" t="n">
        <v>0</v>
      </c>
      <c r="M267" t="n">
        <v>0</v>
      </c>
      <c r="N267" t="n">
        <v>0</v>
      </c>
      <c r="O267" t="n">
        <v>0</v>
      </c>
      <c r="P267" t="n">
        <v>0</v>
      </c>
      <c r="Q267" t="n">
        <v>2</v>
      </c>
      <c r="R267" s="2" t="inlineStr">
        <is>
          <t>Hasselticka
Myskmadra</t>
        </is>
      </c>
      <c r="S267">
        <f>HYPERLINK("https://klasma.github.io/Logging_0192/artfynd/A 47098-2023 artfynd.xlsx", "A 47098-2023")</f>
        <v/>
      </c>
      <c r="T267">
        <f>HYPERLINK("https://klasma.github.io/Logging_0192/kartor/A 47098-2023 karta.png", "A 47098-2023")</f>
        <v/>
      </c>
      <c r="V267">
        <f>HYPERLINK("https://klasma.github.io/Logging_0192/klagomål/A 47098-2023 FSC-klagomål.docx", "A 47098-2023")</f>
        <v/>
      </c>
      <c r="W267">
        <f>HYPERLINK("https://klasma.github.io/Logging_0192/klagomålsmail/A 47098-2023 FSC-klagomål mail.docx", "A 47098-2023")</f>
        <v/>
      </c>
      <c r="X267">
        <f>HYPERLINK("https://klasma.github.io/Logging_0192/tillsyn/A 47098-2023 tillsynsbegäran.docx", "A 47098-2023")</f>
        <v/>
      </c>
      <c r="Y267">
        <f>HYPERLINK("https://klasma.github.io/Logging_0192/tillsynsmail/A 47098-2023 tillsynsbegäran mail.docx", "A 47098-2023")</f>
        <v/>
      </c>
    </row>
    <row r="268" ht="15" customHeight="1">
      <c r="A268" t="inlineStr">
        <is>
          <t>A 49523-2023</t>
        </is>
      </c>
      <c r="B268" s="1" t="n">
        <v>45211</v>
      </c>
      <c r="C268" s="1" t="n">
        <v>45512</v>
      </c>
      <c r="D268" t="inlineStr">
        <is>
          <t>STOCKHOLMS LÄN</t>
        </is>
      </c>
      <c r="E268" t="inlineStr">
        <is>
          <t>NYNÄSHAMN</t>
        </is>
      </c>
      <c r="G268" t="n">
        <v>2.2</v>
      </c>
      <c r="H268" t="n">
        <v>0</v>
      </c>
      <c r="I268" t="n">
        <v>2</v>
      </c>
      <c r="J268" t="n">
        <v>0</v>
      </c>
      <c r="K268" t="n">
        <v>0</v>
      </c>
      <c r="L268" t="n">
        <v>0</v>
      </c>
      <c r="M268" t="n">
        <v>0</v>
      </c>
      <c r="N268" t="n">
        <v>0</v>
      </c>
      <c r="O268" t="n">
        <v>0</v>
      </c>
      <c r="P268" t="n">
        <v>0</v>
      </c>
      <c r="Q268" t="n">
        <v>2</v>
      </c>
      <c r="R268" s="2" t="inlineStr">
        <is>
          <t>Grönpyrola
Västlig hakmossa</t>
        </is>
      </c>
      <c r="S268">
        <f>HYPERLINK("https://klasma.github.io/Logging_0192/artfynd/A 49523-2023 artfynd.xlsx", "A 49523-2023")</f>
        <v/>
      </c>
      <c r="T268">
        <f>HYPERLINK("https://klasma.github.io/Logging_0192/kartor/A 49523-2023 karta.png", "A 49523-2023")</f>
        <v/>
      </c>
      <c r="V268">
        <f>HYPERLINK("https://klasma.github.io/Logging_0192/klagomål/A 49523-2023 FSC-klagomål.docx", "A 49523-2023")</f>
        <v/>
      </c>
      <c r="W268">
        <f>HYPERLINK("https://klasma.github.io/Logging_0192/klagomålsmail/A 49523-2023 FSC-klagomål mail.docx", "A 49523-2023")</f>
        <v/>
      </c>
      <c r="X268">
        <f>HYPERLINK("https://klasma.github.io/Logging_0192/tillsyn/A 49523-2023 tillsynsbegäran.docx", "A 49523-2023")</f>
        <v/>
      </c>
      <c r="Y268">
        <f>HYPERLINK("https://klasma.github.io/Logging_0192/tillsynsmail/A 49523-2023 tillsynsbegäran mail.docx", "A 49523-2023")</f>
        <v/>
      </c>
    </row>
    <row r="269" ht="15" customHeight="1">
      <c r="A269" t="inlineStr">
        <is>
          <t>A 51220-2023</t>
        </is>
      </c>
      <c r="B269" s="1" t="n">
        <v>45219</v>
      </c>
      <c r="C269" s="1" t="n">
        <v>45512</v>
      </c>
      <c r="D269" t="inlineStr">
        <is>
          <t>STOCKHOLMS LÄN</t>
        </is>
      </c>
      <c r="E269" t="inlineStr">
        <is>
          <t>NORRTÄLJE</t>
        </is>
      </c>
      <c r="G269" t="n">
        <v>7.7</v>
      </c>
      <c r="H269" t="n">
        <v>1</v>
      </c>
      <c r="I269" t="n">
        <v>0</v>
      </c>
      <c r="J269" t="n">
        <v>1</v>
      </c>
      <c r="K269" t="n">
        <v>0</v>
      </c>
      <c r="L269" t="n">
        <v>0</v>
      </c>
      <c r="M269" t="n">
        <v>0</v>
      </c>
      <c r="N269" t="n">
        <v>0</v>
      </c>
      <c r="O269" t="n">
        <v>1</v>
      </c>
      <c r="P269" t="n">
        <v>0</v>
      </c>
      <c r="Q269" t="n">
        <v>2</v>
      </c>
      <c r="R269" s="2" t="inlineStr">
        <is>
          <t>Ullticka
Blåsippa</t>
        </is>
      </c>
      <c r="S269">
        <f>HYPERLINK("https://klasma.github.io/Logging_0188/artfynd/A 51220-2023 artfynd.xlsx", "A 51220-2023")</f>
        <v/>
      </c>
      <c r="T269">
        <f>HYPERLINK("https://klasma.github.io/Logging_0188/kartor/A 51220-2023 karta.png", "A 51220-2023")</f>
        <v/>
      </c>
      <c r="V269">
        <f>HYPERLINK("https://klasma.github.io/Logging_0188/klagomål/A 51220-2023 FSC-klagomål.docx", "A 51220-2023")</f>
        <v/>
      </c>
      <c r="W269">
        <f>HYPERLINK("https://klasma.github.io/Logging_0188/klagomålsmail/A 51220-2023 FSC-klagomål mail.docx", "A 51220-2023")</f>
        <v/>
      </c>
      <c r="X269">
        <f>HYPERLINK("https://klasma.github.io/Logging_0188/tillsyn/A 51220-2023 tillsynsbegäran.docx", "A 51220-2023")</f>
        <v/>
      </c>
      <c r="Y269">
        <f>HYPERLINK("https://klasma.github.io/Logging_0188/tillsynsmail/A 51220-2023 tillsynsbegäran mail.docx", "A 51220-2023")</f>
        <v/>
      </c>
    </row>
    <row r="270" ht="15" customHeight="1">
      <c r="A270" t="inlineStr">
        <is>
          <t>A 52825-2023</t>
        </is>
      </c>
      <c r="B270" s="1" t="n">
        <v>45226</v>
      </c>
      <c r="C270" s="1" t="n">
        <v>45512</v>
      </c>
      <c r="D270" t="inlineStr">
        <is>
          <t>STOCKHOLMS LÄN</t>
        </is>
      </c>
      <c r="E270" t="inlineStr">
        <is>
          <t>NORRTÄLJE</t>
        </is>
      </c>
      <c r="G270" t="n">
        <v>1</v>
      </c>
      <c r="H270" t="n">
        <v>0</v>
      </c>
      <c r="I270" t="n">
        <v>2</v>
      </c>
      <c r="J270" t="n">
        <v>0</v>
      </c>
      <c r="K270" t="n">
        <v>0</v>
      </c>
      <c r="L270" t="n">
        <v>0</v>
      </c>
      <c r="M270" t="n">
        <v>0</v>
      </c>
      <c r="N270" t="n">
        <v>0</v>
      </c>
      <c r="O270" t="n">
        <v>0</v>
      </c>
      <c r="P270" t="n">
        <v>0</v>
      </c>
      <c r="Q270" t="n">
        <v>2</v>
      </c>
      <c r="R270" s="2" t="inlineStr">
        <is>
          <t>Fjällig taggsvamp s.str.
Strimspindling</t>
        </is>
      </c>
      <c r="S270">
        <f>HYPERLINK("https://klasma.github.io/Logging_0188/artfynd/A 52825-2023 artfynd.xlsx", "A 52825-2023")</f>
        <v/>
      </c>
      <c r="T270">
        <f>HYPERLINK("https://klasma.github.io/Logging_0188/kartor/A 52825-2023 karta.png", "A 52825-2023")</f>
        <v/>
      </c>
      <c r="V270">
        <f>HYPERLINK("https://klasma.github.io/Logging_0188/klagomål/A 52825-2023 FSC-klagomål.docx", "A 52825-2023")</f>
        <v/>
      </c>
      <c r="W270">
        <f>HYPERLINK("https://klasma.github.io/Logging_0188/klagomålsmail/A 52825-2023 FSC-klagomål mail.docx", "A 52825-2023")</f>
        <v/>
      </c>
      <c r="X270">
        <f>HYPERLINK("https://klasma.github.io/Logging_0188/tillsyn/A 52825-2023 tillsynsbegäran.docx", "A 52825-2023")</f>
        <v/>
      </c>
      <c r="Y270">
        <f>HYPERLINK("https://klasma.github.io/Logging_0188/tillsynsmail/A 52825-2023 tillsynsbegäran mail.docx", "A 52825-2023")</f>
        <v/>
      </c>
    </row>
    <row r="271" ht="15" customHeight="1">
      <c r="A271" t="inlineStr">
        <is>
          <t>A 60213-2023</t>
        </is>
      </c>
      <c r="B271" s="1" t="n">
        <v>45258</v>
      </c>
      <c r="C271" s="1" t="n">
        <v>45512</v>
      </c>
      <c r="D271" t="inlineStr">
        <is>
          <t>STOCKHOLMS LÄN</t>
        </is>
      </c>
      <c r="E271" t="inlineStr">
        <is>
          <t>HANINGE</t>
        </is>
      </c>
      <c r="G271" t="n">
        <v>3.4</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HYPERLINK("https://klasma.github.io/Logging_0136/artfynd/A 60213-2023 artfynd.xlsx", "A 60213-2023")</f>
        <v/>
      </c>
      <c r="T271">
        <f>HYPERLINK("https://klasma.github.io/Logging_0136/kartor/A 60213-2023 karta.png", "A 60213-2023")</f>
        <v/>
      </c>
      <c r="V271">
        <f>HYPERLINK("https://klasma.github.io/Logging_0136/klagomål/A 60213-2023 FSC-klagomål.docx", "A 60213-2023")</f>
        <v/>
      </c>
      <c r="W271">
        <f>HYPERLINK("https://klasma.github.io/Logging_0136/klagomålsmail/A 60213-2023 FSC-klagomål mail.docx", "A 60213-2023")</f>
        <v/>
      </c>
      <c r="X271">
        <f>HYPERLINK("https://klasma.github.io/Logging_0136/tillsyn/A 60213-2023 tillsynsbegäran.docx", "A 60213-2023")</f>
        <v/>
      </c>
      <c r="Y271">
        <f>HYPERLINK("https://klasma.github.io/Logging_0136/tillsynsmail/A 60213-2023 tillsynsbegäran mail.docx", "A 60213-2023")</f>
        <v/>
      </c>
    </row>
    <row r="272" ht="15" customHeight="1">
      <c r="A272" t="inlineStr">
        <is>
          <t>A 60375-2023</t>
        </is>
      </c>
      <c r="B272" s="1" t="n">
        <v>45259</v>
      </c>
      <c r="C272" s="1" t="n">
        <v>45512</v>
      </c>
      <c r="D272" t="inlineStr">
        <is>
          <t>STOCKHOLMS LÄN</t>
        </is>
      </c>
      <c r="E272" t="inlineStr">
        <is>
          <t>HANINGE</t>
        </is>
      </c>
      <c r="G272" t="n">
        <v>2.1</v>
      </c>
      <c r="H272" t="n">
        <v>0</v>
      </c>
      <c r="I272" t="n">
        <v>1</v>
      </c>
      <c r="J272" t="n">
        <v>1</v>
      </c>
      <c r="K272" t="n">
        <v>0</v>
      </c>
      <c r="L272" t="n">
        <v>0</v>
      </c>
      <c r="M272" t="n">
        <v>0</v>
      </c>
      <c r="N272" t="n">
        <v>0</v>
      </c>
      <c r="O272" t="n">
        <v>1</v>
      </c>
      <c r="P272" t="n">
        <v>0</v>
      </c>
      <c r="Q272" t="n">
        <v>2</v>
      </c>
      <c r="R272" s="2" t="inlineStr">
        <is>
          <t>Granticka
Granbarkgnagare</t>
        </is>
      </c>
      <c r="S272">
        <f>HYPERLINK("https://klasma.github.io/Logging_0136/artfynd/A 60375-2023 artfynd.xlsx", "A 60375-2023")</f>
        <v/>
      </c>
      <c r="T272">
        <f>HYPERLINK("https://klasma.github.io/Logging_0136/kartor/A 60375-2023 karta.png", "A 60375-2023")</f>
        <v/>
      </c>
      <c r="V272">
        <f>HYPERLINK("https://klasma.github.io/Logging_0136/klagomål/A 60375-2023 FSC-klagomål.docx", "A 60375-2023")</f>
        <v/>
      </c>
      <c r="W272">
        <f>HYPERLINK("https://klasma.github.io/Logging_0136/klagomålsmail/A 60375-2023 FSC-klagomål mail.docx", "A 60375-2023")</f>
        <v/>
      </c>
      <c r="X272">
        <f>HYPERLINK("https://klasma.github.io/Logging_0136/tillsyn/A 60375-2023 tillsynsbegäran.docx", "A 60375-2023")</f>
        <v/>
      </c>
      <c r="Y272">
        <f>HYPERLINK("https://klasma.github.io/Logging_0136/tillsynsmail/A 60375-2023 tillsynsbegäran mail.docx", "A 60375-2023")</f>
        <v/>
      </c>
    </row>
    <row r="273" ht="15" customHeight="1">
      <c r="A273" t="inlineStr">
        <is>
          <t>A 64189-2023</t>
        </is>
      </c>
      <c r="B273" s="1" t="n">
        <v>45279</v>
      </c>
      <c r="C273" s="1" t="n">
        <v>45512</v>
      </c>
      <c r="D273" t="inlineStr">
        <is>
          <t>STOCKHOLMS LÄN</t>
        </is>
      </c>
      <c r="E273" t="inlineStr">
        <is>
          <t>NYNÄSHAMN</t>
        </is>
      </c>
      <c r="G273" t="n">
        <v>1.5</v>
      </c>
      <c r="H273" t="n">
        <v>2</v>
      </c>
      <c r="I273" t="n">
        <v>0</v>
      </c>
      <c r="J273" t="n">
        <v>0</v>
      </c>
      <c r="K273" t="n">
        <v>0</v>
      </c>
      <c r="L273" t="n">
        <v>0</v>
      </c>
      <c r="M273" t="n">
        <v>0</v>
      </c>
      <c r="N273" t="n">
        <v>0</v>
      </c>
      <c r="O273" t="n">
        <v>0</v>
      </c>
      <c r="P273" t="n">
        <v>0</v>
      </c>
      <c r="Q273" t="n">
        <v>2</v>
      </c>
      <c r="R273" s="2" t="inlineStr">
        <is>
          <t>Blåsippa
Gullviva</t>
        </is>
      </c>
      <c r="S273">
        <f>HYPERLINK("https://klasma.github.io/Logging_0192/artfynd/A 64189-2023 artfynd.xlsx", "A 64189-2023")</f>
        <v/>
      </c>
      <c r="T273">
        <f>HYPERLINK("https://klasma.github.io/Logging_0192/kartor/A 64189-2023 karta.png", "A 64189-2023")</f>
        <v/>
      </c>
      <c r="V273">
        <f>HYPERLINK("https://klasma.github.io/Logging_0192/klagomål/A 64189-2023 FSC-klagomål.docx", "A 64189-2023")</f>
        <v/>
      </c>
      <c r="W273">
        <f>HYPERLINK("https://klasma.github.io/Logging_0192/klagomålsmail/A 64189-2023 FSC-klagomål mail.docx", "A 64189-2023")</f>
        <v/>
      </c>
      <c r="X273">
        <f>HYPERLINK("https://klasma.github.io/Logging_0192/tillsyn/A 64189-2023 tillsynsbegäran.docx", "A 64189-2023")</f>
        <v/>
      </c>
      <c r="Y273">
        <f>HYPERLINK("https://klasma.github.io/Logging_0192/tillsynsmail/A 64189-2023 tillsynsbegäran mail.docx", "A 64189-2023")</f>
        <v/>
      </c>
    </row>
    <row r="274" ht="15" customHeight="1">
      <c r="A274" t="inlineStr">
        <is>
          <t>A 754-2024</t>
        </is>
      </c>
      <c r="B274" s="1" t="n">
        <v>45300</v>
      </c>
      <c r="C274" s="1" t="n">
        <v>45512</v>
      </c>
      <c r="D274" t="inlineStr">
        <is>
          <t>STOCKHOLMS LÄN</t>
        </is>
      </c>
      <c r="E274" t="inlineStr">
        <is>
          <t>VALLENTUNA</t>
        </is>
      </c>
      <c r="G274" t="n">
        <v>2.5</v>
      </c>
      <c r="H274" t="n">
        <v>1</v>
      </c>
      <c r="I274" t="n">
        <v>1</v>
      </c>
      <c r="J274" t="n">
        <v>0</v>
      </c>
      <c r="K274" t="n">
        <v>0</v>
      </c>
      <c r="L274" t="n">
        <v>0</v>
      </c>
      <c r="M274" t="n">
        <v>0</v>
      </c>
      <c r="N274" t="n">
        <v>0</v>
      </c>
      <c r="O274" t="n">
        <v>0</v>
      </c>
      <c r="P274" t="n">
        <v>0</v>
      </c>
      <c r="Q274" t="n">
        <v>2</v>
      </c>
      <c r="R274" s="2" t="inlineStr">
        <is>
          <t>Vågbandad barkbock
Grönsiska</t>
        </is>
      </c>
      <c r="S274">
        <f>HYPERLINK("https://klasma.github.io/Logging_0115/artfynd/A 754-2024 artfynd.xlsx", "A 754-2024")</f>
        <v/>
      </c>
      <c r="T274">
        <f>HYPERLINK("https://klasma.github.io/Logging_0115/kartor/A 754-2024 karta.png", "A 754-2024")</f>
        <v/>
      </c>
      <c r="V274">
        <f>HYPERLINK("https://klasma.github.io/Logging_0115/klagomål/A 754-2024 FSC-klagomål.docx", "A 754-2024")</f>
        <v/>
      </c>
      <c r="W274">
        <f>HYPERLINK("https://klasma.github.io/Logging_0115/klagomålsmail/A 754-2024 FSC-klagomål mail.docx", "A 754-2024")</f>
        <v/>
      </c>
      <c r="X274">
        <f>HYPERLINK("https://klasma.github.io/Logging_0115/tillsyn/A 754-2024 tillsynsbegäran.docx", "A 754-2024")</f>
        <v/>
      </c>
      <c r="Y274">
        <f>HYPERLINK("https://klasma.github.io/Logging_0115/tillsynsmail/A 754-2024 tillsynsbegäran mail.docx", "A 754-2024")</f>
        <v/>
      </c>
      <c r="Z274">
        <f>HYPERLINK("https://klasma.github.io/Logging_0115/fåglar/A 754-2024 prioriterade fågelarter.docx", "A 754-2024")</f>
        <v/>
      </c>
    </row>
    <row r="275" ht="15" customHeight="1">
      <c r="A275" t="inlineStr">
        <is>
          <t>A 1036-2024</t>
        </is>
      </c>
      <c r="B275" s="1" t="n">
        <v>45301</v>
      </c>
      <c r="C275" s="1" t="n">
        <v>45512</v>
      </c>
      <c r="D275" t="inlineStr">
        <is>
          <t>STOCKHOLMS LÄN</t>
        </is>
      </c>
      <c r="E275" t="inlineStr">
        <is>
          <t>UPPLANDS VÄSBY</t>
        </is>
      </c>
      <c r="G275" t="n">
        <v>5</v>
      </c>
      <c r="H275" t="n">
        <v>1</v>
      </c>
      <c r="I275" t="n">
        <v>1</v>
      </c>
      <c r="J275" t="n">
        <v>0</v>
      </c>
      <c r="K275" t="n">
        <v>0</v>
      </c>
      <c r="L275" t="n">
        <v>0</v>
      </c>
      <c r="M275" t="n">
        <v>0</v>
      </c>
      <c r="N275" t="n">
        <v>0</v>
      </c>
      <c r="O275" t="n">
        <v>0</v>
      </c>
      <c r="P275" t="n">
        <v>0</v>
      </c>
      <c r="Q275" t="n">
        <v>2</v>
      </c>
      <c r="R275" s="2" t="inlineStr">
        <is>
          <t>Vedticka
Revlummer</t>
        </is>
      </c>
      <c r="S275">
        <f>HYPERLINK("https://klasma.github.io/Logging_0114/artfynd/A 1036-2024 artfynd.xlsx", "A 1036-2024")</f>
        <v/>
      </c>
      <c r="T275">
        <f>HYPERLINK("https://klasma.github.io/Logging_0114/kartor/A 1036-2024 karta.png", "A 1036-2024")</f>
        <v/>
      </c>
      <c r="V275">
        <f>HYPERLINK("https://klasma.github.io/Logging_0114/klagomål/A 1036-2024 FSC-klagomål.docx", "A 1036-2024")</f>
        <v/>
      </c>
      <c r="W275">
        <f>HYPERLINK("https://klasma.github.io/Logging_0114/klagomålsmail/A 1036-2024 FSC-klagomål mail.docx", "A 1036-2024")</f>
        <v/>
      </c>
      <c r="X275">
        <f>HYPERLINK("https://klasma.github.io/Logging_0114/tillsyn/A 1036-2024 tillsynsbegäran.docx", "A 1036-2024")</f>
        <v/>
      </c>
      <c r="Y275">
        <f>HYPERLINK("https://klasma.github.io/Logging_0114/tillsynsmail/A 1036-2024 tillsynsbegäran mail.docx", "A 1036-2024")</f>
        <v/>
      </c>
    </row>
    <row r="276" ht="15" customHeight="1">
      <c r="A276" t="inlineStr">
        <is>
          <t>A 4909-2024</t>
        </is>
      </c>
      <c r="B276" s="1" t="n">
        <v>45329</v>
      </c>
      <c r="C276" s="1" t="n">
        <v>45512</v>
      </c>
      <c r="D276" t="inlineStr">
        <is>
          <t>STOCKHOLMS LÄN</t>
        </is>
      </c>
      <c r="E276" t="inlineStr">
        <is>
          <t>NORRTÄLJE</t>
        </is>
      </c>
      <c r="G276" t="n">
        <v>4.1</v>
      </c>
      <c r="H276" t="n">
        <v>0</v>
      </c>
      <c r="I276" t="n">
        <v>2</v>
      </c>
      <c r="J276" t="n">
        <v>0</v>
      </c>
      <c r="K276" t="n">
        <v>0</v>
      </c>
      <c r="L276" t="n">
        <v>0</v>
      </c>
      <c r="M276" t="n">
        <v>0</v>
      </c>
      <c r="N276" t="n">
        <v>0</v>
      </c>
      <c r="O276" t="n">
        <v>0</v>
      </c>
      <c r="P276" t="n">
        <v>0</v>
      </c>
      <c r="Q276" t="n">
        <v>2</v>
      </c>
      <c r="R276" s="2" t="inlineStr">
        <is>
          <t>Fjällig taggsvamp s.str.
Rödgul trumpetsvamp</t>
        </is>
      </c>
      <c r="S276">
        <f>HYPERLINK("https://klasma.github.io/Logging_0188/artfynd/A 4909-2024 artfynd.xlsx", "A 4909-2024")</f>
        <v/>
      </c>
      <c r="T276">
        <f>HYPERLINK("https://klasma.github.io/Logging_0188/kartor/A 4909-2024 karta.png", "A 4909-2024")</f>
        <v/>
      </c>
      <c r="V276">
        <f>HYPERLINK("https://klasma.github.io/Logging_0188/klagomål/A 4909-2024 FSC-klagomål.docx", "A 4909-2024")</f>
        <v/>
      </c>
      <c r="W276">
        <f>HYPERLINK("https://klasma.github.io/Logging_0188/klagomålsmail/A 4909-2024 FSC-klagomål mail.docx", "A 4909-2024")</f>
        <v/>
      </c>
      <c r="X276">
        <f>HYPERLINK("https://klasma.github.io/Logging_0188/tillsyn/A 4909-2024 tillsynsbegäran.docx", "A 4909-2024")</f>
        <v/>
      </c>
      <c r="Y276">
        <f>HYPERLINK("https://klasma.github.io/Logging_0188/tillsynsmail/A 4909-2024 tillsynsbegäran mail.docx", "A 4909-2024")</f>
        <v/>
      </c>
    </row>
    <row r="277" ht="15" customHeight="1">
      <c r="A277" t="inlineStr">
        <is>
          <t>A 8622-2024</t>
        </is>
      </c>
      <c r="B277" s="1" t="n">
        <v>45355</v>
      </c>
      <c r="C277" s="1" t="n">
        <v>45512</v>
      </c>
      <c r="D277" t="inlineStr">
        <is>
          <t>STOCKHOLMS LÄN</t>
        </is>
      </c>
      <c r="E277" t="inlineStr">
        <is>
          <t>ÖSTERÅKER</t>
        </is>
      </c>
      <c r="G277" t="n">
        <v>5.3</v>
      </c>
      <c r="H277" t="n">
        <v>2</v>
      </c>
      <c r="I277" t="n">
        <v>0</v>
      </c>
      <c r="J277" t="n">
        <v>1</v>
      </c>
      <c r="K277" t="n">
        <v>0</v>
      </c>
      <c r="L277" t="n">
        <v>0</v>
      </c>
      <c r="M277" t="n">
        <v>0</v>
      </c>
      <c r="N277" t="n">
        <v>0</v>
      </c>
      <c r="O277" t="n">
        <v>1</v>
      </c>
      <c r="P277" t="n">
        <v>0</v>
      </c>
      <c r="Q277" t="n">
        <v>2</v>
      </c>
      <c r="R277" s="2" t="inlineStr">
        <is>
          <t>Svartvit flugsnappare
Blåsippa</t>
        </is>
      </c>
      <c r="S277">
        <f>HYPERLINK("https://klasma.github.io/Logging_0117/artfynd/A 8622-2024 artfynd.xlsx", "A 8622-2024")</f>
        <v/>
      </c>
      <c r="T277">
        <f>HYPERLINK("https://klasma.github.io/Logging_0117/kartor/A 8622-2024 karta.png", "A 8622-2024")</f>
        <v/>
      </c>
      <c r="V277">
        <f>HYPERLINK("https://klasma.github.io/Logging_0117/klagomål/A 8622-2024 FSC-klagomål.docx", "A 8622-2024")</f>
        <v/>
      </c>
      <c r="W277">
        <f>HYPERLINK("https://klasma.github.io/Logging_0117/klagomålsmail/A 8622-2024 FSC-klagomål mail.docx", "A 8622-2024")</f>
        <v/>
      </c>
      <c r="X277">
        <f>HYPERLINK("https://klasma.github.io/Logging_0117/tillsyn/A 8622-2024 tillsynsbegäran.docx", "A 8622-2024")</f>
        <v/>
      </c>
      <c r="Y277">
        <f>HYPERLINK("https://klasma.github.io/Logging_0117/tillsynsmail/A 8622-2024 tillsynsbegäran mail.docx", "A 8622-2024")</f>
        <v/>
      </c>
      <c r="Z277">
        <f>HYPERLINK("https://klasma.github.io/Logging_0117/fåglar/A 8622-2024 prioriterade fågelarter.docx", "A 8622-2024")</f>
        <v/>
      </c>
    </row>
    <row r="278" ht="15" customHeight="1">
      <c r="A278" t="inlineStr">
        <is>
          <t>A 11995-2024</t>
        </is>
      </c>
      <c r="B278" s="1" t="n">
        <v>45377</v>
      </c>
      <c r="C278" s="1" t="n">
        <v>45512</v>
      </c>
      <c r="D278" t="inlineStr">
        <is>
          <t>STOCKHOLMS LÄN</t>
        </is>
      </c>
      <c r="E278" t="inlineStr">
        <is>
          <t>NORRTÄLJE</t>
        </is>
      </c>
      <c r="G278" t="n">
        <v>4.7</v>
      </c>
      <c r="H278" t="n">
        <v>0</v>
      </c>
      <c r="I278" t="n">
        <v>1</v>
      </c>
      <c r="J278" t="n">
        <v>1</v>
      </c>
      <c r="K278" t="n">
        <v>0</v>
      </c>
      <c r="L278" t="n">
        <v>0</v>
      </c>
      <c r="M278" t="n">
        <v>0</v>
      </c>
      <c r="N278" t="n">
        <v>0</v>
      </c>
      <c r="O278" t="n">
        <v>1</v>
      </c>
      <c r="P278" t="n">
        <v>0</v>
      </c>
      <c r="Q278" t="n">
        <v>2</v>
      </c>
      <c r="R278" s="2" t="inlineStr">
        <is>
          <t>Tallticka
Svavelriska</t>
        </is>
      </c>
      <c r="S278">
        <f>HYPERLINK("https://klasma.github.io/Logging_0188/artfynd/A 11995-2024 artfynd.xlsx", "A 11995-2024")</f>
        <v/>
      </c>
      <c r="T278">
        <f>HYPERLINK("https://klasma.github.io/Logging_0188/kartor/A 11995-2024 karta.png", "A 11995-2024")</f>
        <v/>
      </c>
      <c r="V278">
        <f>HYPERLINK("https://klasma.github.io/Logging_0188/klagomål/A 11995-2024 FSC-klagomål.docx", "A 11995-2024")</f>
        <v/>
      </c>
      <c r="W278">
        <f>HYPERLINK("https://klasma.github.io/Logging_0188/klagomålsmail/A 11995-2024 FSC-klagomål mail.docx", "A 11995-2024")</f>
        <v/>
      </c>
      <c r="X278">
        <f>HYPERLINK("https://klasma.github.io/Logging_0188/tillsyn/A 11995-2024 tillsynsbegäran.docx", "A 11995-2024")</f>
        <v/>
      </c>
      <c r="Y278">
        <f>HYPERLINK("https://klasma.github.io/Logging_0188/tillsynsmail/A 11995-2024 tillsynsbegäran mail.docx", "A 11995-2024")</f>
        <v/>
      </c>
    </row>
    <row r="279" ht="15" customHeight="1">
      <c r="A279" t="inlineStr">
        <is>
          <t>A 12662-2024</t>
        </is>
      </c>
      <c r="B279" s="1" t="n">
        <v>45384</v>
      </c>
      <c r="C279" s="1" t="n">
        <v>45512</v>
      </c>
      <c r="D279" t="inlineStr">
        <is>
          <t>STOCKHOLMS LÄN</t>
        </is>
      </c>
      <c r="E279" t="inlineStr">
        <is>
          <t>HANINGE</t>
        </is>
      </c>
      <c r="G279" t="n">
        <v>1.8</v>
      </c>
      <c r="H279" t="n">
        <v>1</v>
      </c>
      <c r="I279" t="n">
        <v>1</v>
      </c>
      <c r="J279" t="n">
        <v>0</v>
      </c>
      <c r="K279" t="n">
        <v>0</v>
      </c>
      <c r="L279" t="n">
        <v>0</v>
      </c>
      <c r="M279" t="n">
        <v>0</v>
      </c>
      <c r="N279" t="n">
        <v>0</v>
      </c>
      <c r="O279" t="n">
        <v>0</v>
      </c>
      <c r="P279" t="n">
        <v>0</v>
      </c>
      <c r="Q279" t="n">
        <v>2</v>
      </c>
      <c r="R279" s="2" t="inlineStr">
        <is>
          <t>Skogshakmossa
Blåsippa</t>
        </is>
      </c>
      <c r="S279">
        <f>HYPERLINK("https://klasma.github.io/Logging_0136/artfynd/A 12662-2024 artfynd.xlsx", "A 12662-2024")</f>
        <v/>
      </c>
      <c r="T279">
        <f>HYPERLINK("https://klasma.github.io/Logging_0136/kartor/A 12662-2024 karta.png", "A 12662-2024")</f>
        <v/>
      </c>
      <c r="V279">
        <f>HYPERLINK("https://klasma.github.io/Logging_0136/klagomål/A 12662-2024 FSC-klagomål.docx", "A 12662-2024")</f>
        <v/>
      </c>
      <c r="W279">
        <f>HYPERLINK("https://klasma.github.io/Logging_0136/klagomålsmail/A 12662-2024 FSC-klagomål mail.docx", "A 12662-2024")</f>
        <v/>
      </c>
      <c r="X279">
        <f>HYPERLINK("https://klasma.github.io/Logging_0136/tillsyn/A 12662-2024 tillsynsbegäran.docx", "A 12662-2024")</f>
        <v/>
      </c>
      <c r="Y279">
        <f>HYPERLINK("https://klasma.github.io/Logging_0136/tillsynsmail/A 12662-2024 tillsynsbegäran mail.docx", "A 12662-2024")</f>
        <v/>
      </c>
    </row>
    <row r="280" ht="15" customHeight="1">
      <c r="A280" t="inlineStr">
        <is>
          <t>A 13150-2024</t>
        </is>
      </c>
      <c r="B280" s="1" t="n">
        <v>45386</v>
      </c>
      <c r="C280" s="1" t="n">
        <v>45512</v>
      </c>
      <c r="D280" t="inlineStr">
        <is>
          <t>STOCKHOLMS LÄN</t>
        </is>
      </c>
      <c r="E280" t="inlineStr">
        <is>
          <t>NORRTÄLJE</t>
        </is>
      </c>
      <c r="G280" t="n">
        <v>7.4</v>
      </c>
      <c r="H280" t="n">
        <v>0</v>
      </c>
      <c r="I280" t="n">
        <v>1</v>
      </c>
      <c r="J280" t="n">
        <v>1</v>
      </c>
      <c r="K280" t="n">
        <v>0</v>
      </c>
      <c r="L280" t="n">
        <v>0</v>
      </c>
      <c r="M280" t="n">
        <v>0</v>
      </c>
      <c r="N280" t="n">
        <v>0</v>
      </c>
      <c r="O280" t="n">
        <v>1</v>
      </c>
      <c r="P280" t="n">
        <v>0</v>
      </c>
      <c r="Q280" t="n">
        <v>2</v>
      </c>
      <c r="R280" s="2" t="inlineStr">
        <is>
          <t>Orange taggsvamp
Mönjevaxskivling</t>
        </is>
      </c>
      <c r="S280">
        <f>HYPERLINK("https://klasma.github.io/Logging_0188/artfynd/A 13150-2024 artfynd.xlsx", "A 13150-2024")</f>
        <v/>
      </c>
      <c r="T280">
        <f>HYPERLINK("https://klasma.github.io/Logging_0188/kartor/A 13150-2024 karta.png", "A 13150-2024")</f>
        <v/>
      </c>
      <c r="V280">
        <f>HYPERLINK("https://klasma.github.io/Logging_0188/klagomål/A 13150-2024 FSC-klagomål.docx", "A 13150-2024")</f>
        <v/>
      </c>
      <c r="W280">
        <f>HYPERLINK("https://klasma.github.io/Logging_0188/klagomålsmail/A 13150-2024 FSC-klagomål mail.docx", "A 13150-2024")</f>
        <v/>
      </c>
      <c r="X280">
        <f>HYPERLINK("https://klasma.github.io/Logging_0188/tillsyn/A 13150-2024 tillsynsbegäran.docx", "A 13150-2024")</f>
        <v/>
      </c>
      <c r="Y280">
        <f>HYPERLINK("https://klasma.github.io/Logging_0188/tillsynsmail/A 13150-2024 tillsynsbegäran mail.docx", "A 13150-2024")</f>
        <v/>
      </c>
    </row>
    <row r="281" ht="15" customHeight="1">
      <c r="A281" t="inlineStr">
        <is>
          <t>A 24025-2024</t>
        </is>
      </c>
      <c r="B281" s="1" t="n">
        <v>45456</v>
      </c>
      <c r="C281" s="1" t="n">
        <v>45512</v>
      </c>
      <c r="D281" t="inlineStr">
        <is>
          <t>STOCKHOLMS LÄN</t>
        </is>
      </c>
      <c r="E281" t="inlineStr">
        <is>
          <t>NORRTÄLJE</t>
        </is>
      </c>
      <c r="G281" t="n">
        <v>6</v>
      </c>
      <c r="H281" t="n">
        <v>0</v>
      </c>
      <c r="I281" t="n">
        <v>2</v>
      </c>
      <c r="J281" t="n">
        <v>0</v>
      </c>
      <c r="K281" t="n">
        <v>0</v>
      </c>
      <c r="L281" t="n">
        <v>0</v>
      </c>
      <c r="M281" t="n">
        <v>0</v>
      </c>
      <c r="N281" t="n">
        <v>0</v>
      </c>
      <c r="O281" t="n">
        <v>0</v>
      </c>
      <c r="P281" t="n">
        <v>0</v>
      </c>
      <c r="Q281" t="n">
        <v>2</v>
      </c>
      <c r="R281" s="2" t="inlineStr">
        <is>
          <t>Guldlockmossa
Platt fjädermossa</t>
        </is>
      </c>
      <c r="S281">
        <f>HYPERLINK("https://klasma.github.io/Logging_0188/artfynd/A 24025-2024 artfynd.xlsx", "A 24025-2024")</f>
        <v/>
      </c>
      <c r="T281">
        <f>HYPERLINK("https://klasma.github.io/Logging_0188/kartor/A 24025-2024 karta.png", "A 24025-2024")</f>
        <v/>
      </c>
      <c r="V281">
        <f>HYPERLINK("https://klasma.github.io/Logging_0188/klagomål/A 24025-2024 FSC-klagomål.docx", "A 24025-2024")</f>
        <v/>
      </c>
      <c r="W281">
        <f>HYPERLINK("https://klasma.github.io/Logging_0188/klagomålsmail/A 24025-2024 FSC-klagomål mail.docx", "A 24025-2024")</f>
        <v/>
      </c>
      <c r="X281">
        <f>HYPERLINK("https://klasma.github.io/Logging_0188/tillsyn/A 24025-2024 tillsynsbegäran.docx", "A 24025-2024")</f>
        <v/>
      </c>
      <c r="Y281">
        <f>HYPERLINK("https://klasma.github.io/Logging_0188/tillsynsmail/A 24025-2024 tillsynsbegäran mail.docx", "A 24025-2024")</f>
        <v/>
      </c>
    </row>
    <row r="282" ht="15" customHeight="1">
      <c r="A282" t="inlineStr">
        <is>
          <t>A 20740-2019</t>
        </is>
      </c>
      <c r="B282" s="1" t="n">
        <v>43573</v>
      </c>
      <c r="C282" s="1" t="n">
        <v>45512</v>
      </c>
      <c r="D282" t="inlineStr">
        <is>
          <t>STOCKHOLMS LÄN</t>
        </is>
      </c>
      <c r="E282" t="inlineStr">
        <is>
          <t>NORRTÄLJE</t>
        </is>
      </c>
      <c r="G282" t="n">
        <v>1.6</v>
      </c>
      <c r="H282" t="n">
        <v>0</v>
      </c>
      <c r="I282" t="n">
        <v>0</v>
      </c>
      <c r="J282" t="n">
        <v>1</v>
      </c>
      <c r="K282" t="n">
        <v>0</v>
      </c>
      <c r="L282" t="n">
        <v>0</v>
      </c>
      <c r="M282" t="n">
        <v>0</v>
      </c>
      <c r="N282" t="n">
        <v>0</v>
      </c>
      <c r="O282" t="n">
        <v>1</v>
      </c>
      <c r="P282" t="n">
        <v>0</v>
      </c>
      <c r="Q282" t="n">
        <v>1</v>
      </c>
      <c r="R282" s="2" t="inlineStr">
        <is>
          <t>Slåtterfibbla</t>
        </is>
      </c>
      <c r="S282">
        <f>HYPERLINK("https://klasma.github.io/Logging_0188/artfynd/A 20740-2019 artfynd.xlsx", "A 20740-2019")</f>
        <v/>
      </c>
      <c r="T282">
        <f>HYPERLINK("https://klasma.github.io/Logging_0188/kartor/A 20740-2019 karta.png", "A 20740-2019")</f>
        <v/>
      </c>
      <c r="V282">
        <f>HYPERLINK("https://klasma.github.io/Logging_0188/klagomål/A 20740-2019 FSC-klagomål.docx", "A 20740-2019")</f>
        <v/>
      </c>
      <c r="W282">
        <f>HYPERLINK("https://klasma.github.io/Logging_0188/klagomålsmail/A 20740-2019 FSC-klagomål mail.docx", "A 20740-2019")</f>
        <v/>
      </c>
      <c r="X282">
        <f>HYPERLINK("https://klasma.github.io/Logging_0188/tillsyn/A 20740-2019 tillsynsbegäran.docx", "A 20740-2019")</f>
        <v/>
      </c>
      <c r="Y282">
        <f>HYPERLINK("https://klasma.github.io/Logging_0188/tillsynsmail/A 20740-2019 tillsynsbegäran mail.docx", "A 20740-2019")</f>
        <v/>
      </c>
    </row>
    <row r="283" ht="15" customHeight="1">
      <c r="A283" t="inlineStr">
        <is>
          <t>A 24362-2019</t>
        </is>
      </c>
      <c r="B283" s="1" t="n">
        <v>43599</v>
      </c>
      <c r="C283" s="1" t="n">
        <v>45512</v>
      </c>
      <c r="D283" t="inlineStr">
        <is>
          <t>STOCKHOLMS LÄN</t>
        </is>
      </c>
      <c r="E283" t="inlineStr">
        <is>
          <t>NYNÄSHAMN</t>
        </is>
      </c>
      <c r="F283" t="inlineStr">
        <is>
          <t>Kommuner</t>
        </is>
      </c>
      <c r="G283" t="n">
        <v>2.3</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24362-2019 artfynd.xlsx", "A 24362-2019")</f>
        <v/>
      </c>
      <c r="T283">
        <f>HYPERLINK("https://klasma.github.io/Logging_0192/kartor/A 24362-2019 karta.png", "A 24362-2019")</f>
        <v/>
      </c>
      <c r="V283">
        <f>HYPERLINK("https://klasma.github.io/Logging_0192/klagomål/A 24362-2019 FSC-klagomål.docx", "A 24362-2019")</f>
        <v/>
      </c>
      <c r="W283">
        <f>HYPERLINK("https://klasma.github.io/Logging_0192/klagomålsmail/A 24362-2019 FSC-klagomål mail.docx", "A 24362-2019")</f>
        <v/>
      </c>
      <c r="X283">
        <f>HYPERLINK("https://klasma.github.io/Logging_0192/tillsyn/A 24362-2019 tillsynsbegäran.docx", "A 24362-2019")</f>
        <v/>
      </c>
      <c r="Y283">
        <f>HYPERLINK("https://klasma.github.io/Logging_0192/tillsynsmail/A 24362-2019 tillsynsbegäran mail.docx", "A 24362-2019")</f>
        <v/>
      </c>
    </row>
    <row r="284" ht="15" customHeight="1">
      <c r="A284" t="inlineStr">
        <is>
          <t>A 26275-2019</t>
        </is>
      </c>
      <c r="B284" s="1" t="n">
        <v>43611</v>
      </c>
      <c r="C284" s="1" t="n">
        <v>45512</v>
      </c>
      <c r="D284" t="inlineStr">
        <is>
          <t>STOCKHOLMS LÄN</t>
        </is>
      </c>
      <c r="E284" t="inlineStr">
        <is>
          <t>NORRTÄLJE</t>
        </is>
      </c>
      <c r="G284" t="n">
        <v>0.5</v>
      </c>
      <c r="H284" t="n">
        <v>0</v>
      </c>
      <c r="I284" t="n">
        <v>1</v>
      </c>
      <c r="J284" t="n">
        <v>0</v>
      </c>
      <c r="K284" t="n">
        <v>0</v>
      </c>
      <c r="L284" t="n">
        <v>0</v>
      </c>
      <c r="M284" t="n">
        <v>0</v>
      </c>
      <c r="N284" t="n">
        <v>0</v>
      </c>
      <c r="O284" t="n">
        <v>0</v>
      </c>
      <c r="P284" t="n">
        <v>0</v>
      </c>
      <c r="Q284" t="n">
        <v>1</v>
      </c>
      <c r="R284" s="2" t="inlineStr">
        <is>
          <t>Blåmossa</t>
        </is>
      </c>
      <c r="S284">
        <f>HYPERLINK("https://klasma.github.io/Logging_0188/artfynd/A 26275-2019 artfynd.xlsx", "A 26275-2019")</f>
        <v/>
      </c>
      <c r="T284">
        <f>HYPERLINK("https://klasma.github.io/Logging_0188/kartor/A 26275-2019 karta.png", "A 26275-2019")</f>
        <v/>
      </c>
      <c r="V284">
        <f>HYPERLINK("https://klasma.github.io/Logging_0188/klagomål/A 26275-2019 FSC-klagomål.docx", "A 26275-2019")</f>
        <v/>
      </c>
      <c r="W284">
        <f>HYPERLINK("https://klasma.github.io/Logging_0188/klagomålsmail/A 26275-2019 FSC-klagomål mail.docx", "A 26275-2019")</f>
        <v/>
      </c>
      <c r="X284">
        <f>HYPERLINK("https://klasma.github.io/Logging_0188/tillsyn/A 26275-2019 tillsynsbegäran.docx", "A 26275-2019")</f>
        <v/>
      </c>
      <c r="Y284">
        <f>HYPERLINK("https://klasma.github.io/Logging_0188/tillsynsmail/A 26275-2019 tillsynsbegäran mail.docx", "A 26275-2019")</f>
        <v/>
      </c>
    </row>
    <row r="285" ht="15" customHeight="1">
      <c r="A285" t="inlineStr">
        <is>
          <t>A 27513-2019</t>
        </is>
      </c>
      <c r="B285" s="1" t="n">
        <v>43619</v>
      </c>
      <c r="C285" s="1" t="n">
        <v>45512</v>
      </c>
      <c r="D285" t="inlineStr">
        <is>
          <t>STOCKHOLMS LÄN</t>
        </is>
      </c>
      <c r="E285" t="inlineStr">
        <is>
          <t>SÖDERTÄLJE</t>
        </is>
      </c>
      <c r="F285" t="inlineStr">
        <is>
          <t>Sveaskog</t>
        </is>
      </c>
      <c r="G285" t="n">
        <v>2.9</v>
      </c>
      <c r="H285" t="n">
        <v>0</v>
      </c>
      <c r="I285" t="n">
        <v>0</v>
      </c>
      <c r="J285" t="n">
        <v>1</v>
      </c>
      <c r="K285" t="n">
        <v>0</v>
      </c>
      <c r="L285" t="n">
        <v>0</v>
      </c>
      <c r="M285" t="n">
        <v>0</v>
      </c>
      <c r="N285" t="n">
        <v>0</v>
      </c>
      <c r="O285" t="n">
        <v>1</v>
      </c>
      <c r="P285" t="n">
        <v>0</v>
      </c>
      <c r="Q285" t="n">
        <v>1</v>
      </c>
      <c r="R285" s="2" t="inlineStr">
        <is>
          <t>Vedtrappmossa</t>
        </is>
      </c>
      <c r="S285">
        <f>HYPERLINK("https://klasma.github.io/Logging_0181/artfynd/A 27513-2019 artfynd.xlsx", "A 27513-2019")</f>
        <v/>
      </c>
      <c r="T285">
        <f>HYPERLINK("https://klasma.github.io/Logging_0181/kartor/A 27513-2019 karta.png", "A 27513-2019")</f>
        <v/>
      </c>
      <c r="V285">
        <f>HYPERLINK("https://klasma.github.io/Logging_0181/klagomål/A 27513-2019 FSC-klagomål.docx", "A 27513-2019")</f>
        <v/>
      </c>
      <c r="W285">
        <f>HYPERLINK("https://klasma.github.io/Logging_0181/klagomålsmail/A 27513-2019 FSC-klagomål mail.docx", "A 27513-2019")</f>
        <v/>
      </c>
      <c r="X285">
        <f>HYPERLINK("https://klasma.github.io/Logging_0181/tillsyn/A 27513-2019 tillsynsbegäran.docx", "A 27513-2019")</f>
        <v/>
      </c>
      <c r="Y285">
        <f>HYPERLINK("https://klasma.github.io/Logging_0181/tillsynsmail/A 27513-2019 tillsynsbegäran mail.docx", "A 27513-2019")</f>
        <v/>
      </c>
    </row>
    <row r="286" ht="15" customHeight="1">
      <c r="A286" t="inlineStr">
        <is>
          <t>A 29513-2019</t>
        </is>
      </c>
      <c r="B286" s="1" t="n">
        <v>43627</v>
      </c>
      <c r="C286" s="1" t="n">
        <v>45512</v>
      </c>
      <c r="D286" t="inlineStr">
        <is>
          <t>STOCKHOLMS LÄN</t>
        </is>
      </c>
      <c r="E286" t="inlineStr">
        <is>
          <t>HANINGE</t>
        </is>
      </c>
      <c r="G286" t="n">
        <v>2.1</v>
      </c>
      <c r="H286" t="n">
        <v>1</v>
      </c>
      <c r="I286" t="n">
        <v>0</v>
      </c>
      <c r="J286" t="n">
        <v>1</v>
      </c>
      <c r="K286" t="n">
        <v>0</v>
      </c>
      <c r="L286" t="n">
        <v>0</v>
      </c>
      <c r="M286" t="n">
        <v>0</v>
      </c>
      <c r="N286" t="n">
        <v>0</v>
      </c>
      <c r="O286" t="n">
        <v>1</v>
      </c>
      <c r="P286" t="n">
        <v>0</v>
      </c>
      <c r="Q286" t="n">
        <v>1</v>
      </c>
      <c r="R286" s="2" t="inlineStr">
        <is>
          <t>Spillkråka</t>
        </is>
      </c>
      <c r="S286">
        <f>HYPERLINK("https://klasma.github.io/Logging_0136/artfynd/A 29513-2019 artfynd.xlsx", "A 29513-2019")</f>
        <v/>
      </c>
      <c r="T286">
        <f>HYPERLINK("https://klasma.github.io/Logging_0136/kartor/A 29513-2019 karta.png", "A 29513-2019")</f>
        <v/>
      </c>
      <c r="V286">
        <f>HYPERLINK("https://klasma.github.io/Logging_0136/klagomål/A 29513-2019 FSC-klagomål.docx", "A 29513-2019")</f>
        <v/>
      </c>
      <c r="W286">
        <f>HYPERLINK("https://klasma.github.io/Logging_0136/klagomålsmail/A 29513-2019 FSC-klagomål mail.docx", "A 29513-2019")</f>
        <v/>
      </c>
      <c r="X286">
        <f>HYPERLINK("https://klasma.github.io/Logging_0136/tillsyn/A 29513-2019 tillsynsbegäran.docx", "A 29513-2019")</f>
        <v/>
      </c>
      <c r="Y286">
        <f>HYPERLINK("https://klasma.github.io/Logging_0136/tillsynsmail/A 29513-2019 tillsynsbegäran mail.docx", "A 29513-2019")</f>
        <v/>
      </c>
      <c r="Z286">
        <f>HYPERLINK("https://klasma.github.io/Logging_0136/fåglar/A 29513-2019 prioriterade fågelarter.docx", "A 29513-2019")</f>
        <v/>
      </c>
    </row>
    <row r="287" ht="15" customHeight="1">
      <c r="A287" t="inlineStr">
        <is>
          <t>A 30011-2019</t>
        </is>
      </c>
      <c r="B287" s="1" t="n">
        <v>43633</v>
      </c>
      <c r="C287" s="1" t="n">
        <v>45512</v>
      </c>
      <c r="D287" t="inlineStr">
        <is>
          <t>STOCKHOLMS LÄN</t>
        </is>
      </c>
      <c r="E287" t="inlineStr">
        <is>
          <t>NORRTÄLJE</t>
        </is>
      </c>
      <c r="G287" t="n">
        <v>2.6</v>
      </c>
      <c r="H287" t="n">
        <v>0</v>
      </c>
      <c r="I287" t="n">
        <v>1</v>
      </c>
      <c r="J287" t="n">
        <v>0</v>
      </c>
      <c r="K287" t="n">
        <v>0</v>
      </c>
      <c r="L287" t="n">
        <v>0</v>
      </c>
      <c r="M287" t="n">
        <v>0</v>
      </c>
      <c r="N287" t="n">
        <v>0</v>
      </c>
      <c r="O287" t="n">
        <v>0</v>
      </c>
      <c r="P287" t="n">
        <v>0</v>
      </c>
      <c r="Q287" t="n">
        <v>1</v>
      </c>
      <c r="R287" s="2" t="inlineStr">
        <is>
          <t>Tibast</t>
        </is>
      </c>
      <c r="S287">
        <f>HYPERLINK("https://klasma.github.io/Logging_0188/artfynd/A 30011-2019 artfynd.xlsx", "A 30011-2019")</f>
        <v/>
      </c>
      <c r="T287">
        <f>HYPERLINK("https://klasma.github.io/Logging_0188/kartor/A 30011-2019 karta.png", "A 30011-2019")</f>
        <v/>
      </c>
      <c r="V287">
        <f>HYPERLINK("https://klasma.github.io/Logging_0188/klagomål/A 30011-2019 FSC-klagomål.docx", "A 30011-2019")</f>
        <v/>
      </c>
      <c r="W287">
        <f>HYPERLINK("https://klasma.github.io/Logging_0188/klagomålsmail/A 30011-2019 FSC-klagomål mail.docx", "A 30011-2019")</f>
        <v/>
      </c>
      <c r="X287">
        <f>HYPERLINK("https://klasma.github.io/Logging_0188/tillsyn/A 30011-2019 tillsynsbegäran.docx", "A 30011-2019")</f>
        <v/>
      </c>
      <c r="Y287">
        <f>HYPERLINK("https://klasma.github.io/Logging_0188/tillsynsmail/A 30011-2019 tillsynsbegäran mail.docx", "A 30011-2019")</f>
        <v/>
      </c>
    </row>
    <row r="288" ht="15" customHeight="1">
      <c r="A288" t="inlineStr">
        <is>
          <t>A 31167-2019</t>
        </is>
      </c>
      <c r="B288" s="1" t="n">
        <v>43635</v>
      </c>
      <c r="C288" s="1" t="n">
        <v>45512</v>
      </c>
      <c r="D288" t="inlineStr">
        <is>
          <t>STOCKHOLMS LÄN</t>
        </is>
      </c>
      <c r="E288" t="inlineStr">
        <is>
          <t>EKERÖ</t>
        </is>
      </c>
      <c r="F288" t="inlineStr">
        <is>
          <t>Övriga statliga verk och myndigheter</t>
        </is>
      </c>
      <c r="G288" t="n">
        <v>3.7</v>
      </c>
      <c r="H288" t="n">
        <v>1</v>
      </c>
      <c r="I288" t="n">
        <v>0</v>
      </c>
      <c r="J288" t="n">
        <v>0</v>
      </c>
      <c r="K288" t="n">
        <v>1</v>
      </c>
      <c r="L288" t="n">
        <v>0</v>
      </c>
      <c r="M288" t="n">
        <v>0</v>
      </c>
      <c r="N288" t="n">
        <v>0</v>
      </c>
      <c r="O288" t="n">
        <v>1</v>
      </c>
      <c r="P288" t="n">
        <v>1</v>
      </c>
      <c r="Q288" t="n">
        <v>1</v>
      </c>
      <c r="R288" s="2" t="inlineStr">
        <is>
          <t>Läderbagge</t>
        </is>
      </c>
      <c r="S288">
        <f>HYPERLINK("https://klasma.github.io/Logging_0125/artfynd/A 31167-2019 artfynd.xlsx", "A 31167-2019")</f>
        <v/>
      </c>
      <c r="T288">
        <f>HYPERLINK("https://klasma.github.io/Logging_0125/kartor/A 31167-2019 karta.png", "A 31167-2019")</f>
        <v/>
      </c>
      <c r="V288">
        <f>HYPERLINK("https://klasma.github.io/Logging_0125/klagomål/A 31167-2019 FSC-klagomål.docx", "A 31167-2019")</f>
        <v/>
      </c>
      <c r="W288">
        <f>HYPERLINK("https://klasma.github.io/Logging_0125/klagomålsmail/A 31167-2019 FSC-klagomål mail.docx", "A 31167-2019")</f>
        <v/>
      </c>
      <c r="X288">
        <f>HYPERLINK("https://klasma.github.io/Logging_0125/tillsyn/A 31167-2019 tillsynsbegäran.docx", "A 31167-2019")</f>
        <v/>
      </c>
      <c r="Y288">
        <f>HYPERLINK("https://klasma.github.io/Logging_0125/tillsynsmail/A 31167-2019 tillsynsbegäran mail.docx", "A 31167-2019")</f>
        <v/>
      </c>
    </row>
    <row r="289" ht="15" customHeight="1">
      <c r="A289" t="inlineStr">
        <is>
          <t>A 38137-2019</t>
        </is>
      </c>
      <c r="B289" s="1" t="n">
        <v>43684</v>
      </c>
      <c r="C289" s="1" t="n">
        <v>45512</v>
      </c>
      <c r="D289" t="inlineStr">
        <is>
          <t>STOCKHOLMS LÄN</t>
        </is>
      </c>
      <c r="E289" t="inlineStr">
        <is>
          <t>NORRTÄLJE</t>
        </is>
      </c>
      <c r="G289" t="n">
        <v>12.9</v>
      </c>
      <c r="H289" t="n">
        <v>0</v>
      </c>
      <c r="I289" t="n">
        <v>0</v>
      </c>
      <c r="J289" t="n">
        <v>1</v>
      </c>
      <c r="K289" t="n">
        <v>0</v>
      </c>
      <c r="L289" t="n">
        <v>0</v>
      </c>
      <c r="M289" t="n">
        <v>0</v>
      </c>
      <c r="N289" t="n">
        <v>0</v>
      </c>
      <c r="O289" t="n">
        <v>1</v>
      </c>
      <c r="P289" t="n">
        <v>0</v>
      </c>
      <c r="Q289" t="n">
        <v>1</v>
      </c>
      <c r="R289" s="2" t="inlineStr">
        <is>
          <t>Rutskinn</t>
        </is>
      </c>
      <c r="S289">
        <f>HYPERLINK("https://klasma.github.io/Logging_0188/artfynd/A 38137-2019 artfynd.xlsx", "A 38137-2019")</f>
        <v/>
      </c>
      <c r="T289">
        <f>HYPERLINK("https://klasma.github.io/Logging_0188/kartor/A 38137-2019 karta.png", "A 38137-2019")</f>
        <v/>
      </c>
      <c r="V289">
        <f>HYPERLINK("https://klasma.github.io/Logging_0188/klagomål/A 38137-2019 FSC-klagomål.docx", "A 38137-2019")</f>
        <v/>
      </c>
      <c r="W289">
        <f>HYPERLINK("https://klasma.github.io/Logging_0188/klagomålsmail/A 38137-2019 FSC-klagomål mail.docx", "A 38137-2019")</f>
        <v/>
      </c>
      <c r="X289">
        <f>HYPERLINK("https://klasma.github.io/Logging_0188/tillsyn/A 38137-2019 tillsynsbegäran.docx", "A 38137-2019")</f>
        <v/>
      </c>
      <c r="Y289">
        <f>HYPERLINK("https://klasma.github.io/Logging_0188/tillsynsmail/A 38137-2019 tillsynsbegäran mail.docx", "A 38137-2019")</f>
        <v/>
      </c>
    </row>
    <row r="290" ht="15" customHeight="1">
      <c r="A290" t="inlineStr">
        <is>
          <t>A 42497-2019</t>
        </is>
      </c>
      <c r="B290" s="1" t="n">
        <v>43699</v>
      </c>
      <c r="C290" s="1" t="n">
        <v>45512</v>
      </c>
      <c r="D290" t="inlineStr">
        <is>
          <t>STOCKHOLMS LÄN</t>
        </is>
      </c>
      <c r="E290" t="inlineStr">
        <is>
          <t>SIGTUNA</t>
        </is>
      </c>
      <c r="G290" t="n">
        <v>3.6</v>
      </c>
      <c r="H290" t="n">
        <v>1</v>
      </c>
      <c r="I290" t="n">
        <v>0</v>
      </c>
      <c r="J290" t="n">
        <v>1</v>
      </c>
      <c r="K290" t="n">
        <v>0</v>
      </c>
      <c r="L290" t="n">
        <v>0</v>
      </c>
      <c r="M290" t="n">
        <v>0</v>
      </c>
      <c r="N290" t="n">
        <v>0</v>
      </c>
      <c r="O290" t="n">
        <v>1</v>
      </c>
      <c r="P290" t="n">
        <v>0</v>
      </c>
      <c r="Q290" t="n">
        <v>1</v>
      </c>
      <c r="R290" s="2" t="inlineStr">
        <is>
          <t>Gulsparv</t>
        </is>
      </c>
      <c r="S290">
        <f>HYPERLINK("https://klasma.github.io/Logging_0191/artfynd/A 42497-2019 artfynd.xlsx", "A 42497-2019")</f>
        <v/>
      </c>
      <c r="T290">
        <f>HYPERLINK("https://klasma.github.io/Logging_0191/kartor/A 42497-2019 karta.png", "A 42497-2019")</f>
        <v/>
      </c>
      <c r="V290">
        <f>HYPERLINK("https://klasma.github.io/Logging_0191/klagomål/A 42497-2019 FSC-klagomål.docx", "A 42497-2019")</f>
        <v/>
      </c>
      <c r="W290">
        <f>HYPERLINK("https://klasma.github.io/Logging_0191/klagomålsmail/A 42497-2019 FSC-klagomål mail.docx", "A 42497-2019")</f>
        <v/>
      </c>
      <c r="X290">
        <f>HYPERLINK("https://klasma.github.io/Logging_0191/tillsyn/A 42497-2019 tillsynsbegäran.docx", "A 42497-2019")</f>
        <v/>
      </c>
      <c r="Y290">
        <f>HYPERLINK("https://klasma.github.io/Logging_0191/tillsynsmail/A 42497-2019 tillsynsbegäran mail.docx", "A 42497-2019")</f>
        <v/>
      </c>
      <c r="Z290">
        <f>HYPERLINK("https://klasma.github.io/Logging_0191/fåglar/A 42497-2019 prioriterade fågelarter.docx", "A 42497-2019")</f>
        <v/>
      </c>
    </row>
    <row r="291" ht="15" customHeight="1">
      <c r="A291" t="inlineStr">
        <is>
          <t>A 52009-2019</t>
        </is>
      </c>
      <c r="B291" s="1" t="n">
        <v>43742</v>
      </c>
      <c r="C291" s="1" t="n">
        <v>45512</v>
      </c>
      <c r="D291" t="inlineStr">
        <is>
          <t>STOCKHOLMS LÄN</t>
        </is>
      </c>
      <c r="E291" t="inlineStr">
        <is>
          <t>SALEM</t>
        </is>
      </c>
      <c r="G291" t="n">
        <v>16.9</v>
      </c>
      <c r="H291" t="n">
        <v>0</v>
      </c>
      <c r="I291" t="n">
        <v>1</v>
      </c>
      <c r="J291" t="n">
        <v>0</v>
      </c>
      <c r="K291" t="n">
        <v>0</v>
      </c>
      <c r="L291" t="n">
        <v>0</v>
      </c>
      <c r="M291" t="n">
        <v>0</v>
      </c>
      <c r="N291" t="n">
        <v>0</v>
      </c>
      <c r="O291" t="n">
        <v>0</v>
      </c>
      <c r="P291" t="n">
        <v>0</v>
      </c>
      <c r="Q291" t="n">
        <v>1</v>
      </c>
      <c r="R291" s="2" t="inlineStr">
        <is>
          <t>Svart trolldruva</t>
        </is>
      </c>
      <c r="S291">
        <f>HYPERLINK("https://klasma.github.io/Logging_0128/artfynd/A 52009-2019 artfynd.xlsx", "A 52009-2019")</f>
        <v/>
      </c>
      <c r="T291">
        <f>HYPERLINK("https://klasma.github.io/Logging_0128/kartor/A 52009-2019 karta.png", "A 52009-2019")</f>
        <v/>
      </c>
      <c r="V291">
        <f>HYPERLINK("https://klasma.github.io/Logging_0128/klagomål/A 52009-2019 FSC-klagomål.docx", "A 52009-2019")</f>
        <v/>
      </c>
      <c r="W291">
        <f>HYPERLINK("https://klasma.github.io/Logging_0128/klagomålsmail/A 52009-2019 FSC-klagomål mail.docx", "A 52009-2019")</f>
        <v/>
      </c>
      <c r="X291">
        <f>HYPERLINK("https://klasma.github.io/Logging_0128/tillsyn/A 52009-2019 tillsynsbegäran.docx", "A 52009-2019")</f>
        <v/>
      </c>
      <c r="Y291">
        <f>HYPERLINK("https://klasma.github.io/Logging_0128/tillsynsmail/A 52009-2019 tillsynsbegäran mail.docx", "A 52009-2019")</f>
        <v/>
      </c>
    </row>
    <row r="292" ht="15" customHeight="1">
      <c r="A292" t="inlineStr">
        <is>
          <t>A 54231-2019</t>
        </is>
      </c>
      <c r="B292" s="1" t="n">
        <v>43753</v>
      </c>
      <c r="C292" s="1" t="n">
        <v>45512</v>
      </c>
      <c r="D292" t="inlineStr">
        <is>
          <t>STOCKHOLMS LÄN</t>
        </is>
      </c>
      <c r="E292" t="inlineStr">
        <is>
          <t>EKERÖ</t>
        </is>
      </c>
      <c r="G292" t="n">
        <v>6.2</v>
      </c>
      <c r="H292" t="n">
        <v>1</v>
      </c>
      <c r="I292" t="n">
        <v>0</v>
      </c>
      <c r="J292" t="n">
        <v>0</v>
      </c>
      <c r="K292" t="n">
        <v>1</v>
      </c>
      <c r="L292" t="n">
        <v>0</v>
      </c>
      <c r="M292" t="n">
        <v>0</v>
      </c>
      <c r="N292" t="n">
        <v>0</v>
      </c>
      <c r="O292" t="n">
        <v>1</v>
      </c>
      <c r="P292" t="n">
        <v>1</v>
      </c>
      <c r="Q292" t="n">
        <v>1</v>
      </c>
      <c r="R292" s="2" t="inlineStr">
        <is>
          <t>Bombmurkla</t>
        </is>
      </c>
      <c r="S292">
        <f>HYPERLINK("https://klasma.github.io/Logging_0125/artfynd/A 54231-2019 artfynd.xlsx", "A 54231-2019")</f>
        <v/>
      </c>
      <c r="T292">
        <f>HYPERLINK("https://klasma.github.io/Logging_0125/kartor/A 54231-2019 karta.png", "A 54231-2019")</f>
        <v/>
      </c>
      <c r="V292">
        <f>HYPERLINK("https://klasma.github.io/Logging_0125/klagomål/A 54231-2019 FSC-klagomål.docx", "A 54231-2019")</f>
        <v/>
      </c>
      <c r="W292">
        <f>HYPERLINK("https://klasma.github.io/Logging_0125/klagomålsmail/A 54231-2019 FSC-klagomål mail.docx", "A 54231-2019")</f>
        <v/>
      </c>
      <c r="X292">
        <f>HYPERLINK("https://klasma.github.io/Logging_0125/tillsyn/A 54231-2019 tillsynsbegäran.docx", "A 54231-2019")</f>
        <v/>
      </c>
      <c r="Y292">
        <f>HYPERLINK("https://klasma.github.io/Logging_0125/tillsynsmail/A 54231-2019 tillsynsbegäran mail.docx", "A 54231-2019")</f>
        <v/>
      </c>
    </row>
    <row r="293" ht="15" customHeight="1">
      <c r="A293" t="inlineStr">
        <is>
          <t>A 59643-2019</t>
        </is>
      </c>
      <c r="B293" s="1" t="n">
        <v>43776</v>
      </c>
      <c r="C293" s="1" t="n">
        <v>45512</v>
      </c>
      <c r="D293" t="inlineStr">
        <is>
          <t>STOCKHOLMS LÄN</t>
        </is>
      </c>
      <c r="E293" t="inlineStr">
        <is>
          <t>SÖDERTÄLJE</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HYPERLINK("https://klasma.github.io/Logging_0181/artfynd/A 59643-2019 artfynd.xlsx", "A 59643-2019")</f>
        <v/>
      </c>
      <c r="T293">
        <f>HYPERLINK("https://klasma.github.io/Logging_0181/kartor/A 59643-2019 karta.png", "A 59643-2019")</f>
        <v/>
      </c>
      <c r="U293">
        <f>HYPERLINK("https://klasma.github.io/Logging_0181/knärot/A 59643-2019 karta knärot.png", "A 59643-2019")</f>
        <v/>
      </c>
      <c r="V293">
        <f>HYPERLINK("https://klasma.github.io/Logging_0181/klagomål/A 59643-2019 FSC-klagomål.docx", "A 59643-2019")</f>
        <v/>
      </c>
      <c r="W293">
        <f>HYPERLINK("https://klasma.github.io/Logging_0181/klagomålsmail/A 59643-2019 FSC-klagomål mail.docx", "A 59643-2019")</f>
        <v/>
      </c>
      <c r="X293">
        <f>HYPERLINK("https://klasma.github.io/Logging_0181/tillsyn/A 59643-2019 tillsynsbegäran.docx", "A 59643-2019")</f>
        <v/>
      </c>
      <c r="Y293">
        <f>HYPERLINK("https://klasma.github.io/Logging_0181/tillsynsmail/A 59643-2019 tillsynsbegäran mail.docx", "A 59643-2019")</f>
        <v/>
      </c>
    </row>
    <row r="294" ht="15" customHeight="1">
      <c r="A294" t="inlineStr">
        <is>
          <t>A 64849-2019</t>
        </is>
      </c>
      <c r="B294" s="1" t="n">
        <v>43801</v>
      </c>
      <c r="C294" s="1" t="n">
        <v>45512</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Skogsklocka</t>
        </is>
      </c>
      <c r="S294">
        <f>HYPERLINK("https://klasma.github.io/Logging_0188/artfynd/A 64849-2019 artfynd.xlsx", "A 64849-2019")</f>
        <v/>
      </c>
      <c r="T294">
        <f>HYPERLINK("https://klasma.github.io/Logging_0188/kartor/A 64849-2019 karta.png", "A 64849-2019")</f>
        <v/>
      </c>
      <c r="V294">
        <f>HYPERLINK("https://klasma.github.io/Logging_0188/klagomål/A 64849-2019 FSC-klagomål.docx", "A 64849-2019")</f>
        <v/>
      </c>
      <c r="W294">
        <f>HYPERLINK("https://klasma.github.io/Logging_0188/klagomålsmail/A 64849-2019 FSC-klagomål mail.docx", "A 64849-2019")</f>
        <v/>
      </c>
      <c r="X294">
        <f>HYPERLINK("https://klasma.github.io/Logging_0188/tillsyn/A 64849-2019 tillsynsbegäran.docx", "A 64849-2019")</f>
        <v/>
      </c>
      <c r="Y294">
        <f>HYPERLINK("https://klasma.github.io/Logging_0188/tillsynsmail/A 64849-2019 tillsynsbegäran mail.docx", "A 64849-2019")</f>
        <v/>
      </c>
    </row>
    <row r="295" ht="15" customHeight="1">
      <c r="A295" t="inlineStr">
        <is>
          <t>A 68108-2019</t>
        </is>
      </c>
      <c r="B295" s="1" t="n">
        <v>43817</v>
      </c>
      <c r="C295" s="1" t="n">
        <v>45512</v>
      </c>
      <c r="D295" t="inlineStr">
        <is>
          <t>STOCKHOLMS LÄN</t>
        </is>
      </c>
      <c r="E295" t="inlineStr">
        <is>
          <t>VALLENTUNA</t>
        </is>
      </c>
      <c r="G295" t="n">
        <v>3.2</v>
      </c>
      <c r="H295" t="n">
        <v>0</v>
      </c>
      <c r="I295" t="n">
        <v>1</v>
      </c>
      <c r="J295" t="n">
        <v>0</v>
      </c>
      <c r="K295" t="n">
        <v>0</v>
      </c>
      <c r="L295" t="n">
        <v>0</v>
      </c>
      <c r="M295" t="n">
        <v>0</v>
      </c>
      <c r="N295" t="n">
        <v>0</v>
      </c>
      <c r="O295" t="n">
        <v>0</v>
      </c>
      <c r="P295" t="n">
        <v>0</v>
      </c>
      <c r="Q295" t="n">
        <v>1</v>
      </c>
      <c r="R295" s="2" t="inlineStr">
        <is>
          <t>Skuggblåslav</t>
        </is>
      </c>
      <c r="S295">
        <f>HYPERLINK("https://klasma.github.io/Logging_0115/artfynd/A 68108-2019 artfynd.xlsx", "A 68108-2019")</f>
        <v/>
      </c>
      <c r="T295">
        <f>HYPERLINK("https://klasma.github.io/Logging_0115/kartor/A 68108-2019 karta.png", "A 68108-2019")</f>
        <v/>
      </c>
      <c r="V295">
        <f>HYPERLINK("https://klasma.github.io/Logging_0115/klagomål/A 68108-2019 FSC-klagomål.docx", "A 68108-2019")</f>
        <v/>
      </c>
      <c r="W295">
        <f>HYPERLINK("https://klasma.github.io/Logging_0115/klagomålsmail/A 68108-2019 FSC-klagomål mail.docx", "A 68108-2019")</f>
        <v/>
      </c>
      <c r="X295">
        <f>HYPERLINK("https://klasma.github.io/Logging_0115/tillsyn/A 68108-2019 tillsynsbegäran.docx", "A 68108-2019")</f>
        <v/>
      </c>
      <c r="Y295">
        <f>HYPERLINK("https://klasma.github.io/Logging_0115/tillsynsmail/A 68108-2019 tillsynsbegäran mail.docx", "A 68108-2019")</f>
        <v/>
      </c>
    </row>
    <row r="296" ht="15" customHeight="1">
      <c r="A296" t="inlineStr">
        <is>
          <t>A 68107-2019</t>
        </is>
      </c>
      <c r="B296" s="1" t="n">
        <v>43817</v>
      </c>
      <c r="C296" s="1" t="n">
        <v>45512</v>
      </c>
      <c r="D296" t="inlineStr">
        <is>
          <t>STOCKHOLMS LÄN</t>
        </is>
      </c>
      <c r="E296" t="inlineStr">
        <is>
          <t>VALLENTUNA</t>
        </is>
      </c>
      <c r="G296" t="n">
        <v>11.4</v>
      </c>
      <c r="H296" t="n">
        <v>0</v>
      </c>
      <c r="I296" t="n">
        <v>0</v>
      </c>
      <c r="J296" t="n">
        <v>1</v>
      </c>
      <c r="K296" t="n">
        <v>0</v>
      </c>
      <c r="L296" t="n">
        <v>0</v>
      </c>
      <c r="M296" t="n">
        <v>0</v>
      </c>
      <c r="N296" t="n">
        <v>0</v>
      </c>
      <c r="O296" t="n">
        <v>1</v>
      </c>
      <c r="P296" t="n">
        <v>0</v>
      </c>
      <c r="Q296" t="n">
        <v>1</v>
      </c>
      <c r="R296" s="2" t="inlineStr">
        <is>
          <t>Tallticka</t>
        </is>
      </c>
      <c r="S296">
        <f>HYPERLINK("https://klasma.github.io/Logging_0115/artfynd/A 68107-2019 artfynd.xlsx", "A 68107-2019")</f>
        <v/>
      </c>
      <c r="T296">
        <f>HYPERLINK("https://klasma.github.io/Logging_0115/kartor/A 68107-2019 karta.png", "A 68107-2019")</f>
        <v/>
      </c>
      <c r="V296">
        <f>HYPERLINK("https://klasma.github.io/Logging_0115/klagomål/A 68107-2019 FSC-klagomål.docx", "A 68107-2019")</f>
        <v/>
      </c>
      <c r="W296">
        <f>HYPERLINK("https://klasma.github.io/Logging_0115/klagomålsmail/A 68107-2019 FSC-klagomål mail.docx", "A 68107-2019")</f>
        <v/>
      </c>
      <c r="X296">
        <f>HYPERLINK("https://klasma.github.io/Logging_0115/tillsyn/A 68107-2019 tillsynsbegäran.docx", "A 68107-2019")</f>
        <v/>
      </c>
      <c r="Y296">
        <f>HYPERLINK("https://klasma.github.io/Logging_0115/tillsynsmail/A 68107-2019 tillsynsbegäran mail.docx", "A 68107-2019")</f>
        <v/>
      </c>
    </row>
    <row r="297" ht="15" customHeight="1">
      <c r="A297" t="inlineStr">
        <is>
          <t>A 68231-2019</t>
        </is>
      </c>
      <c r="B297" s="1" t="n">
        <v>43817</v>
      </c>
      <c r="C297" s="1" t="n">
        <v>45512</v>
      </c>
      <c r="D297" t="inlineStr">
        <is>
          <t>STOCKHOLMS LÄN</t>
        </is>
      </c>
      <c r="E297" t="inlineStr">
        <is>
          <t>HANINGE</t>
        </is>
      </c>
      <c r="F297" t="inlineStr">
        <is>
          <t>Övriga statliga verk och myndigheter</t>
        </is>
      </c>
      <c r="G297" t="n">
        <v>80.5</v>
      </c>
      <c r="H297" t="n">
        <v>1</v>
      </c>
      <c r="I297" t="n">
        <v>0</v>
      </c>
      <c r="J297" t="n">
        <v>1</v>
      </c>
      <c r="K297" t="n">
        <v>0</v>
      </c>
      <c r="L297" t="n">
        <v>0</v>
      </c>
      <c r="M297" t="n">
        <v>0</v>
      </c>
      <c r="N297" t="n">
        <v>0</v>
      </c>
      <c r="O297" t="n">
        <v>1</v>
      </c>
      <c r="P297" t="n">
        <v>0</v>
      </c>
      <c r="Q297" t="n">
        <v>1</v>
      </c>
      <c r="R297" s="2" t="inlineStr">
        <is>
          <t>Havsörn</t>
        </is>
      </c>
      <c r="S297">
        <f>HYPERLINK("https://klasma.github.io/Logging_0136/artfynd/A 68231-2019 artfynd.xlsx", "A 68231-2019")</f>
        <v/>
      </c>
      <c r="T297">
        <f>HYPERLINK("https://klasma.github.io/Logging_0136/kartor/A 68231-2019 karta.png", "A 68231-2019")</f>
        <v/>
      </c>
      <c r="V297">
        <f>HYPERLINK("https://klasma.github.io/Logging_0136/klagomål/A 68231-2019 FSC-klagomål.docx", "A 68231-2019")</f>
        <v/>
      </c>
      <c r="W297">
        <f>HYPERLINK("https://klasma.github.io/Logging_0136/klagomålsmail/A 68231-2019 FSC-klagomål mail.docx", "A 68231-2019")</f>
        <v/>
      </c>
      <c r="X297">
        <f>HYPERLINK("https://klasma.github.io/Logging_0136/tillsyn/A 68231-2019 tillsynsbegäran.docx", "A 68231-2019")</f>
        <v/>
      </c>
      <c r="Y297">
        <f>HYPERLINK("https://klasma.github.io/Logging_0136/tillsynsmail/A 68231-2019 tillsynsbegäran mail.docx", "A 68231-2019")</f>
        <v/>
      </c>
      <c r="Z297">
        <f>HYPERLINK("https://klasma.github.io/Logging_0136/fåglar/A 68231-2019 prioriterade fågelarter.docx", "A 68231-2019")</f>
        <v/>
      </c>
    </row>
    <row r="298" ht="15" customHeight="1">
      <c r="A298" t="inlineStr">
        <is>
          <t>A 2808-2020</t>
        </is>
      </c>
      <c r="B298" s="1" t="n">
        <v>43850</v>
      </c>
      <c r="C298" s="1" t="n">
        <v>45512</v>
      </c>
      <c r="D298" t="inlineStr">
        <is>
          <t>STOCKHOLMS LÄN</t>
        </is>
      </c>
      <c r="E298" t="inlineStr">
        <is>
          <t>NORRTÄLJE</t>
        </is>
      </c>
      <c r="G298" t="n">
        <v>1</v>
      </c>
      <c r="H298" t="n">
        <v>1</v>
      </c>
      <c r="I298" t="n">
        <v>0</v>
      </c>
      <c r="J298" t="n">
        <v>0</v>
      </c>
      <c r="K298" t="n">
        <v>1</v>
      </c>
      <c r="L298" t="n">
        <v>0</v>
      </c>
      <c r="M298" t="n">
        <v>0</v>
      </c>
      <c r="N298" t="n">
        <v>0</v>
      </c>
      <c r="O298" t="n">
        <v>1</v>
      </c>
      <c r="P298" t="n">
        <v>1</v>
      </c>
      <c r="Q298" t="n">
        <v>1</v>
      </c>
      <c r="R298" s="2" t="inlineStr">
        <is>
          <t>Knärot</t>
        </is>
      </c>
      <c r="S298">
        <f>HYPERLINK("https://klasma.github.io/Logging_0188/artfynd/A 2808-2020 artfynd.xlsx", "A 2808-2020")</f>
        <v/>
      </c>
      <c r="T298">
        <f>HYPERLINK("https://klasma.github.io/Logging_0188/kartor/A 2808-2020 karta.png", "A 2808-2020")</f>
        <v/>
      </c>
      <c r="U298">
        <f>HYPERLINK("https://klasma.github.io/Logging_0188/knärot/A 2808-2020 karta knärot.png", "A 2808-2020")</f>
        <v/>
      </c>
      <c r="V298">
        <f>HYPERLINK("https://klasma.github.io/Logging_0188/klagomål/A 2808-2020 FSC-klagomål.docx", "A 2808-2020")</f>
        <v/>
      </c>
      <c r="W298">
        <f>HYPERLINK("https://klasma.github.io/Logging_0188/klagomålsmail/A 2808-2020 FSC-klagomål mail.docx", "A 2808-2020")</f>
        <v/>
      </c>
      <c r="X298">
        <f>HYPERLINK("https://klasma.github.io/Logging_0188/tillsyn/A 2808-2020 tillsynsbegäran.docx", "A 2808-2020")</f>
        <v/>
      </c>
      <c r="Y298">
        <f>HYPERLINK("https://klasma.github.io/Logging_0188/tillsynsmail/A 2808-2020 tillsynsbegäran mail.docx", "A 2808-2020")</f>
        <v/>
      </c>
    </row>
    <row r="299" ht="15" customHeight="1">
      <c r="A299" t="inlineStr">
        <is>
          <t>A 2796-2020</t>
        </is>
      </c>
      <c r="B299" s="1" t="n">
        <v>43850</v>
      </c>
      <c r="C299" s="1" t="n">
        <v>45512</v>
      </c>
      <c r="D299" t="inlineStr">
        <is>
          <t>STOCKHOLMS LÄN</t>
        </is>
      </c>
      <c r="E299" t="inlineStr">
        <is>
          <t>NORRTÄLJE</t>
        </is>
      </c>
      <c r="G299" t="n">
        <v>5.6</v>
      </c>
      <c r="H299" t="n">
        <v>1</v>
      </c>
      <c r="I299" t="n">
        <v>1</v>
      </c>
      <c r="J299" t="n">
        <v>0</v>
      </c>
      <c r="K299" t="n">
        <v>0</v>
      </c>
      <c r="L299" t="n">
        <v>0</v>
      </c>
      <c r="M299" t="n">
        <v>0</v>
      </c>
      <c r="N299" t="n">
        <v>0</v>
      </c>
      <c r="O299" t="n">
        <v>0</v>
      </c>
      <c r="P299" t="n">
        <v>0</v>
      </c>
      <c r="Q299" t="n">
        <v>1</v>
      </c>
      <c r="R299" s="2" t="inlineStr">
        <is>
          <t>Spindelblomster</t>
        </is>
      </c>
      <c r="S299">
        <f>HYPERLINK("https://klasma.github.io/Logging_0188/artfynd/A 2796-2020 artfynd.xlsx", "A 2796-2020")</f>
        <v/>
      </c>
      <c r="T299">
        <f>HYPERLINK("https://klasma.github.io/Logging_0188/kartor/A 2796-2020 karta.png", "A 2796-2020")</f>
        <v/>
      </c>
      <c r="V299">
        <f>HYPERLINK("https://klasma.github.io/Logging_0188/klagomål/A 2796-2020 FSC-klagomål.docx", "A 2796-2020")</f>
        <v/>
      </c>
      <c r="W299">
        <f>HYPERLINK("https://klasma.github.io/Logging_0188/klagomålsmail/A 2796-2020 FSC-klagomål mail.docx", "A 2796-2020")</f>
        <v/>
      </c>
      <c r="X299">
        <f>HYPERLINK("https://klasma.github.io/Logging_0188/tillsyn/A 2796-2020 tillsynsbegäran.docx", "A 2796-2020")</f>
        <v/>
      </c>
      <c r="Y299">
        <f>HYPERLINK("https://klasma.github.io/Logging_0188/tillsynsmail/A 2796-2020 tillsynsbegäran mail.docx", "A 2796-2020")</f>
        <v/>
      </c>
    </row>
    <row r="300" ht="15" customHeight="1">
      <c r="A300" t="inlineStr">
        <is>
          <t>A 7032-2020</t>
        </is>
      </c>
      <c r="B300" s="1" t="n">
        <v>43868</v>
      </c>
      <c r="C300" s="1" t="n">
        <v>45512</v>
      </c>
      <c r="D300" t="inlineStr">
        <is>
          <t>STOCKHOLMS LÄN</t>
        </is>
      </c>
      <c r="E300" t="inlineStr">
        <is>
          <t>EKERÖ</t>
        </is>
      </c>
      <c r="G300" t="n">
        <v>3.1</v>
      </c>
      <c r="H300" t="n">
        <v>0</v>
      </c>
      <c r="I300" t="n">
        <v>0</v>
      </c>
      <c r="J300" t="n">
        <v>1</v>
      </c>
      <c r="K300" t="n">
        <v>0</v>
      </c>
      <c r="L300" t="n">
        <v>0</v>
      </c>
      <c r="M300" t="n">
        <v>0</v>
      </c>
      <c r="N300" t="n">
        <v>0</v>
      </c>
      <c r="O300" t="n">
        <v>1</v>
      </c>
      <c r="P300" t="n">
        <v>0</v>
      </c>
      <c r="Q300" t="n">
        <v>1</v>
      </c>
      <c r="R300" s="2" t="inlineStr">
        <is>
          <t>Mindre timmerman</t>
        </is>
      </c>
      <c r="S300">
        <f>HYPERLINK("https://klasma.github.io/Logging_0125/artfynd/A 7032-2020 artfynd.xlsx", "A 7032-2020")</f>
        <v/>
      </c>
      <c r="T300">
        <f>HYPERLINK("https://klasma.github.io/Logging_0125/kartor/A 7032-2020 karta.png", "A 7032-2020")</f>
        <v/>
      </c>
      <c r="V300">
        <f>HYPERLINK("https://klasma.github.io/Logging_0125/klagomål/A 7032-2020 FSC-klagomål.docx", "A 7032-2020")</f>
        <v/>
      </c>
      <c r="W300">
        <f>HYPERLINK("https://klasma.github.io/Logging_0125/klagomålsmail/A 7032-2020 FSC-klagomål mail.docx", "A 7032-2020")</f>
        <v/>
      </c>
      <c r="X300">
        <f>HYPERLINK("https://klasma.github.io/Logging_0125/tillsyn/A 7032-2020 tillsynsbegäran.docx", "A 7032-2020")</f>
        <v/>
      </c>
      <c r="Y300">
        <f>HYPERLINK("https://klasma.github.io/Logging_0125/tillsynsmail/A 7032-2020 tillsynsbegäran mail.docx", "A 7032-2020")</f>
        <v/>
      </c>
    </row>
    <row r="301" ht="15" customHeight="1">
      <c r="A301" t="inlineStr">
        <is>
          <t>A 7152-2020</t>
        </is>
      </c>
      <c r="B301" s="1" t="n">
        <v>43869</v>
      </c>
      <c r="C301" s="1" t="n">
        <v>45512</v>
      </c>
      <c r="D301" t="inlineStr">
        <is>
          <t>STOCKHOLMS LÄN</t>
        </is>
      </c>
      <c r="E301" t="inlineStr">
        <is>
          <t>NYNÄSHAMN</t>
        </is>
      </c>
      <c r="F301" t="inlineStr">
        <is>
          <t>Kommuner</t>
        </is>
      </c>
      <c r="G301" t="n">
        <v>5.8</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7152-2020 artfynd.xlsx", "A 7152-2020")</f>
        <v/>
      </c>
      <c r="T301">
        <f>HYPERLINK("https://klasma.github.io/Logging_0192/kartor/A 7152-2020 karta.png", "A 7152-2020")</f>
        <v/>
      </c>
      <c r="V301">
        <f>HYPERLINK("https://klasma.github.io/Logging_0192/klagomål/A 7152-2020 FSC-klagomål.docx", "A 7152-2020")</f>
        <v/>
      </c>
      <c r="W301">
        <f>HYPERLINK("https://klasma.github.io/Logging_0192/klagomålsmail/A 7152-2020 FSC-klagomål mail.docx", "A 7152-2020")</f>
        <v/>
      </c>
      <c r="X301">
        <f>HYPERLINK("https://klasma.github.io/Logging_0192/tillsyn/A 7152-2020 tillsynsbegäran.docx", "A 7152-2020")</f>
        <v/>
      </c>
      <c r="Y301">
        <f>HYPERLINK("https://klasma.github.io/Logging_0192/tillsynsmail/A 7152-2020 tillsynsbegäran mail.docx", "A 7152-2020")</f>
        <v/>
      </c>
    </row>
    <row r="302" ht="15" customHeight="1">
      <c r="A302" t="inlineStr">
        <is>
          <t>A 9051-2020</t>
        </is>
      </c>
      <c r="B302" s="1" t="n">
        <v>43879</v>
      </c>
      <c r="C302" s="1" t="n">
        <v>45512</v>
      </c>
      <c r="D302" t="inlineStr">
        <is>
          <t>STOCKHOLMS LÄN</t>
        </is>
      </c>
      <c r="E302" t="inlineStr">
        <is>
          <t>NORRTÄLJE</t>
        </is>
      </c>
      <c r="G302" t="n">
        <v>12.5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9051-2020 artfynd.xlsx", "A 9051-2020")</f>
        <v/>
      </c>
      <c r="T302">
        <f>HYPERLINK("https://klasma.github.io/Logging_0188/kartor/A 9051-2020 karta.png", "A 9051-2020")</f>
        <v/>
      </c>
      <c r="V302">
        <f>HYPERLINK("https://klasma.github.io/Logging_0188/klagomål/A 9051-2020 FSC-klagomål.docx", "A 9051-2020")</f>
        <v/>
      </c>
      <c r="W302">
        <f>HYPERLINK("https://klasma.github.io/Logging_0188/klagomålsmail/A 9051-2020 FSC-klagomål mail.docx", "A 9051-2020")</f>
        <v/>
      </c>
      <c r="X302">
        <f>HYPERLINK("https://klasma.github.io/Logging_0188/tillsyn/A 9051-2020 tillsynsbegäran.docx", "A 9051-2020")</f>
        <v/>
      </c>
      <c r="Y302">
        <f>HYPERLINK("https://klasma.github.io/Logging_0188/tillsynsmail/A 9051-2020 tillsynsbegäran mail.docx", "A 9051-2020")</f>
        <v/>
      </c>
    </row>
    <row r="303" ht="15" customHeight="1">
      <c r="A303" t="inlineStr">
        <is>
          <t>A 13326-2020</t>
        </is>
      </c>
      <c r="B303" s="1" t="n">
        <v>43894</v>
      </c>
      <c r="C303" s="1" t="n">
        <v>45512</v>
      </c>
      <c r="D303" t="inlineStr">
        <is>
          <t>STOCKHOLMS LÄN</t>
        </is>
      </c>
      <c r="E303" t="inlineStr">
        <is>
          <t>HUDDINGE</t>
        </is>
      </c>
      <c r="F303" t="inlineStr">
        <is>
          <t>Kommuner</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HYPERLINK("https://klasma.github.io/Logging_0126/artfynd/A 13326-2020 artfynd.xlsx", "A 13326-2020")</f>
        <v/>
      </c>
      <c r="T303">
        <f>HYPERLINK("https://klasma.github.io/Logging_0126/kartor/A 13326-2020 karta.png", "A 13326-2020")</f>
        <v/>
      </c>
      <c r="V303">
        <f>HYPERLINK("https://klasma.github.io/Logging_0126/klagomål/A 13326-2020 FSC-klagomål.docx", "A 13326-2020")</f>
        <v/>
      </c>
      <c r="W303">
        <f>HYPERLINK("https://klasma.github.io/Logging_0126/klagomålsmail/A 13326-2020 FSC-klagomål mail.docx", "A 13326-2020")</f>
        <v/>
      </c>
      <c r="X303">
        <f>HYPERLINK("https://klasma.github.io/Logging_0126/tillsyn/A 13326-2020 tillsynsbegäran.docx", "A 13326-2020")</f>
        <v/>
      </c>
      <c r="Y303">
        <f>HYPERLINK("https://klasma.github.io/Logging_0126/tillsynsmail/A 13326-2020 tillsynsbegäran mail.docx", "A 13326-2020")</f>
        <v/>
      </c>
    </row>
    <row r="304" ht="15" customHeight="1">
      <c r="A304" t="inlineStr">
        <is>
          <t>A 12843-2020</t>
        </is>
      </c>
      <c r="B304" s="1" t="n">
        <v>43899</v>
      </c>
      <c r="C304" s="1" t="n">
        <v>45512</v>
      </c>
      <c r="D304" t="inlineStr">
        <is>
          <t>STOCKHOLMS LÄN</t>
        </is>
      </c>
      <c r="E304" t="inlineStr">
        <is>
          <t>NORRTÄLJE</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HYPERLINK("https://klasma.github.io/Logging_0188/artfynd/A 12843-2020 artfynd.xlsx", "A 12843-2020")</f>
        <v/>
      </c>
      <c r="T304">
        <f>HYPERLINK("https://klasma.github.io/Logging_0188/kartor/A 12843-2020 karta.png", "A 12843-2020")</f>
        <v/>
      </c>
      <c r="V304">
        <f>HYPERLINK("https://klasma.github.io/Logging_0188/klagomål/A 12843-2020 FSC-klagomål.docx", "A 12843-2020")</f>
        <v/>
      </c>
      <c r="W304">
        <f>HYPERLINK("https://klasma.github.io/Logging_0188/klagomålsmail/A 12843-2020 FSC-klagomål mail.docx", "A 12843-2020")</f>
        <v/>
      </c>
      <c r="X304">
        <f>HYPERLINK("https://klasma.github.io/Logging_0188/tillsyn/A 12843-2020 tillsynsbegäran.docx", "A 12843-2020")</f>
        <v/>
      </c>
      <c r="Y304">
        <f>HYPERLINK("https://klasma.github.io/Logging_0188/tillsynsmail/A 12843-2020 tillsynsbegäran mail.docx", "A 12843-2020")</f>
        <v/>
      </c>
      <c r="Z304">
        <f>HYPERLINK("https://klasma.github.io/Logging_0188/fåglar/A 12843-2020 prioriterade fågelarter.docx", "A 12843-2020")</f>
        <v/>
      </c>
    </row>
    <row r="305" ht="15" customHeight="1">
      <c r="A305" t="inlineStr">
        <is>
          <t>A 12832-2020</t>
        </is>
      </c>
      <c r="B305" s="1" t="n">
        <v>43899</v>
      </c>
      <c r="C305" s="1" t="n">
        <v>45512</v>
      </c>
      <c r="D305" t="inlineStr">
        <is>
          <t>STOCKHOLMS LÄN</t>
        </is>
      </c>
      <c r="E305" t="inlineStr">
        <is>
          <t>SÖDERTÄLJE</t>
        </is>
      </c>
      <c r="G305" t="n">
        <v>3.8</v>
      </c>
      <c r="H305" t="n">
        <v>0</v>
      </c>
      <c r="I305" t="n">
        <v>0</v>
      </c>
      <c r="J305" t="n">
        <v>1</v>
      </c>
      <c r="K305" t="n">
        <v>0</v>
      </c>
      <c r="L305" t="n">
        <v>0</v>
      </c>
      <c r="M305" t="n">
        <v>0</v>
      </c>
      <c r="N305" t="n">
        <v>0</v>
      </c>
      <c r="O305" t="n">
        <v>1</v>
      </c>
      <c r="P305" t="n">
        <v>0</v>
      </c>
      <c r="Q305" t="n">
        <v>1</v>
      </c>
      <c r="R305" s="2" t="inlineStr">
        <is>
          <t>Ängsskära</t>
        </is>
      </c>
      <c r="S305">
        <f>HYPERLINK("https://klasma.github.io/Logging_0181/artfynd/A 12832-2020 artfynd.xlsx", "A 12832-2020")</f>
        <v/>
      </c>
      <c r="T305">
        <f>HYPERLINK("https://klasma.github.io/Logging_0181/kartor/A 12832-2020 karta.png", "A 12832-2020")</f>
        <v/>
      </c>
      <c r="V305">
        <f>HYPERLINK("https://klasma.github.io/Logging_0181/klagomål/A 12832-2020 FSC-klagomål.docx", "A 12832-2020")</f>
        <v/>
      </c>
      <c r="W305">
        <f>HYPERLINK("https://klasma.github.io/Logging_0181/klagomålsmail/A 12832-2020 FSC-klagomål mail.docx", "A 12832-2020")</f>
        <v/>
      </c>
      <c r="X305">
        <f>HYPERLINK("https://klasma.github.io/Logging_0181/tillsyn/A 12832-2020 tillsynsbegäran.docx", "A 12832-2020")</f>
        <v/>
      </c>
      <c r="Y305">
        <f>HYPERLINK("https://klasma.github.io/Logging_0181/tillsynsmail/A 12832-2020 tillsynsbegäran mail.docx", "A 12832-2020")</f>
        <v/>
      </c>
    </row>
    <row r="306" ht="15" customHeight="1">
      <c r="A306" t="inlineStr">
        <is>
          <t>A 13922-2020</t>
        </is>
      </c>
      <c r="B306" s="1" t="n">
        <v>43906</v>
      </c>
      <c r="C306" s="1" t="n">
        <v>45512</v>
      </c>
      <c r="D306" t="inlineStr">
        <is>
          <t>STOCKHOLMS LÄN</t>
        </is>
      </c>
      <c r="E306" t="inlineStr">
        <is>
          <t>NYKVARN</t>
        </is>
      </c>
      <c r="G306" t="n">
        <v>19.8</v>
      </c>
      <c r="H306" t="n">
        <v>0</v>
      </c>
      <c r="I306" t="n">
        <v>0</v>
      </c>
      <c r="J306" t="n">
        <v>1</v>
      </c>
      <c r="K306" t="n">
        <v>0</v>
      </c>
      <c r="L306" t="n">
        <v>0</v>
      </c>
      <c r="M306" t="n">
        <v>0</v>
      </c>
      <c r="N306" t="n">
        <v>0</v>
      </c>
      <c r="O306" t="n">
        <v>1</v>
      </c>
      <c r="P306" t="n">
        <v>0</v>
      </c>
      <c r="Q306" t="n">
        <v>1</v>
      </c>
      <c r="R306" s="2" t="inlineStr">
        <is>
          <t>Svedjenäva</t>
        </is>
      </c>
      <c r="S306">
        <f>HYPERLINK("https://klasma.github.io/Logging_0140/artfynd/A 13922-2020 artfynd.xlsx", "A 13922-2020")</f>
        <v/>
      </c>
      <c r="T306">
        <f>HYPERLINK("https://klasma.github.io/Logging_0140/kartor/A 13922-2020 karta.png", "A 13922-2020")</f>
        <v/>
      </c>
      <c r="V306">
        <f>HYPERLINK("https://klasma.github.io/Logging_0140/klagomål/A 13922-2020 FSC-klagomål.docx", "A 13922-2020")</f>
        <v/>
      </c>
      <c r="W306">
        <f>HYPERLINK("https://klasma.github.io/Logging_0140/klagomålsmail/A 13922-2020 FSC-klagomål mail.docx", "A 13922-2020")</f>
        <v/>
      </c>
      <c r="X306">
        <f>HYPERLINK("https://klasma.github.io/Logging_0140/tillsyn/A 13922-2020 tillsynsbegäran.docx", "A 13922-2020")</f>
        <v/>
      </c>
      <c r="Y306">
        <f>HYPERLINK("https://klasma.github.io/Logging_0140/tillsynsmail/A 13922-2020 tillsynsbegäran mail.docx", "A 13922-2020")</f>
        <v/>
      </c>
    </row>
    <row r="307" ht="15" customHeight="1">
      <c r="A307" t="inlineStr">
        <is>
          <t>A 15312-2020</t>
        </is>
      </c>
      <c r="B307" s="1" t="n">
        <v>43913</v>
      </c>
      <c r="C307" s="1" t="n">
        <v>45512</v>
      </c>
      <c r="D307" t="inlineStr">
        <is>
          <t>STOCKHOLMS LÄN</t>
        </is>
      </c>
      <c r="E307" t="inlineStr">
        <is>
          <t>HANINGE</t>
        </is>
      </c>
      <c r="F307" t="inlineStr">
        <is>
          <t>Övriga statliga verk och myndigheter</t>
        </is>
      </c>
      <c r="G307" t="n">
        <v>2.4</v>
      </c>
      <c r="H307" t="n">
        <v>0</v>
      </c>
      <c r="I307" t="n">
        <v>0</v>
      </c>
      <c r="J307" t="n">
        <v>1</v>
      </c>
      <c r="K307" t="n">
        <v>0</v>
      </c>
      <c r="L307" t="n">
        <v>0</v>
      </c>
      <c r="M307" t="n">
        <v>0</v>
      </c>
      <c r="N307" t="n">
        <v>0</v>
      </c>
      <c r="O307" t="n">
        <v>1</v>
      </c>
      <c r="P307" t="n">
        <v>0</v>
      </c>
      <c r="Q307" t="n">
        <v>1</v>
      </c>
      <c r="R307" s="2" t="inlineStr">
        <is>
          <t>Tallticka</t>
        </is>
      </c>
      <c r="S307">
        <f>HYPERLINK("https://klasma.github.io/Logging_0136/artfynd/A 15312-2020 artfynd.xlsx", "A 15312-2020")</f>
        <v/>
      </c>
      <c r="T307">
        <f>HYPERLINK("https://klasma.github.io/Logging_0136/kartor/A 15312-2020 karta.png", "A 15312-2020")</f>
        <v/>
      </c>
      <c r="V307">
        <f>HYPERLINK("https://klasma.github.io/Logging_0136/klagomål/A 15312-2020 FSC-klagomål.docx", "A 15312-2020")</f>
        <v/>
      </c>
      <c r="W307">
        <f>HYPERLINK("https://klasma.github.io/Logging_0136/klagomålsmail/A 15312-2020 FSC-klagomål mail.docx", "A 15312-2020")</f>
        <v/>
      </c>
      <c r="X307">
        <f>HYPERLINK("https://klasma.github.io/Logging_0136/tillsyn/A 15312-2020 tillsynsbegäran.docx", "A 15312-2020")</f>
        <v/>
      </c>
      <c r="Y307">
        <f>HYPERLINK("https://klasma.github.io/Logging_0136/tillsynsmail/A 15312-2020 tillsynsbegäran mail.docx", "A 15312-2020")</f>
        <v/>
      </c>
    </row>
    <row r="308" ht="15" customHeight="1">
      <c r="A308" t="inlineStr">
        <is>
          <t>A 16236-2020</t>
        </is>
      </c>
      <c r="B308" s="1" t="n">
        <v>43917</v>
      </c>
      <c r="C308" s="1" t="n">
        <v>45512</v>
      </c>
      <c r="D308" t="inlineStr">
        <is>
          <t>STOCKHOLMS LÄN</t>
        </is>
      </c>
      <c r="E308" t="inlineStr">
        <is>
          <t>BOTKYRKA</t>
        </is>
      </c>
      <c r="G308" t="n">
        <v>2.5</v>
      </c>
      <c r="H308" t="n">
        <v>0</v>
      </c>
      <c r="I308" t="n">
        <v>1</v>
      </c>
      <c r="J308" t="n">
        <v>0</v>
      </c>
      <c r="K308" t="n">
        <v>0</v>
      </c>
      <c r="L308" t="n">
        <v>0</v>
      </c>
      <c r="M308" t="n">
        <v>0</v>
      </c>
      <c r="N308" t="n">
        <v>0</v>
      </c>
      <c r="O308" t="n">
        <v>0</v>
      </c>
      <c r="P308" t="n">
        <v>0</v>
      </c>
      <c r="Q308" t="n">
        <v>1</v>
      </c>
      <c r="R308" s="2" t="inlineStr">
        <is>
          <t>Granbarkgnagare</t>
        </is>
      </c>
      <c r="S308">
        <f>HYPERLINK("https://klasma.github.io/Logging_0127/artfynd/A 16236-2020 artfynd.xlsx", "A 16236-2020")</f>
        <v/>
      </c>
      <c r="T308">
        <f>HYPERLINK("https://klasma.github.io/Logging_0127/kartor/A 16236-2020 karta.png", "A 16236-2020")</f>
        <v/>
      </c>
      <c r="V308">
        <f>HYPERLINK("https://klasma.github.io/Logging_0127/klagomål/A 16236-2020 FSC-klagomål.docx", "A 16236-2020")</f>
        <v/>
      </c>
      <c r="W308">
        <f>HYPERLINK("https://klasma.github.io/Logging_0127/klagomålsmail/A 16236-2020 FSC-klagomål mail.docx", "A 16236-2020")</f>
        <v/>
      </c>
      <c r="X308">
        <f>HYPERLINK("https://klasma.github.io/Logging_0127/tillsyn/A 16236-2020 tillsynsbegäran.docx", "A 16236-2020")</f>
        <v/>
      </c>
      <c r="Y308">
        <f>HYPERLINK("https://klasma.github.io/Logging_0127/tillsynsmail/A 16236-2020 tillsynsbegäran mail.docx", "A 16236-2020")</f>
        <v/>
      </c>
    </row>
    <row r="309" ht="15" customHeight="1">
      <c r="A309" t="inlineStr">
        <is>
          <t>A 16917-2020</t>
        </is>
      </c>
      <c r="B309" s="1" t="n">
        <v>43921</v>
      </c>
      <c r="C309" s="1" t="n">
        <v>45512</v>
      </c>
      <c r="D309" t="inlineStr">
        <is>
          <t>STOCKHOLMS LÄN</t>
        </is>
      </c>
      <c r="E309" t="inlineStr">
        <is>
          <t>SALEM</t>
        </is>
      </c>
      <c r="G309" t="n">
        <v>23.8</v>
      </c>
      <c r="H309" t="n">
        <v>1</v>
      </c>
      <c r="I309" t="n">
        <v>0</v>
      </c>
      <c r="J309" t="n">
        <v>1</v>
      </c>
      <c r="K309" t="n">
        <v>0</v>
      </c>
      <c r="L309" t="n">
        <v>0</v>
      </c>
      <c r="M309" t="n">
        <v>0</v>
      </c>
      <c r="N309" t="n">
        <v>0</v>
      </c>
      <c r="O309" t="n">
        <v>1</v>
      </c>
      <c r="P309" t="n">
        <v>0</v>
      </c>
      <c r="Q309" t="n">
        <v>1</v>
      </c>
      <c r="R309" s="2" t="inlineStr">
        <is>
          <t>Talltita</t>
        </is>
      </c>
      <c r="S309">
        <f>HYPERLINK("https://klasma.github.io/Logging_0128/artfynd/A 16917-2020 artfynd.xlsx", "A 16917-2020")</f>
        <v/>
      </c>
      <c r="T309">
        <f>HYPERLINK("https://klasma.github.io/Logging_0128/kartor/A 16917-2020 karta.png", "A 16917-2020")</f>
        <v/>
      </c>
      <c r="V309">
        <f>HYPERLINK("https://klasma.github.io/Logging_0128/klagomål/A 16917-2020 FSC-klagomål.docx", "A 16917-2020")</f>
        <v/>
      </c>
      <c r="W309">
        <f>HYPERLINK("https://klasma.github.io/Logging_0128/klagomålsmail/A 16917-2020 FSC-klagomål mail.docx", "A 16917-2020")</f>
        <v/>
      </c>
      <c r="X309">
        <f>HYPERLINK("https://klasma.github.io/Logging_0128/tillsyn/A 16917-2020 tillsynsbegäran.docx", "A 16917-2020")</f>
        <v/>
      </c>
      <c r="Y309">
        <f>HYPERLINK("https://klasma.github.io/Logging_0128/tillsynsmail/A 16917-2020 tillsynsbegäran mail.docx", "A 16917-2020")</f>
        <v/>
      </c>
      <c r="Z309">
        <f>HYPERLINK("https://klasma.github.io/Logging_0128/fåglar/A 16917-2020 prioriterade fågelarter.docx", "A 16917-2020")</f>
        <v/>
      </c>
    </row>
    <row r="310" ht="15" customHeight="1">
      <c r="A310" t="inlineStr">
        <is>
          <t>A 18965-2020</t>
        </is>
      </c>
      <c r="B310" s="1" t="n">
        <v>43935</v>
      </c>
      <c r="C310" s="1" t="n">
        <v>45512</v>
      </c>
      <c r="D310" t="inlineStr">
        <is>
          <t>STOCKHOLMS LÄN</t>
        </is>
      </c>
      <c r="E310" t="inlineStr">
        <is>
          <t>NYNÄSHAMN</t>
        </is>
      </c>
      <c r="F310" t="inlineStr">
        <is>
          <t>Kommuner</t>
        </is>
      </c>
      <c r="G310" t="n">
        <v>14.3</v>
      </c>
      <c r="H310" t="n">
        <v>1</v>
      </c>
      <c r="I310" t="n">
        <v>0</v>
      </c>
      <c r="J310" t="n">
        <v>0</v>
      </c>
      <c r="K310" t="n">
        <v>1</v>
      </c>
      <c r="L310" t="n">
        <v>0</v>
      </c>
      <c r="M310" t="n">
        <v>0</v>
      </c>
      <c r="N310" t="n">
        <v>0</v>
      </c>
      <c r="O310" t="n">
        <v>1</v>
      </c>
      <c r="P310" t="n">
        <v>1</v>
      </c>
      <c r="Q310" t="n">
        <v>1</v>
      </c>
      <c r="R310" s="2" t="inlineStr">
        <is>
          <t>Hasselsnok</t>
        </is>
      </c>
      <c r="S310">
        <f>HYPERLINK("https://klasma.github.io/Logging_0192/artfynd/A 18965-2020 artfynd.xlsx", "A 18965-2020")</f>
        <v/>
      </c>
      <c r="T310">
        <f>HYPERLINK("https://klasma.github.io/Logging_0192/kartor/A 18965-2020 karta.png", "A 18965-2020")</f>
        <v/>
      </c>
      <c r="V310">
        <f>HYPERLINK("https://klasma.github.io/Logging_0192/klagomål/A 18965-2020 FSC-klagomål.docx", "A 18965-2020")</f>
        <v/>
      </c>
      <c r="W310">
        <f>HYPERLINK("https://klasma.github.io/Logging_0192/klagomålsmail/A 18965-2020 FSC-klagomål mail.docx", "A 18965-2020")</f>
        <v/>
      </c>
      <c r="X310">
        <f>HYPERLINK("https://klasma.github.io/Logging_0192/tillsyn/A 18965-2020 tillsynsbegäran.docx", "A 18965-2020")</f>
        <v/>
      </c>
      <c r="Y310">
        <f>HYPERLINK("https://klasma.github.io/Logging_0192/tillsynsmail/A 18965-2020 tillsynsbegäran mail.docx", "A 18965-2020")</f>
        <v/>
      </c>
    </row>
    <row r="311" ht="15" customHeight="1">
      <c r="A311" t="inlineStr">
        <is>
          <t>A 28380-2020</t>
        </is>
      </c>
      <c r="B311" s="1" t="n">
        <v>43998</v>
      </c>
      <c r="C311" s="1" t="n">
        <v>45512</v>
      </c>
      <c r="D311" t="inlineStr">
        <is>
          <t>STOCKHOLMS LÄN</t>
        </is>
      </c>
      <c r="E311" t="inlineStr">
        <is>
          <t>NORRTÄLJE</t>
        </is>
      </c>
      <c r="G311" t="n">
        <v>43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28380-2020 artfynd.xlsx", "A 28380-2020")</f>
        <v/>
      </c>
      <c r="T311">
        <f>HYPERLINK("https://klasma.github.io/Logging_0188/kartor/A 28380-2020 karta.png", "A 28380-2020")</f>
        <v/>
      </c>
      <c r="V311">
        <f>HYPERLINK("https://klasma.github.io/Logging_0188/klagomål/A 28380-2020 FSC-klagomål.docx", "A 28380-2020")</f>
        <v/>
      </c>
      <c r="W311">
        <f>HYPERLINK("https://klasma.github.io/Logging_0188/klagomålsmail/A 28380-2020 FSC-klagomål mail.docx", "A 28380-2020")</f>
        <v/>
      </c>
      <c r="X311">
        <f>HYPERLINK("https://klasma.github.io/Logging_0188/tillsyn/A 28380-2020 tillsynsbegäran.docx", "A 28380-2020")</f>
        <v/>
      </c>
      <c r="Y311">
        <f>HYPERLINK("https://klasma.github.io/Logging_0188/tillsynsmail/A 28380-2020 tillsynsbegäran mail.docx", "A 28380-2020")</f>
        <v/>
      </c>
    </row>
    <row r="312" ht="15" customHeight="1">
      <c r="A312" t="inlineStr">
        <is>
          <t>A 32525-2020</t>
        </is>
      </c>
      <c r="B312" s="1" t="n">
        <v>44018</v>
      </c>
      <c r="C312" s="1" t="n">
        <v>45512</v>
      </c>
      <c r="D312" t="inlineStr">
        <is>
          <t>STOCKHOLMS LÄN</t>
        </is>
      </c>
      <c r="E312" t="inlineStr">
        <is>
          <t>HANINGE</t>
        </is>
      </c>
      <c r="F312" t="inlineStr">
        <is>
          <t>Kommuner</t>
        </is>
      </c>
      <c r="G312" t="n">
        <v>2.3</v>
      </c>
      <c r="H312" t="n">
        <v>0</v>
      </c>
      <c r="I312" t="n">
        <v>1</v>
      </c>
      <c r="J312" t="n">
        <v>0</v>
      </c>
      <c r="K312" t="n">
        <v>0</v>
      </c>
      <c r="L312" t="n">
        <v>0</v>
      </c>
      <c r="M312" t="n">
        <v>0</v>
      </c>
      <c r="N312" t="n">
        <v>0</v>
      </c>
      <c r="O312" t="n">
        <v>0</v>
      </c>
      <c r="P312" t="n">
        <v>0</v>
      </c>
      <c r="Q312" t="n">
        <v>1</v>
      </c>
      <c r="R312" s="2" t="inlineStr">
        <is>
          <t>Vedticka</t>
        </is>
      </c>
      <c r="S312">
        <f>HYPERLINK("https://klasma.github.io/Logging_0136/artfynd/A 32525-2020 artfynd.xlsx", "A 32525-2020")</f>
        <v/>
      </c>
      <c r="T312">
        <f>HYPERLINK("https://klasma.github.io/Logging_0136/kartor/A 32525-2020 karta.png", "A 32525-2020")</f>
        <v/>
      </c>
      <c r="V312">
        <f>HYPERLINK("https://klasma.github.io/Logging_0136/klagomål/A 32525-2020 FSC-klagomål.docx", "A 32525-2020")</f>
        <v/>
      </c>
      <c r="W312">
        <f>HYPERLINK("https://klasma.github.io/Logging_0136/klagomålsmail/A 32525-2020 FSC-klagomål mail.docx", "A 32525-2020")</f>
        <v/>
      </c>
      <c r="X312">
        <f>HYPERLINK("https://klasma.github.io/Logging_0136/tillsyn/A 32525-2020 tillsynsbegäran.docx", "A 32525-2020")</f>
        <v/>
      </c>
      <c r="Y312">
        <f>HYPERLINK("https://klasma.github.io/Logging_0136/tillsynsmail/A 32525-2020 tillsynsbegäran mail.docx", "A 32525-2020")</f>
        <v/>
      </c>
    </row>
    <row r="313" ht="15" customHeight="1">
      <c r="A313" t="inlineStr">
        <is>
          <t>A 34971-2020</t>
        </is>
      </c>
      <c r="B313" s="1" t="n">
        <v>44039</v>
      </c>
      <c r="C313" s="1" t="n">
        <v>45512</v>
      </c>
      <c r="D313" t="inlineStr">
        <is>
          <t>STOCKHOLMS LÄN</t>
        </is>
      </c>
      <c r="E313" t="inlineStr">
        <is>
          <t>BOTKYRKA</t>
        </is>
      </c>
      <c r="G313" t="n">
        <v>4.2</v>
      </c>
      <c r="H313" t="n">
        <v>0</v>
      </c>
      <c r="I313" t="n">
        <v>1</v>
      </c>
      <c r="J313" t="n">
        <v>0</v>
      </c>
      <c r="K313" t="n">
        <v>0</v>
      </c>
      <c r="L313" t="n">
        <v>0</v>
      </c>
      <c r="M313" t="n">
        <v>0</v>
      </c>
      <c r="N313" t="n">
        <v>0</v>
      </c>
      <c r="O313" t="n">
        <v>0</v>
      </c>
      <c r="P313" t="n">
        <v>0</v>
      </c>
      <c r="Q313" t="n">
        <v>1</v>
      </c>
      <c r="R313" s="2" t="inlineStr">
        <is>
          <t>Tibast</t>
        </is>
      </c>
      <c r="S313">
        <f>HYPERLINK("https://klasma.github.io/Logging_0127/artfynd/A 34971-2020 artfynd.xlsx", "A 34971-2020")</f>
        <v/>
      </c>
      <c r="T313">
        <f>HYPERLINK("https://klasma.github.io/Logging_0127/kartor/A 34971-2020 karta.png", "A 34971-2020")</f>
        <v/>
      </c>
      <c r="V313">
        <f>HYPERLINK("https://klasma.github.io/Logging_0127/klagomål/A 34971-2020 FSC-klagomål.docx", "A 34971-2020")</f>
        <v/>
      </c>
      <c r="W313">
        <f>HYPERLINK("https://klasma.github.io/Logging_0127/klagomålsmail/A 34971-2020 FSC-klagomål mail.docx", "A 34971-2020")</f>
        <v/>
      </c>
      <c r="X313">
        <f>HYPERLINK("https://klasma.github.io/Logging_0127/tillsyn/A 34971-2020 tillsynsbegäran.docx", "A 34971-2020")</f>
        <v/>
      </c>
      <c r="Y313">
        <f>HYPERLINK("https://klasma.github.io/Logging_0127/tillsynsmail/A 34971-2020 tillsynsbegäran mail.docx", "A 34971-2020")</f>
        <v/>
      </c>
    </row>
    <row r="314" ht="15" customHeight="1">
      <c r="A314" t="inlineStr">
        <is>
          <t>A 41774-2020</t>
        </is>
      </c>
      <c r="B314" s="1" t="n">
        <v>44074</v>
      </c>
      <c r="C314" s="1" t="n">
        <v>45512</v>
      </c>
      <c r="D314" t="inlineStr">
        <is>
          <t>STOCKHOLMS LÄN</t>
        </is>
      </c>
      <c r="E314" t="inlineStr">
        <is>
          <t>SALEM</t>
        </is>
      </c>
      <c r="F314" t="inlineStr">
        <is>
          <t>Kommuner</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HYPERLINK("https://klasma.github.io/Logging_0128/artfynd/A 41774-2020 artfynd.xlsx", "A 41774-2020")</f>
        <v/>
      </c>
      <c r="T314">
        <f>HYPERLINK("https://klasma.github.io/Logging_0128/kartor/A 41774-2020 karta.png", "A 41774-2020")</f>
        <v/>
      </c>
      <c r="V314">
        <f>HYPERLINK("https://klasma.github.io/Logging_0128/klagomål/A 41774-2020 FSC-klagomål.docx", "A 41774-2020")</f>
        <v/>
      </c>
      <c r="W314">
        <f>HYPERLINK("https://klasma.github.io/Logging_0128/klagomålsmail/A 41774-2020 FSC-klagomål mail.docx", "A 41774-2020")</f>
        <v/>
      </c>
      <c r="X314">
        <f>HYPERLINK("https://klasma.github.io/Logging_0128/tillsyn/A 41774-2020 tillsynsbegäran.docx", "A 41774-2020")</f>
        <v/>
      </c>
      <c r="Y314">
        <f>HYPERLINK("https://klasma.github.io/Logging_0128/tillsynsmail/A 41774-2020 tillsynsbegäran mail.docx", "A 41774-2020")</f>
        <v/>
      </c>
    </row>
    <row r="315" ht="15" customHeight="1">
      <c r="A315" t="inlineStr">
        <is>
          <t>A 47329-2020</t>
        </is>
      </c>
      <c r="B315" s="1" t="n">
        <v>44097</v>
      </c>
      <c r="C315" s="1" t="n">
        <v>45512</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47329-2020 artfynd.xlsx", "A 47329-2020")</f>
        <v/>
      </c>
      <c r="T315">
        <f>HYPERLINK("https://klasma.github.io/Logging_0139/kartor/A 47329-2020 karta.png", "A 47329-2020")</f>
        <v/>
      </c>
      <c r="V315">
        <f>HYPERLINK("https://klasma.github.io/Logging_0139/klagomål/A 47329-2020 FSC-klagomål.docx", "A 47329-2020")</f>
        <v/>
      </c>
      <c r="W315">
        <f>HYPERLINK("https://klasma.github.io/Logging_0139/klagomålsmail/A 47329-2020 FSC-klagomål mail.docx", "A 47329-2020")</f>
        <v/>
      </c>
      <c r="X315">
        <f>HYPERLINK("https://klasma.github.io/Logging_0139/tillsyn/A 47329-2020 tillsynsbegäran.docx", "A 47329-2020")</f>
        <v/>
      </c>
      <c r="Y315">
        <f>HYPERLINK("https://klasma.github.io/Logging_0139/tillsynsmail/A 47329-2020 tillsynsbegäran mail.docx", "A 47329-2020")</f>
        <v/>
      </c>
    </row>
    <row r="316" ht="15" customHeight="1">
      <c r="A316" t="inlineStr">
        <is>
          <t>A 48288-2020</t>
        </is>
      </c>
      <c r="B316" s="1" t="n">
        <v>44102</v>
      </c>
      <c r="C316" s="1" t="n">
        <v>45512</v>
      </c>
      <c r="D316" t="inlineStr">
        <is>
          <t>STOCKHOLMS LÄN</t>
        </is>
      </c>
      <c r="E316" t="inlineStr">
        <is>
          <t>NORRTÄLJE</t>
        </is>
      </c>
      <c r="F316" t="inlineStr">
        <is>
          <t>Holmen skog AB</t>
        </is>
      </c>
      <c r="G316" t="n">
        <v>2.9</v>
      </c>
      <c r="H316" t="n">
        <v>1</v>
      </c>
      <c r="I316" t="n">
        <v>0</v>
      </c>
      <c r="J316" t="n">
        <v>0</v>
      </c>
      <c r="K316" t="n">
        <v>0</v>
      </c>
      <c r="L316" t="n">
        <v>1</v>
      </c>
      <c r="M316" t="n">
        <v>0</v>
      </c>
      <c r="N316" t="n">
        <v>0</v>
      </c>
      <c r="O316" t="n">
        <v>1</v>
      </c>
      <c r="P316" t="n">
        <v>1</v>
      </c>
      <c r="Q316" t="n">
        <v>1</v>
      </c>
      <c r="R316" s="2" t="inlineStr">
        <is>
          <t>Asknätfjäril</t>
        </is>
      </c>
      <c r="S316">
        <f>HYPERLINK("https://klasma.github.io/Logging_0188/artfynd/A 48288-2020 artfynd.xlsx", "A 48288-2020")</f>
        <v/>
      </c>
      <c r="T316">
        <f>HYPERLINK("https://klasma.github.io/Logging_0188/kartor/A 48288-2020 karta.png", "A 48288-2020")</f>
        <v/>
      </c>
      <c r="V316">
        <f>HYPERLINK("https://klasma.github.io/Logging_0188/klagomål/A 48288-2020 FSC-klagomål.docx", "A 48288-2020")</f>
        <v/>
      </c>
      <c r="W316">
        <f>HYPERLINK("https://klasma.github.io/Logging_0188/klagomålsmail/A 48288-2020 FSC-klagomål mail.docx", "A 48288-2020")</f>
        <v/>
      </c>
      <c r="X316">
        <f>HYPERLINK("https://klasma.github.io/Logging_0188/tillsyn/A 48288-2020 tillsynsbegäran.docx", "A 48288-2020")</f>
        <v/>
      </c>
      <c r="Y316">
        <f>HYPERLINK("https://klasma.github.io/Logging_0188/tillsynsmail/A 48288-2020 tillsynsbegäran mail.docx", "A 48288-2020")</f>
        <v/>
      </c>
    </row>
    <row r="317" ht="15" customHeight="1">
      <c r="A317" t="inlineStr">
        <is>
          <t>A 62846-2020</t>
        </is>
      </c>
      <c r="B317" s="1" t="n">
        <v>44161</v>
      </c>
      <c r="C317" s="1" t="n">
        <v>45512</v>
      </c>
      <c r="D317" t="inlineStr">
        <is>
          <t>STOCKHOLMS LÄN</t>
        </is>
      </c>
      <c r="E317" t="inlineStr">
        <is>
          <t>NORRTÄLJE</t>
        </is>
      </c>
      <c r="G317" t="n">
        <v>1.4</v>
      </c>
      <c r="H317" t="n">
        <v>1</v>
      </c>
      <c r="I317" t="n">
        <v>0</v>
      </c>
      <c r="J317" t="n">
        <v>0</v>
      </c>
      <c r="K317" t="n">
        <v>0</v>
      </c>
      <c r="L317" t="n">
        <v>0</v>
      </c>
      <c r="M317" t="n">
        <v>0</v>
      </c>
      <c r="N317" t="n">
        <v>0</v>
      </c>
      <c r="O317" t="n">
        <v>0</v>
      </c>
      <c r="P317" t="n">
        <v>0</v>
      </c>
      <c r="Q317" t="n">
        <v>1</v>
      </c>
      <c r="R317" s="2" t="inlineStr">
        <is>
          <t>Fläcknycklar</t>
        </is>
      </c>
      <c r="S317">
        <f>HYPERLINK("https://klasma.github.io/Logging_0188/artfynd/A 62846-2020 artfynd.xlsx", "A 62846-2020")</f>
        <v/>
      </c>
      <c r="T317">
        <f>HYPERLINK("https://klasma.github.io/Logging_0188/kartor/A 62846-2020 karta.png", "A 62846-2020")</f>
        <v/>
      </c>
      <c r="V317">
        <f>HYPERLINK("https://klasma.github.io/Logging_0188/klagomål/A 62846-2020 FSC-klagomål.docx", "A 62846-2020")</f>
        <v/>
      </c>
      <c r="W317">
        <f>HYPERLINK("https://klasma.github.io/Logging_0188/klagomålsmail/A 62846-2020 FSC-klagomål mail.docx", "A 62846-2020")</f>
        <v/>
      </c>
      <c r="X317">
        <f>HYPERLINK("https://klasma.github.io/Logging_0188/tillsyn/A 62846-2020 tillsynsbegäran.docx", "A 62846-2020")</f>
        <v/>
      </c>
      <c r="Y317">
        <f>HYPERLINK("https://klasma.github.io/Logging_0188/tillsynsmail/A 62846-2020 tillsynsbegäran mail.docx", "A 62846-2020")</f>
        <v/>
      </c>
    </row>
    <row r="318" ht="15" customHeight="1">
      <c r="A318" t="inlineStr">
        <is>
          <t>A 1162-2021</t>
        </is>
      </c>
      <c r="B318" s="1" t="n">
        <v>44207</v>
      </c>
      <c r="C318" s="1" t="n">
        <v>45512</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1424-2021</t>
        </is>
      </c>
      <c r="B319" s="1" t="n">
        <v>44208</v>
      </c>
      <c r="C319" s="1" t="n">
        <v>45512</v>
      </c>
      <c r="D319" t="inlineStr">
        <is>
          <t>STOCKHOLMS LÄN</t>
        </is>
      </c>
      <c r="E319" t="inlineStr">
        <is>
          <t>HANINGE</t>
        </is>
      </c>
      <c r="G319" t="n">
        <v>1.7</v>
      </c>
      <c r="H319" t="n">
        <v>1</v>
      </c>
      <c r="I319" t="n">
        <v>1</v>
      </c>
      <c r="J319" t="n">
        <v>0</v>
      </c>
      <c r="K319" t="n">
        <v>0</v>
      </c>
      <c r="L319" t="n">
        <v>0</v>
      </c>
      <c r="M319" t="n">
        <v>0</v>
      </c>
      <c r="N319" t="n">
        <v>0</v>
      </c>
      <c r="O319" t="n">
        <v>0</v>
      </c>
      <c r="P319" t="n">
        <v>0</v>
      </c>
      <c r="Q319" t="n">
        <v>1</v>
      </c>
      <c r="R319" s="2" t="inlineStr">
        <is>
          <t>Tvåblad</t>
        </is>
      </c>
      <c r="S319">
        <f>HYPERLINK("https://klasma.github.io/Logging_0136/artfynd/A 1424-2021 artfynd.xlsx", "A 1424-2021")</f>
        <v/>
      </c>
      <c r="T319">
        <f>HYPERLINK("https://klasma.github.io/Logging_0136/kartor/A 1424-2021 karta.png", "A 1424-2021")</f>
        <v/>
      </c>
      <c r="U319">
        <f>HYPERLINK("https://klasma.github.io/Logging_0136/knärot/A 1424-2021 karta knärot.png", "A 1424-2021")</f>
        <v/>
      </c>
      <c r="V319">
        <f>HYPERLINK("https://klasma.github.io/Logging_0136/klagomål/A 1424-2021 FSC-klagomål.docx", "A 1424-2021")</f>
        <v/>
      </c>
      <c r="W319">
        <f>HYPERLINK("https://klasma.github.io/Logging_0136/klagomålsmail/A 1424-2021 FSC-klagomål mail.docx", "A 1424-2021")</f>
        <v/>
      </c>
      <c r="X319">
        <f>HYPERLINK("https://klasma.github.io/Logging_0136/tillsyn/A 1424-2021 tillsynsbegäran.docx", "A 1424-2021")</f>
        <v/>
      </c>
      <c r="Y319">
        <f>HYPERLINK("https://klasma.github.io/Logging_0136/tillsynsmail/A 1424-2021 tillsynsbegäran mail.docx", "A 1424-2021")</f>
        <v/>
      </c>
    </row>
    <row r="320" ht="15" customHeight="1">
      <c r="A320" t="inlineStr">
        <is>
          <t>A 12989-2021</t>
        </is>
      </c>
      <c r="B320" s="1" t="n">
        <v>44271</v>
      </c>
      <c r="C320" s="1" t="n">
        <v>45512</v>
      </c>
      <c r="D320" t="inlineStr">
        <is>
          <t>STOCKHOLMS LÄN</t>
        </is>
      </c>
      <c r="E320" t="inlineStr">
        <is>
          <t>NYNÄSHAMN</t>
        </is>
      </c>
      <c r="F320" t="inlineStr">
        <is>
          <t>Kommuner</t>
        </is>
      </c>
      <c r="G320" t="n">
        <v>6.6</v>
      </c>
      <c r="H320" t="n">
        <v>1</v>
      </c>
      <c r="I320" t="n">
        <v>0</v>
      </c>
      <c r="J320" t="n">
        <v>0</v>
      </c>
      <c r="K320" t="n">
        <v>1</v>
      </c>
      <c r="L320" t="n">
        <v>0</v>
      </c>
      <c r="M320" t="n">
        <v>0</v>
      </c>
      <c r="N320" t="n">
        <v>0</v>
      </c>
      <c r="O320" t="n">
        <v>1</v>
      </c>
      <c r="P320" t="n">
        <v>1</v>
      </c>
      <c r="Q320" t="n">
        <v>1</v>
      </c>
      <c r="R320" s="2" t="inlineStr">
        <is>
          <t>Hasselsnok</t>
        </is>
      </c>
      <c r="S320">
        <f>HYPERLINK("https://klasma.github.io/Logging_0192/artfynd/A 12989-2021 artfynd.xlsx", "A 12989-2021")</f>
        <v/>
      </c>
      <c r="T320">
        <f>HYPERLINK("https://klasma.github.io/Logging_0192/kartor/A 12989-2021 karta.png", "A 12989-2021")</f>
        <v/>
      </c>
      <c r="V320">
        <f>HYPERLINK("https://klasma.github.io/Logging_0192/klagomål/A 12989-2021 FSC-klagomål.docx", "A 12989-2021")</f>
        <v/>
      </c>
      <c r="W320">
        <f>HYPERLINK("https://klasma.github.io/Logging_0192/klagomålsmail/A 12989-2021 FSC-klagomål mail.docx", "A 12989-2021")</f>
        <v/>
      </c>
      <c r="X320">
        <f>HYPERLINK("https://klasma.github.io/Logging_0192/tillsyn/A 12989-2021 tillsynsbegäran.docx", "A 12989-2021")</f>
        <v/>
      </c>
      <c r="Y320">
        <f>HYPERLINK("https://klasma.github.io/Logging_0192/tillsynsmail/A 12989-2021 tillsynsbegäran mail.docx", "A 12989-2021")</f>
        <v/>
      </c>
    </row>
    <row r="321" ht="15" customHeight="1">
      <c r="A321" t="inlineStr">
        <is>
          <t>A 13942-2021</t>
        </is>
      </c>
      <c r="B321" s="1" t="n">
        <v>44277</v>
      </c>
      <c r="C321" s="1" t="n">
        <v>45512</v>
      </c>
      <c r="D321" t="inlineStr">
        <is>
          <t>STOCKHOLMS LÄN</t>
        </is>
      </c>
      <c r="E321" t="inlineStr">
        <is>
          <t>ÖSTERÅKER</t>
        </is>
      </c>
      <c r="G321" t="n">
        <v>5.2</v>
      </c>
      <c r="H321" t="n">
        <v>0</v>
      </c>
      <c r="I321" t="n">
        <v>1</v>
      </c>
      <c r="J321" t="n">
        <v>0</v>
      </c>
      <c r="K321" t="n">
        <v>0</v>
      </c>
      <c r="L321" t="n">
        <v>0</v>
      </c>
      <c r="M321" t="n">
        <v>0</v>
      </c>
      <c r="N321" t="n">
        <v>0</v>
      </c>
      <c r="O321" t="n">
        <v>0</v>
      </c>
      <c r="P321" t="n">
        <v>0</v>
      </c>
      <c r="Q321" t="n">
        <v>1</v>
      </c>
      <c r="R321" s="2" t="inlineStr">
        <is>
          <t>Skogsbräsma</t>
        </is>
      </c>
      <c r="S321">
        <f>HYPERLINK("https://klasma.github.io/Logging_0117/artfynd/A 13942-2021 artfynd.xlsx", "A 13942-2021")</f>
        <v/>
      </c>
      <c r="T321">
        <f>HYPERLINK("https://klasma.github.io/Logging_0117/kartor/A 13942-2021 karta.png", "A 13942-2021")</f>
        <v/>
      </c>
      <c r="V321">
        <f>HYPERLINK("https://klasma.github.io/Logging_0117/klagomål/A 13942-2021 FSC-klagomål.docx", "A 13942-2021")</f>
        <v/>
      </c>
      <c r="W321">
        <f>HYPERLINK("https://klasma.github.io/Logging_0117/klagomålsmail/A 13942-2021 FSC-klagomål mail.docx", "A 13942-2021")</f>
        <v/>
      </c>
      <c r="X321">
        <f>HYPERLINK("https://klasma.github.io/Logging_0117/tillsyn/A 13942-2021 tillsynsbegäran.docx", "A 13942-2021")</f>
        <v/>
      </c>
      <c r="Y321">
        <f>HYPERLINK("https://klasma.github.io/Logging_0117/tillsynsmail/A 13942-2021 tillsynsbegäran mail.docx", "A 13942-2021")</f>
        <v/>
      </c>
    </row>
    <row r="322" ht="15" customHeight="1">
      <c r="A322" t="inlineStr">
        <is>
          <t>A 16461-2021</t>
        </is>
      </c>
      <c r="B322" s="1" t="n">
        <v>44293</v>
      </c>
      <c r="C322" s="1" t="n">
        <v>45512</v>
      </c>
      <c r="D322" t="inlineStr">
        <is>
          <t>STOCKHOLMS LÄN</t>
        </is>
      </c>
      <c r="E322" t="inlineStr">
        <is>
          <t>SIGTUNA</t>
        </is>
      </c>
      <c r="G322" t="n">
        <v>8</v>
      </c>
      <c r="H322" t="n">
        <v>1</v>
      </c>
      <c r="I322" t="n">
        <v>0</v>
      </c>
      <c r="J322" t="n">
        <v>0</v>
      </c>
      <c r="K322" t="n">
        <v>0</v>
      </c>
      <c r="L322" t="n">
        <v>0</v>
      </c>
      <c r="M322" t="n">
        <v>0</v>
      </c>
      <c r="N322" t="n">
        <v>0</v>
      </c>
      <c r="O322" t="n">
        <v>0</v>
      </c>
      <c r="P322" t="n">
        <v>0</v>
      </c>
      <c r="Q322" t="n">
        <v>1</v>
      </c>
      <c r="R322" s="2" t="inlineStr">
        <is>
          <t>Större vattensalamander</t>
        </is>
      </c>
      <c r="S322">
        <f>HYPERLINK("https://klasma.github.io/Logging_0191/artfynd/A 16461-2021 artfynd.xlsx", "A 16461-2021")</f>
        <v/>
      </c>
      <c r="T322">
        <f>HYPERLINK("https://klasma.github.io/Logging_0191/kartor/A 16461-2021 karta.png", "A 16461-2021")</f>
        <v/>
      </c>
      <c r="V322">
        <f>HYPERLINK("https://klasma.github.io/Logging_0191/klagomål/A 16461-2021 FSC-klagomål.docx", "A 16461-2021")</f>
        <v/>
      </c>
      <c r="W322">
        <f>HYPERLINK("https://klasma.github.io/Logging_0191/klagomålsmail/A 16461-2021 FSC-klagomål mail.docx", "A 16461-2021")</f>
        <v/>
      </c>
      <c r="X322">
        <f>HYPERLINK("https://klasma.github.io/Logging_0191/tillsyn/A 16461-2021 tillsynsbegäran.docx", "A 16461-2021")</f>
        <v/>
      </c>
      <c r="Y322">
        <f>HYPERLINK("https://klasma.github.io/Logging_0191/tillsynsmail/A 16461-2021 tillsynsbegäran mail.docx", "A 16461-2021")</f>
        <v/>
      </c>
    </row>
    <row r="323" ht="15" customHeight="1">
      <c r="A323" t="inlineStr">
        <is>
          <t>A 18280-2021</t>
        </is>
      </c>
      <c r="B323" s="1" t="n">
        <v>44298</v>
      </c>
      <c r="C323" s="1" t="n">
        <v>45512</v>
      </c>
      <c r="D323" t="inlineStr">
        <is>
          <t>STOCKHOLMS LÄN</t>
        </is>
      </c>
      <c r="E323" t="inlineStr">
        <is>
          <t>NACKA</t>
        </is>
      </c>
      <c r="G323" t="n">
        <v>4.4</v>
      </c>
      <c r="H323" t="n">
        <v>1</v>
      </c>
      <c r="I323" t="n">
        <v>0</v>
      </c>
      <c r="J323" t="n">
        <v>1</v>
      </c>
      <c r="K323" t="n">
        <v>0</v>
      </c>
      <c r="L323" t="n">
        <v>0</v>
      </c>
      <c r="M323" t="n">
        <v>0</v>
      </c>
      <c r="N323" t="n">
        <v>0</v>
      </c>
      <c r="O323" t="n">
        <v>1</v>
      </c>
      <c r="P323" t="n">
        <v>0</v>
      </c>
      <c r="Q323" t="n">
        <v>1</v>
      </c>
      <c r="R323" s="2" t="inlineStr">
        <is>
          <t>Duvhök</t>
        </is>
      </c>
      <c r="S323">
        <f>HYPERLINK("https://klasma.github.io/Logging_0182/artfynd/A 18280-2021 artfynd.xlsx", "A 18280-2021")</f>
        <v/>
      </c>
      <c r="T323">
        <f>HYPERLINK("https://klasma.github.io/Logging_0182/kartor/A 18280-2021 karta.png", "A 18280-2021")</f>
        <v/>
      </c>
      <c r="V323">
        <f>HYPERLINK("https://klasma.github.io/Logging_0182/klagomål/A 18280-2021 FSC-klagomål.docx", "A 18280-2021")</f>
        <v/>
      </c>
      <c r="W323">
        <f>HYPERLINK("https://klasma.github.io/Logging_0182/klagomålsmail/A 18280-2021 FSC-klagomål mail.docx", "A 18280-2021")</f>
        <v/>
      </c>
      <c r="X323">
        <f>HYPERLINK("https://klasma.github.io/Logging_0182/tillsyn/A 18280-2021 tillsynsbegäran.docx", "A 18280-2021")</f>
        <v/>
      </c>
      <c r="Y323">
        <f>HYPERLINK("https://klasma.github.io/Logging_0182/tillsynsmail/A 18280-2021 tillsynsbegäran mail.docx", "A 18280-2021")</f>
        <v/>
      </c>
      <c r="Z323">
        <f>HYPERLINK("https://klasma.github.io/Logging_0182/fåglar/A 18280-2021 prioriterade fågelarter.docx", "A 18280-2021")</f>
        <v/>
      </c>
    </row>
    <row r="324" ht="15" customHeight="1">
      <c r="A324" t="inlineStr">
        <is>
          <t>A 27757-2021</t>
        </is>
      </c>
      <c r="B324" s="1" t="n">
        <v>44354</v>
      </c>
      <c r="C324" s="1" t="n">
        <v>45512</v>
      </c>
      <c r="D324" t="inlineStr">
        <is>
          <t>STOCKHOLMS LÄN</t>
        </is>
      </c>
      <c r="E324" t="inlineStr">
        <is>
          <t>SÖDERTÄLJE</t>
        </is>
      </c>
      <c r="F324" t="inlineStr">
        <is>
          <t>Sveaskog</t>
        </is>
      </c>
      <c r="G324" t="n">
        <v>1.7</v>
      </c>
      <c r="H324" t="n">
        <v>0</v>
      </c>
      <c r="I324" t="n">
        <v>0</v>
      </c>
      <c r="J324" t="n">
        <v>0</v>
      </c>
      <c r="K324" t="n">
        <v>0</v>
      </c>
      <c r="L324" t="n">
        <v>1</v>
      </c>
      <c r="M324" t="n">
        <v>0</v>
      </c>
      <c r="N324" t="n">
        <v>0</v>
      </c>
      <c r="O324" t="n">
        <v>1</v>
      </c>
      <c r="P324" t="n">
        <v>1</v>
      </c>
      <c r="Q324" t="n">
        <v>1</v>
      </c>
      <c r="R324" s="2" t="inlineStr">
        <is>
          <t>Ryl</t>
        </is>
      </c>
      <c r="S324">
        <f>HYPERLINK("https://klasma.github.io/Logging_0181/artfynd/A 27757-2021 artfynd.xlsx", "A 27757-2021")</f>
        <v/>
      </c>
      <c r="T324">
        <f>HYPERLINK("https://klasma.github.io/Logging_0181/kartor/A 27757-2021 karta.png", "A 27757-2021")</f>
        <v/>
      </c>
      <c r="V324">
        <f>HYPERLINK("https://klasma.github.io/Logging_0181/klagomål/A 27757-2021 FSC-klagomål.docx", "A 27757-2021")</f>
        <v/>
      </c>
      <c r="W324">
        <f>HYPERLINK("https://klasma.github.io/Logging_0181/klagomålsmail/A 27757-2021 FSC-klagomål mail.docx", "A 27757-2021")</f>
        <v/>
      </c>
      <c r="X324">
        <f>HYPERLINK("https://klasma.github.io/Logging_0181/tillsyn/A 27757-2021 tillsynsbegäran.docx", "A 27757-2021")</f>
        <v/>
      </c>
      <c r="Y324">
        <f>HYPERLINK("https://klasma.github.io/Logging_0181/tillsynsmail/A 27757-2021 tillsynsbegäran mail.docx", "A 27757-2021")</f>
        <v/>
      </c>
    </row>
    <row r="325" ht="15" customHeight="1">
      <c r="A325" t="inlineStr">
        <is>
          <t>A 30138-2021</t>
        </is>
      </c>
      <c r="B325" s="1" t="n">
        <v>44363</v>
      </c>
      <c r="C325" s="1" t="n">
        <v>45512</v>
      </c>
      <c r="D325" t="inlineStr">
        <is>
          <t>STOCKHOLMS LÄN</t>
        </is>
      </c>
      <c r="E325" t="inlineStr">
        <is>
          <t>NORRTÄLJE</t>
        </is>
      </c>
      <c r="G325" t="n">
        <v>4.5</v>
      </c>
      <c r="H325" t="n">
        <v>0</v>
      </c>
      <c r="I325" t="n">
        <v>1</v>
      </c>
      <c r="J325" t="n">
        <v>0</v>
      </c>
      <c r="K325" t="n">
        <v>0</v>
      </c>
      <c r="L325" t="n">
        <v>0</v>
      </c>
      <c r="M325" t="n">
        <v>0</v>
      </c>
      <c r="N325" t="n">
        <v>0</v>
      </c>
      <c r="O325" t="n">
        <v>0</v>
      </c>
      <c r="P325" t="n">
        <v>0</v>
      </c>
      <c r="Q325" t="n">
        <v>1</v>
      </c>
      <c r="R325" s="2" t="inlineStr">
        <is>
          <t>Vårärt</t>
        </is>
      </c>
      <c r="S325">
        <f>HYPERLINK("https://klasma.github.io/Logging_0188/artfynd/A 30138-2021 artfynd.xlsx", "A 30138-2021")</f>
        <v/>
      </c>
      <c r="T325">
        <f>HYPERLINK("https://klasma.github.io/Logging_0188/kartor/A 30138-2021 karta.png", "A 30138-2021")</f>
        <v/>
      </c>
      <c r="V325">
        <f>HYPERLINK("https://klasma.github.io/Logging_0188/klagomål/A 30138-2021 FSC-klagomål.docx", "A 30138-2021")</f>
        <v/>
      </c>
      <c r="W325">
        <f>HYPERLINK("https://klasma.github.io/Logging_0188/klagomålsmail/A 30138-2021 FSC-klagomål mail.docx", "A 30138-2021")</f>
        <v/>
      </c>
      <c r="X325">
        <f>HYPERLINK("https://klasma.github.io/Logging_0188/tillsyn/A 30138-2021 tillsynsbegäran.docx", "A 30138-2021")</f>
        <v/>
      </c>
      <c r="Y325">
        <f>HYPERLINK("https://klasma.github.io/Logging_0188/tillsynsmail/A 30138-2021 tillsynsbegäran mail.docx", "A 30138-2021")</f>
        <v/>
      </c>
    </row>
    <row r="326" ht="15" customHeight="1">
      <c r="A326" t="inlineStr">
        <is>
          <t>A 31980-2021</t>
        </is>
      </c>
      <c r="B326" s="1" t="n">
        <v>44370</v>
      </c>
      <c r="C326" s="1" t="n">
        <v>45512</v>
      </c>
      <c r="D326" t="inlineStr">
        <is>
          <t>STOCKHOLMS LÄN</t>
        </is>
      </c>
      <c r="E326" t="inlineStr">
        <is>
          <t>NYNÄSHAMN</t>
        </is>
      </c>
      <c r="G326" t="n">
        <v>3.3</v>
      </c>
      <c r="H326" t="n">
        <v>0</v>
      </c>
      <c r="I326" t="n">
        <v>0</v>
      </c>
      <c r="J326" t="n">
        <v>1</v>
      </c>
      <c r="K326" t="n">
        <v>0</v>
      </c>
      <c r="L326" t="n">
        <v>0</v>
      </c>
      <c r="M326" t="n">
        <v>0</v>
      </c>
      <c r="N326" t="n">
        <v>0</v>
      </c>
      <c r="O326" t="n">
        <v>1</v>
      </c>
      <c r="P326" t="n">
        <v>0</v>
      </c>
      <c r="Q326" t="n">
        <v>1</v>
      </c>
      <c r="R326" s="2" t="inlineStr">
        <is>
          <t>Liten ekkremla</t>
        </is>
      </c>
      <c r="S326">
        <f>HYPERLINK("https://klasma.github.io/Logging_0192/artfynd/A 31980-2021 artfynd.xlsx", "A 31980-2021")</f>
        <v/>
      </c>
      <c r="T326">
        <f>HYPERLINK("https://klasma.github.io/Logging_0192/kartor/A 31980-2021 karta.png", "A 31980-2021")</f>
        <v/>
      </c>
      <c r="V326">
        <f>HYPERLINK("https://klasma.github.io/Logging_0192/klagomål/A 31980-2021 FSC-klagomål.docx", "A 31980-2021")</f>
        <v/>
      </c>
      <c r="W326">
        <f>HYPERLINK("https://klasma.github.io/Logging_0192/klagomålsmail/A 31980-2021 FSC-klagomål mail.docx", "A 31980-2021")</f>
        <v/>
      </c>
      <c r="X326">
        <f>HYPERLINK("https://klasma.github.io/Logging_0192/tillsyn/A 31980-2021 tillsynsbegäran.docx", "A 31980-2021")</f>
        <v/>
      </c>
      <c r="Y326">
        <f>HYPERLINK("https://klasma.github.io/Logging_0192/tillsynsmail/A 31980-2021 tillsynsbegäran mail.docx", "A 31980-2021")</f>
        <v/>
      </c>
    </row>
    <row r="327" ht="15" customHeight="1">
      <c r="A327" t="inlineStr">
        <is>
          <t>A 33302-2021</t>
        </is>
      </c>
      <c r="B327" s="1" t="n">
        <v>44377</v>
      </c>
      <c r="C327" s="1" t="n">
        <v>45512</v>
      </c>
      <c r="D327" t="inlineStr">
        <is>
          <t>STOCKHOLMS LÄN</t>
        </is>
      </c>
      <c r="E327" t="inlineStr">
        <is>
          <t>NORRTÄLJE</t>
        </is>
      </c>
      <c r="G327" t="n">
        <v>12.5</v>
      </c>
      <c r="H327" t="n">
        <v>1</v>
      </c>
      <c r="I327" t="n">
        <v>0</v>
      </c>
      <c r="J327" t="n">
        <v>1</v>
      </c>
      <c r="K327" t="n">
        <v>0</v>
      </c>
      <c r="L327" t="n">
        <v>0</v>
      </c>
      <c r="M327" t="n">
        <v>0</v>
      </c>
      <c r="N327" t="n">
        <v>0</v>
      </c>
      <c r="O327" t="n">
        <v>1</v>
      </c>
      <c r="P327" t="n">
        <v>0</v>
      </c>
      <c r="Q327" t="n">
        <v>1</v>
      </c>
      <c r="R327" s="2" t="inlineStr">
        <is>
          <t>Spillkråka</t>
        </is>
      </c>
      <c r="S327">
        <f>HYPERLINK("https://klasma.github.io/Logging_0188/artfynd/A 33302-2021 artfynd.xlsx", "A 33302-2021")</f>
        <v/>
      </c>
      <c r="T327">
        <f>HYPERLINK("https://klasma.github.io/Logging_0188/kartor/A 33302-2021 karta.png", "A 33302-2021")</f>
        <v/>
      </c>
      <c r="V327">
        <f>HYPERLINK("https://klasma.github.io/Logging_0188/klagomål/A 33302-2021 FSC-klagomål.docx", "A 33302-2021")</f>
        <v/>
      </c>
      <c r="W327">
        <f>HYPERLINK("https://klasma.github.io/Logging_0188/klagomålsmail/A 33302-2021 FSC-klagomål mail.docx", "A 33302-2021")</f>
        <v/>
      </c>
      <c r="X327">
        <f>HYPERLINK("https://klasma.github.io/Logging_0188/tillsyn/A 33302-2021 tillsynsbegäran.docx", "A 33302-2021")</f>
        <v/>
      </c>
      <c r="Y327">
        <f>HYPERLINK("https://klasma.github.io/Logging_0188/tillsynsmail/A 33302-2021 tillsynsbegäran mail.docx", "A 33302-2021")</f>
        <v/>
      </c>
      <c r="Z327">
        <f>HYPERLINK("https://klasma.github.io/Logging_0188/fåglar/A 33302-2021 prioriterade fågelarter.docx", "A 33302-2021")</f>
        <v/>
      </c>
    </row>
    <row r="328" ht="15" customHeight="1">
      <c r="A328" t="inlineStr">
        <is>
          <t>A 37100-2021</t>
        </is>
      </c>
      <c r="B328" s="1" t="n">
        <v>44396</v>
      </c>
      <c r="C328" s="1" t="n">
        <v>45512</v>
      </c>
      <c r="D328" t="inlineStr">
        <is>
          <t>STOCKHOLMS LÄN</t>
        </is>
      </c>
      <c r="E328" t="inlineStr">
        <is>
          <t>NYNÄSHAMN</t>
        </is>
      </c>
      <c r="G328" t="n">
        <v>1.4</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37100-2021 artfynd.xlsx", "A 37100-2021")</f>
        <v/>
      </c>
      <c r="T328">
        <f>HYPERLINK("https://klasma.github.io/Logging_0192/kartor/A 37100-2021 karta.png", "A 37100-2021")</f>
        <v/>
      </c>
      <c r="V328">
        <f>HYPERLINK("https://klasma.github.io/Logging_0192/klagomål/A 37100-2021 FSC-klagomål.docx", "A 37100-2021")</f>
        <v/>
      </c>
      <c r="W328">
        <f>HYPERLINK("https://klasma.github.io/Logging_0192/klagomålsmail/A 37100-2021 FSC-klagomål mail.docx", "A 37100-2021")</f>
        <v/>
      </c>
      <c r="X328">
        <f>HYPERLINK("https://klasma.github.io/Logging_0192/tillsyn/A 37100-2021 tillsynsbegäran.docx", "A 37100-2021")</f>
        <v/>
      </c>
      <c r="Y328">
        <f>HYPERLINK("https://klasma.github.io/Logging_0192/tillsynsmail/A 37100-2021 tillsynsbegäran mail.docx", "A 37100-2021")</f>
        <v/>
      </c>
    </row>
    <row r="329" ht="15" customHeight="1">
      <c r="A329" t="inlineStr">
        <is>
          <t>A 37678-2021</t>
        </is>
      </c>
      <c r="B329" s="1" t="n">
        <v>44400</v>
      </c>
      <c r="C329" s="1" t="n">
        <v>45512</v>
      </c>
      <c r="D329" t="inlineStr">
        <is>
          <t>STOCKHOLMS LÄN</t>
        </is>
      </c>
      <c r="E329" t="inlineStr">
        <is>
          <t>SÖDERTÄLJE</t>
        </is>
      </c>
      <c r="F329" t="inlineStr">
        <is>
          <t>Sveaskog</t>
        </is>
      </c>
      <c r="G329" t="n">
        <v>0.8</v>
      </c>
      <c r="H329" t="n">
        <v>0</v>
      </c>
      <c r="I329" t="n">
        <v>0</v>
      </c>
      <c r="J329" t="n">
        <v>1</v>
      </c>
      <c r="K329" t="n">
        <v>0</v>
      </c>
      <c r="L329" t="n">
        <v>0</v>
      </c>
      <c r="M329" t="n">
        <v>0</v>
      </c>
      <c r="N329" t="n">
        <v>0</v>
      </c>
      <c r="O329" t="n">
        <v>1</v>
      </c>
      <c r="P329" t="n">
        <v>0</v>
      </c>
      <c r="Q329" t="n">
        <v>1</v>
      </c>
      <c r="R329" s="2" t="inlineStr">
        <is>
          <t>Motaggsvamp</t>
        </is>
      </c>
      <c r="S329">
        <f>HYPERLINK("https://klasma.github.io/Logging_0181/artfynd/A 37678-2021 artfynd.xlsx", "A 37678-2021")</f>
        <v/>
      </c>
      <c r="T329">
        <f>HYPERLINK("https://klasma.github.io/Logging_0181/kartor/A 37678-2021 karta.png", "A 37678-2021")</f>
        <v/>
      </c>
      <c r="V329">
        <f>HYPERLINK("https://klasma.github.io/Logging_0181/klagomål/A 37678-2021 FSC-klagomål.docx", "A 37678-2021")</f>
        <v/>
      </c>
      <c r="W329">
        <f>HYPERLINK("https://klasma.github.io/Logging_0181/klagomålsmail/A 37678-2021 FSC-klagomål mail.docx", "A 37678-2021")</f>
        <v/>
      </c>
      <c r="X329">
        <f>HYPERLINK("https://klasma.github.io/Logging_0181/tillsyn/A 37678-2021 tillsynsbegäran.docx", "A 37678-2021")</f>
        <v/>
      </c>
      <c r="Y329">
        <f>HYPERLINK("https://klasma.github.io/Logging_0181/tillsynsmail/A 37678-2021 tillsynsbegäran mail.docx", "A 37678-2021")</f>
        <v/>
      </c>
    </row>
    <row r="330" ht="15" customHeight="1">
      <c r="A330" t="inlineStr">
        <is>
          <t>A 41934-2021</t>
        </is>
      </c>
      <c r="B330" s="1" t="n">
        <v>44425</v>
      </c>
      <c r="C330" s="1" t="n">
        <v>45512</v>
      </c>
      <c r="D330" t="inlineStr">
        <is>
          <t>STOCKHOLMS LÄN</t>
        </is>
      </c>
      <c r="E330" t="inlineStr">
        <is>
          <t>VALLENTUNA</t>
        </is>
      </c>
      <c r="F330" t="inlineStr">
        <is>
          <t>Övriga Aktiebolag</t>
        </is>
      </c>
      <c r="G330" t="n">
        <v>7.1</v>
      </c>
      <c r="H330" t="n">
        <v>0</v>
      </c>
      <c r="I330" t="n">
        <v>0</v>
      </c>
      <c r="J330" t="n">
        <v>1</v>
      </c>
      <c r="K330" t="n">
        <v>0</v>
      </c>
      <c r="L330" t="n">
        <v>0</v>
      </c>
      <c r="M330" t="n">
        <v>0</v>
      </c>
      <c r="N330" t="n">
        <v>0</v>
      </c>
      <c r="O330" t="n">
        <v>1</v>
      </c>
      <c r="P330" t="n">
        <v>0</v>
      </c>
      <c r="Q330" t="n">
        <v>1</v>
      </c>
      <c r="R330" s="2" t="inlineStr">
        <is>
          <t>Skogsklocka</t>
        </is>
      </c>
      <c r="S330">
        <f>HYPERLINK("https://klasma.github.io/Logging_0115/artfynd/A 41934-2021 artfynd.xlsx", "A 41934-2021")</f>
        <v/>
      </c>
      <c r="T330">
        <f>HYPERLINK("https://klasma.github.io/Logging_0115/kartor/A 41934-2021 karta.png", "A 41934-2021")</f>
        <v/>
      </c>
      <c r="V330">
        <f>HYPERLINK("https://klasma.github.io/Logging_0115/klagomål/A 41934-2021 FSC-klagomål.docx", "A 41934-2021")</f>
        <v/>
      </c>
      <c r="W330">
        <f>HYPERLINK("https://klasma.github.io/Logging_0115/klagomålsmail/A 41934-2021 FSC-klagomål mail.docx", "A 41934-2021")</f>
        <v/>
      </c>
      <c r="X330">
        <f>HYPERLINK("https://klasma.github.io/Logging_0115/tillsyn/A 41934-2021 tillsynsbegäran.docx", "A 41934-2021")</f>
        <v/>
      </c>
      <c r="Y330">
        <f>HYPERLINK("https://klasma.github.io/Logging_0115/tillsynsmail/A 41934-2021 tillsynsbegäran mail.docx", "A 41934-2021")</f>
        <v/>
      </c>
    </row>
    <row r="331" ht="15" customHeight="1">
      <c r="A331" t="inlineStr">
        <is>
          <t>A 42050-2021</t>
        </is>
      </c>
      <c r="B331" s="1" t="n">
        <v>44426</v>
      </c>
      <c r="C331" s="1" t="n">
        <v>45512</v>
      </c>
      <c r="D331" t="inlineStr">
        <is>
          <t>STOCKHOLMS LÄN</t>
        </is>
      </c>
      <c r="E331" t="inlineStr">
        <is>
          <t>NYNÄSHAMN</t>
        </is>
      </c>
      <c r="G331" t="n">
        <v>2</v>
      </c>
      <c r="H331" t="n">
        <v>0</v>
      </c>
      <c r="I331" t="n">
        <v>0</v>
      </c>
      <c r="J331" t="n">
        <v>1</v>
      </c>
      <c r="K331" t="n">
        <v>0</v>
      </c>
      <c r="L331" t="n">
        <v>0</v>
      </c>
      <c r="M331" t="n">
        <v>0</v>
      </c>
      <c r="N331" t="n">
        <v>0</v>
      </c>
      <c r="O331" t="n">
        <v>1</v>
      </c>
      <c r="P331" t="n">
        <v>0</v>
      </c>
      <c r="Q331" t="n">
        <v>1</v>
      </c>
      <c r="R331" s="2" t="inlineStr">
        <is>
          <t>Kandelabersvamp</t>
        </is>
      </c>
      <c r="S331">
        <f>HYPERLINK("https://klasma.github.io/Logging_0192/artfynd/A 42050-2021 artfynd.xlsx", "A 42050-2021")</f>
        <v/>
      </c>
      <c r="T331">
        <f>HYPERLINK("https://klasma.github.io/Logging_0192/kartor/A 42050-2021 karta.png", "A 42050-2021")</f>
        <v/>
      </c>
      <c r="V331">
        <f>HYPERLINK("https://klasma.github.io/Logging_0192/klagomål/A 42050-2021 FSC-klagomål.docx", "A 42050-2021")</f>
        <v/>
      </c>
      <c r="W331">
        <f>HYPERLINK("https://klasma.github.io/Logging_0192/klagomålsmail/A 42050-2021 FSC-klagomål mail.docx", "A 42050-2021")</f>
        <v/>
      </c>
      <c r="X331">
        <f>HYPERLINK("https://klasma.github.io/Logging_0192/tillsyn/A 42050-2021 tillsynsbegäran.docx", "A 42050-2021")</f>
        <v/>
      </c>
      <c r="Y331">
        <f>HYPERLINK("https://klasma.github.io/Logging_0192/tillsynsmail/A 42050-2021 tillsynsbegäran mail.docx", "A 42050-2021")</f>
        <v/>
      </c>
    </row>
    <row r="332" ht="15" customHeight="1">
      <c r="A332" t="inlineStr">
        <is>
          <t>A 55263-2021</t>
        </is>
      </c>
      <c r="B332" s="1" t="n">
        <v>44475</v>
      </c>
      <c r="C332" s="1" t="n">
        <v>45512</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58888-2021</t>
        </is>
      </c>
      <c r="B333" s="1" t="n">
        <v>44489</v>
      </c>
      <c r="C333" s="1" t="n">
        <v>45512</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67278-2021</t>
        </is>
      </c>
      <c r="B334" s="1" t="n">
        <v>44523</v>
      </c>
      <c r="C334" s="1" t="n">
        <v>45512</v>
      </c>
      <c r="D334" t="inlineStr">
        <is>
          <t>STOCKHOLMS LÄN</t>
        </is>
      </c>
      <c r="E334" t="inlineStr">
        <is>
          <t>ÖSTERÅKER</t>
        </is>
      </c>
      <c r="F334" t="inlineStr">
        <is>
          <t>Kommuner</t>
        </is>
      </c>
      <c r="G334" t="n">
        <v>3</v>
      </c>
      <c r="H334" t="n">
        <v>0</v>
      </c>
      <c r="I334" t="n">
        <v>0</v>
      </c>
      <c r="J334" t="n">
        <v>1</v>
      </c>
      <c r="K334" t="n">
        <v>0</v>
      </c>
      <c r="L334" t="n">
        <v>0</v>
      </c>
      <c r="M334" t="n">
        <v>0</v>
      </c>
      <c r="N334" t="n">
        <v>0</v>
      </c>
      <c r="O334" t="n">
        <v>1</v>
      </c>
      <c r="P334" t="n">
        <v>0</v>
      </c>
      <c r="Q334" t="n">
        <v>1</v>
      </c>
      <c r="R334" s="2" t="inlineStr">
        <is>
          <t>Veckticka</t>
        </is>
      </c>
      <c r="S334">
        <f>HYPERLINK("https://klasma.github.io/Logging_0117/artfynd/A 67278-2021 artfynd.xlsx", "A 67278-2021")</f>
        <v/>
      </c>
      <c r="T334">
        <f>HYPERLINK("https://klasma.github.io/Logging_0117/kartor/A 67278-2021 karta.png", "A 67278-2021")</f>
        <v/>
      </c>
      <c r="V334">
        <f>HYPERLINK("https://klasma.github.io/Logging_0117/klagomål/A 67278-2021 FSC-klagomål.docx", "A 67278-2021")</f>
        <v/>
      </c>
      <c r="W334">
        <f>HYPERLINK("https://klasma.github.io/Logging_0117/klagomålsmail/A 67278-2021 FSC-klagomål mail.docx", "A 67278-2021")</f>
        <v/>
      </c>
      <c r="X334">
        <f>HYPERLINK("https://klasma.github.io/Logging_0117/tillsyn/A 67278-2021 tillsynsbegäran.docx", "A 67278-2021")</f>
        <v/>
      </c>
      <c r="Y334">
        <f>HYPERLINK("https://klasma.github.io/Logging_0117/tillsynsmail/A 67278-2021 tillsynsbegäran mail.docx", "A 67278-2021")</f>
        <v/>
      </c>
    </row>
    <row r="335" ht="15" customHeight="1">
      <c r="A335" t="inlineStr">
        <is>
          <t>A 68883-2021</t>
        </is>
      </c>
      <c r="B335" s="1" t="n">
        <v>44526</v>
      </c>
      <c r="C335" s="1" t="n">
        <v>45512</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68692-2021</t>
        </is>
      </c>
      <c r="B336" s="1" t="n">
        <v>44529</v>
      </c>
      <c r="C336" s="1" t="n">
        <v>45512</v>
      </c>
      <c r="D336" t="inlineStr">
        <is>
          <t>STOCKHOLMS LÄN</t>
        </is>
      </c>
      <c r="E336" t="inlineStr">
        <is>
          <t>NORRTÄLJE</t>
        </is>
      </c>
      <c r="F336" t="inlineStr">
        <is>
          <t>Holmen skog AB</t>
        </is>
      </c>
      <c r="G336" t="n">
        <v>0.7</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68692-2021 artfynd.xlsx", "A 68692-2021")</f>
        <v/>
      </c>
      <c r="T336">
        <f>HYPERLINK("https://klasma.github.io/Logging_0188/kartor/A 68692-2021 karta.png", "A 68692-2021")</f>
        <v/>
      </c>
      <c r="V336">
        <f>HYPERLINK("https://klasma.github.io/Logging_0188/klagomål/A 68692-2021 FSC-klagomål.docx", "A 68692-2021")</f>
        <v/>
      </c>
      <c r="W336">
        <f>HYPERLINK("https://klasma.github.io/Logging_0188/klagomålsmail/A 68692-2021 FSC-klagomål mail.docx", "A 68692-2021")</f>
        <v/>
      </c>
      <c r="X336">
        <f>HYPERLINK("https://klasma.github.io/Logging_0188/tillsyn/A 68692-2021 tillsynsbegäran.docx", "A 68692-2021")</f>
        <v/>
      </c>
      <c r="Y336">
        <f>HYPERLINK("https://klasma.github.io/Logging_0188/tillsynsmail/A 68692-2021 tillsynsbegäran mail.docx", "A 68692-2021")</f>
        <v/>
      </c>
    </row>
    <row r="337" ht="15" customHeight="1">
      <c r="A337" t="inlineStr">
        <is>
          <t>A 71315-2021</t>
        </is>
      </c>
      <c r="B337" s="1" t="n">
        <v>44539</v>
      </c>
      <c r="C337" s="1" t="n">
        <v>45512</v>
      </c>
      <c r="D337" t="inlineStr">
        <is>
          <t>STOCKHOLMS LÄN</t>
        </is>
      </c>
      <c r="E337" t="inlineStr">
        <is>
          <t>VÄRMDÖ</t>
        </is>
      </c>
      <c r="F337" t="inlineStr">
        <is>
          <t>Övriga Aktiebolag</t>
        </is>
      </c>
      <c r="G337" t="n">
        <v>5.3</v>
      </c>
      <c r="H337" t="n">
        <v>0</v>
      </c>
      <c r="I337" t="n">
        <v>1</v>
      </c>
      <c r="J337" t="n">
        <v>0</v>
      </c>
      <c r="K337" t="n">
        <v>0</v>
      </c>
      <c r="L337" t="n">
        <v>0</v>
      </c>
      <c r="M337" t="n">
        <v>0</v>
      </c>
      <c r="N337" t="n">
        <v>0</v>
      </c>
      <c r="O337" t="n">
        <v>0</v>
      </c>
      <c r="P337" t="n">
        <v>0</v>
      </c>
      <c r="Q337" t="n">
        <v>1</v>
      </c>
      <c r="R337" s="2" t="inlineStr">
        <is>
          <t>Sårläka</t>
        </is>
      </c>
      <c r="S337">
        <f>HYPERLINK("https://klasma.github.io/Logging_0120/artfynd/A 71315-2021 artfynd.xlsx", "A 71315-2021")</f>
        <v/>
      </c>
      <c r="T337">
        <f>HYPERLINK("https://klasma.github.io/Logging_0120/kartor/A 71315-2021 karta.png", "A 71315-2021")</f>
        <v/>
      </c>
      <c r="V337">
        <f>HYPERLINK("https://klasma.github.io/Logging_0120/klagomål/A 71315-2021 FSC-klagomål.docx", "A 71315-2021")</f>
        <v/>
      </c>
      <c r="W337">
        <f>HYPERLINK("https://klasma.github.io/Logging_0120/klagomålsmail/A 71315-2021 FSC-klagomål mail.docx", "A 71315-2021")</f>
        <v/>
      </c>
      <c r="X337">
        <f>HYPERLINK("https://klasma.github.io/Logging_0120/tillsyn/A 71315-2021 tillsynsbegäran.docx", "A 71315-2021")</f>
        <v/>
      </c>
      <c r="Y337">
        <f>HYPERLINK("https://klasma.github.io/Logging_0120/tillsynsmail/A 71315-2021 tillsynsbegäran mail.docx", "A 71315-2021")</f>
        <v/>
      </c>
    </row>
    <row r="338" ht="15" customHeight="1">
      <c r="A338" t="inlineStr">
        <is>
          <t>A 73773-2021</t>
        </is>
      </c>
      <c r="B338" s="1" t="n">
        <v>44552</v>
      </c>
      <c r="C338" s="1" t="n">
        <v>45512</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73787-2021</t>
        </is>
      </c>
      <c r="B339" s="1" t="n">
        <v>44552</v>
      </c>
      <c r="C339" s="1" t="n">
        <v>45512</v>
      </c>
      <c r="D339" t="inlineStr">
        <is>
          <t>STOCKHOLMS LÄN</t>
        </is>
      </c>
      <c r="E339" t="inlineStr">
        <is>
          <t>UPPLANDS-BRO</t>
        </is>
      </c>
      <c r="G339" t="n">
        <v>4.6</v>
      </c>
      <c r="H339" t="n">
        <v>0</v>
      </c>
      <c r="I339" t="n">
        <v>0</v>
      </c>
      <c r="J339" t="n">
        <v>1</v>
      </c>
      <c r="K339" t="n">
        <v>0</v>
      </c>
      <c r="L339" t="n">
        <v>0</v>
      </c>
      <c r="M339" t="n">
        <v>0</v>
      </c>
      <c r="N339" t="n">
        <v>0</v>
      </c>
      <c r="O339" t="n">
        <v>1</v>
      </c>
      <c r="P339" t="n">
        <v>0</v>
      </c>
      <c r="Q339" t="n">
        <v>1</v>
      </c>
      <c r="R339" s="2" t="inlineStr">
        <is>
          <t>Dofttaggsvamp</t>
        </is>
      </c>
      <c r="S339">
        <f>HYPERLINK("https://klasma.github.io/Logging_0139/artfynd/A 73787-2021 artfynd.xlsx", "A 73787-2021")</f>
        <v/>
      </c>
      <c r="T339">
        <f>HYPERLINK("https://klasma.github.io/Logging_0139/kartor/A 73787-2021 karta.png", "A 73787-2021")</f>
        <v/>
      </c>
      <c r="V339">
        <f>HYPERLINK("https://klasma.github.io/Logging_0139/klagomål/A 73787-2021 FSC-klagomål.docx", "A 73787-2021")</f>
        <v/>
      </c>
      <c r="W339">
        <f>HYPERLINK("https://klasma.github.io/Logging_0139/klagomålsmail/A 73787-2021 FSC-klagomål mail.docx", "A 73787-2021")</f>
        <v/>
      </c>
      <c r="X339">
        <f>HYPERLINK("https://klasma.github.io/Logging_0139/tillsyn/A 73787-2021 tillsynsbegäran.docx", "A 73787-2021")</f>
        <v/>
      </c>
      <c r="Y339">
        <f>HYPERLINK("https://klasma.github.io/Logging_0139/tillsynsmail/A 73787-2021 tillsynsbegäran mail.docx", "A 73787-2021")</f>
        <v/>
      </c>
    </row>
    <row r="340" ht="15" customHeight="1">
      <c r="A340" t="inlineStr">
        <is>
          <t>A 131-2022</t>
        </is>
      </c>
      <c r="B340" s="1" t="n">
        <v>44560</v>
      </c>
      <c r="C340" s="1" t="n">
        <v>45512</v>
      </c>
      <c r="D340" t="inlineStr">
        <is>
          <t>STOCKHOLMS LÄN</t>
        </is>
      </c>
      <c r="E340" t="inlineStr">
        <is>
          <t>VALLENTUNA</t>
        </is>
      </c>
      <c r="F340" t="inlineStr">
        <is>
          <t>Övriga Aktiebolag</t>
        </is>
      </c>
      <c r="G340" t="n">
        <v>4.6</v>
      </c>
      <c r="H340" t="n">
        <v>0</v>
      </c>
      <c r="I340" t="n">
        <v>1</v>
      </c>
      <c r="J340" t="n">
        <v>0</v>
      </c>
      <c r="K340" t="n">
        <v>0</v>
      </c>
      <c r="L340" t="n">
        <v>0</v>
      </c>
      <c r="M340" t="n">
        <v>0</v>
      </c>
      <c r="N340" t="n">
        <v>0</v>
      </c>
      <c r="O340" t="n">
        <v>0</v>
      </c>
      <c r="P340" t="n">
        <v>0</v>
      </c>
      <c r="Q340" t="n">
        <v>1</v>
      </c>
      <c r="R340" s="2" t="inlineStr">
        <is>
          <t>Tjockfotad fingersvamp</t>
        </is>
      </c>
      <c r="S340">
        <f>HYPERLINK("https://klasma.github.io/Logging_0115/artfynd/A 131-2022 artfynd.xlsx", "A 131-2022")</f>
        <v/>
      </c>
      <c r="T340">
        <f>HYPERLINK("https://klasma.github.io/Logging_0115/kartor/A 131-2022 karta.png", "A 131-2022")</f>
        <v/>
      </c>
      <c r="V340">
        <f>HYPERLINK("https://klasma.github.io/Logging_0115/klagomål/A 131-2022 FSC-klagomål.docx", "A 131-2022")</f>
        <v/>
      </c>
      <c r="W340">
        <f>HYPERLINK("https://klasma.github.io/Logging_0115/klagomålsmail/A 131-2022 FSC-klagomål mail.docx", "A 131-2022")</f>
        <v/>
      </c>
      <c r="X340">
        <f>HYPERLINK("https://klasma.github.io/Logging_0115/tillsyn/A 131-2022 tillsynsbegäran.docx", "A 131-2022")</f>
        <v/>
      </c>
      <c r="Y340">
        <f>HYPERLINK("https://klasma.github.io/Logging_0115/tillsynsmail/A 131-2022 tillsynsbegäran mail.docx", "A 131-2022")</f>
        <v/>
      </c>
    </row>
    <row r="341" ht="15" customHeight="1">
      <c r="A341" t="inlineStr">
        <is>
          <t>A 21-2022</t>
        </is>
      </c>
      <c r="B341" s="1" t="n">
        <v>44560</v>
      </c>
      <c r="C341" s="1" t="n">
        <v>45512</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188-2022</t>
        </is>
      </c>
      <c r="B342" s="1" t="n">
        <v>44564</v>
      </c>
      <c r="C342" s="1" t="n">
        <v>45512</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1547-2022</t>
        </is>
      </c>
      <c r="B343" s="1" t="n">
        <v>44573</v>
      </c>
      <c r="C343" s="1" t="n">
        <v>45512</v>
      </c>
      <c r="D343" t="inlineStr">
        <is>
          <t>STOCKHOLMS LÄN</t>
        </is>
      </c>
      <c r="E343" t="inlineStr">
        <is>
          <t>NORRTÄLJE</t>
        </is>
      </c>
      <c r="G343" t="n">
        <v>1.8</v>
      </c>
      <c r="H343" t="n">
        <v>1</v>
      </c>
      <c r="I343" t="n">
        <v>0</v>
      </c>
      <c r="J343" t="n">
        <v>0</v>
      </c>
      <c r="K343" t="n">
        <v>1</v>
      </c>
      <c r="L343" t="n">
        <v>0</v>
      </c>
      <c r="M343" t="n">
        <v>0</v>
      </c>
      <c r="N343" t="n">
        <v>0</v>
      </c>
      <c r="O343" t="n">
        <v>1</v>
      </c>
      <c r="P343" t="n">
        <v>1</v>
      </c>
      <c r="Q343" t="n">
        <v>1</v>
      </c>
      <c r="R343" s="2" t="inlineStr">
        <is>
          <t>Hällebräcka</t>
        </is>
      </c>
      <c r="S343">
        <f>HYPERLINK("https://klasma.github.io/Logging_0188/artfynd/A 1547-2022 artfynd.xlsx", "A 1547-2022")</f>
        <v/>
      </c>
      <c r="T343">
        <f>HYPERLINK("https://klasma.github.io/Logging_0188/kartor/A 1547-2022 karta.png", "A 1547-2022")</f>
        <v/>
      </c>
      <c r="V343">
        <f>HYPERLINK("https://klasma.github.io/Logging_0188/klagomål/A 1547-2022 FSC-klagomål.docx", "A 1547-2022")</f>
        <v/>
      </c>
      <c r="W343">
        <f>HYPERLINK("https://klasma.github.io/Logging_0188/klagomålsmail/A 1547-2022 FSC-klagomål mail.docx", "A 1547-2022")</f>
        <v/>
      </c>
      <c r="X343">
        <f>HYPERLINK("https://klasma.github.io/Logging_0188/tillsyn/A 1547-2022 tillsynsbegäran.docx", "A 1547-2022")</f>
        <v/>
      </c>
      <c r="Y343">
        <f>HYPERLINK("https://klasma.github.io/Logging_0188/tillsynsmail/A 1547-2022 tillsynsbegäran mail.docx", "A 1547-2022")</f>
        <v/>
      </c>
    </row>
    <row r="344" ht="15" customHeight="1">
      <c r="A344" t="inlineStr">
        <is>
          <t>A 1946-2022</t>
        </is>
      </c>
      <c r="B344" s="1" t="n">
        <v>44575</v>
      </c>
      <c r="C344" s="1" t="n">
        <v>45512</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2722-2022</t>
        </is>
      </c>
      <c r="B345" s="1" t="n">
        <v>44580</v>
      </c>
      <c r="C345" s="1" t="n">
        <v>45512</v>
      </c>
      <c r="D345" t="inlineStr">
        <is>
          <t>STOCKHOLMS LÄN</t>
        </is>
      </c>
      <c r="E345" t="inlineStr">
        <is>
          <t>HANINGE</t>
        </is>
      </c>
      <c r="G345" t="n">
        <v>1.5</v>
      </c>
      <c r="H345" t="n">
        <v>1</v>
      </c>
      <c r="I345" t="n">
        <v>1</v>
      </c>
      <c r="J345" t="n">
        <v>0</v>
      </c>
      <c r="K345" t="n">
        <v>0</v>
      </c>
      <c r="L345" t="n">
        <v>0</v>
      </c>
      <c r="M345" t="n">
        <v>0</v>
      </c>
      <c r="N345" t="n">
        <v>0</v>
      </c>
      <c r="O345" t="n">
        <v>0</v>
      </c>
      <c r="P345" t="n">
        <v>0</v>
      </c>
      <c r="Q345" t="n">
        <v>1</v>
      </c>
      <c r="R345" s="2" t="inlineStr">
        <is>
          <t>Grön sköldmossa</t>
        </is>
      </c>
      <c r="S345">
        <f>HYPERLINK("https://klasma.github.io/Logging_0136/artfynd/A 2722-2022 artfynd.xlsx", "A 2722-2022")</f>
        <v/>
      </c>
      <c r="T345">
        <f>HYPERLINK("https://klasma.github.io/Logging_0136/kartor/A 2722-2022 karta.png", "A 2722-2022")</f>
        <v/>
      </c>
      <c r="V345">
        <f>HYPERLINK("https://klasma.github.io/Logging_0136/klagomål/A 2722-2022 FSC-klagomål.docx", "A 2722-2022")</f>
        <v/>
      </c>
      <c r="W345">
        <f>HYPERLINK("https://klasma.github.io/Logging_0136/klagomålsmail/A 2722-2022 FSC-klagomål mail.docx", "A 2722-2022")</f>
        <v/>
      </c>
      <c r="X345">
        <f>HYPERLINK("https://klasma.github.io/Logging_0136/tillsyn/A 2722-2022 tillsynsbegäran.docx", "A 2722-2022")</f>
        <v/>
      </c>
      <c r="Y345">
        <f>HYPERLINK("https://klasma.github.io/Logging_0136/tillsynsmail/A 2722-2022 tillsynsbegäran mail.docx", "A 2722-2022")</f>
        <v/>
      </c>
    </row>
    <row r="346" ht="15" customHeight="1">
      <c r="A346" t="inlineStr">
        <is>
          <t>A 3218-2022</t>
        </is>
      </c>
      <c r="B346" s="1" t="n">
        <v>44582</v>
      </c>
      <c r="C346" s="1" t="n">
        <v>45512</v>
      </c>
      <c r="D346" t="inlineStr">
        <is>
          <t>STOCKHOLMS LÄN</t>
        </is>
      </c>
      <c r="E346" t="inlineStr">
        <is>
          <t>EKERÖ</t>
        </is>
      </c>
      <c r="G346" t="n">
        <v>1.2</v>
      </c>
      <c r="H346" t="n">
        <v>0</v>
      </c>
      <c r="I346" t="n">
        <v>0</v>
      </c>
      <c r="J346" t="n">
        <v>0</v>
      </c>
      <c r="K346" t="n">
        <v>1</v>
      </c>
      <c r="L346" t="n">
        <v>0</v>
      </c>
      <c r="M346" t="n">
        <v>0</v>
      </c>
      <c r="N346" t="n">
        <v>0</v>
      </c>
      <c r="O346" t="n">
        <v>1</v>
      </c>
      <c r="P346" t="n">
        <v>1</v>
      </c>
      <c r="Q346" t="n">
        <v>1</v>
      </c>
      <c r="R346" s="2" t="inlineStr">
        <is>
          <t>Gul lammticka</t>
        </is>
      </c>
      <c r="S346">
        <f>HYPERLINK("https://klasma.github.io/Logging_0125/artfynd/A 3218-2022 artfynd.xlsx", "A 3218-2022")</f>
        <v/>
      </c>
      <c r="T346">
        <f>HYPERLINK("https://klasma.github.io/Logging_0125/kartor/A 3218-2022 karta.png", "A 3218-2022")</f>
        <v/>
      </c>
      <c r="V346">
        <f>HYPERLINK("https://klasma.github.io/Logging_0125/klagomål/A 3218-2022 FSC-klagomål.docx", "A 3218-2022")</f>
        <v/>
      </c>
      <c r="W346">
        <f>HYPERLINK("https://klasma.github.io/Logging_0125/klagomålsmail/A 3218-2022 FSC-klagomål mail.docx", "A 3218-2022")</f>
        <v/>
      </c>
      <c r="X346">
        <f>HYPERLINK("https://klasma.github.io/Logging_0125/tillsyn/A 3218-2022 tillsynsbegäran.docx", "A 3218-2022")</f>
        <v/>
      </c>
      <c r="Y346">
        <f>HYPERLINK("https://klasma.github.io/Logging_0125/tillsynsmail/A 3218-2022 tillsynsbegäran mail.docx", "A 3218-2022")</f>
        <v/>
      </c>
    </row>
    <row r="347" ht="15" customHeight="1">
      <c r="A347" t="inlineStr">
        <is>
          <t>A 7172-2022</t>
        </is>
      </c>
      <c r="B347" s="1" t="n">
        <v>44604</v>
      </c>
      <c r="C347" s="1" t="n">
        <v>45512</v>
      </c>
      <c r="D347" t="inlineStr">
        <is>
          <t>STOCKHOLMS LÄN</t>
        </is>
      </c>
      <c r="E347" t="inlineStr">
        <is>
          <t>NORRTÄLJE</t>
        </is>
      </c>
      <c r="G347" t="n">
        <v>4.8</v>
      </c>
      <c r="H347" t="n">
        <v>0</v>
      </c>
      <c r="I347" t="n">
        <v>1</v>
      </c>
      <c r="J347" t="n">
        <v>0</v>
      </c>
      <c r="K347" t="n">
        <v>0</v>
      </c>
      <c r="L347" t="n">
        <v>0</v>
      </c>
      <c r="M347" t="n">
        <v>0</v>
      </c>
      <c r="N347" t="n">
        <v>0</v>
      </c>
      <c r="O347" t="n">
        <v>0</v>
      </c>
      <c r="P347" t="n">
        <v>0</v>
      </c>
      <c r="Q347" t="n">
        <v>1</v>
      </c>
      <c r="R347" s="2" t="inlineStr">
        <is>
          <t>Trådticka</t>
        </is>
      </c>
      <c r="S347">
        <f>HYPERLINK("https://klasma.github.io/Logging_0188/artfynd/A 7172-2022 artfynd.xlsx", "A 7172-2022")</f>
        <v/>
      </c>
      <c r="T347">
        <f>HYPERLINK("https://klasma.github.io/Logging_0188/kartor/A 7172-2022 karta.png", "A 7172-2022")</f>
        <v/>
      </c>
      <c r="U347">
        <f>HYPERLINK("https://klasma.github.io/Logging_0188/knärot/A 7172-2022 karta knärot.png", "A 7172-2022")</f>
        <v/>
      </c>
      <c r="V347">
        <f>HYPERLINK("https://klasma.github.io/Logging_0188/klagomål/A 7172-2022 FSC-klagomål.docx", "A 7172-2022")</f>
        <v/>
      </c>
      <c r="W347">
        <f>HYPERLINK("https://klasma.github.io/Logging_0188/klagomålsmail/A 7172-2022 FSC-klagomål mail.docx", "A 7172-2022")</f>
        <v/>
      </c>
      <c r="X347">
        <f>HYPERLINK("https://klasma.github.io/Logging_0188/tillsyn/A 7172-2022 tillsynsbegäran.docx", "A 7172-2022")</f>
        <v/>
      </c>
      <c r="Y347">
        <f>HYPERLINK("https://klasma.github.io/Logging_0188/tillsynsmail/A 7172-2022 tillsynsbegäran mail.docx", "A 7172-2022")</f>
        <v/>
      </c>
    </row>
    <row r="348" ht="15" customHeight="1">
      <c r="A348" t="inlineStr">
        <is>
          <t>A 7285-2022</t>
        </is>
      </c>
      <c r="B348" s="1" t="n">
        <v>44606</v>
      </c>
      <c r="C348" s="1" t="n">
        <v>45512</v>
      </c>
      <c r="D348" t="inlineStr">
        <is>
          <t>STOCKHOLMS LÄN</t>
        </is>
      </c>
      <c r="E348" t="inlineStr">
        <is>
          <t>UPPLANDS-BRO</t>
        </is>
      </c>
      <c r="F348" t="inlineStr">
        <is>
          <t>Övriga statliga verk och myndigheter</t>
        </is>
      </c>
      <c r="G348" t="n">
        <v>22.6</v>
      </c>
      <c r="H348" t="n">
        <v>0</v>
      </c>
      <c r="I348" t="n">
        <v>0</v>
      </c>
      <c r="J348" t="n">
        <v>0</v>
      </c>
      <c r="K348" t="n">
        <v>1</v>
      </c>
      <c r="L348" t="n">
        <v>0</v>
      </c>
      <c r="M348" t="n">
        <v>0</v>
      </c>
      <c r="N348" t="n">
        <v>0</v>
      </c>
      <c r="O348" t="n">
        <v>1</v>
      </c>
      <c r="P348" t="n">
        <v>1</v>
      </c>
      <c r="Q348" t="n">
        <v>1</v>
      </c>
      <c r="R348" s="2" t="inlineStr">
        <is>
          <t>Koppartaggsvamp</t>
        </is>
      </c>
      <c r="S348">
        <f>HYPERLINK("https://klasma.github.io/Logging_0139/artfynd/A 7285-2022 artfynd.xlsx", "A 7285-2022")</f>
        <v/>
      </c>
      <c r="T348">
        <f>HYPERLINK("https://klasma.github.io/Logging_0139/kartor/A 7285-2022 karta.png", "A 7285-2022")</f>
        <v/>
      </c>
      <c r="V348">
        <f>HYPERLINK("https://klasma.github.io/Logging_0139/klagomål/A 7285-2022 FSC-klagomål.docx", "A 7285-2022")</f>
        <v/>
      </c>
      <c r="W348">
        <f>HYPERLINK("https://klasma.github.io/Logging_0139/klagomålsmail/A 7285-2022 FSC-klagomål mail.docx", "A 7285-2022")</f>
        <v/>
      </c>
      <c r="X348">
        <f>HYPERLINK("https://klasma.github.io/Logging_0139/tillsyn/A 7285-2022 tillsynsbegäran.docx", "A 7285-2022")</f>
        <v/>
      </c>
      <c r="Y348">
        <f>HYPERLINK("https://klasma.github.io/Logging_0139/tillsynsmail/A 7285-2022 tillsynsbegäran mail.docx", "A 7285-2022")</f>
        <v/>
      </c>
    </row>
    <row r="349" ht="15" customHeight="1">
      <c r="A349" t="inlineStr">
        <is>
          <t>A 8285-2022</t>
        </is>
      </c>
      <c r="B349" s="1" t="n">
        <v>44610</v>
      </c>
      <c r="C349" s="1" t="n">
        <v>45512</v>
      </c>
      <c r="D349" t="inlineStr">
        <is>
          <t>STOCKHOLMS LÄN</t>
        </is>
      </c>
      <c r="E349" t="inlineStr">
        <is>
          <t>NYKVARN</t>
        </is>
      </c>
      <c r="G349" t="n">
        <v>5</v>
      </c>
      <c r="H349" t="n">
        <v>1</v>
      </c>
      <c r="I349" t="n">
        <v>0</v>
      </c>
      <c r="J349" t="n">
        <v>0</v>
      </c>
      <c r="K349" t="n">
        <v>0</v>
      </c>
      <c r="L349" t="n">
        <v>0</v>
      </c>
      <c r="M349" t="n">
        <v>0</v>
      </c>
      <c r="N349" t="n">
        <v>0</v>
      </c>
      <c r="O349" t="n">
        <v>0</v>
      </c>
      <c r="P349" t="n">
        <v>0</v>
      </c>
      <c r="Q349" t="n">
        <v>1</v>
      </c>
      <c r="R349" s="2" t="inlineStr">
        <is>
          <t>Blåsippa</t>
        </is>
      </c>
      <c r="S349">
        <f>HYPERLINK("https://klasma.github.io/Logging_0140/artfynd/A 8285-2022 artfynd.xlsx", "A 8285-2022")</f>
        <v/>
      </c>
      <c r="T349">
        <f>HYPERLINK("https://klasma.github.io/Logging_0140/kartor/A 8285-2022 karta.png", "A 8285-2022")</f>
        <v/>
      </c>
      <c r="V349">
        <f>HYPERLINK("https://klasma.github.io/Logging_0140/klagomål/A 8285-2022 FSC-klagomål.docx", "A 8285-2022")</f>
        <v/>
      </c>
      <c r="W349">
        <f>HYPERLINK("https://klasma.github.io/Logging_0140/klagomålsmail/A 8285-2022 FSC-klagomål mail.docx", "A 8285-2022")</f>
        <v/>
      </c>
      <c r="X349">
        <f>HYPERLINK("https://klasma.github.io/Logging_0140/tillsyn/A 8285-2022 tillsynsbegäran.docx", "A 8285-2022")</f>
        <v/>
      </c>
      <c r="Y349">
        <f>HYPERLINK("https://klasma.github.io/Logging_0140/tillsynsmail/A 8285-2022 tillsynsbegäran mail.docx", "A 8285-2022")</f>
        <v/>
      </c>
    </row>
    <row r="350" ht="15" customHeight="1">
      <c r="A350" t="inlineStr">
        <is>
          <t>A 8500-2022</t>
        </is>
      </c>
      <c r="B350" s="1" t="n">
        <v>44613</v>
      </c>
      <c r="C350" s="1" t="n">
        <v>45512</v>
      </c>
      <c r="D350" t="inlineStr">
        <is>
          <t>STOCKHOLMS LÄN</t>
        </is>
      </c>
      <c r="E350" t="inlineStr">
        <is>
          <t>VALLENTUNA</t>
        </is>
      </c>
      <c r="G350" t="n">
        <v>5</v>
      </c>
      <c r="H350" t="n">
        <v>0</v>
      </c>
      <c r="I350" t="n">
        <v>1</v>
      </c>
      <c r="J350" t="n">
        <v>0</v>
      </c>
      <c r="K350" t="n">
        <v>0</v>
      </c>
      <c r="L350" t="n">
        <v>0</v>
      </c>
      <c r="M350" t="n">
        <v>0</v>
      </c>
      <c r="N350" t="n">
        <v>0</v>
      </c>
      <c r="O350" t="n">
        <v>0</v>
      </c>
      <c r="P350" t="n">
        <v>0</v>
      </c>
      <c r="Q350" t="n">
        <v>1</v>
      </c>
      <c r="R350" s="2" t="inlineStr">
        <is>
          <t>Blåmossa</t>
        </is>
      </c>
      <c r="S350">
        <f>HYPERLINK("https://klasma.github.io/Logging_0115/artfynd/A 8500-2022 artfynd.xlsx", "A 8500-2022")</f>
        <v/>
      </c>
      <c r="T350">
        <f>HYPERLINK("https://klasma.github.io/Logging_0115/kartor/A 8500-2022 karta.png", "A 8500-2022")</f>
        <v/>
      </c>
      <c r="V350">
        <f>HYPERLINK("https://klasma.github.io/Logging_0115/klagomål/A 8500-2022 FSC-klagomål.docx", "A 8500-2022")</f>
        <v/>
      </c>
      <c r="W350">
        <f>HYPERLINK("https://klasma.github.io/Logging_0115/klagomålsmail/A 8500-2022 FSC-klagomål mail.docx", "A 8500-2022")</f>
        <v/>
      </c>
      <c r="X350">
        <f>HYPERLINK("https://klasma.github.io/Logging_0115/tillsyn/A 8500-2022 tillsynsbegäran.docx", "A 8500-2022")</f>
        <v/>
      </c>
      <c r="Y350">
        <f>HYPERLINK("https://klasma.github.io/Logging_0115/tillsynsmail/A 8500-2022 tillsynsbegäran mail.docx", "A 8500-2022")</f>
        <v/>
      </c>
    </row>
    <row r="351" ht="15" customHeight="1">
      <c r="A351" t="inlineStr">
        <is>
          <t>A 9445-2022</t>
        </is>
      </c>
      <c r="B351" s="1" t="n">
        <v>44616</v>
      </c>
      <c r="C351" s="1" t="n">
        <v>45512</v>
      </c>
      <c r="D351" t="inlineStr">
        <is>
          <t>STOCKHOLMS LÄN</t>
        </is>
      </c>
      <c r="E351" t="inlineStr">
        <is>
          <t>VALLENTUNA</t>
        </is>
      </c>
      <c r="G351" t="n">
        <v>10.8</v>
      </c>
      <c r="H351" t="n">
        <v>0</v>
      </c>
      <c r="I351" t="n">
        <v>1</v>
      </c>
      <c r="J351" t="n">
        <v>0</v>
      </c>
      <c r="K351" t="n">
        <v>0</v>
      </c>
      <c r="L351" t="n">
        <v>0</v>
      </c>
      <c r="M351" t="n">
        <v>0</v>
      </c>
      <c r="N351" t="n">
        <v>0</v>
      </c>
      <c r="O351" t="n">
        <v>0</v>
      </c>
      <c r="P351" t="n">
        <v>0</v>
      </c>
      <c r="Q351" t="n">
        <v>1</v>
      </c>
      <c r="R351" s="2" t="inlineStr">
        <is>
          <t>Grönpyrola</t>
        </is>
      </c>
      <c r="S351">
        <f>HYPERLINK("https://klasma.github.io/Logging_0115/artfynd/A 9445-2022 artfynd.xlsx", "A 9445-2022")</f>
        <v/>
      </c>
      <c r="T351">
        <f>HYPERLINK("https://klasma.github.io/Logging_0115/kartor/A 9445-2022 karta.png", "A 9445-2022")</f>
        <v/>
      </c>
      <c r="V351">
        <f>HYPERLINK("https://klasma.github.io/Logging_0115/klagomål/A 9445-2022 FSC-klagomål.docx", "A 9445-2022")</f>
        <v/>
      </c>
      <c r="W351">
        <f>HYPERLINK("https://klasma.github.io/Logging_0115/klagomålsmail/A 9445-2022 FSC-klagomål mail.docx", "A 9445-2022")</f>
        <v/>
      </c>
      <c r="X351">
        <f>HYPERLINK("https://klasma.github.io/Logging_0115/tillsyn/A 9445-2022 tillsynsbegäran.docx", "A 9445-2022")</f>
        <v/>
      </c>
      <c r="Y351">
        <f>HYPERLINK("https://klasma.github.io/Logging_0115/tillsynsmail/A 9445-2022 tillsynsbegäran mail.docx", "A 9445-2022")</f>
        <v/>
      </c>
    </row>
    <row r="352" ht="15" customHeight="1">
      <c r="A352" t="inlineStr">
        <is>
          <t>A 9714-2022</t>
        </is>
      </c>
      <c r="B352" s="1" t="n">
        <v>44617</v>
      </c>
      <c r="C352" s="1" t="n">
        <v>45512</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9747-2022</t>
        </is>
      </c>
      <c r="B353" s="1" t="n">
        <v>44618</v>
      </c>
      <c r="C353" s="1" t="n">
        <v>45512</v>
      </c>
      <c r="D353" t="inlineStr">
        <is>
          <t>STOCKHOLMS LÄN</t>
        </is>
      </c>
      <c r="E353" t="inlineStr">
        <is>
          <t>VALLENTUNA</t>
        </is>
      </c>
      <c r="G353" t="n">
        <v>5.7</v>
      </c>
      <c r="H353" t="n">
        <v>0</v>
      </c>
      <c r="I353" t="n">
        <v>0</v>
      </c>
      <c r="J353" t="n">
        <v>0</v>
      </c>
      <c r="K353" t="n">
        <v>1</v>
      </c>
      <c r="L353" t="n">
        <v>0</v>
      </c>
      <c r="M353" t="n">
        <v>0</v>
      </c>
      <c r="N353" t="n">
        <v>0</v>
      </c>
      <c r="O353" t="n">
        <v>1</v>
      </c>
      <c r="P353" t="n">
        <v>1</v>
      </c>
      <c r="Q353" t="n">
        <v>1</v>
      </c>
      <c r="R353" s="2" t="inlineStr">
        <is>
          <t>Violgubbe</t>
        </is>
      </c>
      <c r="S353">
        <f>HYPERLINK("https://klasma.github.io/Logging_0115/artfynd/A 9747-2022 artfynd.xlsx", "A 9747-2022")</f>
        <v/>
      </c>
      <c r="T353">
        <f>HYPERLINK("https://klasma.github.io/Logging_0115/kartor/A 9747-2022 karta.png", "A 9747-2022")</f>
        <v/>
      </c>
      <c r="V353">
        <f>HYPERLINK("https://klasma.github.io/Logging_0115/klagomål/A 9747-2022 FSC-klagomål.docx", "A 9747-2022")</f>
        <v/>
      </c>
      <c r="W353">
        <f>HYPERLINK("https://klasma.github.io/Logging_0115/klagomålsmail/A 9747-2022 FSC-klagomål mail.docx", "A 9747-2022")</f>
        <v/>
      </c>
      <c r="X353">
        <f>HYPERLINK("https://klasma.github.io/Logging_0115/tillsyn/A 9747-2022 tillsynsbegäran.docx", "A 9747-2022")</f>
        <v/>
      </c>
      <c r="Y353">
        <f>HYPERLINK("https://klasma.github.io/Logging_0115/tillsynsmail/A 9747-2022 tillsynsbegäran mail.docx", "A 9747-2022")</f>
        <v/>
      </c>
    </row>
    <row r="354" ht="15" customHeight="1">
      <c r="A354" t="inlineStr">
        <is>
          <t>A 9955-2022</t>
        </is>
      </c>
      <c r="B354" s="1" t="n">
        <v>44620</v>
      </c>
      <c r="C354" s="1" t="n">
        <v>45512</v>
      </c>
      <c r="D354" t="inlineStr">
        <is>
          <t>STOCKHOLMS LÄN</t>
        </is>
      </c>
      <c r="E354" t="inlineStr">
        <is>
          <t>NORRTÄLJE</t>
        </is>
      </c>
      <c r="G354" t="n">
        <v>7.8</v>
      </c>
      <c r="H354" t="n">
        <v>1</v>
      </c>
      <c r="I354" t="n">
        <v>0</v>
      </c>
      <c r="J354" t="n">
        <v>0</v>
      </c>
      <c r="K354" t="n">
        <v>0</v>
      </c>
      <c r="L354" t="n">
        <v>0</v>
      </c>
      <c r="M354" t="n">
        <v>0</v>
      </c>
      <c r="N354" t="n">
        <v>0</v>
      </c>
      <c r="O354" t="n">
        <v>0</v>
      </c>
      <c r="P354" t="n">
        <v>0</v>
      </c>
      <c r="Q354" t="n">
        <v>1</v>
      </c>
      <c r="R354" s="2" t="inlineStr">
        <is>
          <t>Åkergroda</t>
        </is>
      </c>
      <c r="S354">
        <f>HYPERLINK("https://klasma.github.io/Logging_0188/artfynd/A 9955-2022 artfynd.xlsx", "A 9955-2022")</f>
        <v/>
      </c>
      <c r="T354">
        <f>HYPERLINK("https://klasma.github.io/Logging_0188/kartor/A 9955-2022 karta.png", "A 9955-2022")</f>
        <v/>
      </c>
      <c r="V354">
        <f>HYPERLINK("https://klasma.github.io/Logging_0188/klagomål/A 9955-2022 FSC-klagomål.docx", "A 9955-2022")</f>
        <v/>
      </c>
      <c r="W354">
        <f>HYPERLINK("https://klasma.github.io/Logging_0188/klagomålsmail/A 9955-2022 FSC-klagomål mail.docx", "A 9955-2022")</f>
        <v/>
      </c>
      <c r="X354">
        <f>HYPERLINK("https://klasma.github.io/Logging_0188/tillsyn/A 9955-2022 tillsynsbegäran.docx", "A 9955-2022")</f>
        <v/>
      </c>
      <c r="Y354">
        <f>HYPERLINK("https://klasma.github.io/Logging_0188/tillsynsmail/A 9955-2022 tillsynsbegäran mail.docx", "A 9955-2022")</f>
        <v/>
      </c>
    </row>
    <row r="355" ht="15" customHeight="1">
      <c r="A355" t="inlineStr">
        <is>
          <t>A 10059-2022</t>
        </is>
      </c>
      <c r="B355" s="1" t="n">
        <v>44621</v>
      </c>
      <c r="C355" s="1" t="n">
        <v>45512</v>
      </c>
      <c r="D355" t="inlineStr">
        <is>
          <t>STOCKHOLMS LÄN</t>
        </is>
      </c>
      <c r="E355" t="inlineStr">
        <is>
          <t>NYNÄSHAMN</t>
        </is>
      </c>
      <c r="G355" t="n">
        <v>17</v>
      </c>
      <c r="H355" t="n">
        <v>0</v>
      </c>
      <c r="I355" t="n">
        <v>1</v>
      </c>
      <c r="J355" t="n">
        <v>0</v>
      </c>
      <c r="K355" t="n">
        <v>0</v>
      </c>
      <c r="L355" t="n">
        <v>0</v>
      </c>
      <c r="M355" t="n">
        <v>0</v>
      </c>
      <c r="N355" t="n">
        <v>0</v>
      </c>
      <c r="O355" t="n">
        <v>0</v>
      </c>
      <c r="P355" t="n">
        <v>0</v>
      </c>
      <c r="Q355" t="n">
        <v>1</v>
      </c>
      <c r="R355" s="2" t="inlineStr">
        <is>
          <t>Bollvitmossa</t>
        </is>
      </c>
      <c r="S355">
        <f>HYPERLINK("https://klasma.github.io/Logging_0192/artfynd/A 10059-2022 artfynd.xlsx", "A 10059-2022")</f>
        <v/>
      </c>
      <c r="T355">
        <f>HYPERLINK("https://klasma.github.io/Logging_0192/kartor/A 10059-2022 karta.png", "A 10059-2022")</f>
        <v/>
      </c>
      <c r="V355">
        <f>HYPERLINK("https://klasma.github.io/Logging_0192/klagomål/A 10059-2022 FSC-klagomål.docx", "A 10059-2022")</f>
        <v/>
      </c>
      <c r="W355">
        <f>HYPERLINK("https://klasma.github.io/Logging_0192/klagomålsmail/A 10059-2022 FSC-klagomål mail.docx", "A 10059-2022")</f>
        <v/>
      </c>
      <c r="X355">
        <f>HYPERLINK("https://klasma.github.io/Logging_0192/tillsyn/A 10059-2022 tillsynsbegäran.docx", "A 10059-2022")</f>
        <v/>
      </c>
      <c r="Y355">
        <f>HYPERLINK("https://klasma.github.io/Logging_0192/tillsynsmail/A 10059-2022 tillsynsbegäran mail.docx", "A 10059-2022")</f>
        <v/>
      </c>
    </row>
    <row r="356" ht="15" customHeight="1">
      <c r="A356" t="inlineStr">
        <is>
          <t>A 10469-2022</t>
        </is>
      </c>
      <c r="B356" s="1" t="n">
        <v>44623</v>
      </c>
      <c r="C356" s="1" t="n">
        <v>45512</v>
      </c>
      <c r="D356" t="inlineStr">
        <is>
          <t>STOCKHOLMS LÄN</t>
        </is>
      </c>
      <c r="E356" t="inlineStr">
        <is>
          <t>BOTKYRKA</t>
        </is>
      </c>
      <c r="G356" t="n">
        <v>2.4</v>
      </c>
      <c r="H356" t="n">
        <v>0</v>
      </c>
      <c r="I356" t="n">
        <v>1</v>
      </c>
      <c r="J356" t="n">
        <v>0</v>
      </c>
      <c r="K356" t="n">
        <v>0</v>
      </c>
      <c r="L356" t="n">
        <v>0</v>
      </c>
      <c r="M356" t="n">
        <v>0</v>
      </c>
      <c r="N356" t="n">
        <v>0</v>
      </c>
      <c r="O356" t="n">
        <v>0</v>
      </c>
      <c r="P356" t="n">
        <v>0</v>
      </c>
      <c r="Q356" t="n">
        <v>1</v>
      </c>
      <c r="R356" s="2" t="inlineStr">
        <is>
          <t>Tibast</t>
        </is>
      </c>
      <c r="S356">
        <f>HYPERLINK("https://klasma.github.io/Logging_0127/artfynd/A 10469-2022 artfynd.xlsx", "A 10469-2022")</f>
        <v/>
      </c>
      <c r="T356">
        <f>HYPERLINK("https://klasma.github.io/Logging_0127/kartor/A 10469-2022 karta.png", "A 10469-2022")</f>
        <v/>
      </c>
      <c r="V356">
        <f>HYPERLINK("https://klasma.github.io/Logging_0127/klagomål/A 10469-2022 FSC-klagomål.docx", "A 10469-2022")</f>
        <v/>
      </c>
      <c r="W356">
        <f>HYPERLINK("https://klasma.github.io/Logging_0127/klagomålsmail/A 10469-2022 FSC-klagomål mail.docx", "A 10469-2022")</f>
        <v/>
      </c>
      <c r="X356">
        <f>HYPERLINK("https://klasma.github.io/Logging_0127/tillsyn/A 10469-2022 tillsynsbegäran.docx", "A 10469-2022")</f>
        <v/>
      </c>
      <c r="Y356">
        <f>HYPERLINK("https://klasma.github.io/Logging_0127/tillsynsmail/A 10469-2022 tillsynsbegäran mail.docx", "A 10469-2022")</f>
        <v/>
      </c>
    </row>
    <row r="357" ht="15" customHeight="1">
      <c r="A357" t="inlineStr">
        <is>
          <t>A 10712-2022</t>
        </is>
      </c>
      <c r="B357" s="1" t="n">
        <v>44626</v>
      </c>
      <c r="C357" s="1" t="n">
        <v>45512</v>
      </c>
      <c r="D357" t="inlineStr">
        <is>
          <t>STOCKHOLMS LÄN</t>
        </is>
      </c>
      <c r="E357" t="inlineStr">
        <is>
          <t>NORRTÄLJE</t>
        </is>
      </c>
      <c r="G357" t="n">
        <v>4.5</v>
      </c>
      <c r="H357" t="n">
        <v>1</v>
      </c>
      <c r="I357" t="n">
        <v>0</v>
      </c>
      <c r="J357" t="n">
        <v>0</v>
      </c>
      <c r="K357" t="n">
        <v>0</v>
      </c>
      <c r="L357" t="n">
        <v>0</v>
      </c>
      <c r="M357" t="n">
        <v>0</v>
      </c>
      <c r="N357" t="n">
        <v>0</v>
      </c>
      <c r="O357" t="n">
        <v>0</v>
      </c>
      <c r="P357" t="n">
        <v>0</v>
      </c>
      <c r="Q357" t="n">
        <v>1</v>
      </c>
      <c r="R357" s="2" t="inlineStr">
        <is>
          <t>Åkergroda</t>
        </is>
      </c>
      <c r="S357">
        <f>HYPERLINK("https://klasma.github.io/Logging_0188/artfynd/A 10712-2022 artfynd.xlsx", "A 10712-2022")</f>
        <v/>
      </c>
      <c r="T357">
        <f>HYPERLINK("https://klasma.github.io/Logging_0188/kartor/A 10712-2022 karta.png", "A 10712-2022")</f>
        <v/>
      </c>
      <c r="V357">
        <f>HYPERLINK("https://klasma.github.io/Logging_0188/klagomål/A 10712-2022 FSC-klagomål.docx", "A 10712-2022")</f>
        <v/>
      </c>
      <c r="W357">
        <f>HYPERLINK("https://klasma.github.io/Logging_0188/klagomålsmail/A 10712-2022 FSC-klagomål mail.docx", "A 10712-2022")</f>
        <v/>
      </c>
      <c r="X357">
        <f>HYPERLINK("https://klasma.github.io/Logging_0188/tillsyn/A 10712-2022 tillsynsbegäran.docx", "A 10712-2022")</f>
        <v/>
      </c>
      <c r="Y357">
        <f>HYPERLINK("https://klasma.github.io/Logging_0188/tillsynsmail/A 10712-2022 tillsynsbegäran mail.docx", "A 10712-2022")</f>
        <v/>
      </c>
    </row>
    <row r="358" ht="15" customHeight="1">
      <c r="A358" t="inlineStr">
        <is>
          <t>A 13891-2022</t>
        </is>
      </c>
      <c r="B358" s="1" t="n">
        <v>44646</v>
      </c>
      <c r="C358" s="1" t="n">
        <v>45512</v>
      </c>
      <c r="D358" t="inlineStr">
        <is>
          <t>STOCKHOLMS LÄN</t>
        </is>
      </c>
      <c r="E358" t="inlineStr">
        <is>
          <t>EKERÖ</t>
        </is>
      </c>
      <c r="G358" t="n">
        <v>2.3</v>
      </c>
      <c r="H358" t="n">
        <v>0</v>
      </c>
      <c r="I358" t="n">
        <v>1</v>
      </c>
      <c r="J358" t="n">
        <v>0</v>
      </c>
      <c r="K358" t="n">
        <v>0</v>
      </c>
      <c r="L358" t="n">
        <v>0</v>
      </c>
      <c r="M358" t="n">
        <v>0</v>
      </c>
      <c r="N358" t="n">
        <v>0</v>
      </c>
      <c r="O358" t="n">
        <v>0</v>
      </c>
      <c r="P358" t="n">
        <v>0</v>
      </c>
      <c r="Q358" t="n">
        <v>1</v>
      </c>
      <c r="R358" s="2" t="inlineStr">
        <is>
          <t>Granbarkgnagare</t>
        </is>
      </c>
      <c r="S358">
        <f>HYPERLINK("https://klasma.github.io/Logging_0125/artfynd/A 13891-2022 artfynd.xlsx", "A 13891-2022")</f>
        <v/>
      </c>
      <c r="T358">
        <f>HYPERLINK("https://klasma.github.io/Logging_0125/kartor/A 13891-2022 karta.png", "A 13891-2022")</f>
        <v/>
      </c>
      <c r="V358">
        <f>HYPERLINK("https://klasma.github.io/Logging_0125/klagomål/A 13891-2022 FSC-klagomål.docx", "A 13891-2022")</f>
        <v/>
      </c>
      <c r="W358">
        <f>HYPERLINK("https://klasma.github.io/Logging_0125/klagomålsmail/A 13891-2022 FSC-klagomål mail.docx", "A 13891-2022")</f>
        <v/>
      </c>
      <c r="X358">
        <f>HYPERLINK("https://klasma.github.io/Logging_0125/tillsyn/A 13891-2022 tillsynsbegäran.docx", "A 13891-2022")</f>
        <v/>
      </c>
      <c r="Y358">
        <f>HYPERLINK("https://klasma.github.io/Logging_0125/tillsynsmail/A 13891-2022 tillsynsbegäran mail.docx", "A 13891-2022")</f>
        <v/>
      </c>
    </row>
    <row r="359" ht="15" customHeight="1">
      <c r="A359" t="inlineStr">
        <is>
          <t>A 14720-2022</t>
        </is>
      </c>
      <c r="B359" s="1" t="n">
        <v>44656</v>
      </c>
      <c r="C359" s="1" t="n">
        <v>45512</v>
      </c>
      <c r="D359" t="inlineStr">
        <is>
          <t>STOCKHOLMS LÄN</t>
        </is>
      </c>
      <c r="E359" t="inlineStr">
        <is>
          <t>NORRTÄLJE</t>
        </is>
      </c>
      <c r="F359" t="inlineStr">
        <is>
          <t>Sveaskog</t>
        </is>
      </c>
      <c r="G359" t="n">
        <v>5.1</v>
      </c>
      <c r="H359" t="n">
        <v>0</v>
      </c>
      <c r="I359" t="n">
        <v>0</v>
      </c>
      <c r="J359" t="n">
        <v>1</v>
      </c>
      <c r="K359" t="n">
        <v>0</v>
      </c>
      <c r="L359" t="n">
        <v>0</v>
      </c>
      <c r="M359" t="n">
        <v>0</v>
      </c>
      <c r="N359" t="n">
        <v>0</v>
      </c>
      <c r="O359" t="n">
        <v>1</v>
      </c>
      <c r="P359" t="n">
        <v>0</v>
      </c>
      <c r="Q359" t="n">
        <v>1</v>
      </c>
      <c r="R359" s="2" t="inlineStr">
        <is>
          <t>Loppstarr</t>
        </is>
      </c>
      <c r="S359">
        <f>HYPERLINK("https://klasma.github.io/Logging_0188/artfynd/A 14720-2022 artfynd.xlsx", "A 14720-2022")</f>
        <v/>
      </c>
      <c r="T359">
        <f>HYPERLINK("https://klasma.github.io/Logging_0188/kartor/A 14720-2022 karta.png", "A 14720-2022")</f>
        <v/>
      </c>
      <c r="V359">
        <f>HYPERLINK("https://klasma.github.io/Logging_0188/klagomål/A 14720-2022 FSC-klagomål.docx", "A 14720-2022")</f>
        <v/>
      </c>
      <c r="W359">
        <f>HYPERLINK("https://klasma.github.io/Logging_0188/klagomålsmail/A 14720-2022 FSC-klagomål mail.docx", "A 14720-2022")</f>
        <v/>
      </c>
      <c r="X359">
        <f>HYPERLINK("https://klasma.github.io/Logging_0188/tillsyn/A 14720-2022 tillsynsbegäran.docx", "A 14720-2022")</f>
        <v/>
      </c>
      <c r="Y359">
        <f>HYPERLINK("https://klasma.github.io/Logging_0188/tillsynsmail/A 14720-2022 tillsynsbegäran mail.docx", "A 14720-2022")</f>
        <v/>
      </c>
    </row>
    <row r="360" ht="15" customHeight="1">
      <c r="A360" t="inlineStr">
        <is>
          <t>A 16309-2022</t>
        </is>
      </c>
      <c r="B360" s="1" t="n">
        <v>44670</v>
      </c>
      <c r="C360" s="1" t="n">
        <v>45512</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16539-2022</t>
        </is>
      </c>
      <c r="B361" s="1" t="n">
        <v>44672</v>
      </c>
      <c r="C361" s="1" t="n">
        <v>45512</v>
      </c>
      <c r="D361" t="inlineStr">
        <is>
          <t>STOCKHOLMS LÄN</t>
        </is>
      </c>
      <c r="E361" t="inlineStr">
        <is>
          <t>NORRTÄLJE</t>
        </is>
      </c>
      <c r="G361" t="n">
        <v>8.6</v>
      </c>
      <c r="H361" t="n">
        <v>1</v>
      </c>
      <c r="I361" t="n">
        <v>1</v>
      </c>
      <c r="J361" t="n">
        <v>0</v>
      </c>
      <c r="K361" t="n">
        <v>0</v>
      </c>
      <c r="L361" t="n">
        <v>0</v>
      </c>
      <c r="M361" t="n">
        <v>0</v>
      </c>
      <c r="N361" t="n">
        <v>0</v>
      </c>
      <c r="O361" t="n">
        <v>0</v>
      </c>
      <c r="P361" t="n">
        <v>0</v>
      </c>
      <c r="Q361" t="n">
        <v>1</v>
      </c>
      <c r="R361" s="2" t="inlineStr">
        <is>
          <t>Nästrot</t>
        </is>
      </c>
      <c r="S361">
        <f>HYPERLINK("https://klasma.github.io/Logging_0188/artfynd/A 16539-2022 artfynd.xlsx", "A 16539-2022")</f>
        <v/>
      </c>
      <c r="T361">
        <f>HYPERLINK("https://klasma.github.io/Logging_0188/kartor/A 16539-2022 karta.png", "A 16539-2022")</f>
        <v/>
      </c>
      <c r="V361">
        <f>HYPERLINK("https://klasma.github.io/Logging_0188/klagomål/A 16539-2022 FSC-klagomål.docx", "A 16539-2022")</f>
        <v/>
      </c>
      <c r="W361">
        <f>HYPERLINK("https://klasma.github.io/Logging_0188/klagomålsmail/A 16539-2022 FSC-klagomål mail.docx", "A 16539-2022")</f>
        <v/>
      </c>
      <c r="X361">
        <f>HYPERLINK("https://klasma.github.io/Logging_0188/tillsyn/A 16539-2022 tillsynsbegäran.docx", "A 16539-2022")</f>
        <v/>
      </c>
      <c r="Y361">
        <f>HYPERLINK("https://klasma.github.io/Logging_0188/tillsynsmail/A 16539-2022 tillsynsbegäran mail.docx", "A 16539-2022")</f>
        <v/>
      </c>
    </row>
    <row r="362" ht="15" customHeight="1">
      <c r="A362" t="inlineStr">
        <is>
          <t>A 18100-2022</t>
        </is>
      </c>
      <c r="B362" s="1" t="n">
        <v>44684</v>
      </c>
      <c r="C362" s="1" t="n">
        <v>45512</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19829-2022</t>
        </is>
      </c>
      <c r="B363" s="1" t="n">
        <v>44695</v>
      </c>
      <c r="C363" s="1" t="n">
        <v>45512</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20456-2022</t>
        </is>
      </c>
      <c r="B364" s="1" t="n">
        <v>44699</v>
      </c>
      <c r="C364" s="1" t="n">
        <v>45512</v>
      </c>
      <c r="D364" t="inlineStr">
        <is>
          <t>STOCKHOLMS LÄN</t>
        </is>
      </c>
      <c r="E364" t="inlineStr">
        <is>
          <t>NYKVARN</t>
        </is>
      </c>
      <c r="F364" t="inlineStr">
        <is>
          <t>Allmännings- och besparingsskogar</t>
        </is>
      </c>
      <c r="G364" t="n">
        <v>15.4</v>
      </c>
      <c r="H364" t="n">
        <v>0</v>
      </c>
      <c r="I364" t="n">
        <v>1</v>
      </c>
      <c r="J364" t="n">
        <v>0</v>
      </c>
      <c r="K364" t="n">
        <v>0</v>
      </c>
      <c r="L364" t="n">
        <v>0</v>
      </c>
      <c r="M364" t="n">
        <v>0</v>
      </c>
      <c r="N364" t="n">
        <v>0</v>
      </c>
      <c r="O364" t="n">
        <v>0</v>
      </c>
      <c r="P364" t="n">
        <v>0</v>
      </c>
      <c r="Q364" t="n">
        <v>1</v>
      </c>
      <c r="R364" s="2" t="inlineStr">
        <is>
          <t>Grönpyrola</t>
        </is>
      </c>
      <c r="S364">
        <f>HYPERLINK("https://klasma.github.io/Logging_0140/artfynd/A 20456-2022 artfynd.xlsx", "A 20456-2022")</f>
        <v/>
      </c>
      <c r="T364">
        <f>HYPERLINK("https://klasma.github.io/Logging_0140/kartor/A 20456-2022 karta.png", "A 20456-2022")</f>
        <v/>
      </c>
      <c r="V364">
        <f>HYPERLINK("https://klasma.github.io/Logging_0140/klagomål/A 20456-2022 FSC-klagomål.docx", "A 20456-2022")</f>
        <v/>
      </c>
      <c r="W364">
        <f>HYPERLINK("https://klasma.github.io/Logging_0140/klagomålsmail/A 20456-2022 FSC-klagomål mail.docx", "A 20456-2022")</f>
        <v/>
      </c>
      <c r="X364">
        <f>HYPERLINK("https://klasma.github.io/Logging_0140/tillsyn/A 20456-2022 tillsynsbegäran.docx", "A 20456-2022")</f>
        <v/>
      </c>
      <c r="Y364">
        <f>HYPERLINK("https://klasma.github.io/Logging_0140/tillsynsmail/A 20456-2022 tillsynsbegäran mail.docx", "A 20456-2022")</f>
        <v/>
      </c>
    </row>
    <row r="365" ht="15" customHeight="1">
      <c r="A365" t="inlineStr">
        <is>
          <t>A 21150-2022</t>
        </is>
      </c>
      <c r="B365" s="1" t="n">
        <v>44704</v>
      </c>
      <c r="C365" s="1" t="n">
        <v>45512</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21150-2022 artfynd.xlsx", "A 21150-2022")</f>
        <v/>
      </c>
      <c r="T365">
        <f>HYPERLINK("https://klasma.github.io/Logging_0188/kartor/A 21150-2022 karta.png", "A 21150-2022")</f>
        <v/>
      </c>
      <c r="V365">
        <f>HYPERLINK("https://klasma.github.io/Logging_0188/klagomål/A 21150-2022 FSC-klagomål.docx", "A 21150-2022")</f>
        <v/>
      </c>
      <c r="W365">
        <f>HYPERLINK("https://klasma.github.io/Logging_0188/klagomålsmail/A 21150-2022 FSC-klagomål mail.docx", "A 21150-2022")</f>
        <v/>
      </c>
      <c r="X365">
        <f>HYPERLINK("https://klasma.github.io/Logging_0188/tillsyn/A 21150-2022 tillsynsbegäran.docx", "A 21150-2022")</f>
        <v/>
      </c>
      <c r="Y365">
        <f>HYPERLINK("https://klasma.github.io/Logging_0188/tillsynsmail/A 21150-2022 tillsynsbegäran mail.docx", "A 21150-2022")</f>
        <v/>
      </c>
    </row>
    <row r="366" ht="15" customHeight="1">
      <c r="A366" t="inlineStr">
        <is>
          <t>A 22172-2022</t>
        </is>
      </c>
      <c r="B366" s="1" t="n">
        <v>44712</v>
      </c>
      <c r="C366" s="1" t="n">
        <v>45512</v>
      </c>
      <c r="D366" t="inlineStr">
        <is>
          <t>STOCKHOLMS LÄN</t>
        </is>
      </c>
      <c r="E366" t="inlineStr">
        <is>
          <t>ÖSTERÅKER</t>
        </is>
      </c>
      <c r="G366" t="n">
        <v>3.7</v>
      </c>
      <c r="H366" t="n">
        <v>1</v>
      </c>
      <c r="I366" t="n">
        <v>0</v>
      </c>
      <c r="J366" t="n">
        <v>1</v>
      </c>
      <c r="K366" t="n">
        <v>0</v>
      </c>
      <c r="L366" t="n">
        <v>0</v>
      </c>
      <c r="M366" t="n">
        <v>0</v>
      </c>
      <c r="N366" t="n">
        <v>0</v>
      </c>
      <c r="O366" t="n">
        <v>1</v>
      </c>
      <c r="P366" t="n">
        <v>0</v>
      </c>
      <c r="Q366" t="n">
        <v>1</v>
      </c>
      <c r="R366" s="2" t="inlineStr">
        <is>
          <t>Kråka</t>
        </is>
      </c>
      <c r="S366">
        <f>HYPERLINK("https://klasma.github.io/Logging_0117/artfynd/A 22172-2022 artfynd.xlsx", "A 22172-2022")</f>
        <v/>
      </c>
      <c r="T366">
        <f>HYPERLINK("https://klasma.github.io/Logging_0117/kartor/A 22172-2022 karta.png", "A 22172-2022")</f>
        <v/>
      </c>
      <c r="V366">
        <f>HYPERLINK("https://klasma.github.io/Logging_0117/klagomål/A 22172-2022 FSC-klagomål.docx", "A 22172-2022")</f>
        <v/>
      </c>
      <c r="W366">
        <f>HYPERLINK("https://klasma.github.io/Logging_0117/klagomålsmail/A 22172-2022 FSC-klagomål mail.docx", "A 22172-2022")</f>
        <v/>
      </c>
      <c r="X366">
        <f>HYPERLINK("https://klasma.github.io/Logging_0117/tillsyn/A 22172-2022 tillsynsbegäran.docx", "A 22172-2022")</f>
        <v/>
      </c>
      <c r="Y366">
        <f>HYPERLINK("https://klasma.github.io/Logging_0117/tillsynsmail/A 22172-2022 tillsynsbegäran mail.docx", "A 22172-2022")</f>
        <v/>
      </c>
      <c r="Z366">
        <f>HYPERLINK("https://klasma.github.io/Logging_0117/fåglar/A 22172-2022 prioriterade fågelarter.docx", "A 22172-2022")</f>
        <v/>
      </c>
    </row>
    <row r="367" ht="15" customHeight="1">
      <c r="A367" t="inlineStr">
        <is>
          <t>A 30154-2022</t>
        </is>
      </c>
      <c r="B367" s="1" t="n">
        <v>44757</v>
      </c>
      <c r="C367" s="1" t="n">
        <v>45512</v>
      </c>
      <c r="D367" t="inlineStr">
        <is>
          <t>STOCKHOLMS LÄN</t>
        </is>
      </c>
      <c r="E367" t="inlineStr">
        <is>
          <t>VÄRMDÖ</t>
        </is>
      </c>
      <c r="G367" t="n">
        <v>3.1</v>
      </c>
      <c r="H367" t="n">
        <v>0</v>
      </c>
      <c r="I367" t="n">
        <v>0</v>
      </c>
      <c r="J367" t="n">
        <v>1</v>
      </c>
      <c r="K367" t="n">
        <v>0</v>
      </c>
      <c r="L367" t="n">
        <v>0</v>
      </c>
      <c r="M367" t="n">
        <v>0</v>
      </c>
      <c r="N367" t="n">
        <v>0</v>
      </c>
      <c r="O367" t="n">
        <v>1</v>
      </c>
      <c r="P367" t="n">
        <v>0</v>
      </c>
      <c r="Q367" t="n">
        <v>1</v>
      </c>
      <c r="R367" s="2" t="inlineStr">
        <is>
          <t>Lunglav</t>
        </is>
      </c>
      <c r="S367">
        <f>HYPERLINK("https://klasma.github.io/Logging_0120/artfynd/A 30154-2022 artfynd.xlsx", "A 30154-2022")</f>
        <v/>
      </c>
      <c r="T367">
        <f>HYPERLINK("https://klasma.github.io/Logging_0120/kartor/A 30154-2022 karta.png", "A 30154-2022")</f>
        <v/>
      </c>
      <c r="V367">
        <f>HYPERLINK("https://klasma.github.io/Logging_0120/klagomål/A 30154-2022 FSC-klagomål.docx", "A 30154-2022")</f>
        <v/>
      </c>
      <c r="W367">
        <f>HYPERLINK("https://klasma.github.io/Logging_0120/klagomålsmail/A 30154-2022 FSC-klagomål mail.docx", "A 30154-2022")</f>
        <v/>
      </c>
      <c r="X367">
        <f>HYPERLINK("https://klasma.github.io/Logging_0120/tillsyn/A 30154-2022 tillsynsbegäran.docx", "A 30154-2022")</f>
        <v/>
      </c>
      <c r="Y367">
        <f>HYPERLINK("https://klasma.github.io/Logging_0120/tillsynsmail/A 30154-2022 tillsynsbegäran mail.docx", "A 30154-2022")</f>
        <v/>
      </c>
    </row>
    <row r="368" ht="15" customHeight="1">
      <c r="A368" t="inlineStr">
        <is>
          <t>A 30693-2022</t>
        </is>
      </c>
      <c r="B368" s="1" t="n">
        <v>44763</v>
      </c>
      <c r="C368" s="1" t="n">
        <v>45512</v>
      </c>
      <c r="D368" t="inlineStr">
        <is>
          <t>STOCKHOLMS LÄN</t>
        </is>
      </c>
      <c r="E368" t="inlineStr">
        <is>
          <t>NORRTÄLJE</t>
        </is>
      </c>
      <c r="F368" t="inlineStr">
        <is>
          <t>Sveaskog</t>
        </is>
      </c>
      <c r="G368" t="n">
        <v>3.4</v>
      </c>
      <c r="H368" t="n">
        <v>1</v>
      </c>
      <c r="I368" t="n">
        <v>0</v>
      </c>
      <c r="J368" t="n">
        <v>1</v>
      </c>
      <c r="K368" t="n">
        <v>0</v>
      </c>
      <c r="L368" t="n">
        <v>0</v>
      </c>
      <c r="M368" t="n">
        <v>0</v>
      </c>
      <c r="N368" t="n">
        <v>0</v>
      </c>
      <c r="O368" t="n">
        <v>1</v>
      </c>
      <c r="P368" t="n">
        <v>0</v>
      </c>
      <c r="Q368" t="n">
        <v>1</v>
      </c>
      <c r="R368" s="2" t="inlineStr">
        <is>
          <t>Gulsparv</t>
        </is>
      </c>
      <c r="S368">
        <f>HYPERLINK("https://klasma.github.io/Logging_0188/artfynd/A 30693-2022 artfynd.xlsx", "A 30693-2022")</f>
        <v/>
      </c>
      <c r="T368">
        <f>HYPERLINK("https://klasma.github.io/Logging_0188/kartor/A 30693-2022 karta.png", "A 30693-2022")</f>
        <v/>
      </c>
      <c r="V368">
        <f>HYPERLINK("https://klasma.github.io/Logging_0188/klagomål/A 30693-2022 FSC-klagomål.docx", "A 30693-2022")</f>
        <v/>
      </c>
      <c r="W368">
        <f>HYPERLINK("https://klasma.github.io/Logging_0188/klagomålsmail/A 30693-2022 FSC-klagomål mail.docx", "A 30693-2022")</f>
        <v/>
      </c>
      <c r="X368">
        <f>HYPERLINK("https://klasma.github.io/Logging_0188/tillsyn/A 30693-2022 tillsynsbegäran.docx", "A 30693-2022")</f>
        <v/>
      </c>
      <c r="Y368">
        <f>HYPERLINK("https://klasma.github.io/Logging_0188/tillsynsmail/A 30693-2022 tillsynsbegäran mail.docx", "A 30693-2022")</f>
        <v/>
      </c>
      <c r="Z368">
        <f>HYPERLINK("https://klasma.github.io/Logging_0188/fåglar/A 30693-2022 prioriterade fågelarter.docx", "A 30693-2022")</f>
        <v/>
      </c>
    </row>
    <row r="369" ht="15" customHeight="1">
      <c r="A369" t="inlineStr">
        <is>
          <t>A 31194-2022</t>
        </is>
      </c>
      <c r="B369" s="1" t="n">
        <v>44770</v>
      </c>
      <c r="C369" s="1" t="n">
        <v>45512</v>
      </c>
      <c r="D369" t="inlineStr">
        <is>
          <t>STOCKHOLMS LÄN</t>
        </is>
      </c>
      <c r="E369" t="inlineStr">
        <is>
          <t>NORRTÄLJE</t>
        </is>
      </c>
      <c r="G369" t="n">
        <v>2.7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31194-2022 artfynd.xlsx", "A 31194-2022")</f>
        <v/>
      </c>
      <c r="T369">
        <f>HYPERLINK("https://klasma.github.io/Logging_0188/kartor/A 31194-2022 karta.png", "A 31194-2022")</f>
        <v/>
      </c>
      <c r="V369">
        <f>HYPERLINK("https://klasma.github.io/Logging_0188/klagomål/A 31194-2022 FSC-klagomål.docx", "A 31194-2022")</f>
        <v/>
      </c>
      <c r="W369">
        <f>HYPERLINK("https://klasma.github.io/Logging_0188/klagomålsmail/A 31194-2022 FSC-klagomål mail.docx", "A 31194-2022")</f>
        <v/>
      </c>
      <c r="X369">
        <f>HYPERLINK("https://klasma.github.io/Logging_0188/tillsyn/A 31194-2022 tillsynsbegäran.docx", "A 31194-2022")</f>
        <v/>
      </c>
      <c r="Y369">
        <f>HYPERLINK("https://klasma.github.io/Logging_0188/tillsynsmail/A 31194-2022 tillsynsbegäran mail.docx", "A 31194-2022")</f>
        <v/>
      </c>
    </row>
    <row r="370" ht="15" customHeight="1">
      <c r="A370" t="inlineStr">
        <is>
          <t>A 33477-2022</t>
        </is>
      </c>
      <c r="B370" s="1" t="n">
        <v>44788</v>
      </c>
      <c r="C370" s="1" t="n">
        <v>45512</v>
      </c>
      <c r="D370" t="inlineStr">
        <is>
          <t>STOCKHOLMS LÄN</t>
        </is>
      </c>
      <c r="E370" t="inlineStr">
        <is>
          <t>NORRTÄLJE</t>
        </is>
      </c>
      <c r="G370" t="n">
        <v>5.7</v>
      </c>
      <c r="H370" t="n">
        <v>1</v>
      </c>
      <c r="I370" t="n">
        <v>1</v>
      </c>
      <c r="J370" t="n">
        <v>0</v>
      </c>
      <c r="K370" t="n">
        <v>0</v>
      </c>
      <c r="L370" t="n">
        <v>0</v>
      </c>
      <c r="M370" t="n">
        <v>0</v>
      </c>
      <c r="N370" t="n">
        <v>0</v>
      </c>
      <c r="O370" t="n">
        <v>0</v>
      </c>
      <c r="P370" t="n">
        <v>0</v>
      </c>
      <c r="Q370" t="n">
        <v>1</v>
      </c>
      <c r="R370" s="2" t="inlineStr">
        <is>
          <t>Nästrot</t>
        </is>
      </c>
      <c r="S370">
        <f>HYPERLINK("https://klasma.github.io/Logging_0188/artfynd/A 33477-2022 artfynd.xlsx", "A 33477-2022")</f>
        <v/>
      </c>
      <c r="T370">
        <f>HYPERLINK("https://klasma.github.io/Logging_0188/kartor/A 33477-2022 karta.png", "A 33477-2022")</f>
        <v/>
      </c>
      <c r="V370">
        <f>HYPERLINK("https://klasma.github.io/Logging_0188/klagomål/A 33477-2022 FSC-klagomål.docx", "A 33477-2022")</f>
        <v/>
      </c>
      <c r="W370">
        <f>HYPERLINK("https://klasma.github.io/Logging_0188/klagomålsmail/A 33477-2022 FSC-klagomål mail.docx", "A 33477-2022")</f>
        <v/>
      </c>
      <c r="X370">
        <f>HYPERLINK("https://klasma.github.io/Logging_0188/tillsyn/A 33477-2022 tillsynsbegäran.docx", "A 33477-2022")</f>
        <v/>
      </c>
      <c r="Y370">
        <f>HYPERLINK("https://klasma.github.io/Logging_0188/tillsynsmail/A 33477-2022 tillsynsbegäran mail.docx", "A 33477-2022")</f>
        <v/>
      </c>
    </row>
    <row r="371" ht="15" customHeight="1">
      <c r="A371" t="inlineStr">
        <is>
          <t>A 34823-2022</t>
        </is>
      </c>
      <c r="B371" s="1" t="n">
        <v>44796</v>
      </c>
      <c r="C371" s="1" t="n">
        <v>45512</v>
      </c>
      <c r="D371" t="inlineStr">
        <is>
          <t>STOCKHOLMS LÄN</t>
        </is>
      </c>
      <c r="E371" t="inlineStr">
        <is>
          <t>HANINGE</t>
        </is>
      </c>
      <c r="G371" t="n">
        <v>12</v>
      </c>
      <c r="H371" t="n">
        <v>0</v>
      </c>
      <c r="I371" t="n">
        <v>0</v>
      </c>
      <c r="J371" t="n">
        <v>0</v>
      </c>
      <c r="K371" t="n">
        <v>1</v>
      </c>
      <c r="L371" t="n">
        <v>0</v>
      </c>
      <c r="M371" t="n">
        <v>0</v>
      </c>
      <c r="N371" t="n">
        <v>0</v>
      </c>
      <c r="O371" t="n">
        <v>1</v>
      </c>
      <c r="P371" t="n">
        <v>1</v>
      </c>
      <c r="Q371" t="n">
        <v>1</v>
      </c>
      <c r="R371" s="2" t="inlineStr">
        <is>
          <t>Mörk kraterlav</t>
        </is>
      </c>
      <c r="S371">
        <f>HYPERLINK("https://klasma.github.io/Logging_0136/artfynd/A 34823-2022 artfynd.xlsx", "A 34823-2022")</f>
        <v/>
      </c>
      <c r="T371">
        <f>HYPERLINK("https://klasma.github.io/Logging_0136/kartor/A 34823-2022 karta.png", "A 34823-2022")</f>
        <v/>
      </c>
      <c r="V371">
        <f>HYPERLINK("https://klasma.github.io/Logging_0136/klagomål/A 34823-2022 FSC-klagomål.docx", "A 34823-2022")</f>
        <v/>
      </c>
      <c r="W371">
        <f>HYPERLINK("https://klasma.github.io/Logging_0136/klagomålsmail/A 34823-2022 FSC-klagomål mail.docx", "A 34823-2022")</f>
        <v/>
      </c>
      <c r="X371">
        <f>HYPERLINK("https://klasma.github.io/Logging_0136/tillsyn/A 34823-2022 tillsynsbegäran.docx", "A 34823-2022")</f>
        <v/>
      </c>
      <c r="Y371">
        <f>HYPERLINK("https://klasma.github.io/Logging_0136/tillsynsmail/A 34823-2022 tillsynsbegäran mail.docx", "A 34823-2022")</f>
        <v/>
      </c>
    </row>
    <row r="372" ht="15" customHeight="1">
      <c r="A372" t="inlineStr">
        <is>
          <t>A 37004-2022</t>
        </is>
      </c>
      <c r="B372" s="1" t="n">
        <v>44806</v>
      </c>
      <c r="C372" s="1" t="n">
        <v>45512</v>
      </c>
      <c r="D372" t="inlineStr">
        <is>
          <t>STOCKHOLMS LÄN</t>
        </is>
      </c>
      <c r="E372" t="inlineStr">
        <is>
          <t>HANINGE</t>
        </is>
      </c>
      <c r="F372" t="inlineStr">
        <is>
          <t>Övriga statliga verk och myndigheter</t>
        </is>
      </c>
      <c r="G372" t="n">
        <v>4.4</v>
      </c>
      <c r="H372" t="n">
        <v>1</v>
      </c>
      <c r="I372" t="n">
        <v>1</v>
      </c>
      <c r="J372" t="n">
        <v>0</v>
      </c>
      <c r="K372" t="n">
        <v>0</v>
      </c>
      <c r="L372" t="n">
        <v>0</v>
      </c>
      <c r="M372" t="n">
        <v>0</v>
      </c>
      <c r="N372" t="n">
        <v>0</v>
      </c>
      <c r="O372" t="n">
        <v>0</v>
      </c>
      <c r="P372" t="n">
        <v>0</v>
      </c>
      <c r="Q372" t="n">
        <v>1</v>
      </c>
      <c r="R372" s="2" t="inlineStr">
        <is>
          <t>Skogsknipprot</t>
        </is>
      </c>
      <c r="S372">
        <f>HYPERLINK("https://klasma.github.io/Logging_0136/artfynd/A 37004-2022 artfynd.xlsx", "A 37004-2022")</f>
        <v/>
      </c>
      <c r="T372">
        <f>HYPERLINK("https://klasma.github.io/Logging_0136/kartor/A 37004-2022 karta.png", "A 37004-2022")</f>
        <v/>
      </c>
      <c r="V372">
        <f>HYPERLINK("https://klasma.github.io/Logging_0136/klagomål/A 37004-2022 FSC-klagomål.docx", "A 37004-2022")</f>
        <v/>
      </c>
      <c r="W372">
        <f>HYPERLINK("https://klasma.github.io/Logging_0136/klagomålsmail/A 37004-2022 FSC-klagomål mail.docx", "A 37004-2022")</f>
        <v/>
      </c>
      <c r="X372">
        <f>HYPERLINK("https://klasma.github.io/Logging_0136/tillsyn/A 37004-2022 tillsynsbegäran.docx", "A 37004-2022")</f>
        <v/>
      </c>
      <c r="Y372">
        <f>HYPERLINK("https://klasma.github.io/Logging_0136/tillsynsmail/A 37004-2022 tillsynsbegäran mail.docx", "A 37004-2022")</f>
        <v/>
      </c>
    </row>
    <row r="373" ht="15" customHeight="1">
      <c r="A373" t="inlineStr">
        <is>
          <t>A 37522-2022</t>
        </is>
      </c>
      <c r="B373" s="1" t="n">
        <v>44809</v>
      </c>
      <c r="C373" s="1" t="n">
        <v>45512</v>
      </c>
      <c r="D373" t="inlineStr">
        <is>
          <t>STOCKHOLMS LÄN</t>
        </is>
      </c>
      <c r="E373" t="inlineStr">
        <is>
          <t>NORRTÄLJE</t>
        </is>
      </c>
      <c r="G373" t="n">
        <v>2.4</v>
      </c>
      <c r="H373" t="n">
        <v>1</v>
      </c>
      <c r="I373" t="n">
        <v>0</v>
      </c>
      <c r="J373" t="n">
        <v>0</v>
      </c>
      <c r="K373" t="n">
        <v>0</v>
      </c>
      <c r="L373" t="n">
        <v>0</v>
      </c>
      <c r="M373" t="n">
        <v>0</v>
      </c>
      <c r="N373" t="n">
        <v>0</v>
      </c>
      <c r="O373" t="n">
        <v>0</v>
      </c>
      <c r="P373" t="n">
        <v>0</v>
      </c>
      <c r="Q373" t="n">
        <v>1</v>
      </c>
      <c r="R373" s="2" t="inlineStr">
        <is>
          <t>Blåsippa</t>
        </is>
      </c>
      <c r="S373">
        <f>HYPERLINK("https://klasma.github.io/Logging_0188/artfynd/A 37522-2022 artfynd.xlsx", "A 37522-2022")</f>
        <v/>
      </c>
      <c r="T373">
        <f>HYPERLINK("https://klasma.github.io/Logging_0188/kartor/A 37522-2022 karta.png", "A 37522-2022")</f>
        <v/>
      </c>
      <c r="V373">
        <f>HYPERLINK("https://klasma.github.io/Logging_0188/klagomål/A 37522-2022 FSC-klagomål.docx", "A 37522-2022")</f>
        <v/>
      </c>
      <c r="W373">
        <f>HYPERLINK("https://klasma.github.io/Logging_0188/klagomålsmail/A 37522-2022 FSC-klagomål mail.docx", "A 37522-2022")</f>
        <v/>
      </c>
      <c r="X373">
        <f>HYPERLINK("https://klasma.github.io/Logging_0188/tillsyn/A 37522-2022 tillsynsbegäran.docx", "A 37522-2022")</f>
        <v/>
      </c>
      <c r="Y373">
        <f>HYPERLINK("https://klasma.github.io/Logging_0188/tillsynsmail/A 37522-2022 tillsynsbegäran mail.docx", "A 37522-2022")</f>
        <v/>
      </c>
    </row>
    <row r="374" ht="15" customHeight="1">
      <c r="A374" t="inlineStr">
        <is>
          <t>A 38452-2022</t>
        </is>
      </c>
      <c r="B374" s="1" t="n">
        <v>44813</v>
      </c>
      <c r="C374" s="1" t="n">
        <v>45512</v>
      </c>
      <c r="D374" t="inlineStr">
        <is>
          <t>STOCKHOLMS LÄN</t>
        </is>
      </c>
      <c r="E374" t="inlineStr">
        <is>
          <t>SÖDERTÄLJE</t>
        </is>
      </c>
      <c r="F374" t="inlineStr">
        <is>
          <t>Kommuner</t>
        </is>
      </c>
      <c r="G374" t="n">
        <v>25</v>
      </c>
      <c r="H374" t="n">
        <v>0</v>
      </c>
      <c r="I374" t="n">
        <v>1</v>
      </c>
      <c r="J374" t="n">
        <v>0</v>
      </c>
      <c r="K374" t="n">
        <v>0</v>
      </c>
      <c r="L374" t="n">
        <v>0</v>
      </c>
      <c r="M374" t="n">
        <v>0</v>
      </c>
      <c r="N374" t="n">
        <v>0</v>
      </c>
      <c r="O374" t="n">
        <v>0</v>
      </c>
      <c r="P374" t="n">
        <v>0</v>
      </c>
      <c r="Q374" t="n">
        <v>1</v>
      </c>
      <c r="R374" s="2" t="inlineStr">
        <is>
          <t>Rödgul trumpetsvamp</t>
        </is>
      </c>
      <c r="S374">
        <f>HYPERLINK("https://klasma.github.io/Logging_0181/artfynd/A 38452-2022 artfynd.xlsx", "A 38452-2022")</f>
        <v/>
      </c>
      <c r="T374">
        <f>HYPERLINK("https://klasma.github.io/Logging_0181/kartor/A 38452-2022 karta.png", "A 38452-2022")</f>
        <v/>
      </c>
      <c r="V374">
        <f>HYPERLINK("https://klasma.github.io/Logging_0181/klagomål/A 38452-2022 FSC-klagomål.docx", "A 38452-2022")</f>
        <v/>
      </c>
      <c r="W374">
        <f>HYPERLINK("https://klasma.github.io/Logging_0181/klagomålsmail/A 38452-2022 FSC-klagomål mail.docx", "A 38452-2022")</f>
        <v/>
      </c>
      <c r="X374">
        <f>HYPERLINK("https://klasma.github.io/Logging_0181/tillsyn/A 38452-2022 tillsynsbegäran.docx", "A 38452-2022")</f>
        <v/>
      </c>
      <c r="Y374">
        <f>HYPERLINK("https://klasma.github.io/Logging_0181/tillsynsmail/A 38452-2022 tillsynsbegäran mail.docx", "A 38452-2022")</f>
        <v/>
      </c>
    </row>
    <row r="375" ht="15" customHeight="1">
      <c r="A375" t="inlineStr">
        <is>
          <t>A 39636-2022</t>
        </is>
      </c>
      <c r="B375" s="1" t="n">
        <v>44818</v>
      </c>
      <c r="C375" s="1" t="n">
        <v>45512</v>
      </c>
      <c r="D375" t="inlineStr">
        <is>
          <t>STOCKHOLMS LÄN</t>
        </is>
      </c>
      <c r="E375" t="inlineStr">
        <is>
          <t>HANINGE</t>
        </is>
      </c>
      <c r="G375" t="n">
        <v>2</v>
      </c>
      <c r="H375" t="n">
        <v>0</v>
      </c>
      <c r="I375" t="n">
        <v>0</v>
      </c>
      <c r="J375" t="n">
        <v>0</v>
      </c>
      <c r="K375" t="n">
        <v>1</v>
      </c>
      <c r="L375" t="n">
        <v>0</v>
      </c>
      <c r="M375" t="n">
        <v>0</v>
      </c>
      <c r="N375" t="n">
        <v>0</v>
      </c>
      <c r="O375" t="n">
        <v>1</v>
      </c>
      <c r="P375" t="n">
        <v>1</v>
      </c>
      <c r="Q375" t="n">
        <v>1</v>
      </c>
      <c r="R375" s="2" t="inlineStr">
        <is>
          <t>Koppartaggsvamp</t>
        </is>
      </c>
      <c r="S375">
        <f>HYPERLINK("https://klasma.github.io/Logging_0136/artfynd/A 39636-2022 artfynd.xlsx", "A 39636-2022")</f>
        <v/>
      </c>
      <c r="T375">
        <f>HYPERLINK("https://klasma.github.io/Logging_0136/kartor/A 39636-2022 karta.png", "A 39636-2022")</f>
        <v/>
      </c>
      <c r="V375">
        <f>HYPERLINK("https://klasma.github.io/Logging_0136/klagomål/A 39636-2022 FSC-klagomål.docx", "A 39636-2022")</f>
        <v/>
      </c>
      <c r="W375">
        <f>HYPERLINK("https://klasma.github.io/Logging_0136/klagomålsmail/A 39636-2022 FSC-klagomål mail.docx", "A 39636-2022")</f>
        <v/>
      </c>
      <c r="X375">
        <f>HYPERLINK("https://klasma.github.io/Logging_0136/tillsyn/A 39636-2022 tillsynsbegäran.docx", "A 39636-2022")</f>
        <v/>
      </c>
      <c r="Y375">
        <f>HYPERLINK("https://klasma.github.io/Logging_0136/tillsynsmail/A 39636-2022 tillsynsbegäran mail.docx", "A 39636-2022")</f>
        <v/>
      </c>
    </row>
    <row r="376" ht="15" customHeight="1">
      <c r="A376" t="inlineStr">
        <is>
          <t>A 40672-2022</t>
        </is>
      </c>
      <c r="B376" s="1" t="n">
        <v>44824</v>
      </c>
      <c r="C376" s="1" t="n">
        <v>45512</v>
      </c>
      <c r="D376" t="inlineStr">
        <is>
          <t>STOCKHOLMS LÄN</t>
        </is>
      </c>
      <c r="E376" t="inlineStr">
        <is>
          <t>NORRTÄLJE</t>
        </is>
      </c>
      <c r="F376" t="inlineStr">
        <is>
          <t>Övriga Aktiebolag</t>
        </is>
      </c>
      <c r="G376" t="n">
        <v>1.3</v>
      </c>
      <c r="H376" t="n">
        <v>0</v>
      </c>
      <c r="I376" t="n">
        <v>0</v>
      </c>
      <c r="J376" t="n">
        <v>1</v>
      </c>
      <c r="K376" t="n">
        <v>0</v>
      </c>
      <c r="L376" t="n">
        <v>0</v>
      </c>
      <c r="M376" t="n">
        <v>0</v>
      </c>
      <c r="N376" t="n">
        <v>0</v>
      </c>
      <c r="O376" t="n">
        <v>1</v>
      </c>
      <c r="P376" t="n">
        <v>0</v>
      </c>
      <c r="Q376" t="n">
        <v>1</v>
      </c>
      <c r="R376" s="2" t="inlineStr">
        <is>
          <t>Månlåsbräken</t>
        </is>
      </c>
      <c r="S376">
        <f>HYPERLINK("https://klasma.github.io/Logging_0188/artfynd/A 40672-2022 artfynd.xlsx", "A 40672-2022")</f>
        <v/>
      </c>
      <c r="T376">
        <f>HYPERLINK("https://klasma.github.io/Logging_0188/kartor/A 40672-2022 karta.png", "A 40672-2022")</f>
        <v/>
      </c>
      <c r="V376">
        <f>HYPERLINK("https://klasma.github.io/Logging_0188/klagomål/A 40672-2022 FSC-klagomål.docx", "A 40672-2022")</f>
        <v/>
      </c>
      <c r="W376">
        <f>HYPERLINK("https://klasma.github.io/Logging_0188/klagomålsmail/A 40672-2022 FSC-klagomål mail.docx", "A 40672-2022")</f>
        <v/>
      </c>
      <c r="X376">
        <f>HYPERLINK("https://klasma.github.io/Logging_0188/tillsyn/A 40672-2022 tillsynsbegäran.docx", "A 40672-2022")</f>
        <v/>
      </c>
      <c r="Y376">
        <f>HYPERLINK("https://klasma.github.io/Logging_0188/tillsynsmail/A 40672-2022 tillsynsbegäran mail.docx", "A 40672-2022")</f>
        <v/>
      </c>
    </row>
    <row r="377" ht="15" customHeight="1">
      <c r="A377" t="inlineStr">
        <is>
          <t>A 44709-2022</t>
        </is>
      </c>
      <c r="B377" s="1" t="n">
        <v>44839</v>
      </c>
      <c r="C377" s="1" t="n">
        <v>45512</v>
      </c>
      <c r="D377" t="inlineStr">
        <is>
          <t>STOCKHOLMS LÄN</t>
        </is>
      </c>
      <c r="E377" t="inlineStr">
        <is>
          <t>NORRTÄLJE</t>
        </is>
      </c>
      <c r="G377" t="n">
        <v>16.3</v>
      </c>
      <c r="H377" t="n">
        <v>0</v>
      </c>
      <c r="I377" t="n">
        <v>0</v>
      </c>
      <c r="J377" t="n">
        <v>1</v>
      </c>
      <c r="K377" t="n">
        <v>0</v>
      </c>
      <c r="L377" t="n">
        <v>0</v>
      </c>
      <c r="M377" t="n">
        <v>0</v>
      </c>
      <c r="N377" t="n">
        <v>0</v>
      </c>
      <c r="O377" t="n">
        <v>1</v>
      </c>
      <c r="P377" t="n">
        <v>0</v>
      </c>
      <c r="Q377" t="n">
        <v>1</v>
      </c>
      <c r="R377" s="2" t="inlineStr">
        <is>
          <t>Asppraktbagge</t>
        </is>
      </c>
      <c r="S377">
        <f>HYPERLINK("https://klasma.github.io/Logging_0188/artfynd/A 44709-2022 artfynd.xlsx", "A 44709-2022")</f>
        <v/>
      </c>
      <c r="T377">
        <f>HYPERLINK("https://klasma.github.io/Logging_0188/kartor/A 44709-2022 karta.png", "A 44709-2022")</f>
        <v/>
      </c>
      <c r="V377">
        <f>HYPERLINK("https://klasma.github.io/Logging_0188/klagomål/A 44709-2022 FSC-klagomål.docx", "A 44709-2022")</f>
        <v/>
      </c>
      <c r="W377">
        <f>HYPERLINK("https://klasma.github.io/Logging_0188/klagomålsmail/A 44709-2022 FSC-klagomål mail.docx", "A 44709-2022")</f>
        <v/>
      </c>
      <c r="X377">
        <f>HYPERLINK("https://klasma.github.io/Logging_0188/tillsyn/A 44709-2022 tillsynsbegäran.docx", "A 44709-2022")</f>
        <v/>
      </c>
      <c r="Y377">
        <f>HYPERLINK("https://klasma.github.io/Logging_0188/tillsynsmail/A 44709-2022 tillsynsbegäran mail.docx", "A 44709-2022")</f>
        <v/>
      </c>
    </row>
    <row r="378" ht="15" customHeight="1">
      <c r="A378" t="inlineStr">
        <is>
          <t>A 44958-2022</t>
        </is>
      </c>
      <c r="B378" s="1" t="n">
        <v>44841</v>
      </c>
      <c r="C378" s="1" t="n">
        <v>45512</v>
      </c>
      <c r="D378" t="inlineStr">
        <is>
          <t>STOCKHOLMS LÄN</t>
        </is>
      </c>
      <c r="E378" t="inlineStr">
        <is>
          <t>SÖDERTÄLJE</t>
        </is>
      </c>
      <c r="F378" t="inlineStr">
        <is>
          <t>Sveaskog</t>
        </is>
      </c>
      <c r="G378" t="n">
        <v>0.5</v>
      </c>
      <c r="H378" t="n">
        <v>0</v>
      </c>
      <c r="I378" t="n">
        <v>0</v>
      </c>
      <c r="J378" t="n">
        <v>1</v>
      </c>
      <c r="K378" t="n">
        <v>0</v>
      </c>
      <c r="L378" t="n">
        <v>0</v>
      </c>
      <c r="M378" t="n">
        <v>0</v>
      </c>
      <c r="N378" t="n">
        <v>0</v>
      </c>
      <c r="O378" t="n">
        <v>1</v>
      </c>
      <c r="P378" t="n">
        <v>0</v>
      </c>
      <c r="Q378" t="n">
        <v>1</v>
      </c>
      <c r="R378" s="2" t="inlineStr">
        <is>
          <t>Slåtterfibbla</t>
        </is>
      </c>
      <c r="S378">
        <f>HYPERLINK("https://klasma.github.io/Logging_0181/artfynd/A 44958-2022 artfynd.xlsx", "A 44958-2022")</f>
        <v/>
      </c>
      <c r="T378">
        <f>HYPERLINK("https://klasma.github.io/Logging_0181/kartor/A 44958-2022 karta.png", "A 44958-2022")</f>
        <v/>
      </c>
      <c r="V378">
        <f>HYPERLINK("https://klasma.github.io/Logging_0181/klagomål/A 44958-2022 FSC-klagomål.docx", "A 44958-2022")</f>
        <v/>
      </c>
      <c r="W378">
        <f>HYPERLINK("https://klasma.github.io/Logging_0181/klagomålsmail/A 44958-2022 FSC-klagomål mail.docx", "A 44958-2022")</f>
        <v/>
      </c>
      <c r="X378">
        <f>HYPERLINK("https://klasma.github.io/Logging_0181/tillsyn/A 44958-2022 tillsynsbegäran.docx", "A 44958-2022")</f>
        <v/>
      </c>
      <c r="Y378">
        <f>HYPERLINK("https://klasma.github.io/Logging_0181/tillsynsmail/A 44958-2022 tillsynsbegäran mail.docx", "A 44958-2022")</f>
        <v/>
      </c>
    </row>
    <row r="379" ht="15" customHeight="1">
      <c r="A379" t="inlineStr">
        <is>
          <t>A 47898-2022</t>
        </is>
      </c>
      <c r="B379" s="1" t="n">
        <v>44855</v>
      </c>
      <c r="C379" s="1" t="n">
        <v>45512</v>
      </c>
      <c r="D379" t="inlineStr">
        <is>
          <t>STOCKHOLMS LÄN</t>
        </is>
      </c>
      <c r="E379" t="inlineStr">
        <is>
          <t>NORRTÄLJE</t>
        </is>
      </c>
      <c r="G379" t="n">
        <v>6.7</v>
      </c>
      <c r="H379" t="n">
        <v>1</v>
      </c>
      <c r="I379" t="n">
        <v>1</v>
      </c>
      <c r="J379" t="n">
        <v>0</v>
      </c>
      <c r="K379" t="n">
        <v>0</v>
      </c>
      <c r="L379" t="n">
        <v>0</v>
      </c>
      <c r="M379" t="n">
        <v>0</v>
      </c>
      <c r="N379" t="n">
        <v>0</v>
      </c>
      <c r="O379" t="n">
        <v>0</v>
      </c>
      <c r="P379" t="n">
        <v>0</v>
      </c>
      <c r="Q379" t="n">
        <v>1</v>
      </c>
      <c r="R379" s="2" t="inlineStr">
        <is>
          <t>Guckusko</t>
        </is>
      </c>
      <c r="S379">
        <f>HYPERLINK("https://klasma.github.io/Logging_0188/artfynd/A 47898-2022 artfynd.xlsx", "A 47898-2022")</f>
        <v/>
      </c>
      <c r="T379">
        <f>HYPERLINK("https://klasma.github.io/Logging_0188/kartor/A 47898-2022 karta.png", "A 47898-2022")</f>
        <v/>
      </c>
      <c r="V379">
        <f>HYPERLINK("https://klasma.github.io/Logging_0188/klagomål/A 47898-2022 FSC-klagomål.docx", "A 47898-2022")</f>
        <v/>
      </c>
      <c r="W379">
        <f>HYPERLINK("https://klasma.github.io/Logging_0188/klagomålsmail/A 47898-2022 FSC-klagomål mail.docx", "A 47898-2022")</f>
        <v/>
      </c>
      <c r="X379">
        <f>HYPERLINK("https://klasma.github.io/Logging_0188/tillsyn/A 47898-2022 tillsynsbegäran.docx", "A 47898-2022")</f>
        <v/>
      </c>
      <c r="Y379">
        <f>HYPERLINK("https://klasma.github.io/Logging_0188/tillsynsmail/A 47898-2022 tillsynsbegäran mail.docx", "A 47898-2022")</f>
        <v/>
      </c>
    </row>
    <row r="380" ht="15" customHeight="1">
      <c r="A380" t="inlineStr">
        <is>
          <t>A 48658-2022</t>
        </is>
      </c>
      <c r="B380" s="1" t="n">
        <v>44859</v>
      </c>
      <c r="C380" s="1" t="n">
        <v>45512</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50854-2022</t>
        </is>
      </c>
      <c r="B381" s="1" t="n">
        <v>44863</v>
      </c>
      <c r="C381" s="1" t="n">
        <v>45512</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51189-2022</t>
        </is>
      </c>
      <c r="B382" s="1" t="n">
        <v>44865</v>
      </c>
      <c r="C382" s="1" t="n">
        <v>45512</v>
      </c>
      <c r="D382" t="inlineStr">
        <is>
          <t>STOCKHOLMS LÄN</t>
        </is>
      </c>
      <c r="E382" t="inlineStr">
        <is>
          <t>SIGTUNA</t>
        </is>
      </c>
      <c r="G382" t="n">
        <v>32.8</v>
      </c>
      <c r="H382" t="n">
        <v>0</v>
      </c>
      <c r="I382" t="n">
        <v>0</v>
      </c>
      <c r="J382" t="n">
        <v>1</v>
      </c>
      <c r="K382" t="n">
        <v>0</v>
      </c>
      <c r="L382" t="n">
        <v>0</v>
      </c>
      <c r="M382" t="n">
        <v>0</v>
      </c>
      <c r="N382" t="n">
        <v>0</v>
      </c>
      <c r="O382" t="n">
        <v>1</v>
      </c>
      <c r="P382" t="n">
        <v>0</v>
      </c>
      <c r="Q382" t="n">
        <v>1</v>
      </c>
      <c r="R382" s="2" t="inlineStr">
        <is>
          <t>Vedskivlav</t>
        </is>
      </c>
      <c r="S382">
        <f>HYPERLINK("https://klasma.github.io/Logging_0191/artfynd/A 51189-2022 artfynd.xlsx", "A 51189-2022")</f>
        <v/>
      </c>
      <c r="T382">
        <f>HYPERLINK("https://klasma.github.io/Logging_0191/kartor/A 51189-2022 karta.png", "A 51189-2022")</f>
        <v/>
      </c>
      <c r="V382">
        <f>HYPERLINK("https://klasma.github.io/Logging_0191/klagomål/A 51189-2022 FSC-klagomål.docx", "A 51189-2022")</f>
        <v/>
      </c>
      <c r="W382">
        <f>HYPERLINK("https://klasma.github.io/Logging_0191/klagomålsmail/A 51189-2022 FSC-klagomål mail.docx", "A 51189-2022")</f>
        <v/>
      </c>
      <c r="X382">
        <f>HYPERLINK("https://klasma.github.io/Logging_0191/tillsyn/A 51189-2022 tillsynsbegäran.docx", "A 51189-2022")</f>
        <v/>
      </c>
      <c r="Y382">
        <f>HYPERLINK("https://klasma.github.io/Logging_0191/tillsynsmail/A 51189-2022 tillsynsbegäran mail.docx", "A 51189-2022")</f>
        <v/>
      </c>
    </row>
    <row r="383" ht="15" customHeight="1">
      <c r="A383" t="inlineStr">
        <is>
          <t>A 52130-2022</t>
        </is>
      </c>
      <c r="B383" s="1" t="n">
        <v>44868</v>
      </c>
      <c r="C383" s="1" t="n">
        <v>45512</v>
      </c>
      <c r="D383" t="inlineStr">
        <is>
          <t>STOCKHOLMS LÄN</t>
        </is>
      </c>
      <c r="E383" t="inlineStr">
        <is>
          <t>NORRTÄLJE</t>
        </is>
      </c>
      <c r="G383" t="n">
        <v>3.7</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52130-2022 artfynd.xlsx", "A 52130-2022")</f>
        <v/>
      </c>
      <c r="T383">
        <f>HYPERLINK("https://klasma.github.io/Logging_0188/kartor/A 52130-2022 karta.png", "A 52130-2022")</f>
        <v/>
      </c>
      <c r="V383">
        <f>HYPERLINK("https://klasma.github.io/Logging_0188/klagomål/A 52130-2022 FSC-klagomål.docx", "A 52130-2022")</f>
        <v/>
      </c>
      <c r="W383">
        <f>HYPERLINK("https://klasma.github.io/Logging_0188/klagomålsmail/A 52130-2022 FSC-klagomål mail.docx", "A 52130-2022")</f>
        <v/>
      </c>
      <c r="X383">
        <f>HYPERLINK("https://klasma.github.io/Logging_0188/tillsyn/A 52130-2022 tillsynsbegäran.docx", "A 52130-2022")</f>
        <v/>
      </c>
      <c r="Y383">
        <f>HYPERLINK("https://klasma.github.io/Logging_0188/tillsynsmail/A 52130-2022 tillsynsbegäran mail.docx", "A 52130-2022")</f>
        <v/>
      </c>
    </row>
    <row r="384" ht="15" customHeight="1">
      <c r="A384" t="inlineStr">
        <is>
          <t>A 61011-2022</t>
        </is>
      </c>
      <c r="B384" s="1" t="n">
        <v>44914</v>
      </c>
      <c r="C384" s="1" t="n">
        <v>45512</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61011-2022 artfynd.xlsx", "A 61011-2022")</f>
        <v/>
      </c>
      <c r="T384">
        <f>HYPERLINK("https://klasma.github.io/Logging_0188/kartor/A 61011-2022 karta.png", "A 61011-2022")</f>
        <v/>
      </c>
      <c r="V384">
        <f>HYPERLINK("https://klasma.github.io/Logging_0188/klagomål/A 61011-2022 FSC-klagomål.docx", "A 61011-2022")</f>
        <v/>
      </c>
      <c r="W384">
        <f>HYPERLINK("https://klasma.github.io/Logging_0188/klagomålsmail/A 61011-2022 FSC-klagomål mail.docx", "A 61011-2022")</f>
        <v/>
      </c>
      <c r="X384">
        <f>HYPERLINK("https://klasma.github.io/Logging_0188/tillsyn/A 61011-2022 tillsynsbegäran.docx", "A 61011-2022")</f>
        <v/>
      </c>
      <c r="Y384">
        <f>HYPERLINK("https://klasma.github.io/Logging_0188/tillsynsmail/A 61011-2022 tillsynsbegäran mail.docx", "A 61011-2022")</f>
        <v/>
      </c>
    </row>
    <row r="385" ht="15" customHeight="1">
      <c r="A385" t="inlineStr">
        <is>
          <t>A 61372-2022</t>
        </is>
      </c>
      <c r="B385" s="1" t="n">
        <v>44915</v>
      </c>
      <c r="C385" s="1" t="n">
        <v>45512</v>
      </c>
      <c r="D385" t="inlineStr">
        <is>
          <t>STOCKHOLMS LÄN</t>
        </is>
      </c>
      <c r="E385" t="inlineStr">
        <is>
          <t>ÖSTERÅKER</t>
        </is>
      </c>
      <c r="G385" t="n">
        <v>4.3</v>
      </c>
      <c r="H385" t="n">
        <v>0</v>
      </c>
      <c r="I385" t="n">
        <v>1</v>
      </c>
      <c r="J385" t="n">
        <v>0</v>
      </c>
      <c r="K385" t="n">
        <v>0</v>
      </c>
      <c r="L385" t="n">
        <v>0</v>
      </c>
      <c r="M385" t="n">
        <v>0</v>
      </c>
      <c r="N385" t="n">
        <v>0</v>
      </c>
      <c r="O385" t="n">
        <v>0</v>
      </c>
      <c r="P385" t="n">
        <v>0</v>
      </c>
      <c r="Q385" t="n">
        <v>1</v>
      </c>
      <c r="R385" s="2" t="inlineStr">
        <is>
          <t>Mindre märgborre</t>
        </is>
      </c>
      <c r="S385">
        <f>HYPERLINK("https://klasma.github.io/Logging_0117/artfynd/A 61372-2022 artfynd.xlsx", "A 61372-2022")</f>
        <v/>
      </c>
      <c r="T385">
        <f>HYPERLINK("https://klasma.github.io/Logging_0117/kartor/A 61372-2022 karta.png", "A 61372-2022")</f>
        <v/>
      </c>
      <c r="V385">
        <f>HYPERLINK("https://klasma.github.io/Logging_0117/klagomål/A 61372-2022 FSC-klagomål.docx", "A 61372-2022")</f>
        <v/>
      </c>
      <c r="W385">
        <f>HYPERLINK("https://klasma.github.io/Logging_0117/klagomålsmail/A 61372-2022 FSC-klagomål mail.docx", "A 61372-2022")</f>
        <v/>
      </c>
      <c r="X385">
        <f>HYPERLINK("https://klasma.github.io/Logging_0117/tillsyn/A 61372-2022 tillsynsbegäran.docx", "A 61372-2022")</f>
        <v/>
      </c>
      <c r="Y385">
        <f>HYPERLINK("https://klasma.github.io/Logging_0117/tillsynsmail/A 61372-2022 tillsynsbegäran mail.docx", "A 61372-2022")</f>
        <v/>
      </c>
    </row>
    <row r="386" ht="15" customHeight="1">
      <c r="A386" t="inlineStr">
        <is>
          <t>A 61732-2022</t>
        </is>
      </c>
      <c r="B386" s="1" t="n">
        <v>44917</v>
      </c>
      <c r="C386" s="1" t="n">
        <v>45512</v>
      </c>
      <c r="D386" t="inlineStr">
        <is>
          <t>STOCKHOLMS LÄN</t>
        </is>
      </c>
      <c r="E386" t="inlineStr">
        <is>
          <t>ÖSTERÅKER</t>
        </is>
      </c>
      <c r="G386" t="n">
        <v>2.2</v>
      </c>
      <c r="H386" t="n">
        <v>0</v>
      </c>
      <c r="I386" t="n">
        <v>0</v>
      </c>
      <c r="J386" t="n">
        <v>1</v>
      </c>
      <c r="K386" t="n">
        <v>0</v>
      </c>
      <c r="L386" t="n">
        <v>0</v>
      </c>
      <c r="M386" t="n">
        <v>0</v>
      </c>
      <c r="N386" t="n">
        <v>0</v>
      </c>
      <c r="O386" t="n">
        <v>1</v>
      </c>
      <c r="P386" t="n">
        <v>0</v>
      </c>
      <c r="Q386" t="n">
        <v>1</v>
      </c>
      <c r="R386" s="2" t="inlineStr">
        <is>
          <t>Ullticka</t>
        </is>
      </c>
      <c r="S386">
        <f>HYPERLINK("https://klasma.github.io/Logging_0117/artfynd/A 61732-2022 artfynd.xlsx", "A 61732-2022")</f>
        <v/>
      </c>
      <c r="T386">
        <f>HYPERLINK("https://klasma.github.io/Logging_0117/kartor/A 61732-2022 karta.png", "A 61732-2022")</f>
        <v/>
      </c>
      <c r="V386">
        <f>HYPERLINK("https://klasma.github.io/Logging_0117/klagomål/A 61732-2022 FSC-klagomål.docx", "A 61732-2022")</f>
        <v/>
      </c>
      <c r="W386">
        <f>HYPERLINK("https://klasma.github.io/Logging_0117/klagomålsmail/A 61732-2022 FSC-klagomål mail.docx", "A 61732-2022")</f>
        <v/>
      </c>
      <c r="X386">
        <f>HYPERLINK("https://klasma.github.io/Logging_0117/tillsyn/A 61732-2022 tillsynsbegäran.docx", "A 61732-2022")</f>
        <v/>
      </c>
      <c r="Y386">
        <f>HYPERLINK("https://klasma.github.io/Logging_0117/tillsynsmail/A 61732-2022 tillsynsbegäran mail.docx", "A 61732-2022")</f>
        <v/>
      </c>
    </row>
    <row r="387" ht="15" customHeight="1">
      <c r="A387" t="inlineStr">
        <is>
          <t>A 847-2023</t>
        </is>
      </c>
      <c r="B387" s="1" t="n">
        <v>44931</v>
      </c>
      <c r="C387" s="1" t="n">
        <v>45512</v>
      </c>
      <c r="D387" t="inlineStr">
        <is>
          <t>STOCKHOLMS LÄN</t>
        </is>
      </c>
      <c r="E387" t="inlineStr">
        <is>
          <t>ÖSTERÅKER</t>
        </is>
      </c>
      <c r="G387" t="n">
        <v>3</v>
      </c>
      <c r="H387" t="n">
        <v>1</v>
      </c>
      <c r="I387" t="n">
        <v>0</v>
      </c>
      <c r="J387" t="n">
        <v>1</v>
      </c>
      <c r="K387" t="n">
        <v>0</v>
      </c>
      <c r="L387" t="n">
        <v>0</v>
      </c>
      <c r="M387" t="n">
        <v>0</v>
      </c>
      <c r="N387" t="n">
        <v>0</v>
      </c>
      <c r="O387" t="n">
        <v>1</v>
      </c>
      <c r="P387" t="n">
        <v>0</v>
      </c>
      <c r="Q387" t="n">
        <v>1</v>
      </c>
      <c r="R387" s="2" t="inlineStr">
        <is>
          <t>Talltita</t>
        </is>
      </c>
      <c r="S387">
        <f>HYPERLINK("https://klasma.github.io/Logging_0117/artfynd/A 847-2023 artfynd.xlsx", "A 847-2023")</f>
        <v/>
      </c>
      <c r="T387">
        <f>HYPERLINK("https://klasma.github.io/Logging_0117/kartor/A 847-2023 karta.png", "A 847-2023")</f>
        <v/>
      </c>
      <c r="V387">
        <f>HYPERLINK("https://klasma.github.io/Logging_0117/klagomål/A 847-2023 FSC-klagomål.docx", "A 847-2023")</f>
        <v/>
      </c>
      <c r="W387">
        <f>HYPERLINK("https://klasma.github.io/Logging_0117/klagomålsmail/A 847-2023 FSC-klagomål mail.docx", "A 847-2023")</f>
        <v/>
      </c>
      <c r="X387">
        <f>HYPERLINK("https://klasma.github.io/Logging_0117/tillsyn/A 847-2023 tillsynsbegäran.docx", "A 847-2023")</f>
        <v/>
      </c>
      <c r="Y387">
        <f>HYPERLINK("https://klasma.github.io/Logging_0117/tillsynsmail/A 847-2023 tillsynsbegäran mail.docx", "A 847-2023")</f>
        <v/>
      </c>
      <c r="Z387">
        <f>HYPERLINK("https://klasma.github.io/Logging_0117/fåglar/A 847-2023 prioriterade fågelarter.docx", "A 847-2023")</f>
        <v/>
      </c>
    </row>
    <row r="388" ht="15" customHeight="1">
      <c r="A388" t="inlineStr">
        <is>
          <t>A 1691-2023</t>
        </is>
      </c>
      <c r="B388" s="1" t="n">
        <v>44938</v>
      </c>
      <c r="C388" s="1" t="n">
        <v>45512</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2987-2023</t>
        </is>
      </c>
      <c r="B389" s="1" t="n">
        <v>44945</v>
      </c>
      <c r="C389" s="1" t="n">
        <v>45512</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3919-2023</t>
        </is>
      </c>
      <c r="B390" s="1" t="n">
        <v>44952</v>
      </c>
      <c r="C390" s="1" t="n">
        <v>45512</v>
      </c>
      <c r="D390" t="inlineStr">
        <is>
          <t>STOCKHOLMS LÄN</t>
        </is>
      </c>
      <c r="E390" t="inlineStr">
        <is>
          <t>ÖSTERÅKER</t>
        </is>
      </c>
      <c r="F390" t="inlineStr">
        <is>
          <t>Kommuner</t>
        </is>
      </c>
      <c r="G390" t="n">
        <v>4.9</v>
      </c>
      <c r="H390" t="n">
        <v>0</v>
      </c>
      <c r="I390" t="n">
        <v>0</v>
      </c>
      <c r="J390" t="n">
        <v>1</v>
      </c>
      <c r="K390" t="n">
        <v>0</v>
      </c>
      <c r="L390" t="n">
        <v>0</v>
      </c>
      <c r="M390" t="n">
        <v>0</v>
      </c>
      <c r="N390" t="n">
        <v>0</v>
      </c>
      <c r="O390" t="n">
        <v>1</v>
      </c>
      <c r="P390" t="n">
        <v>0</v>
      </c>
      <c r="Q390" t="n">
        <v>1</v>
      </c>
      <c r="R390" s="2" t="inlineStr">
        <is>
          <t>Tallticka</t>
        </is>
      </c>
      <c r="S390">
        <f>HYPERLINK("https://klasma.github.io/Logging_0117/artfynd/A 3919-2023 artfynd.xlsx", "A 3919-2023")</f>
        <v/>
      </c>
      <c r="T390">
        <f>HYPERLINK("https://klasma.github.io/Logging_0117/kartor/A 3919-2023 karta.png", "A 3919-2023")</f>
        <v/>
      </c>
      <c r="V390">
        <f>HYPERLINK("https://klasma.github.io/Logging_0117/klagomål/A 3919-2023 FSC-klagomål.docx", "A 3919-2023")</f>
        <v/>
      </c>
      <c r="W390">
        <f>HYPERLINK("https://klasma.github.io/Logging_0117/klagomålsmail/A 3919-2023 FSC-klagomål mail.docx", "A 3919-2023")</f>
        <v/>
      </c>
      <c r="X390">
        <f>HYPERLINK("https://klasma.github.io/Logging_0117/tillsyn/A 3919-2023 tillsynsbegäran.docx", "A 3919-2023")</f>
        <v/>
      </c>
      <c r="Y390">
        <f>HYPERLINK("https://klasma.github.io/Logging_0117/tillsynsmail/A 3919-2023 tillsynsbegäran mail.docx", "A 3919-2023")</f>
        <v/>
      </c>
    </row>
    <row r="391" ht="15" customHeight="1">
      <c r="A391" t="inlineStr">
        <is>
          <t>A 3914-2023</t>
        </is>
      </c>
      <c r="B391" s="1" t="n">
        <v>44952</v>
      </c>
      <c r="C391" s="1" t="n">
        <v>45512</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4385-2023</t>
        </is>
      </c>
      <c r="B392" s="1" t="n">
        <v>44955</v>
      </c>
      <c r="C392" s="1" t="n">
        <v>45512</v>
      </c>
      <c r="D392" t="inlineStr">
        <is>
          <t>STOCKHOLMS LÄN</t>
        </is>
      </c>
      <c r="E392" t="inlineStr">
        <is>
          <t>NORRTÄLJE</t>
        </is>
      </c>
      <c r="G392" t="n">
        <v>7.8</v>
      </c>
      <c r="H392" t="n">
        <v>1</v>
      </c>
      <c r="I392" t="n">
        <v>1</v>
      </c>
      <c r="J392" t="n">
        <v>0</v>
      </c>
      <c r="K392" t="n">
        <v>0</v>
      </c>
      <c r="L392" t="n">
        <v>0</v>
      </c>
      <c r="M392" t="n">
        <v>0</v>
      </c>
      <c r="N392" t="n">
        <v>0</v>
      </c>
      <c r="O392" t="n">
        <v>0</v>
      </c>
      <c r="P392" t="n">
        <v>0</v>
      </c>
      <c r="Q392" t="n">
        <v>1</v>
      </c>
      <c r="R392" s="2" t="inlineStr">
        <is>
          <t>Skogsknipprot</t>
        </is>
      </c>
      <c r="S392">
        <f>HYPERLINK("https://klasma.github.io/Logging_0188/artfynd/A 4385-2023 artfynd.xlsx", "A 4385-2023")</f>
        <v/>
      </c>
      <c r="T392">
        <f>HYPERLINK("https://klasma.github.io/Logging_0188/kartor/A 4385-2023 karta.png", "A 4385-2023")</f>
        <v/>
      </c>
      <c r="V392">
        <f>HYPERLINK("https://klasma.github.io/Logging_0188/klagomål/A 4385-2023 FSC-klagomål.docx", "A 4385-2023")</f>
        <v/>
      </c>
      <c r="W392">
        <f>HYPERLINK("https://klasma.github.io/Logging_0188/klagomålsmail/A 4385-2023 FSC-klagomål mail.docx", "A 4385-2023")</f>
        <v/>
      </c>
      <c r="X392">
        <f>HYPERLINK("https://klasma.github.io/Logging_0188/tillsyn/A 4385-2023 tillsynsbegäran.docx", "A 4385-2023")</f>
        <v/>
      </c>
      <c r="Y392">
        <f>HYPERLINK("https://klasma.github.io/Logging_0188/tillsynsmail/A 4385-2023 tillsynsbegäran mail.docx", "A 4385-2023")</f>
        <v/>
      </c>
    </row>
    <row r="393" ht="15" customHeight="1">
      <c r="A393" t="inlineStr">
        <is>
          <t>A 4595-2023</t>
        </is>
      </c>
      <c r="B393" s="1" t="n">
        <v>44956</v>
      </c>
      <c r="C393" s="1" t="n">
        <v>45512</v>
      </c>
      <c r="D393" t="inlineStr">
        <is>
          <t>STOCKHOLMS LÄN</t>
        </is>
      </c>
      <c r="E393" t="inlineStr">
        <is>
          <t>NORRTÄLJE</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HYPERLINK("https://klasma.github.io/Logging_0188/artfynd/A 4595-2023 artfynd.xlsx", "A 4595-2023")</f>
        <v/>
      </c>
      <c r="T393">
        <f>HYPERLINK("https://klasma.github.io/Logging_0188/kartor/A 4595-2023 karta.png", "A 4595-2023")</f>
        <v/>
      </c>
      <c r="V393">
        <f>HYPERLINK("https://klasma.github.io/Logging_0188/klagomål/A 4595-2023 FSC-klagomål.docx", "A 4595-2023")</f>
        <v/>
      </c>
      <c r="W393">
        <f>HYPERLINK("https://klasma.github.io/Logging_0188/klagomålsmail/A 4595-2023 FSC-klagomål mail.docx", "A 4595-2023")</f>
        <v/>
      </c>
      <c r="X393">
        <f>HYPERLINK("https://klasma.github.io/Logging_0188/tillsyn/A 4595-2023 tillsynsbegäran.docx", "A 4595-2023")</f>
        <v/>
      </c>
      <c r="Y393">
        <f>HYPERLINK("https://klasma.github.io/Logging_0188/tillsynsmail/A 4595-2023 tillsynsbegäran mail.docx", "A 4595-2023")</f>
        <v/>
      </c>
    </row>
    <row r="394" ht="15" customHeight="1">
      <c r="A394" t="inlineStr">
        <is>
          <t>A 4688-2023</t>
        </is>
      </c>
      <c r="B394" s="1" t="n">
        <v>44957</v>
      </c>
      <c r="C394" s="1" t="n">
        <v>45512</v>
      </c>
      <c r="D394" t="inlineStr">
        <is>
          <t>STOCKHOLMS LÄN</t>
        </is>
      </c>
      <c r="E394" t="inlineStr">
        <is>
          <t>NYNÄSHAMN</t>
        </is>
      </c>
      <c r="G394" t="n">
        <v>0.9</v>
      </c>
      <c r="H394" t="n">
        <v>1</v>
      </c>
      <c r="I394" t="n">
        <v>0</v>
      </c>
      <c r="J394" t="n">
        <v>1</v>
      </c>
      <c r="K394" t="n">
        <v>0</v>
      </c>
      <c r="L394" t="n">
        <v>0</v>
      </c>
      <c r="M394" t="n">
        <v>0</v>
      </c>
      <c r="N394" t="n">
        <v>0</v>
      </c>
      <c r="O394" t="n">
        <v>1</v>
      </c>
      <c r="P394" t="n">
        <v>0</v>
      </c>
      <c r="Q394" t="n">
        <v>1</v>
      </c>
      <c r="R394" s="2" t="inlineStr">
        <is>
          <t>Lundsångare</t>
        </is>
      </c>
      <c r="S394">
        <f>HYPERLINK("https://klasma.github.io/Logging_0192/artfynd/A 4688-2023 artfynd.xlsx", "A 4688-2023")</f>
        <v/>
      </c>
      <c r="T394">
        <f>HYPERLINK("https://klasma.github.io/Logging_0192/kartor/A 4688-2023 karta.png", "A 4688-2023")</f>
        <v/>
      </c>
      <c r="V394">
        <f>HYPERLINK("https://klasma.github.io/Logging_0192/klagomål/A 4688-2023 FSC-klagomål.docx", "A 4688-2023")</f>
        <v/>
      </c>
      <c r="W394">
        <f>HYPERLINK("https://klasma.github.io/Logging_0192/klagomålsmail/A 4688-2023 FSC-klagomål mail.docx", "A 4688-2023")</f>
        <v/>
      </c>
      <c r="X394">
        <f>HYPERLINK("https://klasma.github.io/Logging_0192/tillsyn/A 4688-2023 tillsynsbegäran.docx", "A 4688-2023")</f>
        <v/>
      </c>
      <c r="Y394">
        <f>HYPERLINK("https://klasma.github.io/Logging_0192/tillsynsmail/A 4688-2023 tillsynsbegäran mail.docx", "A 4688-2023")</f>
        <v/>
      </c>
      <c r="Z394">
        <f>HYPERLINK("https://klasma.github.io/Logging_0192/fåglar/A 4688-2023 prioriterade fågelarter.docx", "A 4688-2023")</f>
        <v/>
      </c>
    </row>
    <row r="395" ht="15" customHeight="1">
      <c r="A395" t="inlineStr">
        <is>
          <t>A 5574-2023</t>
        </is>
      </c>
      <c r="B395" s="1" t="n">
        <v>44960</v>
      </c>
      <c r="C395" s="1" t="n">
        <v>45512</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5574-2023 artfynd.xlsx", "A 5574-2023")</f>
        <v/>
      </c>
      <c r="T395">
        <f>HYPERLINK("https://klasma.github.io/Logging_0127/kartor/A 5574-2023 karta.png", "A 5574-2023")</f>
        <v/>
      </c>
      <c r="V395">
        <f>HYPERLINK("https://klasma.github.io/Logging_0127/klagomål/A 5574-2023 FSC-klagomål.docx", "A 5574-2023")</f>
        <v/>
      </c>
      <c r="W395">
        <f>HYPERLINK("https://klasma.github.io/Logging_0127/klagomålsmail/A 5574-2023 FSC-klagomål mail.docx", "A 5574-2023")</f>
        <v/>
      </c>
      <c r="X395">
        <f>HYPERLINK("https://klasma.github.io/Logging_0127/tillsyn/A 5574-2023 tillsynsbegäran.docx", "A 5574-2023")</f>
        <v/>
      </c>
      <c r="Y395">
        <f>HYPERLINK("https://klasma.github.io/Logging_0127/tillsynsmail/A 5574-2023 tillsynsbegäran mail.docx", "A 5574-2023")</f>
        <v/>
      </c>
    </row>
    <row r="396" ht="15" customHeight="1">
      <c r="A396" t="inlineStr">
        <is>
          <t>A 6381-2023</t>
        </is>
      </c>
      <c r="B396" s="1" t="n">
        <v>44965</v>
      </c>
      <c r="C396" s="1" t="n">
        <v>45512</v>
      </c>
      <c r="D396" t="inlineStr">
        <is>
          <t>STOCKHOLMS LÄN</t>
        </is>
      </c>
      <c r="E396" t="inlineStr">
        <is>
          <t>NORRTÄLJE</t>
        </is>
      </c>
      <c r="G396" t="n">
        <v>3.5</v>
      </c>
      <c r="H396" t="n">
        <v>1</v>
      </c>
      <c r="I396" t="n">
        <v>1</v>
      </c>
      <c r="J396" t="n">
        <v>0</v>
      </c>
      <c r="K396" t="n">
        <v>0</v>
      </c>
      <c r="L396" t="n">
        <v>0</v>
      </c>
      <c r="M396" t="n">
        <v>0</v>
      </c>
      <c r="N396" t="n">
        <v>0</v>
      </c>
      <c r="O396" t="n">
        <v>0</v>
      </c>
      <c r="P396" t="n">
        <v>0</v>
      </c>
      <c r="Q396" t="n">
        <v>1</v>
      </c>
      <c r="R396" s="2" t="inlineStr">
        <is>
          <t>Guckusko</t>
        </is>
      </c>
      <c r="S396">
        <f>HYPERLINK("https://klasma.github.io/Logging_0188/artfynd/A 6381-2023 artfynd.xlsx", "A 6381-2023")</f>
        <v/>
      </c>
      <c r="T396">
        <f>HYPERLINK("https://klasma.github.io/Logging_0188/kartor/A 6381-2023 karta.png", "A 6381-2023")</f>
        <v/>
      </c>
      <c r="V396">
        <f>HYPERLINK("https://klasma.github.io/Logging_0188/klagomål/A 6381-2023 FSC-klagomål.docx", "A 6381-2023")</f>
        <v/>
      </c>
      <c r="W396">
        <f>HYPERLINK("https://klasma.github.io/Logging_0188/klagomålsmail/A 6381-2023 FSC-klagomål mail.docx", "A 6381-2023")</f>
        <v/>
      </c>
      <c r="X396">
        <f>HYPERLINK("https://klasma.github.io/Logging_0188/tillsyn/A 6381-2023 tillsynsbegäran.docx", "A 6381-2023")</f>
        <v/>
      </c>
      <c r="Y396">
        <f>HYPERLINK("https://klasma.github.io/Logging_0188/tillsynsmail/A 6381-2023 tillsynsbegäran mail.docx", "A 6381-2023")</f>
        <v/>
      </c>
    </row>
    <row r="397" ht="15" customHeight="1">
      <c r="A397" t="inlineStr">
        <is>
          <t>A 6435-2023</t>
        </is>
      </c>
      <c r="B397" s="1" t="n">
        <v>44965</v>
      </c>
      <c r="C397" s="1" t="n">
        <v>45512</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7540-2023</t>
        </is>
      </c>
      <c r="B398" s="1" t="n">
        <v>44972</v>
      </c>
      <c r="C398" s="1" t="n">
        <v>45512</v>
      </c>
      <c r="D398" t="inlineStr">
        <is>
          <t>STOCKHOLMS LÄN</t>
        </is>
      </c>
      <c r="E398" t="inlineStr">
        <is>
          <t>NYNÄSHAMN</t>
        </is>
      </c>
      <c r="G398" t="n">
        <v>3.4</v>
      </c>
      <c r="H398" t="n">
        <v>1</v>
      </c>
      <c r="I398" t="n">
        <v>0</v>
      </c>
      <c r="J398" t="n">
        <v>1</v>
      </c>
      <c r="K398" t="n">
        <v>0</v>
      </c>
      <c r="L398" t="n">
        <v>0</v>
      </c>
      <c r="M398" t="n">
        <v>0</v>
      </c>
      <c r="N398" t="n">
        <v>0</v>
      </c>
      <c r="O398" t="n">
        <v>1</v>
      </c>
      <c r="P398" t="n">
        <v>0</v>
      </c>
      <c r="Q398" t="n">
        <v>1</v>
      </c>
      <c r="R398" s="2" t="inlineStr">
        <is>
          <t>Fjällvråk</t>
        </is>
      </c>
      <c r="S398">
        <f>HYPERLINK("https://klasma.github.io/Logging_0192/artfynd/A 7540-2023 artfynd.xlsx", "A 7540-2023")</f>
        <v/>
      </c>
      <c r="T398">
        <f>HYPERLINK("https://klasma.github.io/Logging_0192/kartor/A 7540-2023 karta.png", "A 7540-2023")</f>
        <v/>
      </c>
      <c r="V398">
        <f>HYPERLINK("https://klasma.github.io/Logging_0192/klagomål/A 7540-2023 FSC-klagomål.docx", "A 7540-2023")</f>
        <v/>
      </c>
      <c r="W398">
        <f>HYPERLINK("https://klasma.github.io/Logging_0192/klagomålsmail/A 7540-2023 FSC-klagomål mail.docx", "A 7540-2023")</f>
        <v/>
      </c>
      <c r="X398">
        <f>HYPERLINK("https://klasma.github.io/Logging_0192/tillsyn/A 7540-2023 tillsynsbegäran.docx", "A 7540-2023")</f>
        <v/>
      </c>
      <c r="Y398">
        <f>HYPERLINK("https://klasma.github.io/Logging_0192/tillsynsmail/A 7540-2023 tillsynsbegäran mail.docx", "A 7540-2023")</f>
        <v/>
      </c>
      <c r="Z398">
        <f>HYPERLINK("https://klasma.github.io/Logging_0192/fåglar/A 7540-2023 prioriterade fågelarter.docx", "A 7540-2023")</f>
        <v/>
      </c>
    </row>
    <row r="399" ht="15" customHeight="1">
      <c r="A399" t="inlineStr">
        <is>
          <t>A 7890-2023</t>
        </is>
      </c>
      <c r="B399" s="1" t="n">
        <v>44973</v>
      </c>
      <c r="C399" s="1" t="n">
        <v>45512</v>
      </c>
      <c r="D399" t="inlineStr">
        <is>
          <t>STOCKHOLMS LÄN</t>
        </is>
      </c>
      <c r="E399" t="inlineStr">
        <is>
          <t>VALLENTUNA</t>
        </is>
      </c>
      <c r="G399" t="n">
        <v>0.5</v>
      </c>
      <c r="H399" t="n">
        <v>0</v>
      </c>
      <c r="I399" t="n">
        <v>0</v>
      </c>
      <c r="J399" t="n">
        <v>1</v>
      </c>
      <c r="K399" t="n">
        <v>0</v>
      </c>
      <c r="L399" t="n">
        <v>0</v>
      </c>
      <c r="M399" t="n">
        <v>0</v>
      </c>
      <c r="N399" t="n">
        <v>0</v>
      </c>
      <c r="O399" t="n">
        <v>1</v>
      </c>
      <c r="P399" t="n">
        <v>0</v>
      </c>
      <c r="Q399" t="n">
        <v>1</v>
      </c>
      <c r="R399" s="2" t="inlineStr">
        <is>
          <t>Ullticka</t>
        </is>
      </c>
      <c r="S399">
        <f>HYPERLINK("https://klasma.github.io/Logging_0115/artfynd/A 7890-2023 artfynd.xlsx", "A 7890-2023")</f>
        <v/>
      </c>
      <c r="T399">
        <f>HYPERLINK("https://klasma.github.io/Logging_0115/kartor/A 7890-2023 karta.png", "A 7890-2023")</f>
        <v/>
      </c>
      <c r="V399">
        <f>HYPERLINK("https://klasma.github.io/Logging_0115/klagomål/A 7890-2023 FSC-klagomål.docx", "A 7890-2023")</f>
        <v/>
      </c>
      <c r="W399">
        <f>HYPERLINK("https://klasma.github.io/Logging_0115/klagomålsmail/A 7890-2023 FSC-klagomål mail.docx", "A 7890-2023")</f>
        <v/>
      </c>
      <c r="X399">
        <f>HYPERLINK("https://klasma.github.io/Logging_0115/tillsyn/A 7890-2023 tillsynsbegäran.docx", "A 7890-2023")</f>
        <v/>
      </c>
      <c r="Y399">
        <f>HYPERLINK("https://klasma.github.io/Logging_0115/tillsynsmail/A 7890-2023 tillsynsbegäran mail.docx", "A 7890-2023")</f>
        <v/>
      </c>
    </row>
    <row r="400" ht="15" customHeight="1">
      <c r="A400" t="inlineStr">
        <is>
          <t>A 7955-2023</t>
        </is>
      </c>
      <c r="B400" s="1" t="n">
        <v>44973</v>
      </c>
      <c r="C400" s="1" t="n">
        <v>45512</v>
      </c>
      <c r="D400" t="inlineStr">
        <is>
          <t>STOCKHOLMS LÄN</t>
        </is>
      </c>
      <c r="E400" t="inlineStr">
        <is>
          <t>UPPLANDS-BRO</t>
        </is>
      </c>
      <c r="G400" t="n">
        <v>2.9</v>
      </c>
      <c r="H400" t="n">
        <v>1</v>
      </c>
      <c r="I400" t="n">
        <v>0</v>
      </c>
      <c r="J400" t="n">
        <v>0</v>
      </c>
      <c r="K400" t="n">
        <v>1</v>
      </c>
      <c r="L400" t="n">
        <v>0</v>
      </c>
      <c r="M400" t="n">
        <v>0</v>
      </c>
      <c r="N400" t="n">
        <v>0</v>
      </c>
      <c r="O400" t="n">
        <v>1</v>
      </c>
      <c r="P400" t="n">
        <v>1</v>
      </c>
      <c r="Q400" t="n">
        <v>1</v>
      </c>
      <c r="R400" s="2" t="inlineStr">
        <is>
          <t>Bombmurkla</t>
        </is>
      </c>
      <c r="S400">
        <f>HYPERLINK("https://klasma.github.io/Logging_0139/artfynd/A 7955-2023 artfynd.xlsx", "A 7955-2023")</f>
        <v/>
      </c>
      <c r="T400">
        <f>HYPERLINK("https://klasma.github.io/Logging_0139/kartor/A 7955-2023 karta.png", "A 7955-2023")</f>
        <v/>
      </c>
      <c r="V400">
        <f>HYPERLINK("https://klasma.github.io/Logging_0139/klagomål/A 7955-2023 FSC-klagomål.docx", "A 7955-2023")</f>
        <v/>
      </c>
      <c r="W400">
        <f>HYPERLINK("https://klasma.github.io/Logging_0139/klagomålsmail/A 7955-2023 FSC-klagomål mail.docx", "A 7955-2023")</f>
        <v/>
      </c>
      <c r="X400">
        <f>HYPERLINK("https://klasma.github.io/Logging_0139/tillsyn/A 7955-2023 tillsynsbegäran.docx", "A 7955-2023")</f>
        <v/>
      </c>
      <c r="Y400">
        <f>HYPERLINK("https://klasma.github.io/Logging_0139/tillsynsmail/A 7955-2023 tillsynsbegäran mail.docx", "A 7955-2023")</f>
        <v/>
      </c>
    </row>
    <row r="401" ht="15" customHeight="1">
      <c r="A401" t="inlineStr">
        <is>
          <t>A 8149-2023</t>
        </is>
      </c>
      <c r="B401" s="1" t="n">
        <v>44974</v>
      </c>
      <c r="C401" s="1" t="n">
        <v>45512</v>
      </c>
      <c r="D401" t="inlineStr">
        <is>
          <t>STOCKHOLMS LÄN</t>
        </is>
      </c>
      <c r="E401" t="inlineStr">
        <is>
          <t>SIGTUNA</t>
        </is>
      </c>
      <c r="G401" t="n">
        <v>11.5</v>
      </c>
      <c r="H401" t="n">
        <v>0</v>
      </c>
      <c r="I401" t="n">
        <v>0</v>
      </c>
      <c r="J401" t="n">
        <v>0</v>
      </c>
      <c r="K401" t="n">
        <v>1</v>
      </c>
      <c r="L401" t="n">
        <v>0</v>
      </c>
      <c r="M401" t="n">
        <v>0</v>
      </c>
      <c r="N401" t="n">
        <v>0</v>
      </c>
      <c r="O401" t="n">
        <v>1</v>
      </c>
      <c r="P401" t="n">
        <v>1</v>
      </c>
      <c r="Q401" t="n">
        <v>1</v>
      </c>
      <c r="R401" s="2" t="inlineStr">
        <is>
          <t>Trubbdaggkåpa</t>
        </is>
      </c>
      <c r="S401">
        <f>HYPERLINK("https://klasma.github.io/Logging_0191/artfynd/A 8149-2023 artfynd.xlsx", "A 8149-2023")</f>
        <v/>
      </c>
      <c r="T401">
        <f>HYPERLINK("https://klasma.github.io/Logging_0191/kartor/A 8149-2023 karta.png", "A 8149-2023")</f>
        <v/>
      </c>
      <c r="V401">
        <f>HYPERLINK("https://klasma.github.io/Logging_0191/klagomål/A 8149-2023 FSC-klagomål.docx", "A 8149-2023")</f>
        <v/>
      </c>
      <c r="W401">
        <f>HYPERLINK("https://klasma.github.io/Logging_0191/klagomålsmail/A 8149-2023 FSC-klagomål mail.docx", "A 8149-2023")</f>
        <v/>
      </c>
      <c r="X401">
        <f>HYPERLINK("https://klasma.github.io/Logging_0191/tillsyn/A 8149-2023 tillsynsbegäran.docx", "A 8149-2023")</f>
        <v/>
      </c>
      <c r="Y401">
        <f>HYPERLINK("https://klasma.github.io/Logging_0191/tillsynsmail/A 8149-2023 tillsynsbegäran mail.docx", "A 8149-2023")</f>
        <v/>
      </c>
    </row>
    <row r="402" ht="15" customHeight="1">
      <c r="A402" t="inlineStr">
        <is>
          <t>A 9214-2023</t>
        </is>
      </c>
      <c r="B402" s="1" t="n">
        <v>44980</v>
      </c>
      <c r="C402" s="1" t="n">
        <v>45512</v>
      </c>
      <c r="D402" t="inlineStr">
        <is>
          <t>STOCKHOLMS LÄN</t>
        </is>
      </c>
      <c r="E402" t="inlineStr">
        <is>
          <t>NORRTÄLJE</t>
        </is>
      </c>
      <c r="G402" t="n">
        <v>10.6</v>
      </c>
      <c r="H402" t="n">
        <v>1</v>
      </c>
      <c r="I402" t="n">
        <v>1</v>
      </c>
      <c r="J402" t="n">
        <v>0</v>
      </c>
      <c r="K402" t="n">
        <v>0</v>
      </c>
      <c r="L402" t="n">
        <v>0</v>
      </c>
      <c r="M402" t="n">
        <v>0</v>
      </c>
      <c r="N402" t="n">
        <v>0</v>
      </c>
      <c r="O402" t="n">
        <v>0</v>
      </c>
      <c r="P402" t="n">
        <v>0</v>
      </c>
      <c r="Q402" t="n">
        <v>1</v>
      </c>
      <c r="R402" s="2" t="inlineStr">
        <is>
          <t>Guckusko</t>
        </is>
      </c>
      <c r="S402">
        <f>HYPERLINK("https://klasma.github.io/Logging_0188/artfynd/A 9214-2023 artfynd.xlsx", "A 9214-2023")</f>
        <v/>
      </c>
      <c r="T402">
        <f>HYPERLINK("https://klasma.github.io/Logging_0188/kartor/A 9214-2023 karta.png", "A 9214-2023")</f>
        <v/>
      </c>
      <c r="V402">
        <f>HYPERLINK("https://klasma.github.io/Logging_0188/klagomål/A 9214-2023 FSC-klagomål.docx", "A 9214-2023")</f>
        <v/>
      </c>
      <c r="W402">
        <f>HYPERLINK("https://klasma.github.io/Logging_0188/klagomålsmail/A 9214-2023 FSC-klagomål mail.docx", "A 9214-2023")</f>
        <v/>
      </c>
      <c r="X402">
        <f>HYPERLINK("https://klasma.github.io/Logging_0188/tillsyn/A 9214-2023 tillsynsbegäran.docx", "A 9214-2023")</f>
        <v/>
      </c>
      <c r="Y402">
        <f>HYPERLINK("https://klasma.github.io/Logging_0188/tillsynsmail/A 9214-2023 tillsynsbegäran mail.docx", "A 9214-2023")</f>
        <v/>
      </c>
    </row>
    <row r="403" ht="15" customHeight="1">
      <c r="A403" t="inlineStr">
        <is>
          <t>A 9271-2023</t>
        </is>
      </c>
      <c r="B403" s="1" t="n">
        <v>44980</v>
      </c>
      <c r="C403" s="1" t="n">
        <v>45512</v>
      </c>
      <c r="D403" t="inlineStr">
        <is>
          <t>STOCKHOLMS LÄN</t>
        </is>
      </c>
      <c r="E403" t="inlineStr">
        <is>
          <t>NORRTÄLJE</t>
        </is>
      </c>
      <c r="G403" t="n">
        <v>5.3</v>
      </c>
      <c r="H403" t="n">
        <v>1</v>
      </c>
      <c r="I403" t="n">
        <v>0</v>
      </c>
      <c r="J403" t="n">
        <v>0</v>
      </c>
      <c r="K403" t="n">
        <v>1</v>
      </c>
      <c r="L403" t="n">
        <v>0</v>
      </c>
      <c r="M403" t="n">
        <v>0</v>
      </c>
      <c r="N403" t="n">
        <v>0</v>
      </c>
      <c r="O403" t="n">
        <v>1</v>
      </c>
      <c r="P403" t="n">
        <v>1</v>
      </c>
      <c r="Q403" t="n">
        <v>1</v>
      </c>
      <c r="R403" s="2" t="inlineStr">
        <is>
          <t>Hällebräcka</t>
        </is>
      </c>
      <c r="S403">
        <f>HYPERLINK("https://klasma.github.io/Logging_0188/artfynd/A 9271-2023 artfynd.xlsx", "A 9271-2023")</f>
        <v/>
      </c>
      <c r="T403">
        <f>HYPERLINK("https://klasma.github.io/Logging_0188/kartor/A 9271-2023 karta.png", "A 9271-2023")</f>
        <v/>
      </c>
      <c r="V403">
        <f>HYPERLINK("https://klasma.github.io/Logging_0188/klagomål/A 9271-2023 FSC-klagomål.docx", "A 9271-2023")</f>
        <v/>
      </c>
      <c r="W403">
        <f>HYPERLINK("https://klasma.github.io/Logging_0188/klagomålsmail/A 9271-2023 FSC-klagomål mail.docx", "A 9271-2023")</f>
        <v/>
      </c>
      <c r="X403">
        <f>HYPERLINK("https://klasma.github.io/Logging_0188/tillsyn/A 9271-2023 tillsynsbegäran.docx", "A 9271-2023")</f>
        <v/>
      </c>
      <c r="Y403">
        <f>HYPERLINK("https://klasma.github.io/Logging_0188/tillsynsmail/A 9271-2023 tillsynsbegäran mail.docx", "A 9271-2023")</f>
        <v/>
      </c>
    </row>
    <row r="404" ht="15" customHeight="1">
      <c r="A404" t="inlineStr">
        <is>
          <t>A 9268-2023</t>
        </is>
      </c>
      <c r="B404" s="1" t="n">
        <v>44980</v>
      </c>
      <c r="C404" s="1" t="n">
        <v>45512</v>
      </c>
      <c r="D404" t="inlineStr">
        <is>
          <t>STOCKHOLMS LÄN</t>
        </is>
      </c>
      <c r="E404" t="inlineStr">
        <is>
          <t>NYNÄSHAMN</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HYPERLINK("https://klasma.github.io/Logging_0192/artfynd/A 9268-2023 artfynd.xlsx", "A 9268-2023")</f>
        <v/>
      </c>
      <c r="T404">
        <f>HYPERLINK("https://klasma.github.io/Logging_0192/kartor/A 9268-2023 karta.png", "A 9268-2023")</f>
        <v/>
      </c>
      <c r="V404">
        <f>HYPERLINK("https://klasma.github.io/Logging_0192/klagomål/A 9268-2023 FSC-klagomål.docx", "A 9268-2023")</f>
        <v/>
      </c>
      <c r="W404">
        <f>HYPERLINK("https://klasma.github.io/Logging_0192/klagomålsmail/A 9268-2023 FSC-klagomål mail.docx", "A 9268-2023")</f>
        <v/>
      </c>
      <c r="X404">
        <f>HYPERLINK("https://klasma.github.io/Logging_0192/tillsyn/A 9268-2023 tillsynsbegäran.docx", "A 9268-2023")</f>
        <v/>
      </c>
      <c r="Y404">
        <f>HYPERLINK("https://klasma.github.io/Logging_0192/tillsynsmail/A 9268-2023 tillsynsbegäran mail.docx", "A 9268-2023")</f>
        <v/>
      </c>
    </row>
    <row r="405" ht="15" customHeight="1">
      <c r="A405" t="inlineStr">
        <is>
          <t>A 9522-2023</t>
        </is>
      </c>
      <c r="B405" s="1" t="n">
        <v>44981</v>
      </c>
      <c r="C405" s="1" t="n">
        <v>45512</v>
      </c>
      <c r="D405" t="inlineStr">
        <is>
          <t>STOCKHOLMS LÄN</t>
        </is>
      </c>
      <c r="E405" t="inlineStr">
        <is>
          <t>NORRTÄLJE</t>
        </is>
      </c>
      <c r="F405" t="inlineStr">
        <is>
          <t>Holmen skog AB</t>
        </is>
      </c>
      <c r="G405" t="n">
        <v>7.5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9522-2023 artfynd.xlsx", "A 9522-2023")</f>
        <v/>
      </c>
      <c r="T405">
        <f>HYPERLINK("https://klasma.github.io/Logging_0188/kartor/A 9522-2023 karta.png", "A 9522-2023")</f>
        <v/>
      </c>
      <c r="V405">
        <f>HYPERLINK("https://klasma.github.io/Logging_0188/klagomål/A 9522-2023 FSC-klagomål.docx", "A 9522-2023")</f>
        <v/>
      </c>
      <c r="W405">
        <f>HYPERLINK("https://klasma.github.io/Logging_0188/klagomålsmail/A 9522-2023 FSC-klagomål mail.docx", "A 9522-2023")</f>
        <v/>
      </c>
      <c r="X405">
        <f>HYPERLINK("https://klasma.github.io/Logging_0188/tillsyn/A 9522-2023 tillsynsbegäran.docx", "A 9522-2023")</f>
        <v/>
      </c>
      <c r="Y405">
        <f>HYPERLINK("https://klasma.github.io/Logging_0188/tillsynsmail/A 9522-2023 tillsynsbegäran mail.docx", "A 9522-2023")</f>
        <v/>
      </c>
    </row>
    <row r="406" ht="15" customHeight="1">
      <c r="A406" t="inlineStr">
        <is>
          <t>A 10019-2023</t>
        </is>
      </c>
      <c r="B406" s="1" t="n">
        <v>44985</v>
      </c>
      <c r="C406" s="1" t="n">
        <v>45512</v>
      </c>
      <c r="D406" t="inlineStr">
        <is>
          <t>STOCKHOLMS LÄN</t>
        </is>
      </c>
      <c r="E406" t="inlineStr">
        <is>
          <t>NORRTÄLJE</t>
        </is>
      </c>
      <c r="G406" t="n">
        <v>8.4</v>
      </c>
      <c r="H406" t="n">
        <v>0</v>
      </c>
      <c r="I406" t="n">
        <v>1</v>
      </c>
      <c r="J406" t="n">
        <v>0</v>
      </c>
      <c r="K406" t="n">
        <v>0</v>
      </c>
      <c r="L406" t="n">
        <v>0</v>
      </c>
      <c r="M406" t="n">
        <v>0</v>
      </c>
      <c r="N406" t="n">
        <v>0</v>
      </c>
      <c r="O406" t="n">
        <v>0</v>
      </c>
      <c r="P406" t="n">
        <v>0</v>
      </c>
      <c r="Q406" t="n">
        <v>1</v>
      </c>
      <c r="R406" s="2" t="inlineStr">
        <is>
          <t>Underviol</t>
        </is>
      </c>
      <c r="S406">
        <f>HYPERLINK("https://klasma.github.io/Logging_0188/artfynd/A 10019-2023 artfynd.xlsx", "A 10019-2023")</f>
        <v/>
      </c>
      <c r="T406">
        <f>HYPERLINK("https://klasma.github.io/Logging_0188/kartor/A 10019-2023 karta.png", "A 10019-2023")</f>
        <v/>
      </c>
      <c r="V406">
        <f>HYPERLINK("https://klasma.github.io/Logging_0188/klagomål/A 10019-2023 FSC-klagomål.docx", "A 10019-2023")</f>
        <v/>
      </c>
      <c r="W406">
        <f>HYPERLINK("https://klasma.github.io/Logging_0188/klagomålsmail/A 10019-2023 FSC-klagomål mail.docx", "A 10019-2023")</f>
        <v/>
      </c>
      <c r="X406">
        <f>HYPERLINK("https://klasma.github.io/Logging_0188/tillsyn/A 10019-2023 tillsynsbegäran.docx", "A 10019-2023")</f>
        <v/>
      </c>
      <c r="Y406">
        <f>HYPERLINK("https://klasma.github.io/Logging_0188/tillsynsmail/A 10019-2023 tillsynsbegäran mail.docx", "A 10019-2023")</f>
        <v/>
      </c>
    </row>
    <row r="407" ht="15" customHeight="1">
      <c r="A407" t="inlineStr">
        <is>
          <t>A 11244-2023</t>
        </is>
      </c>
      <c r="B407" s="1" t="n">
        <v>44992</v>
      </c>
      <c r="C407" s="1" t="n">
        <v>45512</v>
      </c>
      <c r="D407" t="inlineStr">
        <is>
          <t>STOCKHOLMS LÄN</t>
        </is>
      </c>
      <c r="E407" t="inlineStr">
        <is>
          <t>VALLENTUNA</t>
        </is>
      </c>
      <c r="G407" t="n">
        <v>4.3</v>
      </c>
      <c r="H407" t="n">
        <v>1</v>
      </c>
      <c r="I407" t="n">
        <v>0</v>
      </c>
      <c r="J407" t="n">
        <v>0</v>
      </c>
      <c r="K407" t="n">
        <v>0</v>
      </c>
      <c r="L407" t="n">
        <v>0</v>
      </c>
      <c r="M407" t="n">
        <v>0</v>
      </c>
      <c r="N407" t="n">
        <v>0</v>
      </c>
      <c r="O407" t="n">
        <v>0</v>
      </c>
      <c r="P407" t="n">
        <v>0</v>
      </c>
      <c r="Q407" t="n">
        <v>1</v>
      </c>
      <c r="R407" s="2" t="inlineStr">
        <is>
          <t>Revlummer</t>
        </is>
      </c>
      <c r="S407">
        <f>HYPERLINK("https://klasma.github.io/Logging_0115/artfynd/A 11244-2023 artfynd.xlsx", "A 11244-2023")</f>
        <v/>
      </c>
      <c r="T407">
        <f>HYPERLINK("https://klasma.github.io/Logging_0115/kartor/A 11244-2023 karta.png", "A 11244-2023")</f>
        <v/>
      </c>
      <c r="V407">
        <f>HYPERLINK("https://klasma.github.io/Logging_0115/klagomål/A 11244-2023 FSC-klagomål.docx", "A 11244-2023")</f>
        <v/>
      </c>
      <c r="W407">
        <f>HYPERLINK("https://klasma.github.io/Logging_0115/klagomålsmail/A 11244-2023 FSC-klagomål mail.docx", "A 11244-2023")</f>
        <v/>
      </c>
      <c r="X407">
        <f>HYPERLINK("https://klasma.github.io/Logging_0115/tillsyn/A 11244-2023 tillsynsbegäran.docx", "A 11244-2023")</f>
        <v/>
      </c>
      <c r="Y407">
        <f>HYPERLINK("https://klasma.github.io/Logging_0115/tillsynsmail/A 11244-2023 tillsynsbegäran mail.docx", "A 11244-2023")</f>
        <v/>
      </c>
    </row>
    <row r="408" ht="15" customHeight="1">
      <c r="A408" t="inlineStr">
        <is>
          <t>A 11429-2023</t>
        </is>
      </c>
      <c r="B408" s="1" t="n">
        <v>44993</v>
      </c>
      <c r="C408" s="1" t="n">
        <v>45512</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12442-2023</t>
        </is>
      </c>
      <c r="B409" s="1" t="n">
        <v>44999</v>
      </c>
      <c r="C409" s="1" t="n">
        <v>45512</v>
      </c>
      <c r="D409" t="inlineStr">
        <is>
          <t>STOCKHOLMS LÄN</t>
        </is>
      </c>
      <c r="E409" t="inlineStr">
        <is>
          <t>NORRTÄLJE</t>
        </is>
      </c>
      <c r="G409" t="n">
        <v>1.9</v>
      </c>
      <c r="H409" t="n">
        <v>1</v>
      </c>
      <c r="I409" t="n">
        <v>0</v>
      </c>
      <c r="J409" t="n">
        <v>0</v>
      </c>
      <c r="K409" t="n">
        <v>0</v>
      </c>
      <c r="L409" t="n">
        <v>0</v>
      </c>
      <c r="M409" t="n">
        <v>0</v>
      </c>
      <c r="N409" t="n">
        <v>0</v>
      </c>
      <c r="O409" t="n">
        <v>0</v>
      </c>
      <c r="P409" t="n">
        <v>0</v>
      </c>
      <c r="Q409" t="n">
        <v>1</v>
      </c>
      <c r="R409" s="2" t="inlineStr">
        <is>
          <t>Gullviva</t>
        </is>
      </c>
      <c r="S409">
        <f>HYPERLINK("https://klasma.github.io/Logging_0188/artfynd/A 12442-2023 artfynd.xlsx", "A 12442-2023")</f>
        <v/>
      </c>
      <c r="T409">
        <f>HYPERLINK("https://klasma.github.io/Logging_0188/kartor/A 12442-2023 karta.png", "A 12442-2023")</f>
        <v/>
      </c>
      <c r="V409">
        <f>HYPERLINK("https://klasma.github.io/Logging_0188/klagomål/A 12442-2023 FSC-klagomål.docx", "A 12442-2023")</f>
        <v/>
      </c>
      <c r="W409">
        <f>HYPERLINK("https://klasma.github.io/Logging_0188/klagomålsmail/A 12442-2023 FSC-klagomål mail.docx", "A 12442-2023")</f>
        <v/>
      </c>
      <c r="X409">
        <f>HYPERLINK("https://klasma.github.io/Logging_0188/tillsyn/A 12442-2023 tillsynsbegäran.docx", "A 12442-2023")</f>
        <v/>
      </c>
      <c r="Y409">
        <f>HYPERLINK("https://klasma.github.io/Logging_0188/tillsynsmail/A 12442-2023 tillsynsbegäran mail.docx", "A 12442-2023")</f>
        <v/>
      </c>
    </row>
    <row r="410" ht="15" customHeight="1">
      <c r="A410" t="inlineStr">
        <is>
          <t>A 12575-2023</t>
        </is>
      </c>
      <c r="B410" s="1" t="n">
        <v>45000</v>
      </c>
      <c r="C410" s="1" t="n">
        <v>45512</v>
      </c>
      <c r="D410" t="inlineStr">
        <is>
          <t>STOCKHOLMS LÄN</t>
        </is>
      </c>
      <c r="E410" t="inlineStr">
        <is>
          <t>VALLENTUNA</t>
        </is>
      </c>
      <c r="G410" t="n">
        <v>5.1</v>
      </c>
      <c r="H410" t="n">
        <v>1</v>
      </c>
      <c r="I410" t="n">
        <v>0</v>
      </c>
      <c r="J410" t="n">
        <v>0</v>
      </c>
      <c r="K410" t="n">
        <v>0</v>
      </c>
      <c r="L410" t="n">
        <v>0</v>
      </c>
      <c r="M410" t="n">
        <v>0</v>
      </c>
      <c r="N410" t="n">
        <v>0</v>
      </c>
      <c r="O410" t="n">
        <v>0</v>
      </c>
      <c r="P410" t="n">
        <v>0</v>
      </c>
      <c r="Q410" t="n">
        <v>1</v>
      </c>
      <c r="R410" s="2" t="inlineStr">
        <is>
          <t>Blåsippa</t>
        </is>
      </c>
      <c r="S410">
        <f>HYPERLINK("https://klasma.github.io/Logging_0115/artfynd/A 12575-2023 artfynd.xlsx", "A 12575-2023")</f>
        <v/>
      </c>
      <c r="T410">
        <f>HYPERLINK("https://klasma.github.io/Logging_0115/kartor/A 12575-2023 karta.png", "A 12575-2023")</f>
        <v/>
      </c>
      <c r="V410">
        <f>HYPERLINK("https://klasma.github.io/Logging_0115/klagomål/A 12575-2023 FSC-klagomål.docx", "A 12575-2023")</f>
        <v/>
      </c>
      <c r="W410">
        <f>HYPERLINK("https://klasma.github.io/Logging_0115/klagomålsmail/A 12575-2023 FSC-klagomål mail.docx", "A 12575-2023")</f>
        <v/>
      </c>
      <c r="X410">
        <f>HYPERLINK("https://klasma.github.io/Logging_0115/tillsyn/A 12575-2023 tillsynsbegäran.docx", "A 12575-2023")</f>
        <v/>
      </c>
      <c r="Y410">
        <f>HYPERLINK("https://klasma.github.io/Logging_0115/tillsynsmail/A 12575-2023 tillsynsbegäran mail.docx", "A 12575-2023")</f>
        <v/>
      </c>
    </row>
    <row r="411" ht="15" customHeight="1">
      <c r="A411" t="inlineStr">
        <is>
          <t>A 13199-2023</t>
        </is>
      </c>
      <c r="B411" s="1" t="n">
        <v>45002</v>
      </c>
      <c r="C411" s="1" t="n">
        <v>45512</v>
      </c>
      <c r="D411" t="inlineStr">
        <is>
          <t>STOCKHOLMS LÄN</t>
        </is>
      </c>
      <c r="E411" t="inlineStr">
        <is>
          <t>SÖDERTÄLJE</t>
        </is>
      </c>
      <c r="G411" t="n">
        <v>7.2</v>
      </c>
      <c r="H411" t="n">
        <v>1</v>
      </c>
      <c r="I411" t="n">
        <v>0</v>
      </c>
      <c r="J411" t="n">
        <v>0</v>
      </c>
      <c r="K411" t="n">
        <v>0</v>
      </c>
      <c r="L411" t="n">
        <v>0</v>
      </c>
      <c r="M411" t="n">
        <v>0</v>
      </c>
      <c r="N411" t="n">
        <v>0</v>
      </c>
      <c r="O411" t="n">
        <v>0</v>
      </c>
      <c r="P411" t="n">
        <v>0</v>
      </c>
      <c r="Q411" t="n">
        <v>1</v>
      </c>
      <c r="R411" s="2" t="inlineStr">
        <is>
          <t>Gröngöling</t>
        </is>
      </c>
      <c r="S411">
        <f>HYPERLINK("https://klasma.github.io/Logging_0181/artfynd/A 13199-2023 artfynd.xlsx", "A 13199-2023")</f>
        <v/>
      </c>
      <c r="T411">
        <f>HYPERLINK("https://klasma.github.io/Logging_0181/kartor/A 13199-2023 karta.png", "A 13199-2023")</f>
        <v/>
      </c>
      <c r="V411">
        <f>HYPERLINK("https://klasma.github.io/Logging_0181/klagomål/A 13199-2023 FSC-klagomål.docx", "A 13199-2023")</f>
        <v/>
      </c>
      <c r="W411">
        <f>HYPERLINK("https://klasma.github.io/Logging_0181/klagomålsmail/A 13199-2023 FSC-klagomål mail.docx", "A 13199-2023")</f>
        <v/>
      </c>
      <c r="X411">
        <f>HYPERLINK("https://klasma.github.io/Logging_0181/tillsyn/A 13199-2023 tillsynsbegäran.docx", "A 13199-2023")</f>
        <v/>
      </c>
      <c r="Y411">
        <f>HYPERLINK("https://klasma.github.io/Logging_0181/tillsynsmail/A 13199-2023 tillsynsbegäran mail.docx", "A 13199-2023")</f>
        <v/>
      </c>
      <c r="Z411">
        <f>HYPERLINK("https://klasma.github.io/Logging_0181/fåglar/A 13199-2023 prioriterade fågelarter.docx", "A 13199-2023")</f>
        <v/>
      </c>
    </row>
    <row r="412" ht="15" customHeight="1">
      <c r="A412" t="inlineStr">
        <is>
          <t>A 13794-2023</t>
        </is>
      </c>
      <c r="B412" s="1" t="n">
        <v>45007</v>
      </c>
      <c r="C412" s="1" t="n">
        <v>45512</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14014-2023</t>
        </is>
      </c>
      <c r="B413" s="1" t="n">
        <v>45008</v>
      </c>
      <c r="C413" s="1" t="n">
        <v>45512</v>
      </c>
      <c r="D413" t="inlineStr">
        <is>
          <t>STOCKHOLMS LÄN</t>
        </is>
      </c>
      <c r="E413" t="inlineStr">
        <is>
          <t>EKERÖ</t>
        </is>
      </c>
      <c r="G413" t="n">
        <v>4.7</v>
      </c>
      <c r="H413" t="n">
        <v>1</v>
      </c>
      <c r="I413" t="n">
        <v>0</v>
      </c>
      <c r="J413" t="n">
        <v>0</v>
      </c>
      <c r="K413" t="n">
        <v>0</v>
      </c>
      <c r="L413" t="n">
        <v>0</v>
      </c>
      <c r="M413" t="n">
        <v>0</v>
      </c>
      <c r="N413" t="n">
        <v>0</v>
      </c>
      <c r="O413" t="n">
        <v>0</v>
      </c>
      <c r="P413" t="n">
        <v>0</v>
      </c>
      <c r="Q413" t="n">
        <v>1</v>
      </c>
      <c r="R413" s="2" t="inlineStr">
        <is>
          <t>Gröngöling</t>
        </is>
      </c>
      <c r="S413">
        <f>HYPERLINK("https://klasma.github.io/Logging_0125/artfynd/A 14014-2023 artfynd.xlsx", "A 14014-2023")</f>
        <v/>
      </c>
      <c r="T413">
        <f>HYPERLINK("https://klasma.github.io/Logging_0125/kartor/A 14014-2023 karta.png", "A 14014-2023")</f>
        <v/>
      </c>
      <c r="V413">
        <f>HYPERLINK("https://klasma.github.io/Logging_0125/klagomål/A 14014-2023 FSC-klagomål.docx", "A 14014-2023")</f>
        <v/>
      </c>
      <c r="W413">
        <f>HYPERLINK("https://klasma.github.io/Logging_0125/klagomålsmail/A 14014-2023 FSC-klagomål mail.docx", "A 14014-2023")</f>
        <v/>
      </c>
      <c r="X413">
        <f>HYPERLINK("https://klasma.github.io/Logging_0125/tillsyn/A 14014-2023 tillsynsbegäran.docx", "A 14014-2023")</f>
        <v/>
      </c>
      <c r="Y413">
        <f>HYPERLINK("https://klasma.github.io/Logging_0125/tillsynsmail/A 14014-2023 tillsynsbegäran mail.docx", "A 14014-2023")</f>
        <v/>
      </c>
      <c r="Z413">
        <f>HYPERLINK("https://klasma.github.io/Logging_0125/fåglar/A 14014-2023 prioriterade fågelarter.docx", "A 14014-2023")</f>
        <v/>
      </c>
    </row>
    <row r="414" ht="15" customHeight="1">
      <c r="A414" t="inlineStr">
        <is>
          <t>A 14092-2023</t>
        </is>
      </c>
      <c r="B414" s="1" t="n">
        <v>45009</v>
      </c>
      <c r="C414" s="1" t="n">
        <v>45512</v>
      </c>
      <c r="D414" t="inlineStr">
        <is>
          <t>STOCKHOLMS LÄN</t>
        </is>
      </c>
      <c r="E414" t="inlineStr">
        <is>
          <t>SÖDERTÄLJE</t>
        </is>
      </c>
      <c r="F414" t="inlineStr">
        <is>
          <t>Kyrkan</t>
        </is>
      </c>
      <c r="G414" t="n">
        <v>4.1</v>
      </c>
      <c r="H414" t="n">
        <v>1</v>
      </c>
      <c r="I414" t="n">
        <v>0</v>
      </c>
      <c r="J414" t="n">
        <v>0</v>
      </c>
      <c r="K414" t="n">
        <v>0</v>
      </c>
      <c r="L414" t="n">
        <v>0</v>
      </c>
      <c r="M414" t="n">
        <v>0</v>
      </c>
      <c r="N414" t="n">
        <v>0</v>
      </c>
      <c r="O414" t="n">
        <v>0</v>
      </c>
      <c r="P414" t="n">
        <v>0</v>
      </c>
      <c r="Q414" t="n">
        <v>1</v>
      </c>
      <c r="R414" s="2" t="inlineStr">
        <is>
          <t>Kungsfågel</t>
        </is>
      </c>
      <c r="S414">
        <f>HYPERLINK("https://klasma.github.io/Logging_0181/artfynd/A 14092-2023 artfynd.xlsx", "A 14092-2023")</f>
        <v/>
      </c>
      <c r="T414">
        <f>HYPERLINK("https://klasma.github.io/Logging_0181/kartor/A 14092-2023 karta.png", "A 14092-2023")</f>
        <v/>
      </c>
      <c r="V414">
        <f>HYPERLINK("https://klasma.github.io/Logging_0181/klagomål/A 14092-2023 FSC-klagomål.docx", "A 14092-2023")</f>
        <v/>
      </c>
      <c r="W414">
        <f>HYPERLINK("https://klasma.github.io/Logging_0181/klagomålsmail/A 14092-2023 FSC-klagomål mail.docx", "A 14092-2023")</f>
        <v/>
      </c>
      <c r="X414">
        <f>HYPERLINK("https://klasma.github.io/Logging_0181/tillsyn/A 14092-2023 tillsynsbegäran.docx", "A 14092-2023")</f>
        <v/>
      </c>
      <c r="Y414">
        <f>HYPERLINK("https://klasma.github.io/Logging_0181/tillsynsmail/A 14092-2023 tillsynsbegäran mail.docx", "A 14092-2023")</f>
        <v/>
      </c>
      <c r="Z414">
        <f>HYPERLINK("https://klasma.github.io/Logging_0181/fåglar/A 14092-2023 prioriterade fågelarter.docx", "A 14092-2023")</f>
        <v/>
      </c>
    </row>
    <row r="415" ht="15" customHeight="1">
      <c r="A415" t="inlineStr">
        <is>
          <t>A 15452-2023</t>
        </is>
      </c>
      <c r="B415" s="1" t="n">
        <v>45020</v>
      </c>
      <c r="C415" s="1" t="n">
        <v>45512</v>
      </c>
      <c r="D415" t="inlineStr">
        <is>
          <t>STOCKHOLMS LÄN</t>
        </is>
      </c>
      <c r="E415" t="inlineStr">
        <is>
          <t>SIGTUNA</t>
        </is>
      </c>
      <c r="F415" t="inlineStr">
        <is>
          <t>Allmännings- och besparingsskogar</t>
        </is>
      </c>
      <c r="G415" t="n">
        <v>4.5</v>
      </c>
      <c r="H415" t="n">
        <v>1</v>
      </c>
      <c r="I415" t="n">
        <v>0</v>
      </c>
      <c r="J415" t="n">
        <v>0</v>
      </c>
      <c r="K415" t="n">
        <v>0</v>
      </c>
      <c r="L415" t="n">
        <v>0</v>
      </c>
      <c r="M415" t="n">
        <v>0</v>
      </c>
      <c r="N415" t="n">
        <v>0</v>
      </c>
      <c r="O415" t="n">
        <v>0</v>
      </c>
      <c r="P415" t="n">
        <v>0</v>
      </c>
      <c r="Q415" t="n">
        <v>1</v>
      </c>
      <c r="R415" s="2" t="inlineStr">
        <is>
          <t>Trana</t>
        </is>
      </c>
      <c r="S415">
        <f>HYPERLINK("https://klasma.github.io/Logging_0191/artfynd/A 15452-2023 artfynd.xlsx", "A 15452-2023")</f>
        <v/>
      </c>
      <c r="T415">
        <f>HYPERLINK("https://klasma.github.io/Logging_0191/kartor/A 15452-2023 karta.png", "A 15452-2023")</f>
        <v/>
      </c>
      <c r="V415">
        <f>HYPERLINK("https://klasma.github.io/Logging_0191/klagomål/A 15452-2023 FSC-klagomål.docx", "A 15452-2023")</f>
        <v/>
      </c>
      <c r="W415">
        <f>HYPERLINK("https://klasma.github.io/Logging_0191/klagomålsmail/A 15452-2023 FSC-klagomål mail.docx", "A 15452-2023")</f>
        <v/>
      </c>
      <c r="X415">
        <f>HYPERLINK("https://klasma.github.io/Logging_0191/tillsyn/A 15452-2023 tillsynsbegäran.docx", "A 15452-2023")</f>
        <v/>
      </c>
      <c r="Y415">
        <f>HYPERLINK("https://klasma.github.io/Logging_0191/tillsynsmail/A 15452-2023 tillsynsbegäran mail.docx", "A 15452-2023")</f>
        <v/>
      </c>
      <c r="Z415">
        <f>HYPERLINK("https://klasma.github.io/Logging_0191/fåglar/A 15452-2023 prioriterade fågelarter.docx", "A 15452-2023")</f>
        <v/>
      </c>
    </row>
    <row r="416" ht="15" customHeight="1">
      <c r="A416" t="inlineStr">
        <is>
          <t>A 15644-2023</t>
        </is>
      </c>
      <c r="B416" s="1" t="n">
        <v>45021</v>
      </c>
      <c r="C416" s="1" t="n">
        <v>45512</v>
      </c>
      <c r="D416" t="inlineStr">
        <is>
          <t>STOCKHOLMS LÄN</t>
        </is>
      </c>
      <c r="E416" t="inlineStr">
        <is>
          <t>NORRTÄLJE</t>
        </is>
      </c>
      <c r="F416" t="inlineStr">
        <is>
          <t>Holmen skog AB</t>
        </is>
      </c>
      <c r="G416" t="n">
        <v>13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15644-2023 artfynd.xlsx", "A 15644-2023")</f>
        <v/>
      </c>
      <c r="T416">
        <f>HYPERLINK("https://klasma.github.io/Logging_0188/kartor/A 15644-2023 karta.png", "A 15644-2023")</f>
        <v/>
      </c>
      <c r="V416">
        <f>HYPERLINK("https://klasma.github.io/Logging_0188/klagomål/A 15644-2023 FSC-klagomål.docx", "A 15644-2023")</f>
        <v/>
      </c>
      <c r="W416">
        <f>HYPERLINK("https://klasma.github.io/Logging_0188/klagomålsmail/A 15644-2023 FSC-klagomål mail.docx", "A 15644-2023")</f>
        <v/>
      </c>
      <c r="X416">
        <f>HYPERLINK("https://klasma.github.io/Logging_0188/tillsyn/A 15644-2023 tillsynsbegäran.docx", "A 15644-2023")</f>
        <v/>
      </c>
      <c r="Y416">
        <f>HYPERLINK("https://klasma.github.io/Logging_0188/tillsynsmail/A 15644-2023 tillsynsbegäran mail.docx", "A 15644-2023")</f>
        <v/>
      </c>
    </row>
    <row r="417" ht="15" customHeight="1">
      <c r="A417" t="inlineStr">
        <is>
          <t>A 18216-2023</t>
        </is>
      </c>
      <c r="B417" s="1" t="n">
        <v>45041</v>
      </c>
      <c r="C417" s="1" t="n">
        <v>45512</v>
      </c>
      <c r="D417" t="inlineStr">
        <is>
          <t>STOCKHOLMS LÄN</t>
        </is>
      </c>
      <c r="E417" t="inlineStr">
        <is>
          <t>NORRTÄLJE</t>
        </is>
      </c>
      <c r="F417" t="inlineStr">
        <is>
          <t>Holmen skog AB</t>
        </is>
      </c>
      <c r="G417" t="n">
        <v>1.9</v>
      </c>
      <c r="H417" t="n">
        <v>0</v>
      </c>
      <c r="I417" t="n">
        <v>1</v>
      </c>
      <c r="J417" t="n">
        <v>0</v>
      </c>
      <c r="K417" t="n">
        <v>0</v>
      </c>
      <c r="L417" t="n">
        <v>0</v>
      </c>
      <c r="M417" t="n">
        <v>0</v>
      </c>
      <c r="N417" t="n">
        <v>0</v>
      </c>
      <c r="O417" t="n">
        <v>0</v>
      </c>
      <c r="P417" t="n">
        <v>0</v>
      </c>
      <c r="Q417" t="n">
        <v>1</v>
      </c>
      <c r="R417" s="2" t="inlineStr">
        <is>
          <t>Vårärt</t>
        </is>
      </c>
      <c r="S417">
        <f>HYPERLINK("https://klasma.github.io/Logging_0188/artfynd/A 18216-2023 artfynd.xlsx", "A 18216-2023")</f>
        <v/>
      </c>
      <c r="T417">
        <f>HYPERLINK("https://klasma.github.io/Logging_0188/kartor/A 18216-2023 karta.png", "A 18216-2023")</f>
        <v/>
      </c>
      <c r="V417">
        <f>HYPERLINK("https://klasma.github.io/Logging_0188/klagomål/A 18216-2023 FSC-klagomål.docx", "A 18216-2023")</f>
        <v/>
      </c>
      <c r="W417">
        <f>HYPERLINK("https://klasma.github.io/Logging_0188/klagomålsmail/A 18216-2023 FSC-klagomål mail.docx", "A 18216-2023")</f>
        <v/>
      </c>
      <c r="X417">
        <f>HYPERLINK("https://klasma.github.io/Logging_0188/tillsyn/A 18216-2023 tillsynsbegäran.docx", "A 18216-2023")</f>
        <v/>
      </c>
      <c r="Y417">
        <f>HYPERLINK("https://klasma.github.io/Logging_0188/tillsynsmail/A 18216-2023 tillsynsbegäran mail.docx", "A 18216-2023")</f>
        <v/>
      </c>
    </row>
    <row r="418" ht="15" customHeight="1">
      <c r="A418" t="inlineStr">
        <is>
          <t>A 19489-2023</t>
        </is>
      </c>
      <c r="B418" s="1" t="n">
        <v>45050</v>
      </c>
      <c r="C418" s="1" t="n">
        <v>45512</v>
      </c>
      <c r="D418" t="inlineStr">
        <is>
          <t>STOCKHOLMS LÄN</t>
        </is>
      </c>
      <c r="E418" t="inlineStr">
        <is>
          <t>NYKVARN</t>
        </is>
      </c>
      <c r="F418" t="inlineStr">
        <is>
          <t>Sveaskog</t>
        </is>
      </c>
      <c r="G418" t="n">
        <v>0.7</v>
      </c>
      <c r="H418" t="n">
        <v>1</v>
      </c>
      <c r="I418" t="n">
        <v>0</v>
      </c>
      <c r="J418" t="n">
        <v>0</v>
      </c>
      <c r="K418" t="n">
        <v>0</v>
      </c>
      <c r="L418" t="n">
        <v>0</v>
      </c>
      <c r="M418" t="n">
        <v>0</v>
      </c>
      <c r="N418" t="n">
        <v>0</v>
      </c>
      <c r="O418" t="n">
        <v>0</v>
      </c>
      <c r="P418" t="n">
        <v>0</v>
      </c>
      <c r="Q418" t="n">
        <v>1</v>
      </c>
      <c r="R418" s="2" t="inlineStr">
        <is>
          <t>Blåsippa</t>
        </is>
      </c>
      <c r="S418">
        <f>HYPERLINK("https://klasma.github.io/Logging_0140/artfynd/A 19489-2023 artfynd.xlsx", "A 19489-2023")</f>
        <v/>
      </c>
      <c r="T418">
        <f>HYPERLINK("https://klasma.github.io/Logging_0140/kartor/A 19489-2023 karta.png", "A 19489-2023")</f>
        <v/>
      </c>
      <c r="V418">
        <f>HYPERLINK("https://klasma.github.io/Logging_0140/klagomål/A 19489-2023 FSC-klagomål.docx", "A 19489-2023")</f>
        <v/>
      </c>
      <c r="W418">
        <f>HYPERLINK("https://klasma.github.io/Logging_0140/klagomålsmail/A 19489-2023 FSC-klagomål mail.docx", "A 19489-2023")</f>
        <v/>
      </c>
      <c r="X418">
        <f>HYPERLINK("https://klasma.github.io/Logging_0140/tillsyn/A 19489-2023 tillsynsbegäran.docx", "A 19489-2023")</f>
        <v/>
      </c>
      <c r="Y418">
        <f>HYPERLINK("https://klasma.github.io/Logging_0140/tillsynsmail/A 19489-2023 tillsynsbegäran mail.docx", "A 19489-2023")</f>
        <v/>
      </c>
    </row>
    <row r="419" ht="15" customHeight="1">
      <c r="A419" t="inlineStr">
        <is>
          <t>A 21431-2023</t>
        </is>
      </c>
      <c r="B419" s="1" t="n">
        <v>45063</v>
      </c>
      <c r="C419" s="1" t="n">
        <v>45512</v>
      </c>
      <c r="D419" t="inlineStr">
        <is>
          <t>STOCKHOLMS LÄN</t>
        </is>
      </c>
      <c r="E419" t="inlineStr">
        <is>
          <t>NORRTÄLJE</t>
        </is>
      </c>
      <c r="F419" t="inlineStr">
        <is>
          <t>Holmen skog AB</t>
        </is>
      </c>
      <c r="G419" t="n">
        <v>4</v>
      </c>
      <c r="H419" t="n">
        <v>1</v>
      </c>
      <c r="I419" t="n">
        <v>1</v>
      </c>
      <c r="J419" t="n">
        <v>0</v>
      </c>
      <c r="K419" t="n">
        <v>0</v>
      </c>
      <c r="L419" t="n">
        <v>0</v>
      </c>
      <c r="M419" t="n">
        <v>0</v>
      </c>
      <c r="N419" t="n">
        <v>0</v>
      </c>
      <c r="O419" t="n">
        <v>0</v>
      </c>
      <c r="P419" t="n">
        <v>0</v>
      </c>
      <c r="Q419" t="n">
        <v>1</v>
      </c>
      <c r="R419" s="2" t="inlineStr">
        <is>
          <t>Nästrot</t>
        </is>
      </c>
      <c r="S419">
        <f>HYPERLINK("https://klasma.github.io/Logging_0188/artfynd/A 21431-2023 artfynd.xlsx", "A 21431-2023")</f>
        <v/>
      </c>
      <c r="T419">
        <f>HYPERLINK("https://klasma.github.io/Logging_0188/kartor/A 21431-2023 karta.png", "A 21431-2023")</f>
        <v/>
      </c>
      <c r="V419">
        <f>HYPERLINK("https://klasma.github.io/Logging_0188/klagomål/A 21431-2023 FSC-klagomål.docx", "A 21431-2023")</f>
        <v/>
      </c>
      <c r="W419">
        <f>HYPERLINK("https://klasma.github.io/Logging_0188/klagomålsmail/A 21431-2023 FSC-klagomål mail.docx", "A 21431-2023")</f>
        <v/>
      </c>
      <c r="X419">
        <f>HYPERLINK("https://klasma.github.io/Logging_0188/tillsyn/A 21431-2023 tillsynsbegäran.docx", "A 21431-2023")</f>
        <v/>
      </c>
      <c r="Y419">
        <f>HYPERLINK("https://klasma.github.io/Logging_0188/tillsynsmail/A 21431-2023 tillsynsbegäran mail.docx", "A 21431-2023")</f>
        <v/>
      </c>
    </row>
    <row r="420" ht="15" customHeight="1">
      <c r="A420" t="inlineStr">
        <is>
          <t>A 21744-2023</t>
        </is>
      </c>
      <c r="B420" s="1" t="n">
        <v>45065</v>
      </c>
      <c r="C420" s="1" t="n">
        <v>45512</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45512</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45512</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45512</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45512</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45512</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45512</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31142-2023</t>
        </is>
      </c>
      <c r="B427" s="1" t="n">
        <v>45113</v>
      </c>
      <c r="C427" s="1" t="n">
        <v>45512</v>
      </c>
      <c r="D427" t="inlineStr">
        <is>
          <t>STOCKHOLMS LÄN</t>
        </is>
      </c>
      <c r="E427" t="inlineStr">
        <is>
          <t>NYNÄSHAMN</t>
        </is>
      </c>
      <c r="G427" t="n">
        <v>5.7</v>
      </c>
      <c r="H427" t="n">
        <v>0</v>
      </c>
      <c r="I427" t="n">
        <v>0</v>
      </c>
      <c r="J427" t="n">
        <v>0</v>
      </c>
      <c r="K427" t="n">
        <v>0</v>
      </c>
      <c r="L427" t="n">
        <v>1</v>
      </c>
      <c r="M427" t="n">
        <v>0</v>
      </c>
      <c r="N427" t="n">
        <v>0</v>
      </c>
      <c r="O427" t="n">
        <v>1</v>
      </c>
      <c r="P427" t="n">
        <v>1</v>
      </c>
      <c r="Q427" t="n">
        <v>1</v>
      </c>
      <c r="R427" s="2" t="inlineStr">
        <is>
          <t>Ask</t>
        </is>
      </c>
      <c r="S427">
        <f>HYPERLINK("https://klasma.github.io/Logging_0192/artfynd/A 31142-2023 artfynd.xlsx", "A 31142-2023")</f>
        <v/>
      </c>
      <c r="T427">
        <f>HYPERLINK("https://klasma.github.io/Logging_0192/kartor/A 31142-2023 karta.png", "A 31142-2023")</f>
        <v/>
      </c>
      <c r="V427">
        <f>HYPERLINK("https://klasma.github.io/Logging_0192/klagomål/A 31142-2023 FSC-klagomål.docx", "A 31142-2023")</f>
        <v/>
      </c>
      <c r="W427">
        <f>HYPERLINK("https://klasma.github.io/Logging_0192/klagomålsmail/A 31142-2023 FSC-klagomål mail.docx", "A 31142-2023")</f>
        <v/>
      </c>
      <c r="X427">
        <f>HYPERLINK("https://klasma.github.io/Logging_0192/tillsyn/A 31142-2023 tillsynsbegäran.docx", "A 31142-2023")</f>
        <v/>
      </c>
      <c r="Y427">
        <f>HYPERLINK("https://klasma.github.io/Logging_0192/tillsynsmail/A 31142-2023 tillsynsbegäran mail.docx", "A 31142-2023")</f>
        <v/>
      </c>
    </row>
    <row r="428" ht="15" customHeight="1">
      <c r="A428" t="inlineStr">
        <is>
          <t>A 31828-2023</t>
        </is>
      </c>
      <c r="B428" s="1" t="n">
        <v>45118</v>
      </c>
      <c r="C428" s="1" t="n">
        <v>45512</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31842-2023</t>
        </is>
      </c>
      <c r="B429" s="1" t="n">
        <v>45118</v>
      </c>
      <c r="C429" s="1" t="n">
        <v>45512</v>
      </c>
      <c r="D429" t="inlineStr">
        <is>
          <t>STOCKHOLMS LÄN</t>
        </is>
      </c>
      <c r="E429" t="inlineStr">
        <is>
          <t>NYNÄSHAMN</t>
        </is>
      </c>
      <c r="F429" t="inlineStr">
        <is>
          <t>Kommuner</t>
        </is>
      </c>
      <c r="G429" t="n">
        <v>3.8</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31842-2023 artfynd.xlsx", "A 31842-2023")</f>
        <v/>
      </c>
      <c r="T429">
        <f>HYPERLINK("https://klasma.github.io/Logging_0192/kartor/A 31842-2023 karta.png", "A 31842-2023")</f>
        <v/>
      </c>
      <c r="V429">
        <f>HYPERLINK("https://klasma.github.io/Logging_0192/klagomål/A 31842-2023 FSC-klagomål.docx", "A 31842-2023")</f>
        <v/>
      </c>
      <c r="W429">
        <f>HYPERLINK("https://klasma.github.io/Logging_0192/klagomålsmail/A 31842-2023 FSC-klagomål mail.docx", "A 31842-2023")</f>
        <v/>
      </c>
      <c r="X429">
        <f>HYPERLINK("https://klasma.github.io/Logging_0192/tillsyn/A 31842-2023 tillsynsbegäran.docx", "A 31842-2023")</f>
        <v/>
      </c>
      <c r="Y429">
        <f>HYPERLINK("https://klasma.github.io/Logging_0192/tillsynsmail/A 31842-2023 tillsynsbegäran mail.docx", "A 31842-2023")</f>
        <v/>
      </c>
    </row>
    <row r="430" ht="15" customHeight="1">
      <c r="A430" t="inlineStr">
        <is>
          <t>A 32338-2023</t>
        </is>
      </c>
      <c r="B430" s="1" t="n">
        <v>45120</v>
      </c>
      <c r="C430" s="1" t="n">
        <v>45512</v>
      </c>
      <c r="D430" t="inlineStr">
        <is>
          <t>STOCKHOLMS LÄN</t>
        </is>
      </c>
      <c r="E430" t="inlineStr">
        <is>
          <t>VÄRMDÖ</t>
        </is>
      </c>
      <c r="G430" t="n">
        <v>11.3</v>
      </c>
      <c r="H430" t="n">
        <v>0</v>
      </c>
      <c r="I430" t="n">
        <v>1</v>
      </c>
      <c r="J430" t="n">
        <v>0</v>
      </c>
      <c r="K430" t="n">
        <v>0</v>
      </c>
      <c r="L430" t="n">
        <v>0</v>
      </c>
      <c r="M430" t="n">
        <v>0</v>
      </c>
      <c r="N430" t="n">
        <v>0</v>
      </c>
      <c r="O430" t="n">
        <v>0</v>
      </c>
      <c r="P430" t="n">
        <v>0</v>
      </c>
      <c r="Q430" t="n">
        <v>1</v>
      </c>
      <c r="R430" s="2" t="inlineStr">
        <is>
          <t>Strävlosta</t>
        </is>
      </c>
      <c r="S430">
        <f>HYPERLINK("https://klasma.github.io/Logging_0120/artfynd/A 32338-2023 artfynd.xlsx", "A 32338-2023")</f>
        <v/>
      </c>
      <c r="T430">
        <f>HYPERLINK("https://klasma.github.io/Logging_0120/kartor/A 32338-2023 karta.png", "A 32338-2023")</f>
        <v/>
      </c>
      <c r="V430">
        <f>HYPERLINK("https://klasma.github.io/Logging_0120/klagomål/A 32338-2023 FSC-klagomål.docx", "A 32338-2023")</f>
        <v/>
      </c>
      <c r="W430">
        <f>HYPERLINK("https://klasma.github.io/Logging_0120/klagomålsmail/A 32338-2023 FSC-klagomål mail.docx", "A 32338-2023")</f>
        <v/>
      </c>
      <c r="X430">
        <f>HYPERLINK("https://klasma.github.io/Logging_0120/tillsyn/A 32338-2023 tillsynsbegäran.docx", "A 32338-2023")</f>
        <v/>
      </c>
      <c r="Y430">
        <f>HYPERLINK("https://klasma.github.io/Logging_0120/tillsynsmail/A 32338-2023 tillsynsbegäran mail.docx", "A 32338-2023")</f>
        <v/>
      </c>
    </row>
    <row r="431" ht="15" customHeight="1">
      <c r="A431" t="inlineStr">
        <is>
          <t>A 32455-2023</t>
        </is>
      </c>
      <c r="B431" s="1" t="n">
        <v>45120</v>
      </c>
      <c r="C431" s="1" t="n">
        <v>45512</v>
      </c>
      <c r="D431" t="inlineStr">
        <is>
          <t>STOCKHOLMS LÄN</t>
        </is>
      </c>
      <c r="E431" t="inlineStr">
        <is>
          <t>VÄRMDÖ</t>
        </is>
      </c>
      <c r="G431" t="n">
        <v>4.1</v>
      </c>
      <c r="H431" t="n">
        <v>1</v>
      </c>
      <c r="I431" t="n">
        <v>0</v>
      </c>
      <c r="J431" t="n">
        <v>0</v>
      </c>
      <c r="K431" t="n">
        <v>0</v>
      </c>
      <c r="L431" t="n">
        <v>0</v>
      </c>
      <c r="M431" t="n">
        <v>0</v>
      </c>
      <c r="N431" t="n">
        <v>0</v>
      </c>
      <c r="O431" t="n">
        <v>0</v>
      </c>
      <c r="P431" t="n">
        <v>0</v>
      </c>
      <c r="Q431" t="n">
        <v>1</v>
      </c>
      <c r="R431" s="2" t="inlineStr">
        <is>
          <t>Blåsippa</t>
        </is>
      </c>
      <c r="S431">
        <f>HYPERLINK("https://klasma.github.io/Logging_0120/artfynd/A 32455-2023 artfynd.xlsx", "A 32455-2023")</f>
        <v/>
      </c>
      <c r="T431">
        <f>HYPERLINK("https://klasma.github.io/Logging_0120/kartor/A 32455-2023 karta.png", "A 32455-2023")</f>
        <v/>
      </c>
      <c r="V431">
        <f>HYPERLINK("https://klasma.github.io/Logging_0120/klagomål/A 32455-2023 FSC-klagomål.docx", "A 32455-2023")</f>
        <v/>
      </c>
      <c r="W431">
        <f>HYPERLINK("https://klasma.github.io/Logging_0120/klagomålsmail/A 32455-2023 FSC-klagomål mail.docx", "A 32455-2023")</f>
        <v/>
      </c>
      <c r="X431">
        <f>HYPERLINK("https://klasma.github.io/Logging_0120/tillsyn/A 32455-2023 tillsynsbegäran.docx", "A 32455-2023")</f>
        <v/>
      </c>
      <c r="Y431">
        <f>HYPERLINK("https://klasma.github.io/Logging_0120/tillsynsmail/A 32455-2023 tillsynsbegäran mail.docx", "A 32455-2023")</f>
        <v/>
      </c>
    </row>
    <row r="432" ht="15" customHeight="1">
      <c r="A432" t="inlineStr">
        <is>
          <t>A 33528-2023</t>
        </is>
      </c>
      <c r="B432" s="1" t="n">
        <v>45131</v>
      </c>
      <c r="C432" s="1" t="n">
        <v>45512</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45512</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45512</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45512</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45512</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39255-2023</t>
        </is>
      </c>
      <c r="B437" s="1" t="n">
        <v>45166</v>
      </c>
      <c r="C437" s="1" t="n">
        <v>45512</v>
      </c>
      <c r="D437" t="inlineStr">
        <is>
          <t>STOCKHOLMS LÄN</t>
        </is>
      </c>
      <c r="E437" t="inlineStr">
        <is>
          <t>NORRTÄLJE</t>
        </is>
      </c>
      <c r="G437" t="n">
        <v>14.2</v>
      </c>
      <c r="H437" t="n">
        <v>1</v>
      </c>
      <c r="I437" t="n">
        <v>0</v>
      </c>
      <c r="J437" t="n">
        <v>0</v>
      </c>
      <c r="K437" t="n">
        <v>0</v>
      </c>
      <c r="L437" t="n">
        <v>0</v>
      </c>
      <c r="M437" t="n">
        <v>0</v>
      </c>
      <c r="N437" t="n">
        <v>0</v>
      </c>
      <c r="O437" t="n">
        <v>0</v>
      </c>
      <c r="P437" t="n">
        <v>0</v>
      </c>
      <c r="Q437" t="n">
        <v>1</v>
      </c>
      <c r="R437" s="2" t="inlineStr">
        <is>
          <t>Lopplummer</t>
        </is>
      </c>
      <c r="S437">
        <f>HYPERLINK("https://klasma.github.io/Logging_0188/artfynd/A 39255-2023 artfynd.xlsx", "A 39255-2023")</f>
        <v/>
      </c>
      <c r="T437">
        <f>HYPERLINK("https://klasma.github.io/Logging_0188/kartor/A 39255-2023 karta.png", "A 39255-2023")</f>
        <v/>
      </c>
      <c r="V437">
        <f>HYPERLINK("https://klasma.github.io/Logging_0188/klagomål/A 39255-2023 FSC-klagomål.docx", "A 39255-2023")</f>
        <v/>
      </c>
      <c r="W437">
        <f>HYPERLINK("https://klasma.github.io/Logging_0188/klagomålsmail/A 39255-2023 FSC-klagomål mail.docx", "A 39255-2023")</f>
        <v/>
      </c>
      <c r="X437">
        <f>HYPERLINK("https://klasma.github.io/Logging_0188/tillsyn/A 39255-2023 tillsynsbegäran.docx", "A 39255-2023")</f>
        <v/>
      </c>
      <c r="Y437">
        <f>HYPERLINK("https://klasma.github.io/Logging_0188/tillsynsmail/A 39255-2023 tillsynsbegäran mail.docx", "A 39255-2023")</f>
        <v/>
      </c>
    </row>
    <row r="438" ht="15" customHeight="1">
      <c r="A438" t="inlineStr">
        <is>
          <t>A 39716-2023</t>
        </is>
      </c>
      <c r="B438" s="1" t="n">
        <v>45166</v>
      </c>
      <c r="C438" s="1" t="n">
        <v>45512</v>
      </c>
      <c r="D438" t="inlineStr">
        <is>
          <t>STOCKHOLMS LÄN</t>
        </is>
      </c>
      <c r="E438" t="inlineStr">
        <is>
          <t>SIGTUNA</t>
        </is>
      </c>
      <c r="G438" t="n">
        <v>3.5</v>
      </c>
      <c r="H438" t="n">
        <v>1</v>
      </c>
      <c r="I438" t="n">
        <v>0</v>
      </c>
      <c r="J438" t="n">
        <v>1</v>
      </c>
      <c r="K438" t="n">
        <v>0</v>
      </c>
      <c r="L438" t="n">
        <v>0</v>
      </c>
      <c r="M438" t="n">
        <v>0</v>
      </c>
      <c r="N438" t="n">
        <v>0</v>
      </c>
      <c r="O438" t="n">
        <v>1</v>
      </c>
      <c r="P438" t="n">
        <v>0</v>
      </c>
      <c r="Q438" t="n">
        <v>1</v>
      </c>
      <c r="R438" s="2" t="inlineStr">
        <is>
          <t>Hornuggla</t>
        </is>
      </c>
      <c r="S438">
        <f>HYPERLINK("https://klasma.github.io/Logging_0191/artfynd/A 39716-2023 artfynd.xlsx", "A 39716-2023")</f>
        <v/>
      </c>
      <c r="T438">
        <f>HYPERLINK("https://klasma.github.io/Logging_0191/kartor/A 39716-2023 karta.png", "A 39716-2023")</f>
        <v/>
      </c>
      <c r="V438">
        <f>HYPERLINK("https://klasma.github.io/Logging_0191/klagomål/A 39716-2023 FSC-klagomål.docx", "A 39716-2023")</f>
        <v/>
      </c>
      <c r="W438">
        <f>HYPERLINK("https://klasma.github.io/Logging_0191/klagomålsmail/A 39716-2023 FSC-klagomål mail.docx", "A 39716-2023")</f>
        <v/>
      </c>
      <c r="X438">
        <f>HYPERLINK("https://klasma.github.io/Logging_0191/tillsyn/A 39716-2023 tillsynsbegäran.docx", "A 39716-2023")</f>
        <v/>
      </c>
      <c r="Y438">
        <f>HYPERLINK("https://klasma.github.io/Logging_0191/tillsynsmail/A 39716-2023 tillsynsbegäran mail.docx", "A 39716-2023")</f>
        <v/>
      </c>
      <c r="Z438">
        <f>HYPERLINK("https://klasma.github.io/Logging_0191/fåglar/A 39716-2023 prioriterade fågelarter.docx", "A 39716-2023")</f>
        <v/>
      </c>
    </row>
    <row r="439" ht="15" customHeight="1">
      <c r="A439" t="inlineStr">
        <is>
          <t>A 43178-2023</t>
        </is>
      </c>
      <c r="B439" s="1" t="n">
        <v>45183</v>
      </c>
      <c r="C439" s="1" t="n">
        <v>45512</v>
      </c>
      <c r="D439" t="inlineStr">
        <is>
          <t>STOCKHOLMS LÄN</t>
        </is>
      </c>
      <c r="E439" t="inlineStr">
        <is>
          <t>NORRTÄLJE</t>
        </is>
      </c>
      <c r="F439" t="inlineStr">
        <is>
          <t>Kyrkan</t>
        </is>
      </c>
      <c r="G439" t="n">
        <v>1.5</v>
      </c>
      <c r="H439" t="n">
        <v>0</v>
      </c>
      <c r="I439" t="n">
        <v>0</v>
      </c>
      <c r="J439" t="n">
        <v>1</v>
      </c>
      <c r="K439" t="n">
        <v>0</v>
      </c>
      <c r="L439" t="n">
        <v>0</v>
      </c>
      <c r="M439" t="n">
        <v>0</v>
      </c>
      <c r="N439" t="n">
        <v>0</v>
      </c>
      <c r="O439" t="n">
        <v>1</v>
      </c>
      <c r="P439" t="n">
        <v>0</v>
      </c>
      <c r="Q439" t="n">
        <v>1</v>
      </c>
      <c r="R439" s="2" t="inlineStr">
        <is>
          <t>Mindre bastardsvärmare</t>
        </is>
      </c>
      <c r="S439">
        <f>HYPERLINK("https://klasma.github.io/Logging_0188/artfynd/A 43178-2023 artfynd.xlsx", "A 43178-2023")</f>
        <v/>
      </c>
      <c r="T439">
        <f>HYPERLINK("https://klasma.github.io/Logging_0188/kartor/A 43178-2023 karta.png", "A 43178-2023")</f>
        <v/>
      </c>
      <c r="V439">
        <f>HYPERLINK("https://klasma.github.io/Logging_0188/klagomål/A 43178-2023 FSC-klagomål.docx", "A 43178-2023")</f>
        <v/>
      </c>
      <c r="W439">
        <f>HYPERLINK("https://klasma.github.io/Logging_0188/klagomålsmail/A 43178-2023 FSC-klagomål mail.docx", "A 43178-2023")</f>
        <v/>
      </c>
      <c r="X439">
        <f>HYPERLINK("https://klasma.github.io/Logging_0188/tillsyn/A 43178-2023 tillsynsbegäran.docx", "A 43178-2023")</f>
        <v/>
      </c>
      <c r="Y439">
        <f>HYPERLINK("https://klasma.github.io/Logging_0188/tillsynsmail/A 43178-2023 tillsynsbegäran mail.docx", "A 43178-2023")</f>
        <v/>
      </c>
    </row>
    <row r="440" ht="15" customHeight="1">
      <c r="A440" t="inlineStr">
        <is>
          <t>A 43171-2023</t>
        </is>
      </c>
      <c r="B440" s="1" t="n">
        <v>45183</v>
      </c>
      <c r="C440" s="1" t="n">
        <v>45512</v>
      </c>
      <c r="D440" t="inlineStr">
        <is>
          <t>STOCKHOLMS LÄN</t>
        </is>
      </c>
      <c r="E440" t="inlineStr">
        <is>
          <t>NORRTÄLJE</t>
        </is>
      </c>
      <c r="F440" t="inlineStr">
        <is>
          <t>Kyrkan</t>
        </is>
      </c>
      <c r="G440" t="n">
        <v>1.3</v>
      </c>
      <c r="H440" t="n">
        <v>0</v>
      </c>
      <c r="I440" t="n">
        <v>0</v>
      </c>
      <c r="J440" t="n">
        <v>0</v>
      </c>
      <c r="K440" t="n">
        <v>0</v>
      </c>
      <c r="L440" t="n">
        <v>1</v>
      </c>
      <c r="M440" t="n">
        <v>0</v>
      </c>
      <c r="N440" t="n">
        <v>0</v>
      </c>
      <c r="O440" t="n">
        <v>1</v>
      </c>
      <c r="P440" t="n">
        <v>1</v>
      </c>
      <c r="Q440" t="n">
        <v>1</v>
      </c>
      <c r="R440" s="2" t="inlineStr">
        <is>
          <t>Ryl</t>
        </is>
      </c>
      <c r="S440">
        <f>HYPERLINK("https://klasma.github.io/Logging_0188/artfynd/A 43171-2023 artfynd.xlsx", "A 43171-2023")</f>
        <v/>
      </c>
      <c r="T440">
        <f>HYPERLINK("https://klasma.github.io/Logging_0188/kartor/A 43171-2023 karta.png", "A 43171-2023")</f>
        <v/>
      </c>
      <c r="U440">
        <f>HYPERLINK("https://klasma.github.io/Logging_0188/knärot/A 43171-2023 karta knärot.png", "A 43171-2023")</f>
        <v/>
      </c>
      <c r="V440">
        <f>HYPERLINK("https://klasma.github.io/Logging_0188/klagomål/A 43171-2023 FSC-klagomål.docx", "A 43171-2023")</f>
        <v/>
      </c>
      <c r="W440">
        <f>HYPERLINK("https://klasma.github.io/Logging_0188/klagomålsmail/A 43171-2023 FSC-klagomål mail.docx", "A 43171-2023")</f>
        <v/>
      </c>
      <c r="X440">
        <f>HYPERLINK("https://klasma.github.io/Logging_0188/tillsyn/A 43171-2023 tillsynsbegäran.docx", "A 43171-2023")</f>
        <v/>
      </c>
      <c r="Y440">
        <f>HYPERLINK("https://klasma.github.io/Logging_0188/tillsynsmail/A 43171-2023 tillsynsbegäran mail.docx", "A 43171-2023")</f>
        <v/>
      </c>
    </row>
    <row r="441" ht="15" customHeight="1">
      <c r="A441" t="inlineStr">
        <is>
          <t>A 43350-2023</t>
        </is>
      </c>
      <c r="B441" s="1" t="n">
        <v>45183</v>
      </c>
      <c r="C441" s="1" t="n">
        <v>45512</v>
      </c>
      <c r="D441" t="inlineStr">
        <is>
          <t>STOCKHOLMS LÄN</t>
        </is>
      </c>
      <c r="E441" t="inlineStr">
        <is>
          <t>NORRTÄLJE</t>
        </is>
      </c>
      <c r="F441" t="inlineStr">
        <is>
          <t>Holmen skog AB</t>
        </is>
      </c>
      <c r="G441" t="n">
        <v>4.2</v>
      </c>
      <c r="H441" t="n">
        <v>1</v>
      </c>
      <c r="I441" t="n">
        <v>0</v>
      </c>
      <c r="J441" t="n">
        <v>0</v>
      </c>
      <c r="K441" t="n">
        <v>0</v>
      </c>
      <c r="L441" t="n">
        <v>0</v>
      </c>
      <c r="M441" t="n">
        <v>0</v>
      </c>
      <c r="N441" t="n">
        <v>0</v>
      </c>
      <c r="O441" t="n">
        <v>0</v>
      </c>
      <c r="P441" t="n">
        <v>0</v>
      </c>
      <c r="Q441" t="n">
        <v>1</v>
      </c>
      <c r="R441" s="2" t="inlineStr">
        <is>
          <t>Revlummer</t>
        </is>
      </c>
      <c r="S441">
        <f>HYPERLINK("https://klasma.github.io/Logging_0188/artfynd/A 43350-2023 artfynd.xlsx", "A 43350-2023")</f>
        <v/>
      </c>
      <c r="T441">
        <f>HYPERLINK("https://klasma.github.io/Logging_0188/kartor/A 43350-2023 karta.png", "A 43350-2023")</f>
        <v/>
      </c>
      <c r="V441">
        <f>HYPERLINK("https://klasma.github.io/Logging_0188/klagomål/A 43350-2023 FSC-klagomål.docx", "A 43350-2023")</f>
        <v/>
      </c>
      <c r="W441">
        <f>HYPERLINK("https://klasma.github.io/Logging_0188/klagomålsmail/A 43350-2023 FSC-klagomål mail.docx", "A 43350-2023")</f>
        <v/>
      </c>
      <c r="X441">
        <f>HYPERLINK("https://klasma.github.io/Logging_0188/tillsyn/A 43350-2023 tillsynsbegäran.docx", "A 43350-2023")</f>
        <v/>
      </c>
      <c r="Y441">
        <f>HYPERLINK("https://klasma.github.io/Logging_0188/tillsynsmail/A 43350-2023 tillsynsbegäran mail.docx", "A 43350-2023")</f>
        <v/>
      </c>
    </row>
    <row r="442" ht="15" customHeight="1">
      <c r="A442" t="inlineStr">
        <is>
          <t>A 43354-2023</t>
        </is>
      </c>
      <c r="B442" s="1" t="n">
        <v>45183</v>
      </c>
      <c r="C442" s="1" t="n">
        <v>45512</v>
      </c>
      <c r="D442" t="inlineStr">
        <is>
          <t>STOCKHOLMS LÄN</t>
        </is>
      </c>
      <c r="E442" t="inlineStr">
        <is>
          <t>NORRTÄLJE</t>
        </is>
      </c>
      <c r="F442" t="inlineStr">
        <is>
          <t>Holmen skog AB</t>
        </is>
      </c>
      <c r="G442" t="n">
        <v>9.9</v>
      </c>
      <c r="H442" t="n">
        <v>0</v>
      </c>
      <c r="I442" t="n">
        <v>1</v>
      </c>
      <c r="J442" t="n">
        <v>0</v>
      </c>
      <c r="K442" t="n">
        <v>0</v>
      </c>
      <c r="L442" t="n">
        <v>0</v>
      </c>
      <c r="M442" t="n">
        <v>0</v>
      </c>
      <c r="N442" t="n">
        <v>0</v>
      </c>
      <c r="O442" t="n">
        <v>0</v>
      </c>
      <c r="P442" t="n">
        <v>0</v>
      </c>
      <c r="Q442" t="n">
        <v>1</v>
      </c>
      <c r="R442" s="2" t="inlineStr">
        <is>
          <t>Tibast</t>
        </is>
      </c>
      <c r="S442">
        <f>HYPERLINK("https://klasma.github.io/Logging_0188/artfynd/A 43354-2023 artfynd.xlsx", "A 43354-2023")</f>
        <v/>
      </c>
      <c r="T442">
        <f>HYPERLINK("https://klasma.github.io/Logging_0188/kartor/A 43354-2023 karta.png", "A 43354-2023")</f>
        <v/>
      </c>
      <c r="V442">
        <f>HYPERLINK("https://klasma.github.io/Logging_0188/klagomål/A 43354-2023 FSC-klagomål.docx", "A 43354-2023")</f>
        <v/>
      </c>
      <c r="W442">
        <f>HYPERLINK("https://klasma.github.io/Logging_0188/klagomålsmail/A 43354-2023 FSC-klagomål mail.docx", "A 43354-2023")</f>
        <v/>
      </c>
      <c r="X442">
        <f>HYPERLINK("https://klasma.github.io/Logging_0188/tillsyn/A 43354-2023 tillsynsbegäran.docx", "A 43354-2023")</f>
        <v/>
      </c>
      <c r="Y442">
        <f>HYPERLINK("https://klasma.github.io/Logging_0188/tillsynsmail/A 43354-2023 tillsynsbegäran mail.docx", "A 43354-2023")</f>
        <v/>
      </c>
    </row>
    <row r="443" ht="15" customHeight="1">
      <c r="A443" t="inlineStr">
        <is>
          <t>A 45172-2023</t>
        </is>
      </c>
      <c r="B443" s="1" t="n">
        <v>45191</v>
      </c>
      <c r="C443" s="1" t="n">
        <v>45512</v>
      </c>
      <c r="D443" t="inlineStr">
        <is>
          <t>STOCKHOLMS LÄN</t>
        </is>
      </c>
      <c r="E443" t="inlineStr">
        <is>
          <t>NORRTÄLJE</t>
        </is>
      </c>
      <c r="F443" t="inlineStr">
        <is>
          <t>Sveaskog</t>
        </is>
      </c>
      <c r="G443" t="n">
        <v>3.8</v>
      </c>
      <c r="H443" t="n">
        <v>1</v>
      </c>
      <c r="I443" t="n">
        <v>0</v>
      </c>
      <c r="J443" t="n">
        <v>1</v>
      </c>
      <c r="K443" t="n">
        <v>0</v>
      </c>
      <c r="L443" t="n">
        <v>0</v>
      </c>
      <c r="M443" t="n">
        <v>0</v>
      </c>
      <c r="N443" t="n">
        <v>0</v>
      </c>
      <c r="O443" t="n">
        <v>1</v>
      </c>
      <c r="P443" t="n">
        <v>0</v>
      </c>
      <c r="Q443" t="n">
        <v>1</v>
      </c>
      <c r="R443" s="2" t="inlineStr">
        <is>
          <t>Slaguggla</t>
        </is>
      </c>
      <c r="S443">
        <f>HYPERLINK("https://klasma.github.io/Logging_0188/artfynd/A 45172-2023 artfynd.xlsx", "A 45172-2023")</f>
        <v/>
      </c>
      <c r="T443">
        <f>HYPERLINK("https://klasma.github.io/Logging_0188/kartor/A 45172-2023 karta.png", "A 45172-2023")</f>
        <v/>
      </c>
      <c r="V443">
        <f>HYPERLINK("https://klasma.github.io/Logging_0188/klagomål/A 45172-2023 FSC-klagomål.docx", "A 45172-2023")</f>
        <v/>
      </c>
      <c r="W443">
        <f>HYPERLINK("https://klasma.github.io/Logging_0188/klagomålsmail/A 45172-2023 FSC-klagomål mail.docx", "A 45172-2023")</f>
        <v/>
      </c>
      <c r="X443">
        <f>HYPERLINK("https://klasma.github.io/Logging_0188/tillsyn/A 45172-2023 tillsynsbegäran.docx", "A 45172-2023")</f>
        <v/>
      </c>
      <c r="Y443">
        <f>HYPERLINK("https://klasma.github.io/Logging_0188/tillsynsmail/A 45172-2023 tillsynsbegäran mail.docx", "A 45172-2023")</f>
        <v/>
      </c>
      <c r="Z443">
        <f>HYPERLINK("https://klasma.github.io/Logging_0188/fåglar/A 45172-2023 prioriterade fågelarter.docx", "A 45172-2023")</f>
        <v/>
      </c>
    </row>
    <row r="444" ht="15" customHeight="1">
      <c r="A444" t="inlineStr">
        <is>
          <t>A 47110-2023</t>
        </is>
      </c>
      <c r="B444" s="1" t="n">
        <v>45196</v>
      </c>
      <c r="C444" s="1" t="n">
        <v>45512</v>
      </c>
      <c r="D444" t="inlineStr">
        <is>
          <t>STOCKHOLMS LÄN</t>
        </is>
      </c>
      <c r="E444" t="inlineStr">
        <is>
          <t>NYNÄSHAMN</t>
        </is>
      </c>
      <c r="G444" t="n">
        <v>0.9</v>
      </c>
      <c r="H444" t="n">
        <v>0</v>
      </c>
      <c r="I444" t="n">
        <v>0</v>
      </c>
      <c r="J444" t="n">
        <v>1</v>
      </c>
      <c r="K444" t="n">
        <v>0</v>
      </c>
      <c r="L444" t="n">
        <v>0</v>
      </c>
      <c r="M444" t="n">
        <v>0</v>
      </c>
      <c r="N444" t="n">
        <v>0</v>
      </c>
      <c r="O444" t="n">
        <v>1</v>
      </c>
      <c r="P444" t="n">
        <v>0</v>
      </c>
      <c r="Q444" t="n">
        <v>1</v>
      </c>
      <c r="R444" s="2" t="inlineStr">
        <is>
          <t>Barrviolspindling</t>
        </is>
      </c>
      <c r="S444">
        <f>HYPERLINK("https://klasma.github.io/Logging_0192/artfynd/A 47110-2023 artfynd.xlsx", "A 47110-2023")</f>
        <v/>
      </c>
      <c r="T444">
        <f>HYPERLINK("https://klasma.github.io/Logging_0192/kartor/A 47110-2023 karta.png", "A 47110-2023")</f>
        <v/>
      </c>
      <c r="V444">
        <f>HYPERLINK("https://klasma.github.io/Logging_0192/klagomål/A 47110-2023 FSC-klagomål.docx", "A 47110-2023")</f>
        <v/>
      </c>
      <c r="W444">
        <f>HYPERLINK("https://klasma.github.io/Logging_0192/klagomålsmail/A 47110-2023 FSC-klagomål mail.docx", "A 47110-2023")</f>
        <v/>
      </c>
      <c r="X444">
        <f>HYPERLINK("https://klasma.github.io/Logging_0192/tillsyn/A 47110-2023 tillsynsbegäran.docx", "A 47110-2023")</f>
        <v/>
      </c>
      <c r="Y444">
        <f>HYPERLINK("https://klasma.github.io/Logging_0192/tillsynsmail/A 47110-2023 tillsynsbegäran mail.docx", "A 47110-2023")</f>
        <v/>
      </c>
    </row>
    <row r="445" ht="15" customHeight="1">
      <c r="A445" t="inlineStr">
        <is>
          <t>A 47711-2023</t>
        </is>
      </c>
      <c r="B445" s="1" t="n">
        <v>45198</v>
      </c>
      <c r="C445" s="1" t="n">
        <v>45512</v>
      </c>
      <c r="D445" t="inlineStr">
        <is>
          <t>STOCKHOLMS LÄN</t>
        </is>
      </c>
      <c r="E445" t="inlineStr">
        <is>
          <t>SÖDERTÄLJE</t>
        </is>
      </c>
      <c r="G445" t="n">
        <v>4.4</v>
      </c>
      <c r="H445" t="n">
        <v>1</v>
      </c>
      <c r="I445" t="n">
        <v>0</v>
      </c>
      <c r="J445" t="n">
        <v>0</v>
      </c>
      <c r="K445" t="n">
        <v>0</v>
      </c>
      <c r="L445" t="n">
        <v>0</v>
      </c>
      <c r="M445" t="n">
        <v>0</v>
      </c>
      <c r="N445" t="n">
        <v>0</v>
      </c>
      <c r="O445" t="n">
        <v>0</v>
      </c>
      <c r="P445" t="n">
        <v>0</v>
      </c>
      <c r="Q445" t="n">
        <v>1</v>
      </c>
      <c r="R445" s="2" t="inlineStr">
        <is>
          <t>Blåsippa</t>
        </is>
      </c>
      <c r="S445">
        <f>HYPERLINK("https://klasma.github.io/Logging_0181/artfynd/A 47711-2023 artfynd.xlsx", "A 47711-2023")</f>
        <v/>
      </c>
      <c r="T445">
        <f>HYPERLINK("https://klasma.github.io/Logging_0181/kartor/A 47711-2023 karta.png", "A 47711-2023")</f>
        <v/>
      </c>
      <c r="V445">
        <f>HYPERLINK("https://klasma.github.io/Logging_0181/klagomål/A 47711-2023 FSC-klagomål.docx", "A 47711-2023")</f>
        <v/>
      </c>
      <c r="W445">
        <f>HYPERLINK("https://klasma.github.io/Logging_0181/klagomålsmail/A 47711-2023 FSC-klagomål mail.docx", "A 47711-2023")</f>
        <v/>
      </c>
      <c r="X445">
        <f>HYPERLINK("https://klasma.github.io/Logging_0181/tillsyn/A 47711-2023 tillsynsbegäran.docx", "A 47711-2023")</f>
        <v/>
      </c>
      <c r="Y445">
        <f>HYPERLINK("https://klasma.github.io/Logging_0181/tillsynsmail/A 47711-2023 tillsynsbegäran mail.docx", "A 47711-2023")</f>
        <v/>
      </c>
    </row>
    <row r="446" ht="15" customHeight="1">
      <c r="A446" t="inlineStr">
        <is>
          <t>A 48131-2023</t>
        </is>
      </c>
      <c r="B446" s="1" t="n">
        <v>45205</v>
      </c>
      <c r="C446" s="1" t="n">
        <v>45512</v>
      </c>
      <c r="D446" t="inlineStr">
        <is>
          <t>STOCKHOLMS LÄN</t>
        </is>
      </c>
      <c r="E446" t="inlineStr">
        <is>
          <t>NORRTÄLJE</t>
        </is>
      </c>
      <c r="G446" t="n">
        <v>2.3</v>
      </c>
      <c r="H446" t="n">
        <v>0</v>
      </c>
      <c r="I446" t="n">
        <v>0</v>
      </c>
      <c r="J446" t="n">
        <v>1</v>
      </c>
      <c r="K446" t="n">
        <v>0</v>
      </c>
      <c r="L446" t="n">
        <v>0</v>
      </c>
      <c r="M446" t="n">
        <v>0</v>
      </c>
      <c r="N446" t="n">
        <v>0</v>
      </c>
      <c r="O446" t="n">
        <v>1</v>
      </c>
      <c r="P446" t="n">
        <v>0</v>
      </c>
      <c r="Q446" t="n">
        <v>1</v>
      </c>
      <c r="R446" s="2" t="inlineStr">
        <is>
          <t>Slåtterfibbla</t>
        </is>
      </c>
      <c r="S446">
        <f>HYPERLINK("https://klasma.github.io/Logging_0188/artfynd/A 48131-2023 artfynd.xlsx", "A 48131-2023")</f>
        <v/>
      </c>
      <c r="T446">
        <f>HYPERLINK("https://klasma.github.io/Logging_0188/kartor/A 48131-2023 karta.png", "A 48131-2023")</f>
        <v/>
      </c>
      <c r="V446">
        <f>HYPERLINK("https://klasma.github.io/Logging_0188/klagomål/A 48131-2023 FSC-klagomål.docx", "A 48131-2023")</f>
        <v/>
      </c>
      <c r="W446">
        <f>HYPERLINK("https://klasma.github.io/Logging_0188/klagomålsmail/A 48131-2023 FSC-klagomål mail.docx", "A 48131-2023")</f>
        <v/>
      </c>
      <c r="X446">
        <f>HYPERLINK("https://klasma.github.io/Logging_0188/tillsyn/A 48131-2023 tillsynsbegäran.docx", "A 48131-2023")</f>
        <v/>
      </c>
      <c r="Y446">
        <f>HYPERLINK("https://klasma.github.io/Logging_0188/tillsynsmail/A 48131-2023 tillsynsbegäran mail.docx", "A 48131-2023")</f>
        <v/>
      </c>
    </row>
    <row r="447" ht="15" customHeight="1">
      <c r="A447" t="inlineStr">
        <is>
          <t>A 51695-2023</t>
        </is>
      </c>
      <c r="B447" s="1" t="n">
        <v>45222</v>
      </c>
      <c r="C447" s="1" t="n">
        <v>45512</v>
      </c>
      <c r="D447" t="inlineStr">
        <is>
          <t>STOCKHOLMS LÄN</t>
        </is>
      </c>
      <c r="E447" t="inlineStr">
        <is>
          <t>NORRTÄLJE</t>
        </is>
      </c>
      <c r="G447" t="n">
        <v>4.9</v>
      </c>
      <c r="H447" t="n">
        <v>0</v>
      </c>
      <c r="I447" t="n">
        <v>1</v>
      </c>
      <c r="J447" t="n">
        <v>0</v>
      </c>
      <c r="K447" t="n">
        <v>0</v>
      </c>
      <c r="L447" t="n">
        <v>0</v>
      </c>
      <c r="M447" t="n">
        <v>0</v>
      </c>
      <c r="N447" t="n">
        <v>0</v>
      </c>
      <c r="O447" t="n">
        <v>0</v>
      </c>
      <c r="P447" t="n">
        <v>0</v>
      </c>
      <c r="Q447" t="n">
        <v>1</v>
      </c>
      <c r="R447" s="2" t="inlineStr">
        <is>
          <t>Fjällig taggsvamp s.str.</t>
        </is>
      </c>
      <c r="S447">
        <f>HYPERLINK("https://klasma.github.io/Logging_0188/artfynd/A 51695-2023 artfynd.xlsx", "A 51695-2023")</f>
        <v/>
      </c>
      <c r="T447">
        <f>HYPERLINK("https://klasma.github.io/Logging_0188/kartor/A 51695-2023 karta.png", "A 51695-2023")</f>
        <v/>
      </c>
      <c r="V447">
        <f>HYPERLINK("https://klasma.github.io/Logging_0188/klagomål/A 51695-2023 FSC-klagomål.docx", "A 51695-2023")</f>
        <v/>
      </c>
      <c r="W447">
        <f>HYPERLINK("https://klasma.github.io/Logging_0188/klagomålsmail/A 51695-2023 FSC-klagomål mail.docx", "A 51695-2023")</f>
        <v/>
      </c>
      <c r="X447">
        <f>HYPERLINK("https://klasma.github.io/Logging_0188/tillsyn/A 51695-2023 tillsynsbegäran.docx", "A 51695-2023")</f>
        <v/>
      </c>
      <c r="Y447">
        <f>HYPERLINK("https://klasma.github.io/Logging_0188/tillsynsmail/A 51695-2023 tillsynsbegäran mail.docx", "A 51695-2023")</f>
        <v/>
      </c>
    </row>
    <row r="448" ht="15" customHeight="1">
      <c r="A448" t="inlineStr">
        <is>
          <t>A 51909-2023</t>
        </is>
      </c>
      <c r="B448" s="1" t="n">
        <v>45223</v>
      </c>
      <c r="C448" s="1" t="n">
        <v>45512</v>
      </c>
      <c r="D448" t="inlineStr">
        <is>
          <t>STOCKHOLMS LÄN</t>
        </is>
      </c>
      <c r="E448" t="inlineStr">
        <is>
          <t>NORRTÄLJE</t>
        </is>
      </c>
      <c r="G448" t="n">
        <v>8.1</v>
      </c>
      <c r="H448" t="n">
        <v>1</v>
      </c>
      <c r="I448" t="n">
        <v>1</v>
      </c>
      <c r="J448" t="n">
        <v>0</v>
      </c>
      <c r="K448" t="n">
        <v>0</v>
      </c>
      <c r="L448" t="n">
        <v>0</v>
      </c>
      <c r="M448" t="n">
        <v>0</v>
      </c>
      <c r="N448" t="n">
        <v>0</v>
      </c>
      <c r="O448" t="n">
        <v>0</v>
      </c>
      <c r="P448" t="n">
        <v>0</v>
      </c>
      <c r="Q448" t="n">
        <v>1</v>
      </c>
      <c r="R448" s="2" t="inlineStr">
        <is>
          <t>Skogsknipprot</t>
        </is>
      </c>
      <c r="S448">
        <f>HYPERLINK("https://klasma.github.io/Logging_0188/artfynd/A 51909-2023 artfynd.xlsx", "A 51909-2023")</f>
        <v/>
      </c>
      <c r="T448">
        <f>HYPERLINK("https://klasma.github.io/Logging_0188/kartor/A 51909-2023 karta.png", "A 51909-2023")</f>
        <v/>
      </c>
      <c r="V448">
        <f>HYPERLINK("https://klasma.github.io/Logging_0188/klagomål/A 51909-2023 FSC-klagomål.docx", "A 51909-2023")</f>
        <v/>
      </c>
      <c r="W448">
        <f>HYPERLINK("https://klasma.github.io/Logging_0188/klagomålsmail/A 51909-2023 FSC-klagomål mail.docx", "A 51909-2023")</f>
        <v/>
      </c>
      <c r="X448">
        <f>HYPERLINK("https://klasma.github.io/Logging_0188/tillsyn/A 51909-2023 tillsynsbegäran.docx", "A 51909-2023")</f>
        <v/>
      </c>
      <c r="Y448">
        <f>HYPERLINK("https://klasma.github.io/Logging_0188/tillsynsmail/A 51909-2023 tillsynsbegäran mail.docx", "A 51909-2023")</f>
        <v/>
      </c>
    </row>
    <row r="449" ht="15" customHeight="1">
      <c r="A449" t="inlineStr">
        <is>
          <t>A 52508-2023</t>
        </is>
      </c>
      <c r="B449" s="1" t="n">
        <v>45225</v>
      </c>
      <c r="C449" s="1" t="n">
        <v>45512</v>
      </c>
      <c r="D449" t="inlineStr">
        <is>
          <t>STOCKHOLMS LÄN</t>
        </is>
      </c>
      <c r="E449" t="inlineStr">
        <is>
          <t>NORRTÄLJE</t>
        </is>
      </c>
      <c r="G449" t="n">
        <v>19.7</v>
      </c>
      <c r="H449" t="n">
        <v>1</v>
      </c>
      <c r="I449" t="n">
        <v>0</v>
      </c>
      <c r="J449" t="n">
        <v>0</v>
      </c>
      <c r="K449" t="n">
        <v>1</v>
      </c>
      <c r="L449" t="n">
        <v>0</v>
      </c>
      <c r="M449" t="n">
        <v>0</v>
      </c>
      <c r="N449" t="n">
        <v>0</v>
      </c>
      <c r="O449" t="n">
        <v>1</v>
      </c>
      <c r="P449" t="n">
        <v>1</v>
      </c>
      <c r="Q449" t="n">
        <v>1</v>
      </c>
      <c r="R449" s="2" t="inlineStr">
        <is>
          <t>Svärta</t>
        </is>
      </c>
      <c r="S449">
        <f>HYPERLINK("https://klasma.github.io/Logging_0188/artfynd/A 52508-2023 artfynd.xlsx", "A 52508-2023")</f>
        <v/>
      </c>
      <c r="T449">
        <f>HYPERLINK("https://klasma.github.io/Logging_0188/kartor/A 52508-2023 karta.png", "A 52508-2023")</f>
        <v/>
      </c>
      <c r="V449">
        <f>HYPERLINK("https://klasma.github.io/Logging_0188/klagomål/A 52508-2023 FSC-klagomål.docx", "A 52508-2023")</f>
        <v/>
      </c>
      <c r="W449">
        <f>HYPERLINK("https://klasma.github.io/Logging_0188/klagomålsmail/A 52508-2023 FSC-klagomål mail.docx", "A 52508-2023")</f>
        <v/>
      </c>
      <c r="X449">
        <f>HYPERLINK("https://klasma.github.io/Logging_0188/tillsyn/A 52508-2023 tillsynsbegäran.docx", "A 52508-2023")</f>
        <v/>
      </c>
      <c r="Y449">
        <f>HYPERLINK("https://klasma.github.io/Logging_0188/tillsynsmail/A 52508-2023 tillsynsbegäran mail.docx", "A 52508-2023")</f>
        <v/>
      </c>
    </row>
    <row r="450" ht="15" customHeight="1">
      <c r="A450" t="inlineStr">
        <is>
          <t>A 55767-2023</t>
        </is>
      </c>
      <c r="B450" s="1" t="n">
        <v>45239</v>
      </c>
      <c r="C450" s="1" t="n">
        <v>45512</v>
      </c>
      <c r="D450" t="inlineStr">
        <is>
          <t>STOCKHOLMS LÄN</t>
        </is>
      </c>
      <c r="E450" t="inlineStr">
        <is>
          <t>NORRTÄLJE</t>
        </is>
      </c>
      <c r="G450" t="n">
        <v>3.7</v>
      </c>
      <c r="H450" t="n">
        <v>0</v>
      </c>
      <c r="I450" t="n">
        <v>1</v>
      </c>
      <c r="J450" t="n">
        <v>0</v>
      </c>
      <c r="K450" t="n">
        <v>0</v>
      </c>
      <c r="L450" t="n">
        <v>0</v>
      </c>
      <c r="M450" t="n">
        <v>0</v>
      </c>
      <c r="N450" t="n">
        <v>0</v>
      </c>
      <c r="O450" t="n">
        <v>0</v>
      </c>
      <c r="P450" t="n">
        <v>0</v>
      </c>
      <c r="Q450" t="n">
        <v>1</v>
      </c>
      <c r="R450" s="2" t="inlineStr">
        <is>
          <t>Ögonpyrola</t>
        </is>
      </c>
      <c r="S450">
        <f>HYPERLINK("https://klasma.github.io/Logging_0188/artfynd/A 55767-2023 artfynd.xlsx", "A 55767-2023")</f>
        <v/>
      </c>
      <c r="T450">
        <f>HYPERLINK("https://klasma.github.io/Logging_0188/kartor/A 55767-2023 karta.png", "A 55767-2023")</f>
        <v/>
      </c>
      <c r="V450">
        <f>HYPERLINK("https://klasma.github.io/Logging_0188/klagomål/A 55767-2023 FSC-klagomål.docx", "A 55767-2023")</f>
        <v/>
      </c>
      <c r="W450">
        <f>HYPERLINK("https://klasma.github.io/Logging_0188/klagomålsmail/A 55767-2023 FSC-klagomål mail.docx", "A 55767-2023")</f>
        <v/>
      </c>
      <c r="X450">
        <f>HYPERLINK("https://klasma.github.io/Logging_0188/tillsyn/A 55767-2023 tillsynsbegäran.docx", "A 55767-2023")</f>
        <v/>
      </c>
      <c r="Y450">
        <f>HYPERLINK("https://klasma.github.io/Logging_0188/tillsynsmail/A 55767-2023 tillsynsbegäran mail.docx", "A 55767-2023")</f>
        <v/>
      </c>
    </row>
    <row r="451" ht="15" customHeight="1">
      <c r="A451" t="inlineStr">
        <is>
          <t>A 55872-2023</t>
        </is>
      </c>
      <c r="B451" s="1" t="n">
        <v>45239</v>
      </c>
      <c r="C451" s="1" t="n">
        <v>45512</v>
      </c>
      <c r="D451" t="inlineStr">
        <is>
          <t>STOCKHOLMS LÄN</t>
        </is>
      </c>
      <c r="E451" t="inlineStr">
        <is>
          <t>NYNÄSHAMN</t>
        </is>
      </c>
      <c r="F451" t="inlineStr">
        <is>
          <t>Kommuner</t>
        </is>
      </c>
      <c r="G451" t="n">
        <v>4.1</v>
      </c>
      <c r="H451" t="n">
        <v>0</v>
      </c>
      <c r="I451" t="n">
        <v>1</v>
      </c>
      <c r="J451" t="n">
        <v>0</v>
      </c>
      <c r="K451" t="n">
        <v>0</v>
      </c>
      <c r="L451" t="n">
        <v>0</v>
      </c>
      <c r="M451" t="n">
        <v>0</v>
      </c>
      <c r="N451" t="n">
        <v>0</v>
      </c>
      <c r="O451" t="n">
        <v>0</v>
      </c>
      <c r="P451" t="n">
        <v>0</v>
      </c>
      <c r="Q451" t="n">
        <v>1</v>
      </c>
      <c r="R451" s="2" t="inlineStr">
        <is>
          <t>Skogshakmossa</t>
        </is>
      </c>
      <c r="S451">
        <f>HYPERLINK("https://klasma.github.io/Logging_0192/artfynd/A 55872-2023 artfynd.xlsx", "A 55872-2023")</f>
        <v/>
      </c>
      <c r="T451">
        <f>HYPERLINK("https://klasma.github.io/Logging_0192/kartor/A 55872-2023 karta.png", "A 55872-2023")</f>
        <v/>
      </c>
      <c r="V451">
        <f>HYPERLINK("https://klasma.github.io/Logging_0192/klagomål/A 55872-2023 FSC-klagomål.docx", "A 55872-2023")</f>
        <v/>
      </c>
      <c r="W451">
        <f>HYPERLINK("https://klasma.github.io/Logging_0192/klagomålsmail/A 55872-2023 FSC-klagomål mail.docx", "A 55872-2023")</f>
        <v/>
      </c>
      <c r="X451">
        <f>HYPERLINK("https://klasma.github.io/Logging_0192/tillsyn/A 55872-2023 tillsynsbegäran.docx", "A 55872-2023")</f>
        <v/>
      </c>
      <c r="Y451">
        <f>HYPERLINK("https://klasma.github.io/Logging_0192/tillsynsmail/A 55872-2023 tillsynsbegäran mail.docx", "A 55872-2023")</f>
        <v/>
      </c>
    </row>
    <row r="452" ht="15" customHeight="1">
      <c r="A452" t="inlineStr">
        <is>
          <t>A 59580-2023</t>
        </is>
      </c>
      <c r="B452" s="1" t="n">
        <v>45254</v>
      </c>
      <c r="C452" s="1" t="n">
        <v>45512</v>
      </c>
      <c r="D452" t="inlineStr">
        <is>
          <t>STOCKHOLMS LÄN</t>
        </is>
      </c>
      <c r="E452" t="inlineStr">
        <is>
          <t>NORRTÄLJE</t>
        </is>
      </c>
      <c r="G452" t="n">
        <v>3.2</v>
      </c>
      <c r="H452" t="n">
        <v>0</v>
      </c>
      <c r="I452" t="n">
        <v>1</v>
      </c>
      <c r="J452" t="n">
        <v>0</v>
      </c>
      <c r="K452" t="n">
        <v>0</v>
      </c>
      <c r="L452" t="n">
        <v>0</v>
      </c>
      <c r="M452" t="n">
        <v>0</v>
      </c>
      <c r="N452" t="n">
        <v>0</v>
      </c>
      <c r="O452" t="n">
        <v>0</v>
      </c>
      <c r="P452" t="n">
        <v>0</v>
      </c>
      <c r="Q452" t="n">
        <v>1</v>
      </c>
      <c r="R452" s="2" t="inlineStr">
        <is>
          <t>Trådticka</t>
        </is>
      </c>
      <c r="S452">
        <f>HYPERLINK("https://klasma.github.io/Logging_0188/artfynd/A 59580-2023 artfynd.xlsx", "A 59580-2023")</f>
        <v/>
      </c>
      <c r="T452">
        <f>HYPERLINK("https://klasma.github.io/Logging_0188/kartor/A 59580-2023 karta.png", "A 59580-2023")</f>
        <v/>
      </c>
      <c r="V452">
        <f>HYPERLINK("https://klasma.github.io/Logging_0188/klagomål/A 59580-2023 FSC-klagomål.docx", "A 59580-2023")</f>
        <v/>
      </c>
      <c r="W452">
        <f>HYPERLINK("https://klasma.github.io/Logging_0188/klagomålsmail/A 59580-2023 FSC-klagomål mail.docx", "A 59580-2023")</f>
        <v/>
      </c>
      <c r="X452">
        <f>HYPERLINK("https://klasma.github.io/Logging_0188/tillsyn/A 59580-2023 tillsynsbegäran.docx", "A 59580-2023")</f>
        <v/>
      </c>
      <c r="Y452">
        <f>HYPERLINK("https://klasma.github.io/Logging_0188/tillsynsmail/A 59580-2023 tillsynsbegäran mail.docx", "A 59580-2023")</f>
        <v/>
      </c>
    </row>
    <row r="453" ht="15" customHeight="1">
      <c r="A453" t="inlineStr">
        <is>
          <t>A 60299-2023</t>
        </is>
      </c>
      <c r="B453" s="1" t="n">
        <v>45258</v>
      </c>
      <c r="C453" s="1" t="n">
        <v>45512</v>
      </c>
      <c r="D453" t="inlineStr">
        <is>
          <t>STOCKHOLMS LÄN</t>
        </is>
      </c>
      <c r="E453" t="inlineStr">
        <is>
          <t>HANINGE</t>
        </is>
      </c>
      <c r="G453" t="n">
        <v>1.3</v>
      </c>
      <c r="H453" t="n">
        <v>0</v>
      </c>
      <c r="I453" t="n">
        <v>1</v>
      </c>
      <c r="J453" t="n">
        <v>0</v>
      </c>
      <c r="K453" t="n">
        <v>0</v>
      </c>
      <c r="L453" t="n">
        <v>0</v>
      </c>
      <c r="M453" t="n">
        <v>0</v>
      </c>
      <c r="N453" t="n">
        <v>0</v>
      </c>
      <c r="O453" t="n">
        <v>0</v>
      </c>
      <c r="P453" t="n">
        <v>0</v>
      </c>
      <c r="Q453" t="n">
        <v>1</v>
      </c>
      <c r="R453" s="2" t="inlineStr">
        <is>
          <t>Mörk husmossa</t>
        </is>
      </c>
      <c r="S453">
        <f>HYPERLINK("https://klasma.github.io/Logging_0136/artfynd/A 60299-2023 artfynd.xlsx", "A 60299-2023")</f>
        <v/>
      </c>
      <c r="T453">
        <f>HYPERLINK("https://klasma.github.io/Logging_0136/kartor/A 60299-2023 karta.png", "A 60299-2023")</f>
        <v/>
      </c>
      <c r="V453">
        <f>HYPERLINK("https://klasma.github.io/Logging_0136/klagomål/A 60299-2023 FSC-klagomål.docx", "A 60299-2023")</f>
        <v/>
      </c>
      <c r="W453">
        <f>HYPERLINK("https://klasma.github.io/Logging_0136/klagomålsmail/A 60299-2023 FSC-klagomål mail.docx", "A 60299-2023")</f>
        <v/>
      </c>
      <c r="X453">
        <f>HYPERLINK("https://klasma.github.io/Logging_0136/tillsyn/A 60299-2023 tillsynsbegäran.docx", "A 60299-2023")</f>
        <v/>
      </c>
      <c r="Y453">
        <f>HYPERLINK("https://klasma.github.io/Logging_0136/tillsynsmail/A 60299-2023 tillsynsbegäran mail.docx", "A 60299-2023")</f>
        <v/>
      </c>
    </row>
    <row r="454" ht="15" customHeight="1">
      <c r="A454" t="inlineStr">
        <is>
          <t>A 60369-2023</t>
        </is>
      </c>
      <c r="B454" s="1" t="n">
        <v>45259</v>
      </c>
      <c r="C454" s="1" t="n">
        <v>45512</v>
      </c>
      <c r="D454" t="inlineStr">
        <is>
          <t>STOCKHOLMS LÄN</t>
        </is>
      </c>
      <c r="E454" t="inlineStr">
        <is>
          <t>HANINGE</t>
        </is>
      </c>
      <c r="G454" t="n">
        <v>2.9</v>
      </c>
      <c r="H454" t="n">
        <v>1</v>
      </c>
      <c r="I454" t="n">
        <v>0</v>
      </c>
      <c r="J454" t="n">
        <v>0</v>
      </c>
      <c r="K454" t="n">
        <v>0</v>
      </c>
      <c r="L454" t="n">
        <v>0</v>
      </c>
      <c r="M454" t="n">
        <v>0</v>
      </c>
      <c r="N454" t="n">
        <v>0</v>
      </c>
      <c r="O454" t="n">
        <v>0</v>
      </c>
      <c r="P454" t="n">
        <v>0</v>
      </c>
      <c r="Q454" t="n">
        <v>1</v>
      </c>
      <c r="R454" s="2" t="inlineStr">
        <is>
          <t>Mattlummer</t>
        </is>
      </c>
      <c r="S454">
        <f>HYPERLINK("https://klasma.github.io/Logging_0136/artfynd/A 60369-2023 artfynd.xlsx", "A 60369-2023")</f>
        <v/>
      </c>
      <c r="T454">
        <f>HYPERLINK("https://klasma.github.io/Logging_0136/kartor/A 60369-2023 karta.png", "A 60369-2023")</f>
        <v/>
      </c>
      <c r="V454">
        <f>HYPERLINK("https://klasma.github.io/Logging_0136/klagomål/A 60369-2023 FSC-klagomål.docx", "A 60369-2023")</f>
        <v/>
      </c>
      <c r="W454">
        <f>HYPERLINK("https://klasma.github.io/Logging_0136/klagomålsmail/A 60369-2023 FSC-klagomål mail.docx", "A 60369-2023")</f>
        <v/>
      </c>
      <c r="X454">
        <f>HYPERLINK("https://klasma.github.io/Logging_0136/tillsyn/A 60369-2023 tillsynsbegäran.docx", "A 60369-2023")</f>
        <v/>
      </c>
      <c r="Y454">
        <f>HYPERLINK("https://klasma.github.io/Logging_0136/tillsynsmail/A 60369-2023 tillsynsbegäran mail.docx", "A 60369-2023")</f>
        <v/>
      </c>
    </row>
    <row r="455" ht="15" customHeight="1">
      <c r="A455" t="inlineStr">
        <is>
          <t>A 62007-2023</t>
        </is>
      </c>
      <c r="B455" s="1" t="n">
        <v>45266</v>
      </c>
      <c r="C455" s="1" t="n">
        <v>45512</v>
      </c>
      <c r="D455" t="inlineStr">
        <is>
          <t>STOCKHOLMS LÄN</t>
        </is>
      </c>
      <c r="E455" t="inlineStr">
        <is>
          <t>NYNÄSHAMN</t>
        </is>
      </c>
      <c r="G455" t="n">
        <v>4.5</v>
      </c>
      <c r="H455" t="n">
        <v>0</v>
      </c>
      <c r="I455" t="n">
        <v>0</v>
      </c>
      <c r="J455" t="n">
        <v>1</v>
      </c>
      <c r="K455" t="n">
        <v>0</v>
      </c>
      <c r="L455" t="n">
        <v>0</v>
      </c>
      <c r="M455" t="n">
        <v>0</v>
      </c>
      <c r="N455" t="n">
        <v>0</v>
      </c>
      <c r="O455" t="n">
        <v>1</v>
      </c>
      <c r="P455" t="n">
        <v>0</v>
      </c>
      <c r="Q455" t="n">
        <v>1</v>
      </c>
      <c r="R455" s="2" t="inlineStr">
        <is>
          <t>Granticka</t>
        </is>
      </c>
      <c r="S455">
        <f>HYPERLINK("https://klasma.github.io/Logging_0192/artfynd/A 62007-2023 artfynd.xlsx", "A 62007-2023")</f>
        <v/>
      </c>
      <c r="T455">
        <f>HYPERLINK("https://klasma.github.io/Logging_0192/kartor/A 62007-2023 karta.png", "A 62007-2023")</f>
        <v/>
      </c>
      <c r="V455">
        <f>HYPERLINK("https://klasma.github.io/Logging_0192/klagomål/A 62007-2023 FSC-klagomål.docx", "A 62007-2023")</f>
        <v/>
      </c>
      <c r="W455">
        <f>HYPERLINK("https://klasma.github.io/Logging_0192/klagomålsmail/A 62007-2023 FSC-klagomål mail.docx", "A 62007-2023")</f>
        <v/>
      </c>
      <c r="X455">
        <f>HYPERLINK("https://klasma.github.io/Logging_0192/tillsyn/A 62007-2023 tillsynsbegäran.docx", "A 62007-2023")</f>
        <v/>
      </c>
      <c r="Y455">
        <f>HYPERLINK("https://klasma.github.io/Logging_0192/tillsynsmail/A 62007-2023 tillsynsbegäran mail.docx", "A 62007-2023")</f>
        <v/>
      </c>
    </row>
    <row r="456" ht="15" customHeight="1">
      <c r="A456" t="inlineStr">
        <is>
          <t>A 63851-2023</t>
        </is>
      </c>
      <c r="B456" s="1" t="n">
        <v>45278</v>
      </c>
      <c r="C456" s="1" t="n">
        <v>45512</v>
      </c>
      <c r="D456" t="inlineStr">
        <is>
          <t>STOCKHOLMS LÄN</t>
        </is>
      </c>
      <c r="E456" t="inlineStr">
        <is>
          <t>NORRTÄLJE</t>
        </is>
      </c>
      <c r="G456" t="n">
        <v>5.6</v>
      </c>
      <c r="H456" t="n">
        <v>1</v>
      </c>
      <c r="I456" t="n">
        <v>0</v>
      </c>
      <c r="J456" t="n">
        <v>0</v>
      </c>
      <c r="K456" t="n">
        <v>0</v>
      </c>
      <c r="L456" t="n">
        <v>0</v>
      </c>
      <c r="M456" t="n">
        <v>0</v>
      </c>
      <c r="N456" t="n">
        <v>0</v>
      </c>
      <c r="O456" t="n">
        <v>0</v>
      </c>
      <c r="P456" t="n">
        <v>0</v>
      </c>
      <c r="Q456" t="n">
        <v>1</v>
      </c>
      <c r="R456" s="2" t="inlineStr">
        <is>
          <t>Tjäder</t>
        </is>
      </c>
      <c r="S456">
        <f>HYPERLINK("https://klasma.github.io/Logging_0188/artfynd/A 63851-2023 artfynd.xlsx", "A 63851-2023")</f>
        <v/>
      </c>
      <c r="T456">
        <f>HYPERLINK("https://klasma.github.io/Logging_0188/kartor/A 63851-2023 karta.png", "A 63851-2023")</f>
        <v/>
      </c>
      <c r="V456">
        <f>HYPERLINK("https://klasma.github.io/Logging_0188/klagomål/A 63851-2023 FSC-klagomål.docx", "A 63851-2023")</f>
        <v/>
      </c>
      <c r="W456">
        <f>HYPERLINK("https://klasma.github.io/Logging_0188/klagomålsmail/A 63851-2023 FSC-klagomål mail.docx", "A 63851-2023")</f>
        <v/>
      </c>
      <c r="X456">
        <f>HYPERLINK("https://klasma.github.io/Logging_0188/tillsyn/A 63851-2023 tillsynsbegäran.docx", "A 63851-2023")</f>
        <v/>
      </c>
      <c r="Y456">
        <f>HYPERLINK("https://klasma.github.io/Logging_0188/tillsynsmail/A 63851-2023 tillsynsbegäran mail.docx", "A 63851-2023")</f>
        <v/>
      </c>
      <c r="Z456">
        <f>HYPERLINK("https://klasma.github.io/Logging_0188/fåglar/A 63851-2023 prioriterade fågelarter.docx", "A 63851-2023")</f>
        <v/>
      </c>
    </row>
    <row r="457" ht="15" customHeight="1">
      <c r="A457" t="inlineStr">
        <is>
          <t>A 64098-2023</t>
        </is>
      </c>
      <c r="B457" s="1" t="n">
        <v>45279</v>
      </c>
      <c r="C457" s="1" t="n">
        <v>45512</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64196-2023</t>
        </is>
      </c>
      <c r="B458" s="1" t="n">
        <v>45279</v>
      </c>
      <c r="C458" s="1" t="n">
        <v>45512</v>
      </c>
      <c r="D458" t="inlineStr">
        <is>
          <t>STOCKHOLMS LÄN</t>
        </is>
      </c>
      <c r="E458" t="inlineStr">
        <is>
          <t>NYNÄSHAMN</t>
        </is>
      </c>
      <c r="G458" t="n">
        <v>2.1</v>
      </c>
      <c r="H458" t="n">
        <v>1</v>
      </c>
      <c r="I458" t="n">
        <v>0</v>
      </c>
      <c r="J458" t="n">
        <v>0</v>
      </c>
      <c r="K458" t="n">
        <v>0</v>
      </c>
      <c r="L458" t="n">
        <v>0</v>
      </c>
      <c r="M458" t="n">
        <v>0</v>
      </c>
      <c r="N458" t="n">
        <v>0</v>
      </c>
      <c r="O458" t="n">
        <v>0</v>
      </c>
      <c r="P458" t="n">
        <v>0</v>
      </c>
      <c r="Q458" t="n">
        <v>1</v>
      </c>
      <c r="R458" s="2" t="inlineStr">
        <is>
          <t>Revlummer</t>
        </is>
      </c>
      <c r="S458">
        <f>HYPERLINK("https://klasma.github.io/Logging_0192/artfynd/A 64196-2023 artfynd.xlsx", "A 64196-2023")</f>
        <v/>
      </c>
      <c r="T458">
        <f>HYPERLINK("https://klasma.github.io/Logging_0192/kartor/A 64196-2023 karta.png", "A 64196-2023")</f>
        <v/>
      </c>
      <c r="V458">
        <f>HYPERLINK("https://klasma.github.io/Logging_0192/klagomål/A 64196-2023 FSC-klagomål.docx", "A 64196-2023")</f>
        <v/>
      </c>
      <c r="W458">
        <f>HYPERLINK("https://klasma.github.io/Logging_0192/klagomålsmail/A 64196-2023 FSC-klagomål mail.docx", "A 64196-2023")</f>
        <v/>
      </c>
      <c r="X458">
        <f>HYPERLINK("https://klasma.github.io/Logging_0192/tillsyn/A 64196-2023 tillsynsbegäran.docx", "A 64196-2023")</f>
        <v/>
      </c>
      <c r="Y458">
        <f>HYPERLINK("https://klasma.github.io/Logging_0192/tillsynsmail/A 64196-2023 tillsynsbegäran mail.docx", "A 64196-2023")</f>
        <v/>
      </c>
    </row>
    <row r="459" ht="15" customHeight="1">
      <c r="A459" t="inlineStr">
        <is>
          <t>A 64357-2023</t>
        </is>
      </c>
      <c r="B459" s="1" t="n">
        <v>45280</v>
      </c>
      <c r="C459" s="1" t="n">
        <v>45512</v>
      </c>
      <c r="D459" t="inlineStr">
        <is>
          <t>STOCKHOLMS LÄN</t>
        </is>
      </c>
      <c r="E459" t="inlineStr">
        <is>
          <t>SIGTUNA</t>
        </is>
      </c>
      <c r="F459" t="inlineStr">
        <is>
          <t>Allmännings- och besparingsskogar</t>
        </is>
      </c>
      <c r="G459" t="n">
        <v>6.7</v>
      </c>
      <c r="H459" t="n">
        <v>1</v>
      </c>
      <c r="I459" t="n">
        <v>0</v>
      </c>
      <c r="J459" t="n">
        <v>0</v>
      </c>
      <c r="K459" t="n">
        <v>0</v>
      </c>
      <c r="L459" t="n">
        <v>0</v>
      </c>
      <c r="M459" t="n">
        <v>0</v>
      </c>
      <c r="N459" t="n">
        <v>0</v>
      </c>
      <c r="O459" t="n">
        <v>0</v>
      </c>
      <c r="P459" t="n">
        <v>0</v>
      </c>
      <c r="Q459" t="n">
        <v>1</v>
      </c>
      <c r="R459" s="2" t="inlineStr">
        <is>
          <t>Grönsiska</t>
        </is>
      </c>
      <c r="S459">
        <f>HYPERLINK("https://klasma.github.io/Logging_0191/artfynd/A 64357-2023 artfynd.xlsx", "A 64357-2023")</f>
        <v/>
      </c>
      <c r="T459">
        <f>HYPERLINK("https://klasma.github.io/Logging_0191/kartor/A 64357-2023 karta.png", "A 64357-2023")</f>
        <v/>
      </c>
      <c r="V459">
        <f>HYPERLINK("https://klasma.github.io/Logging_0191/klagomål/A 64357-2023 FSC-klagomål.docx", "A 64357-2023")</f>
        <v/>
      </c>
      <c r="W459">
        <f>HYPERLINK("https://klasma.github.io/Logging_0191/klagomålsmail/A 64357-2023 FSC-klagomål mail.docx", "A 64357-2023")</f>
        <v/>
      </c>
      <c r="X459">
        <f>HYPERLINK("https://klasma.github.io/Logging_0191/tillsyn/A 64357-2023 tillsynsbegäran.docx", "A 64357-2023")</f>
        <v/>
      </c>
      <c r="Y459">
        <f>HYPERLINK("https://klasma.github.io/Logging_0191/tillsynsmail/A 64357-2023 tillsynsbegäran mail.docx", "A 64357-2023")</f>
        <v/>
      </c>
      <c r="Z459">
        <f>HYPERLINK("https://klasma.github.io/Logging_0191/fåglar/A 64357-2023 prioriterade fågelarter.docx", "A 64357-2023")</f>
        <v/>
      </c>
    </row>
    <row r="460" ht="15" customHeight="1">
      <c r="A460" t="inlineStr">
        <is>
          <t>A 64345-2023</t>
        </is>
      </c>
      <c r="B460" s="1" t="n">
        <v>45280</v>
      </c>
      <c r="C460" s="1" t="n">
        <v>45512</v>
      </c>
      <c r="D460" t="inlineStr">
        <is>
          <t>STOCKHOLMS LÄN</t>
        </is>
      </c>
      <c r="E460" t="inlineStr">
        <is>
          <t>SIGTUNA</t>
        </is>
      </c>
      <c r="G460" t="n">
        <v>2.7</v>
      </c>
      <c r="H460" t="n">
        <v>1</v>
      </c>
      <c r="I460" t="n">
        <v>0</v>
      </c>
      <c r="J460" t="n">
        <v>0</v>
      </c>
      <c r="K460" t="n">
        <v>0</v>
      </c>
      <c r="L460" t="n">
        <v>0</v>
      </c>
      <c r="M460" t="n">
        <v>0</v>
      </c>
      <c r="N460" t="n">
        <v>0</v>
      </c>
      <c r="O460" t="n">
        <v>0</v>
      </c>
      <c r="P460" t="n">
        <v>0</v>
      </c>
      <c r="Q460" t="n">
        <v>1</v>
      </c>
      <c r="R460" s="2" t="inlineStr">
        <is>
          <t>Kungsfågel</t>
        </is>
      </c>
      <c r="S460">
        <f>HYPERLINK("https://klasma.github.io/Logging_0191/artfynd/A 64345-2023 artfynd.xlsx", "A 64345-2023")</f>
        <v/>
      </c>
      <c r="T460">
        <f>HYPERLINK("https://klasma.github.io/Logging_0191/kartor/A 64345-2023 karta.png", "A 64345-2023")</f>
        <v/>
      </c>
      <c r="V460">
        <f>HYPERLINK("https://klasma.github.io/Logging_0191/klagomål/A 64345-2023 FSC-klagomål.docx", "A 64345-2023")</f>
        <v/>
      </c>
      <c r="W460">
        <f>HYPERLINK("https://klasma.github.io/Logging_0191/klagomålsmail/A 64345-2023 FSC-klagomål mail.docx", "A 64345-2023")</f>
        <v/>
      </c>
      <c r="X460">
        <f>HYPERLINK("https://klasma.github.io/Logging_0191/tillsyn/A 64345-2023 tillsynsbegäran.docx", "A 64345-2023")</f>
        <v/>
      </c>
      <c r="Y460">
        <f>HYPERLINK("https://klasma.github.io/Logging_0191/tillsynsmail/A 64345-2023 tillsynsbegäran mail.docx", "A 64345-2023")</f>
        <v/>
      </c>
      <c r="Z460">
        <f>HYPERLINK("https://klasma.github.io/Logging_0191/fåglar/A 64345-2023 prioriterade fågelarter.docx", "A 64345-2023")</f>
        <v/>
      </c>
    </row>
    <row r="461" ht="15" customHeight="1">
      <c r="A461" t="inlineStr">
        <is>
          <t>A 64456-2023</t>
        </is>
      </c>
      <c r="B461" s="1" t="n">
        <v>45280</v>
      </c>
      <c r="C461" s="1" t="n">
        <v>45512</v>
      </c>
      <c r="D461" t="inlineStr">
        <is>
          <t>STOCKHOLMS LÄN</t>
        </is>
      </c>
      <c r="E461" t="inlineStr">
        <is>
          <t>NORRTÄLJE</t>
        </is>
      </c>
      <c r="G461" t="n">
        <v>2.5</v>
      </c>
      <c r="H461" t="n">
        <v>0</v>
      </c>
      <c r="I461" t="n">
        <v>1</v>
      </c>
      <c r="J461" t="n">
        <v>0</v>
      </c>
      <c r="K461" t="n">
        <v>0</v>
      </c>
      <c r="L461" t="n">
        <v>0</v>
      </c>
      <c r="M461" t="n">
        <v>0</v>
      </c>
      <c r="N461" t="n">
        <v>0</v>
      </c>
      <c r="O461" t="n">
        <v>0</v>
      </c>
      <c r="P461" t="n">
        <v>0</v>
      </c>
      <c r="Q461" t="n">
        <v>1</v>
      </c>
      <c r="R461" s="2" t="inlineStr">
        <is>
          <t>Rödgul trumpetsvamp</t>
        </is>
      </c>
      <c r="S461">
        <f>HYPERLINK("https://klasma.github.io/Logging_0188/artfynd/A 64456-2023 artfynd.xlsx", "A 64456-2023")</f>
        <v/>
      </c>
      <c r="T461">
        <f>HYPERLINK("https://klasma.github.io/Logging_0188/kartor/A 64456-2023 karta.png", "A 64456-2023")</f>
        <v/>
      </c>
      <c r="V461">
        <f>HYPERLINK("https://klasma.github.io/Logging_0188/klagomål/A 64456-2023 FSC-klagomål.docx", "A 64456-2023")</f>
        <v/>
      </c>
      <c r="W461">
        <f>HYPERLINK("https://klasma.github.io/Logging_0188/klagomålsmail/A 64456-2023 FSC-klagomål mail.docx", "A 64456-2023")</f>
        <v/>
      </c>
      <c r="X461">
        <f>HYPERLINK("https://klasma.github.io/Logging_0188/tillsyn/A 64456-2023 tillsynsbegäran.docx", "A 64456-2023")</f>
        <v/>
      </c>
      <c r="Y461">
        <f>HYPERLINK("https://klasma.github.io/Logging_0188/tillsynsmail/A 64456-2023 tillsynsbegäran mail.docx", "A 64456-2023")</f>
        <v/>
      </c>
    </row>
    <row r="462" ht="15" customHeight="1">
      <c r="A462" t="inlineStr">
        <is>
          <t>A 64441-2023</t>
        </is>
      </c>
      <c r="B462" s="1" t="n">
        <v>45280</v>
      </c>
      <c r="C462" s="1" t="n">
        <v>45512</v>
      </c>
      <c r="D462" t="inlineStr">
        <is>
          <t>STOCKHOLMS LÄN</t>
        </is>
      </c>
      <c r="E462" t="inlineStr">
        <is>
          <t>UPPLANDS VÄSBY</t>
        </is>
      </c>
      <c r="G462" t="n">
        <v>6.4</v>
      </c>
      <c r="H462" t="n">
        <v>0</v>
      </c>
      <c r="I462" t="n">
        <v>0</v>
      </c>
      <c r="J462" t="n">
        <v>1</v>
      </c>
      <c r="K462" t="n">
        <v>0</v>
      </c>
      <c r="L462" t="n">
        <v>0</v>
      </c>
      <c r="M462" t="n">
        <v>0</v>
      </c>
      <c r="N462" t="n">
        <v>0</v>
      </c>
      <c r="O462" t="n">
        <v>1</v>
      </c>
      <c r="P462" t="n">
        <v>0</v>
      </c>
      <c r="Q462" t="n">
        <v>1</v>
      </c>
      <c r="R462" s="2" t="inlineStr">
        <is>
          <t>Säfferot</t>
        </is>
      </c>
      <c r="S462">
        <f>HYPERLINK("https://klasma.github.io/Logging_0114/artfynd/A 64441-2023 artfynd.xlsx", "A 64441-2023")</f>
        <v/>
      </c>
      <c r="T462">
        <f>HYPERLINK("https://klasma.github.io/Logging_0114/kartor/A 64441-2023 karta.png", "A 64441-2023")</f>
        <v/>
      </c>
      <c r="V462">
        <f>HYPERLINK("https://klasma.github.io/Logging_0114/klagomål/A 64441-2023 FSC-klagomål.docx", "A 64441-2023")</f>
        <v/>
      </c>
      <c r="W462">
        <f>HYPERLINK("https://klasma.github.io/Logging_0114/klagomålsmail/A 64441-2023 FSC-klagomål mail.docx", "A 64441-2023")</f>
        <v/>
      </c>
      <c r="X462">
        <f>HYPERLINK("https://klasma.github.io/Logging_0114/tillsyn/A 64441-2023 tillsynsbegäran.docx", "A 64441-2023")</f>
        <v/>
      </c>
      <c r="Y462">
        <f>HYPERLINK("https://klasma.github.io/Logging_0114/tillsynsmail/A 64441-2023 tillsynsbegäran mail.docx", "A 64441-2023")</f>
        <v/>
      </c>
    </row>
    <row r="463" ht="15" customHeight="1">
      <c r="A463" t="inlineStr">
        <is>
          <t>A 3952-2024</t>
        </is>
      </c>
      <c r="B463" s="1" t="n">
        <v>45322</v>
      </c>
      <c r="C463" s="1" t="n">
        <v>45512</v>
      </c>
      <c r="D463" t="inlineStr">
        <is>
          <t>STOCKHOLMS LÄN</t>
        </is>
      </c>
      <c r="E463" t="inlineStr">
        <is>
          <t>HANINGE</t>
        </is>
      </c>
      <c r="G463" t="n">
        <v>1.7</v>
      </c>
      <c r="H463" t="n">
        <v>1</v>
      </c>
      <c r="I463" t="n">
        <v>0</v>
      </c>
      <c r="J463" t="n">
        <v>0</v>
      </c>
      <c r="K463" t="n">
        <v>0</v>
      </c>
      <c r="L463" t="n">
        <v>0</v>
      </c>
      <c r="M463" t="n">
        <v>0</v>
      </c>
      <c r="N463" t="n">
        <v>0</v>
      </c>
      <c r="O463" t="n">
        <v>0</v>
      </c>
      <c r="P463" t="n">
        <v>0</v>
      </c>
      <c r="Q463" t="n">
        <v>1</v>
      </c>
      <c r="R463" s="2" t="inlineStr">
        <is>
          <t>Sångsvan</t>
        </is>
      </c>
      <c r="S463">
        <f>HYPERLINK("https://klasma.github.io/Logging_0136/artfynd/A 3952-2024 artfynd.xlsx", "A 3952-2024")</f>
        <v/>
      </c>
      <c r="T463">
        <f>HYPERLINK("https://klasma.github.io/Logging_0136/kartor/A 3952-2024 karta.png", "A 3952-2024")</f>
        <v/>
      </c>
      <c r="V463">
        <f>HYPERLINK("https://klasma.github.io/Logging_0136/klagomål/A 3952-2024 FSC-klagomål.docx", "A 3952-2024")</f>
        <v/>
      </c>
      <c r="W463">
        <f>HYPERLINK("https://klasma.github.io/Logging_0136/klagomålsmail/A 3952-2024 FSC-klagomål mail.docx", "A 3952-2024")</f>
        <v/>
      </c>
      <c r="X463">
        <f>HYPERLINK("https://klasma.github.io/Logging_0136/tillsyn/A 3952-2024 tillsynsbegäran.docx", "A 3952-2024")</f>
        <v/>
      </c>
      <c r="Y463">
        <f>HYPERLINK("https://klasma.github.io/Logging_0136/tillsynsmail/A 3952-2024 tillsynsbegäran mail.docx", "A 3952-2024")</f>
        <v/>
      </c>
      <c r="Z463">
        <f>HYPERLINK("https://klasma.github.io/Logging_0136/fåglar/A 3952-2024 prioriterade fågelarter.docx", "A 3952-2024")</f>
        <v/>
      </c>
    </row>
    <row r="464" ht="15" customHeight="1">
      <c r="A464" t="inlineStr">
        <is>
          <t>A 5946-2024</t>
        </is>
      </c>
      <c r="B464" s="1" t="n">
        <v>45336</v>
      </c>
      <c r="C464" s="1" t="n">
        <v>45512</v>
      </c>
      <c r="D464" t="inlineStr">
        <is>
          <t>STOCKHOLMS LÄN</t>
        </is>
      </c>
      <c r="E464" t="inlineStr">
        <is>
          <t>NYNÄSHAMN</t>
        </is>
      </c>
      <c r="G464" t="n">
        <v>15</v>
      </c>
      <c r="H464" t="n">
        <v>0</v>
      </c>
      <c r="I464" t="n">
        <v>1</v>
      </c>
      <c r="J464" t="n">
        <v>0</v>
      </c>
      <c r="K464" t="n">
        <v>0</v>
      </c>
      <c r="L464" t="n">
        <v>0</v>
      </c>
      <c r="M464" t="n">
        <v>0</v>
      </c>
      <c r="N464" t="n">
        <v>0</v>
      </c>
      <c r="O464" t="n">
        <v>0</v>
      </c>
      <c r="P464" t="n">
        <v>0</v>
      </c>
      <c r="Q464" t="n">
        <v>1</v>
      </c>
      <c r="R464" s="2" t="inlineStr">
        <is>
          <t>Grönpyrola</t>
        </is>
      </c>
      <c r="S464">
        <f>HYPERLINK("https://klasma.github.io/Logging_0192/artfynd/A 5946-2024 artfynd.xlsx", "A 5946-2024")</f>
        <v/>
      </c>
      <c r="T464">
        <f>HYPERLINK("https://klasma.github.io/Logging_0192/kartor/A 5946-2024 karta.png", "A 5946-2024")</f>
        <v/>
      </c>
      <c r="V464">
        <f>HYPERLINK("https://klasma.github.io/Logging_0192/klagomål/A 5946-2024 FSC-klagomål.docx", "A 5946-2024")</f>
        <v/>
      </c>
      <c r="W464">
        <f>HYPERLINK("https://klasma.github.io/Logging_0192/klagomålsmail/A 5946-2024 FSC-klagomål mail.docx", "A 5946-2024")</f>
        <v/>
      </c>
      <c r="X464">
        <f>HYPERLINK("https://klasma.github.io/Logging_0192/tillsyn/A 5946-2024 tillsynsbegäran.docx", "A 5946-2024")</f>
        <v/>
      </c>
      <c r="Y464">
        <f>HYPERLINK("https://klasma.github.io/Logging_0192/tillsynsmail/A 5946-2024 tillsynsbegäran mail.docx", "A 5946-2024")</f>
        <v/>
      </c>
    </row>
    <row r="465" ht="15" customHeight="1">
      <c r="A465" t="inlineStr">
        <is>
          <t>A 6412-2024</t>
        </is>
      </c>
      <c r="B465" s="1" t="n">
        <v>45338</v>
      </c>
      <c r="C465" s="1" t="n">
        <v>45512</v>
      </c>
      <c r="D465" t="inlineStr">
        <is>
          <t>STOCKHOLMS LÄN</t>
        </is>
      </c>
      <c r="E465" t="inlineStr">
        <is>
          <t>VÄRMDÖ</t>
        </is>
      </c>
      <c r="G465" t="n">
        <v>2.4</v>
      </c>
      <c r="H465" t="n">
        <v>1</v>
      </c>
      <c r="I465" t="n">
        <v>1</v>
      </c>
      <c r="J465" t="n">
        <v>0</v>
      </c>
      <c r="K465" t="n">
        <v>0</v>
      </c>
      <c r="L465" t="n">
        <v>0</v>
      </c>
      <c r="M465" t="n">
        <v>0</v>
      </c>
      <c r="N465" t="n">
        <v>0</v>
      </c>
      <c r="O465" t="n">
        <v>0</v>
      </c>
      <c r="P465" t="n">
        <v>0</v>
      </c>
      <c r="Q465" t="n">
        <v>1</v>
      </c>
      <c r="R465" s="2" t="inlineStr">
        <is>
          <t>Skogsknipprot</t>
        </is>
      </c>
      <c r="S465">
        <f>HYPERLINK("https://klasma.github.io/Logging_0120/artfynd/A 6412-2024 artfynd.xlsx", "A 6412-2024")</f>
        <v/>
      </c>
      <c r="T465">
        <f>HYPERLINK("https://klasma.github.io/Logging_0120/kartor/A 6412-2024 karta.png", "A 6412-2024")</f>
        <v/>
      </c>
      <c r="V465">
        <f>HYPERLINK("https://klasma.github.io/Logging_0120/klagomål/A 6412-2024 FSC-klagomål.docx", "A 6412-2024")</f>
        <v/>
      </c>
      <c r="W465">
        <f>HYPERLINK("https://klasma.github.io/Logging_0120/klagomålsmail/A 6412-2024 FSC-klagomål mail.docx", "A 6412-2024")</f>
        <v/>
      </c>
      <c r="X465">
        <f>HYPERLINK("https://klasma.github.io/Logging_0120/tillsyn/A 6412-2024 tillsynsbegäran.docx", "A 6412-2024")</f>
        <v/>
      </c>
      <c r="Y465">
        <f>HYPERLINK("https://klasma.github.io/Logging_0120/tillsynsmail/A 6412-2024 tillsynsbegäran mail.docx", "A 6412-2024")</f>
        <v/>
      </c>
    </row>
    <row r="466" ht="15" customHeight="1">
      <c r="A466" t="inlineStr">
        <is>
          <t>A 6950-2024</t>
        </is>
      </c>
      <c r="B466" s="1" t="n">
        <v>45343</v>
      </c>
      <c r="C466" s="1" t="n">
        <v>45512</v>
      </c>
      <c r="D466" t="inlineStr">
        <is>
          <t>STOCKHOLMS LÄN</t>
        </is>
      </c>
      <c r="E466" t="inlineStr">
        <is>
          <t>NORRTÄLJE</t>
        </is>
      </c>
      <c r="G466" t="n">
        <v>26.8</v>
      </c>
      <c r="H466" t="n">
        <v>1</v>
      </c>
      <c r="I466" t="n">
        <v>0</v>
      </c>
      <c r="J466" t="n">
        <v>0</v>
      </c>
      <c r="K466" t="n">
        <v>0</v>
      </c>
      <c r="L466" t="n">
        <v>0</v>
      </c>
      <c r="M466" t="n">
        <v>0</v>
      </c>
      <c r="N466" t="n">
        <v>0</v>
      </c>
      <c r="O466" t="n">
        <v>0</v>
      </c>
      <c r="P466" t="n">
        <v>0</v>
      </c>
      <c r="Q466" t="n">
        <v>1</v>
      </c>
      <c r="R466" s="2" t="inlineStr">
        <is>
          <t>Blåsippa</t>
        </is>
      </c>
      <c r="S466">
        <f>HYPERLINK("https://klasma.github.io/Logging_0188/artfynd/A 6950-2024 artfynd.xlsx", "A 6950-2024")</f>
        <v/>
      </c>
      <c r="T466">
        <f>HYPERLINK("https://klasma.github.io/Logging_0188/kartor/A 6950-2024 karta.png", "A 6950-2024")</f>
        <v/>
      </c>
      <c r="V466">
        <f>HYPERLINK("https://klasma.github.io/Logging_0188/klagomål/A 6950-2024 FSC-klagomål.docx", "A 6950-2024")</f>
        <v/>
      </c>
      <c r="W466">
        <f>HYPERLINK("https://klasma.github.io/Logging_0188/klagomålsmail/A 6950-2024 FSC-klagomål mail.docx", "A 6950-2024")</f>
        <v/>
      </c>
      <c r="X466">
        <f>HYPERLINK("https://klasma.github.io/Logging_0188/tillsyn/A 6950-2024 tillsynsbegäran.docx", "A 6950-2024")</f>
        <v/>
      </c>
      <c r="Y466">
        <f>HYPERLINK("https://klasma.github.io/Logging_0188/tillsynsmail/A 6950-2024 tillsynsbegäran mail.docx", "A 6950-2024")</f>
        <v/>
      </c>
    </row>
    <row r="467" ht="15" customHeight="1">
      <c r="A467" t="inlineStr">
        <is>
          <t>A 12968-2024</t>
        </is>
      </c>
      <c r="B467" s="1" t="n">
        <v>45385</v>
      </c>
      <c r="C467" s="1" t="n">
        <v>45512</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13136-2024</t>
        </is>
      </c>
      <c r="B468" s="1" t="n">
        <v>45386</v>
      </c>
      <c r="C468" s="1" t="n">
        <v>45512</v>
      </c>
      <c r="D468" t="inlineStr">
        <is>
          <t>STOCKHOLMS LÄN</t>
        </is>
      </c>
      <c r="E468" t="inlineStr">
        <is>
          <t>NYKVARN</t>
        </is>
      </c>
      <c r="F468" t="inlineStr">
        <is>
          <t>Sveaskog</t>
        </is>
      </c>
      <c r="G468" t="n">
        <v>6.2</v>
      </c>
      <c r="H468" t="n">
        <v>0</v>
      </c>
      <c r="I468" t="n">
        <v>0</v>
      </c>
      <c r="J468" t="n">
        <v>1</v>
      </c>
      <c r="K468" t="n">
        <v>0</v>
      </c>
      <c r="L468" t="n">
        <v>0</v>
      </c>
      <c r="M468" t="n">
        <v>0</v>
      </c>
      <c r="N468" t="n">
        <v>0</v>
      </c>
      <c r="O468" t="n">
        <v>1</v>
      </c>
      <c r="P468" t="n">
        <v>0</v>
      </c>
      <c r="Q468" t="n">
        <v>1</v>
      </c>
      <c r="R468" s="2" t="inlineStr">
        <is>
          <t>Motaggsvamp</t>
        </is>
      </c>
      <c r="S468">
        <f>HYPERLINK("https://klasma.github.io/Logging_0140/artfynd/A 13136-2024 artfynd.xlsx", "A 13136-2024")</f>
        <v/>
      </c>
      <c r="T468">
        <f>HYPERLINK("https://klasma.github.io/Logging_0140/kartor/A 13136-2024 karta.png", "A 13136-2024")</f>
        <v/>
      </c>
      <c r="V468">
        <f>HYPERLINK("https://klasma.github.io/Logging_0140/klagomål/A 13136-2024 FSC-klagomål.docx", "A 13136-2024")</f>
        <v/>
      </c>
      <c r="W468">
        <f>HYPERLINK("https://klasma.github.io/Logging_0140/klagomålsmail/A 13136-2024 FSC-klagomål mail.docx", "A 13136-2024")</f>
        <v/>
      </c>
      <c r="X468">
        <f>HYPERLINK("https://klasma.github.io/Logging_0140/tillsyn/A 13136-2024 tillsynsbegäran.docx", "A 13136-2024")</f>
        <v/>
      </c>
      <c r="Y468">
        <f>HYPERLINK("https://klasma.github.io/Logging_0140/tillsynsmail/A 13136-2024 tillsynsbegäran mail.docx", "A 13136-2024")</f>
        <v/>
      </c>
    </row>
    <row r="469" ht="15" customHeight="1">
      <c r="A469" t="inlineStr">
        <is>
          <t>A 14506-2024</t>
        </is>
      </c>
      <c r="B469" s="1" t="n">
        <v>45394</v>
      </c>
      <c r="C469" s="1" t="n">
        <v>45512</v>
      </c>
      <c r="D469" t="inlineStr">
        <is>
          <t>STOCKHOLMS LÄN</t>
        </is>
      </c>
      <c r="E469" t="inlineStr">
        <is>
          <t>VALLENTUNA</t>
        </is>
      </c>
      <c r="G469" t="n">
        <v>13.2</v>
      </c>
      <c r="H469" t="n">
        <v>0</v>
      </c>
      <c r="I469" t="n">
        <v>0</v>
      </c>
      <c r="J469" t="n">
        <v>0</v>
      </c>
      <c r="K469" t="n">
        <v>1</v>
      </c>
      <c r="L469" t="n">
        <v>0</v>
      </c>
      <c r="M469" t="n">
        <v>0</v>
      </c>
      <c r="N469" t="n">
        <v>0</v>
      </c>
      <c r="O469" t="n">
        <v>1</v>
      </c>
      <c r="P469" t="n">
        <v>1</v>
      </c>
      <c r="Q469" t="n">
        <v>1</v>
      </c>
      <c r="R469" s="2" t="inlineStr">
        <is>
          <t>Violgubbe</t>
        </is>
      </c>
      <c r="S469">
        <f>HYPERLINK("https://klasma.github.io/Logging_0115/artfynd/A 14506-2024 artfynd.xlsx", "A 14506-2024")</f>
        <v/>
      </c>
      <c r="T469">
        <f>HYPERLINK("https://klasma.github.io/Logging_0115/kartor/A 14506-2024 karta.png", "A 14506-2024")</f>
        <v/>
      </c>
      <c r="V469">
        <f>HYPERLINK("https://klasma.github.io/Logging_0115/klagomål/A 14506-2024 FSC-klagomål.docx", "A 14506-2024")</f>
        <v/>
      </c>
      <c r="W469">
        <f>HYPERLINK("https://klasma.github.io/Logging_0115/klagomålsmail/A 14506-2024 FSC-klagomål mail.docx", "A 14506-2024")</f>
        <v/>
      </c>
      <c r="X469">
        <f>HYPERLINK("https://klasma.github.io/Logging_0115/tillsyn/A 14506-2024 tillsynsbegäran.docx", "A 14506-2024")</f>
        <v/>
      </c>
      <c r="Y469">
        <f>HYPERLINK("https://klasma.github.io/Logging_0115/tillsynsmail/A 14506-2024 tillsynsbegäran mail.docx", "A 14506-2024")</f>
        <v/>
      </c>
    </row>
    <row r="470" ht="15" customHeight="1">
      <c r="A470" t="inlineStr">
        <is>
          <t>A 14508-2024</t>
        </is>
      </c>
      <c r="B470" s="1" t="n">
        <v>45394</v>
      </c>
      <c r="C470" s="1" t="n">
        <v>45512</v>
      </c>
      <c r="D470" t="inlineStr">
        <is>
          <t>STOCKHOLMS LÄN</t>
        </is>
      </c>
      <c r="E470" t="inlineStr">
        <is>
          <t>VALLENTUNA</t>
        </is>
      </c>
      <c r="G470" t="n">
        <v>1.7</v>
      </c>
      <c r="H470" t="n">
        <v>1</v>
      </c>
      <c r="I470" t="n">
        <v>0</v>
      </c>
      <c r="J470" t="n">
        <v>1</v>
      </c>
      <c r="K470" t="n">
        <v>0</v>
      </c>
      <c r="L470" t="n">
        <v>0</v>
      </c>
      <c r="M470" t="n">
        <v>0</v>
      </c>
      <c r="N470" t="n">
        <v>0</v>
      </c>
      <c r="O470" t="n">
        <v>1</v>
      </c>
      <c r="P470" t="n">
        <v>0</v>
      </c>
      <c r="Q470" t="n">
        <v>1</v>
      </c>
      <c r="R470" s="2" t="inlineStr">
        <is>
          <t>Mindre hackspett</t>
        </is>
      </c>
      <c r="S470">
        <f>HYPERLINK("https://klasma.github.io/Logging_0115/artfynd/A 14508-2024 artfynd.xlsx", "A 14508-2024")</f>
        <v/>
      </c>
      <c r="T470">
        <f>HYPERLINK("https://klasma.github.io/Logging_0115/kartor/A 14508-2024 karta.png", "A 14508-2024")</f>
        <v/>
      </c>
      <c r="V470">
        <f>HYPERLINK("https://klasma.github.io/Logging_0115/klagomål/A 14508-2024 FSC-klagomål.docx", "A 14508-2024")</f>
        <v/>
      </c>
      <c r="W470">
        <f>HYPERLINK("https://klasma.github.io/Logging_0115/klagomålsmail/A 14508-2024 FSC-klagomål mail.docx", "A 14508-2024")</f>
        <v/>
      </c>
      <c r="X470">
        <f>HYPERLINK("https://klasma.github.io/Logging_0115/tillsyn/A 14508-2024 tillsynsbegäran.docx", "A 14508-2024")</f>
        <v/>
      </c>
      <c r="Y470">
        <f>HYPERLINK("https://klasma.github.io/Logging_0115/tillsynsmail/A 14508-2024 tillsynsbegäran mail.docx", "A 14508-2024")</f>
        <v/>
      </c>
      <c r="Z470">
        <f>HYPERLINK("https://klasma.github.io/Logging_0115/fåglar/A 14508-2024 prioriterade fågelarter.docx", "A 14508-2024")</f>
        <v/>
      </c>
    </row>
    <row r="471" ht="15" customHeight="1">
      <c r="A471" t="inlineStr">
        <is>
          <t>A 14511-2024</t>
        </is>
      </c>
      <c r="B471" s="1" t="n">
        <v>45394</v>
      </c>
      <c r="C471" s="1" t="n">
        <v>45512</v>
      </c>
      <c r="D471" t="inlineStr">
        <is>
          <t>STOCKHOLMS LÄN</t>
        </is>
      </c>
      <c r="E471" t="inlineStr">
        <is>
          <t>VALLENTUNA</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HYPERLINK("https://klasma.github.io/Logging_0115/artfynd/A 14511-2024 artfynd.xlsx", "A 14511-2024")</f>
        <v/>
      </c>
      <c r="T471">
        <f>HYPERLINK("https://klasma.github.io/Logging_0115/kartor/A 14511-2024 karta.png", "A 14511-2024")</f>
        <v/>
      </c>
      <c r="U471">
        <f>HYPERLINK("https://klasma.github.io/Logging_0115/knärot/A 14511-2024 karta knärot.png", "A 14511-2024")</f>
        <v/>
      </c>
      <c r="V471">
        <f>HYPERLINK("https://klasma.github.io/Logging_0115/klagomål/A 14511-2024 FSC-klagomål.docx", "A 14511-2024")</f>
        <v/>
      </c>
      <c r="W471">
        <f>HYPERLINK("https://klasma.github.io/Logging_0115/klagomålsmail/A 14511-2024 FSC-klagomål mail.docx", "A 14511-2024")</f>
        <v/>
      </c>
      <c r="X471">
        <f>HYPERLINK("https://klasma.github.io/Logging_0115/tillsyn/A 14511-2024 tillsynsbegäran.docx", "A 14511-2024")</f>
        <v/>
      </c>
      <c r="Y471">
        <f>HYPERLINK("https://klasma.github.io/Logging_0115/tillsynsmail/A 14511-2024 tillsynsbegäran mail.docx", "A 14511-2024")</f>
        <v/>
      </c>
    </row>
    <row r="472" ht="15" customHeight="1">
      <c r="A472" t="inlineStr">
        <is>
          <t>A 19793-2024</t>
        </is>
      </c>
      <c r="B472" s="1" t="n">
        <v>45432</v>
      </c>
      <c r="C472" s="1" t="n">
        <v>45512</v>
      </c>
      <c r="D472" t="inlineStr">
        <is>
          <t>STOCKHOLMS LÄN</t>
        </is>
      </c>
      <c r="E472" t="inlineStr">
        <is>
          <t>SÖDERTÄLJE</t>
        </is>
      </c>
      <c r="F472" t="inlineStr">
        <is>
          <t>Övriga Aktiebolag</t>
        </is>
      </c>
      <c r="G472" t="n">
        <v>4.1</v>
      </c>
      <c r="H472" t="n">
        <v>0</v>
      </c>
      <c r="I472" t="n">
        <v>1</v>
      </c>
      <c r="J472" t="n">
        <v>0</v>
      </c>
      <c r="K472" t="n">
        <v>0</v>
      </c>
      <c r="L472" t="n">
        <v>0</v>
      </c>
      <c r="M472" t="n">
        <v>0</v>
      </c>
      <c r="N472" t="n">
        <v>0</v>
      </c>
      <c r="O472" t="n">
        <v>0</v>
      </c>
      <c r="P472" t="n">
        <v>0</v>
      </c>
      <c r="Q472" t="n">
        <v>1</v>
      </c>
      <c r="R472" s="2" t="inlineStr">
        <is>
          <t>Fjällig taggsvamp s.str.</t>
        </is>
      </c>
      <c r="S472">
        <f>HYPERLINK("https://klasma.github.io/Logging_0181/artfynd/A 19793-2024 artfynd.xlsx", "A 19793-2024")</f>
        <v/>
      </c>
      <c r="T472">
        <f>HYPERLINK("https://klasma.github.io/Logging_0181/kartor/A 19793-2024 karta.png", "A 19793-2024")</f>
        <v/>
      </c>
      <c r="V472">
        <f>HYPERLINK("https://klasma.github.io/Logging_0181/klagomål/A 19793-2024 FSC-klagomål.docx", "A 19793-2024")</f>
        <v/>
      </c>
      <c r="W472">
        <f>HYPERLINK("https://klasma.github.io/Logging_0181/klagomålsmail/A 19793-2024 FSC-klagomål mail.docx", "A 19793-2024")</f>
        <v/>
      </c>
      <c r="X472">
        <f>HYPERLINK("https://klasma.github.io/Logging_0181/tillsyn/A 19793-2024 tillsynsbegäran.docx", "A 19793-2024")</f>
        <v/>
      </c>
      <c r="Y472">
        <f>HYPERLINK("https://klasma.github.io/Logging_0181/tillsynsmail/A 19793-2024 tillsynsbegäran mail.docx", "A 19793-2024")</f>
        <v/>
      </c>
    </row>
    <row r="473" ht="15" customHeight="1">
      <c r="A473" t="inlineStr">
        <is>
          <t>A 20468-2024</t>
        </is>
      </c>
      <c r="B473" s="1" t="n">
        <v>45435</v>
      </c>
      <c r="C473" s="1" t="n">
        <v>45512</v>
      </c>
      <c r="D473" t="inlineStr">
        <is>
          <t>STOCKHOLMS LÄN</t>
        </is>
      </c>
      <c r="E473" t="inlineStr">
        <is>
          <t>NORRTÄLJE</t>
        </is>
      </c>
      <c r="G473" t="n">
        <v>2.2</v>
      </c>
      <c r="H473" t="n">
        <v>0</v>
      </c>
      <c r="I473" t="n">
        <v>0</v>
      </c>
      <c r="J473" t="n">
        <v>0</v>
      </c>
      <c r="K473" t="n">
        <v>0</v>
      </c>
      <c r="L473" t="n">
        <v>1</v>
      </c>
      <c r="M473" t="n">
        <v>0</v>
      </c>
      <c r="N473" t="n">
        <v>0</v>
      </c>
      <c r="O473" t="n">
        <v>1</v>
      </c>
      <c r="P473" t="n">
        <v>1</v>
      </c>
      <c r="Q473" t="n">
        <v>1</v>
      </c>
      <c r="R473" s="2" t="inlineStr">
        <is>
          <t>Fältgentiana</t>
        </is>
      </c>
      <c r="S473">
        <f>HYPERLINK("https://klasma.github.io/Logging_0188/artfynd/A 20468-2024 artfynd.xlsx", "A 20468-2024")</f>
        <v/>
      </c>
      <c r="T473">
        <f>HYPERLINK("https://klasma.github.io/Logging_0188/kartor/A 20468-2024 karta.png", "A 20468-2024")</f>
        <v/>
      </c>
      <c r="V473">
        <f>HYPERLINK("https://klasma.github.io/Logging_0188/klagomål/A 20468-2024 FSC-klagomål.docx", "A 20468-2024")</f>
        <v/>
      </c>
      <c r="W473">
        <f>HYPERLINK("https://klasma.github.io/Logging_0188/klagomålsmail/A 20468-2024 FSC-klagomål mail.docx", "A 20468-2024")</f>
        <v/>
      </c>
      <c r="X473">
        <f>HYPERLINK("https://klasma.github.io/Logging_0188/tillsyn/A 20468-2024 tillsynsbegäran.docx", "A 20468-2024")</f>
        <v/>
      </c>
      <c r="Y473">
        <f>HYPERLINK("https://klasma.github.io/Logging_0188/tillsynsmail/A 20468-2024 tillsynsbegäran mail.docx", "A 20468-2024")</f>
        <v/>
      </c>
    </row>
    <row r="474" ht="15" customHeight="1">
      <c r="A474" t="inlineStr">
        <is>
          <t>A 22830-2024</t>
        </is>
      </c>
      <c r="B474" s="1" t="n">
        <v>45448</v>
      </c>
      <c r="C474" s="1" t="n">
        <v>45512</v>
      </c>
      <c r="D474" t="inlineStr">
        <is>
          <t>STOCKHOLMS LÄN</t>
        </is>
      </c>
      <c r="E474" t="inlineStr">
        <is>
          <t>VALLENTUNA</t>
        </is>
      </c>
      <c r="G474" t="n">
        <v>0.3</v>
      </c>
      <c r="H474" t="n">
        <v>0</v>
      </c>
      <c r="I474" t="n">
        <v>0</v>
      </c>
      <c r="J474" t="n">
        <v>1</v>
      </c>
      <c r="K474" t="n">
        <v>0</v>
      </c>
      <c r="L474" t="n">
        <v>0</v>
      </c>
      <c r="M474" t="n">
        <v>0</v>
      </c>
      <c r="N474" t="n">
        <v>0</v>
      </c>
      <c r="O474" t="n">
        <v>1</v>
      </c>
      <c r="P474" t="n">
        <v>0</v>
      </c>
      <c r="Q474" t="n">
        <v>1</v>
      </c>
      <c r="R474" s="2" t="inlineStr">
        <is>
          <t>Tallticka</t>
        </is>
      </c>
      <c r="S474">
        <f>HYPERLINK("https://klasma.github.io/Logging_0115/artfynd/A 22830-2024 artfynd.xlsx", "A 22830-2024")</f>
        <v/>
      </c>
      <c r="T474">
        <f>HYPERLINK("https://klasma.github.io/Logging_0115/kartor/A 22830-2024 karta.png", "A 22830-2024")</f>
        <v/>
      </c>
      <c r="V474">
        <f>HYPERLINK("https://klasma.github.io/Logging_0115/klagomål/A 22830-2024 FSC-klagomål.docx", "A 22830-2024")</f>
        <v/>
      </c>
      <c r="W474">
        <f>HYPERLINK("https://klasma.github.io/Logging_0115/klagomålsmail/A 22830-2024 FSC-klagomål mail.docx", "A 22830-2024")</f>
        <v/>
      </c>
      <c r="X474">
        <f>HYPERLINK("https://klasma.github.io/Logging_0115/tillsyn/A 22830-2024 tillsynsbegäran.docx", "A 22830-2024")</f>
        <v/>
      </c>
      <c r="Y474">
        <f>HYPERLINK("https://klasma.github.io/Logging_0115/tillsynsmail/A 22830-2024 tillsynsbegäran mail.docx", "A 22830-2024")</f>
        <v/>
      </c>
    </row>
    <row r="475" ht="15" customHeight="1">
      <c r="A475" t="inlineStr">
        <is>
          <t>A 23146-2024</t>
        </is>
      </c>
      <c r="B475" s="1" t="n">
        <v>45450</v>
      </c>
      <c r="C475" s="1" t="n">
        <v>45512</v>
      </c>
      <c r="D475" t="inlineStr">
        <is>
          <t>STOCKHOLMS LÄN</t>
        </is>
      </c>
      <c r="E475" t="inlineStr">
        <is>
          <t>NORRTÄLJE</t>
        </is>
      </c>
      <c r="F475" t="inlineStr">
        <is>
          <t>Kommuner</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HYPERLINK("https://klasma.github.io/Logging_0188/artfynd/A 23146-2024 artfynd.xlsx", "A 23146-2024")</f>
        <v/>
      </c>
      <c r="T475">
        <f>HYPERLINK("https://klasma.github.io/Logging_0188/kartor/A 23146-2024 karta.png", "A 23146-2024")</f>
        <v/>
      </c>
      <c r="V475">
        <f>HYPERLINK("https://klasma.github.io/Logging_0188/klagomål/A 23146-2024 FSC-klagomål.docx", "A 23146-2024")</f>
        <v/>
      </c>
      <c r="W475">
        <f>HYPERLINK("https://klasma.github.io/Logging_0188/klagomålsmail/A 23146-2024 FSC-klagomål mail.docx", "A 23146-2024")</f>
        <v/>
      </c>
      <c r="X475">
        <f>HYPERLINK("https://klasma.github.io/Logging_0188/tillsyn/A 23146-2024 tillsynsbegäran.docx", "A 23146-2024")</f>
        <v/>
      </c>
      <c r="Y475">
        <f>HYPERLINK("https://klasma.github.io/Logging_0188/tillsynsmail/A 23146-2024 tillsynsbegäran mail.docx", "A 23146-2024")</f>
        <v/>
      </c>
    </row>
    <row r="476" ht="15" customHeight="1">
      <c r="A476" t="inlineStr">
        <is>
          <t>A 23099-2024</t>
        </is>
      </c>
      <c r="B476" s="1" t="n">
        <v>45450</v>
      </c>
      <c r="C476" s="1" t="n">
        <v>45512</v>
      </c>
      <c r="D476" t="inlineStr">
        <is>
          <t>STOCKHOLMS LÄN</t>
        </is>
      </c>
      <c r="E476" t="inlineStr">
        <is>
          <t>UPPLANDS-BRO</t>
        </is>
      </c>
      <c r="F476" t="inlineStr">
        <is>
          <t>Övriga statliga verk och myndigheter</t>
        </is>
      </c>
      <c r="G476" t="n">
        <v>0.7</v>
      </c>
      <c r="H476" t="n">
        <v>0</v>
      </c>
      <c r="I476" t="n">
        <v>0</v>
      </c>
      <c r="J476" t="n">
        <v>1</v>
      </c>
      <c r="K476" t="n">
        <v>0</v>
      </c>
      <c r="L476" t="n">
        <v>0</v>
      </c>
      <c r="M476" t="n">
        <v>0</v>
      </c>
      <c r="N476" t="n">
        <v>0</v>
      </c>
      <c r="O476" t="n">
        <v>1</v>
      </c>
      <c r="P476" t="n">
        <v>0</v>
      </c>
      <c r="Q476" t="n">
        <v>1</v>
      </c>
      <c r="R476" s="2" t="inlineStr">
        <is>
          <t>Mindre bastardsvärmare</t>
        </is>
      </c>
      <c r="S476">
        <f>HYPERLINK("https://klasma.github.io/Logging_0139/artfynd/A 23099-2024 artfynd.xlsx", "A 23099-2024")</f>
        <v/>
      </c>
      <c r="T476">
        <f>HYPERLINK("https://klasma.github.io/Logging_0139/kartor/A 23099-2024 karta.png", "A 23099-2024")</f>
        <v/>
      </c>
      <c r="V476">
        <f>HYPERLINK("https://klasma.github.io/Logging_0139/klagomål/A 23099-2024 FSC-klagomål.docx", "A 23099-2024")</f>
        <v/>
      </c>
      <c r="W476">
        <f>HYPERLINK("https://klasma.github.io/Logging_0139/klagomålsmail/A 23099-2024 FSC-klagomål mail.docx", "A 23099-2024")</f>
        <v/>
      </c>
      <c r="X476">
        <f>HYPERLINK("https://klasma.github.io/Logging_0139/tillsyn/A 23099-2024 tillsynsbegäran.docx", "A 23099-2024")</f>
        <v/>
      </c>
      <c r="Y476">
        <f>HYPERLINK("https://klasma.github.io/Logging_0139/tillsynsmail/A 23099-2024 tillsynsbegäran mail.docx", "A 23099-2024")</f>
        <v/>
      </c>
    </row>
    <row r="477" ht="15" customHeight="1">
      <c r="A477" t="inlineStr">
        <is>
          <t>A 24577-2024</t>
        </is>
      </c>
      <c r="B477" s="1" t="n">
        <v>45460</v>
      </c>
      <c r="C477" s="1" t="n">
        <v>45512</v>
      </c>
      <c r="D477" t="inlineStr">
        <is>
          <t>STOCKHOLMS LÄN</t>
        </is>
      </c>
      <c r="E477" t="inlineStr">
        <is>
          <t>NORRTÄLJE</t>
        </is>
      </c>
      <c r="G477" t="n">
        <v>3.8</v>
      </c>
      <c r="H477" t="n">
        <v>0</v>
      </c>
      <c r="I477" t="n">
        <v>1</v>
      </c>
      <c r="J477" t="n">
        <v>0</v>
      </c>
      <c r="K477" t="n">
        <v>0</v>
      </c>
      <c r="L477" t="n">
        <v>0</v>
      </c>
      <c r="M477" t="n">
        <v>0</v>
      </c>
      <c r="N477" t="n">
        <v>0</v>
      </c>
      <c r="O477" t="n">
        <v>0</v>
      </c>
      <c r="P477" t="n">
        <v>0</v>
      </c>
      <c r="Q477" t="n">
        <v>1</v>
      </c>
      <c r="R477" s="2" t="inlineStr">
        <is>
          <t>Rostfläck</t>
        </is>
      </c>
      <c r="S477">
        <f>HYPERLINK("https://klasma.github.io/Logging_0188/artfynd/A 24577-2024 artfynd.xlsx", "A 24577-2024")</f>
        <v/>
      </c>
      <c r="T477">
        <f>HYPERLINK("https://klasma.github.io/Logging_0188/kartor/A 24577-2024 karta.png", "A 24577-2024")</f>
        <v/>
      </c>
      <c r="V477">
        <f>HYPERLINK("https://klasma.github.io/Logging_0188/klagomål/A 24577-2024 FSC-klagomål.docx", "A 24577-2024")</f>
        <v/>
      </c>
      <c r="W477">
        <f>HYPERLINK("https://klasma.github.io/Logging_0188/klagomålsmail/A 24577-2024 FSC-klagomål mail.docx", "A 24577-2024")</f>
        <v/>
      </c>
      <c r="X477">
        <f>HYPERLINK("https://klasma.github.io/Logging_0188/tillsyn/A 24577-2024 tillsynsbegäran.docx", "A 24577-2024")</f>
        <v/>
      </c>
      <c r="Y477">
        <f>HYPERLINK("https://klasma.github.io/Logging_0188/tillsynsmail/A 24577-2024 tillsynsbegäran mail.docx", "A 24577-2024")</f>
        <v/>
      </c>
    </row>
    <row r="478" ht="15" customHeight="1">
      <c r="A478" t="inlineStr">
        <is>
          <t>A 24528-2024</t>
        </is>
      </c>
      <c r="B478" s="1" t="n">
        <v>45460</v>
      </c>
      <c r="C478" s="1" t="n">
        <v>45512</v>
      </c>
      <c r="D478" t="inlineStr">
        <is>
          <t>STOCKHOLMS LÄN</t>
        </is>
      </c>
      <c r="E478" t="inlineStr">
        <is>
          <t>NORRTÄLJE</t>
        </is>
      </c>
      <c r="G478" t="n">
        <v>1.4</v>
      </c>
      <c r="H478" t="n">
        <v>1</v>
      </c>
      <c r="I478" t="n">
        <v>0</v>
      </c>
      <c r="J478" t="n">
        <v>0</v>
      </c>
      <c r="K478" t="n">
        <v>1</v>
      </c>
      <c r="L478" t="n">
        <v>0</v>
      </c>
      <c r="M478" t="n">
        <v>0</v>
      </c>
      <c r="N478" t="n">
        <v>0</v>
      </c>
      <c r="O478" t="n">
        <v>1</v>
      </c>
      <c r="P478" t="n">
        <v>1</v>
      </c>
      <c r="Q478" t="n">
        <v>1</v>
      </c>
      <c r="R478" s="2" t="inlineStr">
        <is>
          <t>Hällebräcka</t>
        </is>
      </c>
      <c r="S478">
        <f>HYPERLINK("https://klasma.github.io/Logging_0188/artfynd/A 24528-2024 artfynd.xlsx", "A 24528-2024")</f>
        <v/>
      </c>
      <c r="T478">
        <f>HYPERLINK("https://klasma.github.io/Logging_0188/kartor/A 24528-2024 karta.png", "A 24528-2024")</f>
        <v/>
      </c>
      <c r="V478">
        <f>HYPERLINK("https://klasma.github.io/Logging_0188/klagomål/A 24528-2024 FSC-klagomål.docx", "A 24528-2024")</f>
        <v/>
      </c>
      <c r="W478">
        <f>HYPERLINK("https://klasma.github.io/Logging_0188/klagomålsmail/A 24528-2024 FSC-klagomål mail.docx", "A 24528-2024")</f>
        <v/>
      </c>
      <c r="X478">
        <f>HYPERLINK("https://klasma.github.io/Logging_0188/tillsyn/A 24528-2024 tillsynsbegäran.docx", "A 24528-2024")</f>
        <v/>
      </c>
      <c r="Y478">
        <f>HYPERLINK("https://klasma.github.io/Logging_0188/tillsynsmail/A 24528-2024 tillsynsbegäran mail.docx", "A 24528-2024")</f>
        <v/>
      </c>
    </row>
    <row r="479" ht="15" customHeight="1">
      <c r="A479" t="inlineStr">
        <is>
          <t>A 25335-2024</t>
        </is>
      </c>
      <c r="B479" s="1" t="n">
        <v>45462</v>
      </c>
      <c r="C479" s="1" t="n">
        <v>45512</v>
      </c>
      <c r="D479" t="inlineStr">
        <is>
          <t>STOCKHOLMS LÄN</t>
        </is>
      </c>
      <c r="E479" t="inlineStr">
        <is>
          <t>SIGTUNA</t>
        </is>
      </c>
      <c r="G479" t="n">
        <v>3.8</v>
      </c>
      <c r="H479" t="n">
        <v>1</v>
      </c>
      <c r="I479" t="n">
        <v>0</v>
      </c>
      <c r="J479" t="n">
        <v>0</v>
      </c>
      <c r="K479" t="n">
        <v>0</v>
      </c>
      <c r="L479" t="n">
        <v>0</v>
      </c>
      <c r="M479" t="n">
        <v>0</v>
      </c>
      <c r="N479" t="n">
        <v>0</v>
      </c>
      <c r="O479" t="n">
        <v>0</v>
      </c>
      <c r="P479" t="n">
        <v>0</v>
      </c>
      <c r="Q479" t="n">
        <v>1</v>
      </c>
      <c r="R479" s="2" t="inlineStr">
        <is>
          <t>Vanlig groda</t>
        </is>
      </c>
      <c r="S479">
        <f>HYPERLINK("https://klasma.github.io/Logging_0191/artfynd/A 25335-2024 artfynd.xlsx", "A 25335-2024")</f>
        <v/>
      </c>
      <c r="T479">
        <f>HYPERLINK("https://klasma.github.io/Logging_0191/kartor/A 25335-2024 karta.png", "A 25335-2024")</f>
        <v/>
      </c>
      <c r="V479">
        <f>HYPERLINK("https://klasma.github.io/Logging_0191/klagomål/A 25335-2024 FSC-klagomål.docx", "A 25335-2024")</f>
        <v/>
      </c>
      <c r="W479">
        <f>HYPERLINK("https://klasma.github.io/Logging_0191/klagomålsmail/A 25335-2024 FSC-klagomål mail.docx", "A 25335-2024")</f>
        <v/>
      </c>
      <c r="X479">
        <f>HYPERLINK("https://klasma.github.io/Logging_0191/tillsyn/A 25335-2024 tillsynsbegäran.docx", "A 25335-2024")</f>
        <v/>
      </c>
      <c r="Y479">
        <f>HYPERLINK("https://klasma.github.io/Logging_0191/tillsynsmail/A 25335-2024 tillsynsbegäran mail.docx", "A 25335-2024")</f>
        <v/>
      </c>
    </row>
    <row r="480" ht="15" customHeight="1">
      <c r="A480" t="inlineStr">
        <is>
          <t>A 25612-2024</t>
        </is>
      </c>
      <c r="B480" s="1" t="n">
        <v>45463</v>
      </c>
      <c r="C480" s="1" t="n">
        <v>45512</v>
      </c>
      <c r="D480" t="inlineStr">
        <is>
          <t>STOCKHOLMS LÄN</t>
        </is>
      </c>
      <c r="E480" t="inlineStr">
        <is>
          <t>NACKA</t>
        </is>
      </c>
      <c r="G480" t="n">
        <v>1.5</v>
      </c>
      <c r="H480" t="n">
        <v>0</v>
      </c>
      <c r="I480" t="n">
        <v>1</v>
      </c>
      <c r="J480" t="n">
        <v>0</v>
      </c>
      <c r="K480" t="n">
        <v>0</v>
      </c>
      <c r="L480" t="n">
        <v>0</v>
      </c>
      <c r="M480" t="n">
        <v>0</v>
      </c>
      <c r="N480" t="n">
        <v>0</v>
      </c>
      <c r="O480" t="n">
        <v>0</v>
      </c>
      <c r="P480" t="n">
        <v>0</v>
      </c>
      <c r="Q480" t="n">
        <v>1</v>
      </c>
      <c r="R480" s="2" t="inlineStr">
        <is>
          <t>Tibast</t>
        </is>
      </c>
      <c r="S480">
        <f>HYPERLINK("https://klasma.github.io/Logging_0182/artfynd/A 25612-2024 artfynd.xlsx", "A 25612-2024")</f>
        <v/>
      </c>
      <c r="T480">
        <f>HYPERLINK("https://klasma.github.io/Logging_0182/kartor/A 25612-2024 karta.png", "A 25612-2024")</f>
        <v/>
      </c>
      <c r="V480">
        <f>HYPERLINK("https://klasma.github.io/Logging_0182/klagomål/A 25612-2024 FSC-klagomål.docx", "A 25612-2024")</f>
        <v/>
      </c>
      <c r="W480">
        <f>HYPERLINK("https://klasma.github.io/Logging_0182/klagomålsmail/A 25612-2024 FSC-klagomål mail.docx", "A 25612-2024")</f>
        <v/>
      </c>
      <c r="X480">
        <f>HYPERLINK("https://klasma.github.io/Logging_0182/tillsyn/A 25612-2024 tillsynsbegäran.docx", "A 25612-2024")</f>
        <v/>
      </c>
      <c r="Y480">
        <f>HYPERLINK("https://klasma.github.io/Logging_0182/tillsynsmail/A 25612-2024 tillsynsbegäran mail.docx", "A 25612-2024")</f>
        <v/>
      </c>
    </row>
    <row r="481" ht="15" customHeight="1">
      <c r="A481" t="inlineStr">
        <is>
          <t>A 26120-2024</t>
        </is>
      </c>
      <c r="B481" s="1" t="n">
        <v>45468</v>
      </c>
      <c r="C481" s="1" t="n">
        <v>45512</v>
      </c>
      <c r="D481" t="inlineStr">
        <is>
          <t>STOCKHOLMS LÄN</t>
        </is>
      </c>
      <c r="E481" t="inlineStr">
        <is>
          <t>NORRTÄLJE</t>
        </is>
      </c>
      <c r="G481" t="n">
        <v>1.8</v>
      </c>
      <c r="H481" t="n">
        <v>0</v>
      </c>
      <c r="I481" t="n">
        <v>0</v>
      </c>
      <c r="J481" t="n">
        <v>1</v>
      </c>
      <c r="K481" t="n">
        <v>0</v>
      </c>
      <c r="L481" t="n">
        <v>0</v>
      </c>
      <c r="M481" t="n">
        <v>0</v>
      </c>
      <c r="N481" t="n">
        <v>0</v>
      </c>
      <c r="O481" t="n">
        <v>1</v>
      </c>
      <c r="P481" t="n">
        <v>0</v>
      </c>
      <c r="Q481" t="n">
        <v>1</v>
      </c>
      <c r="R481" s="2" t="inlineStr">
        <is>
          <t>Majviva</t>
        </is>
      </c>
      <c r="S481">
        <f>HYPERLINK("https://klasma.github.io/Logging_0188/artfynd/A 26120-2024 artfynd.xlsx", "A 26120-2024")</f>
        <v/>
      </c>
      <c r="T481">
        <f>HYPERLINK("https://klasma.github.io/Logging_0188/kartor/A 26120-2024 karta.png", "A 26120-2024")</f>
        <v/>
      </c>
      <c r="V481">
        <f>HYPERLINK("https://klasma.github.io/Logging_0188/klagomål/A 26120-2024 FSC-klagomål.docx", "A 26120-2024")</f>
        <v/>
      </c>
      <c r="W481">
        <f>HYPERLINK("https://klasma.github.io/Logging_0188/klagomålsmail/A 26120-2024 FSC-klagomål mail.docx", "A 26120-2024")</f>
        <v/>
      </c>
      <c r="X481">
        <f>HYPERLINK("https://klasma.github.io/Logging_0188/tillsyn/A 26120-2024 tillsynsbegäran.docx", "A 26120-2024")</f>
        <v/>
      </c>
      <c r="Y481">
        <f>HYPERLINK("https://klasma.github.io/Logging_0188/tillsynsmail/A 26120-2024 tillsynsbegäran mail.docx", "A 26120-2024")</f>
        <v/>
      </c>
    </row>
    <row r="482" ht="15" customHeight="1">
      <c r="A482" t="inlineStr">
        <is>
          <t>A 27538-2024</t>
        </is>
      </c>
      <c r="B482" s="1" t="n">
        <v>45474</v>
      </c>
      <c r="C482" s="1" t="n">
        <v>45512</v>
      </c>
      <c r="D482" t="inlineStr">
        <is>
          <t>STOCKHOLMS LÄN</t>
        </is>
      </c>
      <c r="E482" t="inlineStr">
        <is>
          <t>NORRTÄLJE</t>
        </is>
      </c>
      <c r="G482" t="n">
        <v>1.5</v>
      </c>
      <c r="H482" t="n">
        <v>1</v>
      </c>
      <c r="I482" t="n">
        <v>1</v>
      </c>
      <c r="J482" t="n">
        <v>0</v>
      </c>
      <c r="K482" t="n">
        <v>0</v>
      </c>
      <c r="L482" t="n">
        <v>0</v>
      </c>
      <c r="M482" t="n">
        <v>0</v>
      </c>
      <c r="N482" t="n">
        <v>0</v>
      </c>
      <c r="O482" t="n">
        <v>0</v>
      </c>
      <c r="P482" t="n">
        <v>0</v>
      </c>
      <c r="Q482" t="n">
        <v>1</v>
      </c>
      <c r="R482" s="2" t="inlineStr">
        <is>
          <t>Skogsknipprot</t>
        </is>
      </c>
      <c r="S482">
        <f>HYPERLINK("https://klasma.github.io/Logging_0188/artfynd/A 27538-2024 artfynd.xlsx", "A 27538-2024")</f>
        <v/>
      </c>
      <c r="T482">
        <f>HYPERLINK("https://klasma.github.io/Logging_0188/kartor/A 27538-2024 karta.png", "A 27538-2024")</f>
        <v/>
      </c>
      <c r="V482">
        <f>HYPERLINK("https://klasma.github.io/Logging_0188/klagomål/A 27538-2024 FSC-klagomål.docx", "A 27538-2024")</f>
        <v/>
      </c>
      <c r="W482">
        <f>HYPERLINK("https://klasma.github.io/Logging_0188/klagomålsmail/A 27538-2024 FSC-klagomål mail.docx", "A 27538-2024")</f>
        <v/>
      </c>
      <c r="X482">
        <f>HYPERLINK("https://klasma.github.io/Logging_0188/tillsyn/A 27538-2024 tillsynsbegäran.docx", "A 27538-2024")</f>
        <v/>
      </c>
      <c r="Y482">
        <f>HYPERLINK("https://klasma.github.io/Logging_0188/tillsynsmail/A 27538-2024 tillsynsbegäran mail.docx", "A 27538-2024")</f>
        <v/>
      </c>
    </row>
    <row r="483" ht="15" customHeight="1">
      <c r="A483" t="inlineStr">
        <is>
          <t>A 28817-2024</t>
        </is>
      </c>
      <c r="B483" s="1" t="n">
        <v>45478</v>
      </c>
      <c r="C483" s="1" t="n">
        <v>45512</v>
      </c>
      <c r="D483" t="inlineStr">
        <is>
          <t>STOCKHOLMS LÄN</t>
        </is>
      </c>
      <c r="E483" t="inlineStr">
        <is>
          <t>UPPLANDS-BRO</t>
        </is>
      </c>
      <c r="F483" t="inlineStr">
        <is>
          <t>Allmännings- och besparingsskogar</t>
        </is>
      </c>
      <c r="G483" t="n">
        <v>3.7</v>
      </c>
      <c r="H483" t="n">
        <v>0</v>
      </c>
      <c r="I483" t="n">
        <v>0</v>
      </c>
      <c r="J483" t="n">
        <v>1</v>
      </c>
      <c r="K483" t="n">
        <v>0</v>
      </c>
      <c r="L483" t="n">
        <v>0</v>
      </c>
      <c r="M483" t="n">
        <v>0</v>
      </c>
      <c r="N483" t="n">
        <v>0</v>
      </c>
      <c r="O483" t="n">
        <v>1</v>
      </c>
      <c r="P483" t="n">
        <v>0</v>
      </c>
      <c r="Q483" t="n">
        <v>1</v>
      </c>
      <c r="R483" s="2" t="inlineStr">
        <is>
          <t>Tallticka</t>
        </is>
      </c>
      <c r="S483">
        <f>HYPERLINK("https://klasma.github.io/Logging_0139/artfynd/A 28817-2024 artfynd.xlsx", "A 28817-2024")</f>
        <v/>
      </c>
      <c r="T483">
        <f>HYPERLINK("https://klasma.github.io/Logging_0139/kartor/A 28817-2024 karta.png", "A 28817-2024")</f>
        <v/>
      </c>
      <c r="V483">
        <f>HYPERLINK("https://klasma.github.io/Logging_0139/klagomål/A 28817-2024 FSC-klagomål.docx", "A 28817-2024")</f>
        <v/>
      </c>
      <c r="W483">
        <f>HYPERLINK("https://klasma.github.io/Logging_0139/klagomålsmail/A 28817-2024 FSC-klagomål mail.docx", "A 28817-2024")</f>
        <v/>
      </c>
      <c r="X483">
        <f>HYPERLINK("https://klasma.github.io/Logging_0139/tillsyn/A 28817-2024 tillsynsbegäran.docx", "A 28817-2024")</f>
        <v/>
      </c>
      <c r="Y483">
        <f>HYPERLINK("https://klasma.github.io/Logging_0139/tillsynsmail/A 28817-2024 tillsynsbegäran mail.docx", "A 28817-2024")</f>
        <v/>
      </c>
    </row>
    <row r="484" ht="15" customHeight="1">
      <c r="A484" t="inlineStr">
        <is>
          <t>A 29376-2024</t>
        </is>
      </c>
      <c r="B484" s="1" t="n">
        <v>45483</v>
      </c>
      <c r="C484" s="1" t="n">
        <v>45512</v>
      </c>
      <c r="D484" t="inlineStr">
        <is>
          <t>STOCKHOLMS LÄN</t>
        </is>
      </c>
      <c r="E484" t="inlineStr">
        <is>
          <t>VALLENTUNA</t>
        </is>
      </c>
      <c r="F484" t="inlineStr">
        <is>
          <t>Övriga Aktiebolag</t>
        </is>
      </c>
      <c r="G484" t="n">
        <v>11.9</v>
      </c>
      <c r="H484" t="n">
        <v>0</v>
      </c>
      <c r="I484" t="n">
        <v>0</v>
      </c>
      <c r="J484" t="n">
        <v>0</v>
      </c>
      <c r="K484" t="n">
        <v>1</v>
      </c>
      <c r="L484" t="n">
        <v>0</v>
      </c>
      <c r="M484" t="n">
        <v>0</v>
      </c>
      <c r="N484" t="n">
        <v>0</v>
      </c>
      <c r="O484" t="n">
        <v>1</v>
      </c>
      <c r="P484" t="n">
        <v>1</v>
      </c>
      <c r="Q484" t="n">
        <v>1</v>
      </c>
      <c r="R484" s="2" t="inlineStr">
        <is>
          <t>Bandnate</t>
        </is>
      </c>
      <c r="S484">
        <f>HYPERLINK("https://klasma.github.io/Logging_0115/artfynd/A 29376-2024 artfynd.xlsx", "A 29376-2024")</f>
        <v/>
      </c>
      <c r="T484">
        <f>HYPERLINK("https://klasma.github.io/Logging_0115/kartor/A 29376-2024 karta.png", "A 29376-2024")</f>
        <v/>
      </c>
      <c r="V484">
        <f>HYPERLINK("https://klasma.github.io/Logging_0115/klagomål/A 29376-2024 FSC-klagomål.docx", "A 29376-2024")</f>
        <v/>
      </c>
      <c r="W484">
        <f>HYPERLINK("https://klasma.github.io/Logging_0115/klagomålsmail/A 29376-2024 FSC-klagomål mail.docx", "A 29376-2024")</f>
        <v/>
      </c>
      <c r="X484">
        <f>HYPERLINK("https://klasma.github.io/Logging_0115/tillsyn/A 29376-2024 tillsynsbegäran.docx", "A 29376-2024")</f>
        <v/>
      </c>
      <c r="Y484">
        <f>HYPERLINK("https://klasma.github.io/Logging_0115/tillsynsmail/A 29376-2024 tillsynsbegäran mail.docx", "A 29376-2024")</f>
        <v/>
      </c>
    </row>
    <row r="485" ht="15" customHeight="1">
      <c r="A485" t="inlineStr">
        <is>
          <t>A 31006-2024</t>
        </is>
      </c>
      <c r="B485" s="1" t="n">
        <v>45499</v>
      </c>
      <c r="C485" s="1" t="n">
        <v>45512</v>
      </c>
      <c r="D485" t="inlineStr">
        <is>
          <t>STOCKHOLMS LÄN</t>
        </is>
      </c>
      <c r="E485" t="inlineStr">
        <is>
          <t>SÖDERTÄLJE</t>
        </is>
      </c>
      <c r="F485" t="inlineStr">
        <is>
          <t>Kommuner</t>
        </is>
      </c>
      <c r="G485" t="n">
        <v>2.7</v>
      </c>
      <c r="H485" t="n">
        <v>0</v>
      </c>
      <c r="I485" t="n">
        <v>1</v>
      </c>
      <c r="J485" t="n">
        <v>0</v>
      </c>
      <c r="K485" t="n">
        <v>0</v>
      </c>
      <c r="L485" t="n">
        <v>0</v>
      </c>
      <c r="M485" t="n">
        <v>0</v>
      </c>
      <c r="N485" t="n">
        <v>0</v>
      </c>
      <c r="O485" t="n">
        <v>0</v>
      </c>
      <c r="P485" t="n">
        <v>0</v>
      </c>
      <c r="Q485" t="n">
        <v>1</v>
      </c>
      <c r="R485" s="2" t="inlineStr">
        <is>
          <t>Mindre märgborre</t>
        </is>
      </c>
      <c r="S485">
        <f>HYPERLINK("https://klasma.github.io/Logging_0181/artfynd/A 31006-2024 artfynd.xlsx", "A 31006-2024")</f>
        <v/>
      </c>
      <c r="T485">
        <f>HYPERLINK("https://klasma.github.io/Logging_0181/kartor/A 31006-2024 karta.png", "A 31006-2024")</f>
        <v/>
      </c>
      <c r="V485">
        <f>HYPERLINK("https://klasma.github.io/Logging_0181/klagomål/A 31006-2024 FSC-klagomål.docx", "A 31006-2024")</f>
        <v/>
      </c>
      <c r="W485">
        <f>HYPERLINK("https://klasma.github.io/Logging_0181/klagomålsmail/A 31006-2024 FSC-klagomål mail.docx", "A 31006-2024")</f>
        <v/>
      </c>
      <c r="X485">
        <f>HYPERLINK("https://klasma.github.io/Logging_0181/tillsyn/A 31006-2024 tillsynsbegäran.docx", "A 31006-2024")</f>
        <v/>
      </c>
      <c r="Y485">
        <f>HYPERLINK("https://klasma.github.io/Logging_0181/tillsynsmail/A 31006-2024 tillsynsbegäran mail.docx", "A 31006-2024")</f>
        <v/>
      </c>
    </row>
    <row r="486" ht="15" customHeight="1">
      <c r="A486" t="inlineStr">
        <is>
          <t>A 31371-2024</t>
        </is>
      </c>
      <c r="B486" s="1" t="n">
        <v>45505</v>
      </c>
      <c r="C486" s="1" t="n">
        <v>45512</v>
      </c>
      <c r="D486" t="inlineStr">
        <is>
          <t>STOCKHOLMS LÄN</t>
        </is>
      </c>
      <c r="E486" t="inlineStr">
        <is>
          <t>SÖDERTÄLJE</t>
        </is>
      </c>
      <c r="F486" t="inlineStr">
        <is>
          <t>Kommuner</t>
        </is>
      </c>
      <c r="G486" t="n">
        <v>3.5</v>
      </c>
      <c r="H486" t="n">
        <v>0</v>
      </c>
      <c r="I486" t="n">
        <v>0</v>
      </c>
      <c r="J486" t="n">
        <v>1</v>
      </c>
      <c r="K486" t="n">
        <v>0</v>
      </c>
      <c r="L486" t="n">
        <v>0</v>
      </c>
      <c r="M486" t="n">
        <v>0</v>
      </c>
      <c r="N486" t="n">
        <v>0</v>
      </c>
      <c r="O486" t="n">
        <v>1</v>
      </c>
      <c r="P486" t="n">
        <v>0</v>
      </c>
      <c r="Q486" t="n">
        <v>1</v>
      </c>
      <c r="R486" s="2" t="inlineStr">
        <is>
          <t>Dofttaggsvamp</t>
        </is>
      </c>
      <c r="S486">
        <f>HYPERLINK("https://klasma.github.io/Logging_0181/artfynd/A 31371-2024 artfynd.xlsx", "A 31371-2024")</f>
        <v/>
      </c>
      <c r="T486">
        <f>HYPERLINK("https://klasma.github.io/Logging_0181/kartor/A 31371-2024 karta.png", "A 31371-2024")</f>
        <v/>
      </c>
      <c r="V486">
        <f>HYPERLINK("https://klasma.github.io/Logging_0181/klagomål/A 31371-2024 FSC-klagomål.docx", "A 31371-2024")</f>
        <v/>
      </c>
      <c r="W486">
        <f>HYPERLINK("https://klasma.github.io/Logging_0181/klagomålsmail/A 31371-2024 FSC-klagomål mail.docx", "A 31371-2024")</f>
        <v/>
      </c>
      <c r="X486">
        <f>HYPERLINK("https://klasma.github.io/Logging_0181/tillsyn/A 31371-2024 tillsynsbegäran.docx", "A 31371-2024")</f>
        <v/>
      </c>
      <c r="Y486">
        <f>HYPERLINK("https://klasma.github.io/Logging_0181/tillsynsmail/A 31371-2024 tillsynsbegäran mail.docx", "A 31371-2024")</f>
        <v/>
      </c>
    </row>
    <row r="487" ht="15" customHeight="1">
      <c r="A487" t="inlineStr">
        <is>
          <t>A 17752-2019</t>
        </is>
      </c>
      <c r="B487" s="1" t="n">
        <v>43556</v>
      </c>
      <c r="C487" s="1" t="n">
        <v>45512</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17795-2019</t>
        </is>
      </c>
      <c r="B488" s="1" t="n">
        <v>43556</v>
      </c>
      <c r="C488" s="1" t="n">
        <v>45512</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17757-2019</t>
        </is>
      </c>
      <c r="B489" s="1" t="n">
        <v>43556</v>
      </c>
      <c r="C489" s="1" t="n">
        <v>45512</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17963-2019</t>
        </is>
      </c>
      <c r="B490" s="1" t="n">
        <v>43557</v>
      </c>
      <c r="C490" s="1" t="n">
        <v>45512</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18378-2019</t>
        </is>
      </c>
      <c r="B491" s="1" t="n">
        <v>43559</v>
      </c>
      <c r="C491" s="1" t="n">
        <v>45512</v>
      </c>
      <c r="D491" t="inlineStr">
        <is>
          <t>STOCKHOLMS LÄN</t>
        </is>
      </c>
      <c r="E491" t="inlineStr">
        <is>
          <t>NORRTÄLJE</t>
        </is>
      </c>
      <c r="G491" t="n">
        <v>5.8</v>
      </c>
      <c r="H491" t="n">
        <v>0</v>
      </c>
      <c r="I491" t="n">
        <v>0</v>
      </c>
      <c r="J491" t="n">
        <v>0</v>
      </c>
      <c r="K491" t="n">
        <v>0</v>
      </c>
      <c r="L491" t="n">
        <v>0</v>
      </c>
      <c r="M491" t="n">
        <v>0</v>
      </c>
      <c r="N491" t="n">
        <v>0</v>
      </c>
      <c r="O491" t="n">
        <v>0</v>
      </c>
      <c r="P491" t="n">
        <v>0</v>
      </c>
      <c r="Q491" t="n">
        <v>0</v>
      </c>
      <c r="R491" s="2" t="inlineStr"/>
    </row>
    <row r="492" ht="15" customHeight="1">
      <c r="A492" t="inlineStr">
        <is>
          <t>A 18664-2019</t>
        </is>
      </c>
      <c r="B492" s="1" t="n">
        <v>43560</v>
      </c>
      <c r="C492" s="1" t="n">
        <v>45512</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18767-2019</t>
        </is>
      </c>
      <c r="B493" s="1" t="n">
        <v>43560</v>
      </c>
      <c r="C493" s="1" t="n">
        <v>45512</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18820-2019</t>
        </is>
      </c>
      <c r="B494" s="1" t="n">
        <v>43563</v>
      </c>
      <c r="C494" s="1" t="n">
        <v>45512</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18890-2019</t>
        </is>
      </c>
      <c r="B495" s="1" t="n">
        <v>43563</v>
      </c>
      <c r="C495" s="1" t="n">
        <v>45512</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18909-2019</t>
        </is>
      </c>
      <c r="B496" s="1" t="n">
        <v>43563</v>
      </c>
      <c r="C496" s="1" t="n">
        <v>45512</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19026-2019</t>
        </is>
      </c>
      <c r="B497" s="1" t="n">
        <v>43563</v>
      </c>
      <c r="C497" s="1" t="n">
        <v>45512</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19014-2019</t>
        </is>
      </c>
      <c r="B498" s="1" t="n">
        <v>43563</v>
      </c>
      <c r="C498" s="1" t="n">
        <v>45512</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19247-2019</t>
        </is>
      </c>
      <c r="B499" s="1" t="n">
        <v>43564</v>
      </c>
      <c r="C499" s="1" t="n">
        <v>45512</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19170-2019</t>
        </is>
      </c>
      <c r="B500" s="1" t="n">
        <v>43564</v>
      </c>
      <c r="C500" s="1" t="n">
        <v>45512</v>
      </c>
      <c r="D500" t="inlineStr">
        <is>
          <t>STOCKHOLMS LÄN</t>
        </is>
      </c>
      <c r="E500" t="inlineStr">
        <is>
          <t>ÖSTERÅKER</t>
        </is>
      </c>
      <c r="G500" t="n">
        <v>2.2</v>
      </c>
      <c r="H500" t="n">
        <v>0</v>
      </c>
      <c r="I500" t="n">
        <v>0</v>
      </c>
      <c r="J500" t="n">
        <v>0</v>
      </c>
      <c r="K500" t="n">
        <v>0</v>
      </c>
      <c r="L500" t="n">
        <v>0</v>
      </c>
      <c r="M500" t="n">
        <v>0</v>
      </c>
      <c r="N500" t="n">
        <v>0</v>
      </c>
      <c r="O500" t="n">
        <v>0</v>
      </c>
      <c r="P500" t="n">
        <v>0</v>
      </c>
      <c r="Q500" t="n">
        <v>0</v>
      </c>
      <c r="R500" s="2" t="inlineStr"/>
    </row>
    <row r="501" ht="15" customHeight="1">
      <c r="A501" t="inlineStr">
        <is>
          <t>A 19255-2019</t>
        </is>
      </c>
      <c r="B501" s="1" t="n">
        <v>43564</v>
      </c>
      <c r="C501" s="1" t="n">
        <v>45512</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19198-2019</t>
        </is>
      </c>
      <c r="B502" s="1" t="n">
        <v>43564</v>
      </c>
      <c r="C502" s="1" t="n">
        <v>45512</v>
      </c>
      <c r="D502" t="inlineStr">
        <is>
          <t>STOCKHOLMS LÄN</t>
        </is>
      </c>
      <c r="E502" t="inlineStr">
        <is>
          <t>VALLENTUNA</t>
        </is>
      </c>
      <c r="G502" t="n">
        <v>0.9</v>
      </c>
      <c r="H502" t="n">
        <v>0</v>
      </c>
      <c r="I502" t="n">
        <v>0</v>
      </c>
      <c r="J502" t="n">
        <v>0</v>
      </c>
      <c r="K502" t="n">
        <v>0</v>
      </c>
      <c r="L502" t="n">
        <v>0</v>
      </c>
      <c r="M502" t="n">
        <v>0</v>
      </c>
      <c r="N502" t="n">
        <v>0</v>
      </c>
      <c r="O502" t="n">
        <v>0</v>
      </c>
      <c r="P502" t="n">
        <v>0</v>
      </c>
      <c r="Q502" t="n">
        <v>0</v>
      </c>
      <c r="R502" s="2" t="inlineStr"/>
    </row>
    <row r="503" ht="15" customHeight="1">
      <c r="A503" t="inlineStr">
        <is>
          <t>A 19302-2019</t>
        </is>
      </c>
      <c r="B503" s="1" t="n">
        <v>43565</v>
      </c>
      <c r="C503" s="1" t="n">
        <v>45512</v>
      </c>
      <c r="D503" t="inlineStr">
        <is>
          <t>STOCKHOLMS LÄN</t>
        </is>
      </c>
      <c r="E503" t="inlineStr">
        <is>
          <t>NORRTÄLJE</t>
        </is>
      </c>
      <c r="F503" t="inlineStr">
        <is>
          <t>Kommuner</t>
        </is>
      </c>
      <c r="G503" t="n">
        <v>4.2</v>
      </c>
      <c r="H503" t="n">
        <v>0</v>
      </c>
      <c r="I503" t="n">
        <v>0</v>
      </c>
      <c r="J503" t="n">
        <v>0</v>
      </c>
      <c r="K503" t="n">
        <v>0</v>
      </c>
      <c r="L503" t="n">
        <v>0</v>
      </c>
      <c r="M503" t="n">
        <v>0</v>
      </c>
      <c r="N503" t="n">
        <v>0</v>
      </c>
      <c r="O503" t="n">
        <v>0</v>
      </c>
      <c r="P503" t="n">
        <v>0</v>
      </c>
      <c r="Q503" t="n">
        <v>0</v>
      </c>
      <c r="R503" s="2" t="inlineStr"/>
    </row>
    <row r="504" ht="15" customHeight="1">
      <c r="A504" t="inlineStr">
        <is>
          <t>A 19301-2019</t>
        </is>
      </c>
      <c r="B504" s="1" t="n">
        <v>43565</v>
      </c>
      <c r="C504" s="1" t="n">
        <v>45512</v>
      </c>
      <c r="D504" t="inlineStr">
        <is>
          <t>STOCKHOLMS LÄN</t>
        </is>
      </c>
      <c r="E504" t="inlineStr">
        <is>
          <t>NORRTÄLJE</t>
        </is>
      </c>
      <c r="F504" t="inlineStr">
        <is>
          <t>Kommuner</t>
        </is>
      </c>
      <c r="G504" t="n">
        <v>3.9</v>
      </c>
      <c r="H504" t="n">
        <v>0</v>
      </c>
      <c r="I504" t="n">
        <v>0</v>
      </c>
      <c r="J504" t="n">
        <v>0</v>
      </c>
      <c r="K504" t="n">
        <v>0</v>
      </c>
      <c r="L504" t="n">
        <v>0</v>
      </c>
      <c r="M504" t="n">
        <v>0</v>
      </c>
      <c r="N504" t="n">
        <v>0</v>
      </c>
      <c r="O504" t="n">
        <v>0</v>
      </c>
      <c r="P504" t="n">
        <v>0</v>
      </c>
      <c r="Q504" t="n">
        <v>0</v>
      </c>
      <c r="R504" s="2" t="inlineStr"/>
    </row>
    <row r="505" ht="15" customHeight="1">
      <c r="A505" t="inlineStr">
        <is>
          <t>A 19297-2019</t>
        </is>
      </c>
      <c r="B505" s="1" t="n">
        <v>43565</v>
      </c>
      <c r="C505" s="1" t="n">
        <v>45512</v>
      </c>
      <c r="D505" t="inlineStr">
        <is>
          <t>STOCKHOLMS LÄN</t>
        </is>
      </c>
      <c r="E505" t="inlineStr">
        <is>
          <t>NORRTÄLJE</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19537-2019</t>
        </is>
      </c>
      <c r="B506" s="1" t="n">
        <v>43565</v>
      </c>
      <c r="C506" s="1" t="n">
        <v>45512</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19539-2019</t>
        </is>
      </c>
      <c r="B507" s="1" t="n">
        <v>43565</v>
      </c>
      <c r="C507" s="1" t="n">
        <v>45512</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19377-2019</t>
        </is>
      </c>
      <c r="B508" s="1" t="n">
        <v>43565</v>
      </c>
      <c r="C508" s="1" t="n">
        <v>45512</v>
      </c>
      <c r="D508" t="inlineStr">
        <is>
          <t>STOCKHOLMS LÄN</t>
        </is>
      </c>
      <c r="E508" t="inlineStr">
        <is>
          <t>NYKVARN</t>
        </is>
      </c>
      <c r="G508" t="n">
        <v>2.9</v>
      </c>
      <c r="H508" t="n">
        <v>0</v>
      </c>
      <c r="I508" t="n">
        <v>0</v>
      </c>
      <c r="J508" t="n">
        <v>0</v>
      </c>
      <c r="K508" t="n">
        <v>0</v>
      </c>
      <c r="L508" t="n">
        <v>0</v>
      </c>
      <c r="M508" t="n">
        <v>0</v>
      </c>
      <c r="N508" t="n">
        <v>0</v>
      </c>
      <c r="O508" t="n">
        <v>0</v>
      </c>
      <c r="P508" t="n">
        <v>0</v>
      </c>
      <c r="Q508" t="n">
        <v>0</v>
      </c>
      <c r="R508" s="2" t="inlineStr"/>
    </row>
    <row r="509" ht="15" customHeight="1">
      <c r="A509" t="inlineStr">
        <is>
          <t>A 19540-2019</t>
        </is>
      </c>
      <c r="B509" s="1" t="n">
        <v>43565</v>
      </c>
      <c r="C509" s="1" t="n">
        <v>45512</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19638-2019</t>
        </is>
      </c>
      <c r="B510" s="1" t="n">
        <v>43566</v>
      </c>
      <c r="C510" s="1" t="n">
        <v>45512</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19593-2019</t>
        </is>
      </c>
      <c r="B511" s="1" t="n">
        <v>43566</v>
      </c>
      <c r="C511" s="1" t="n">
        <v>45512</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19563-2019</t>
        </is>
      </c>
      <c r="B512" s="1" t="n">
        <v>43566</v>
      </c>
      <c r="C512" s="1" t="n">
        <v>45512</v>
      </c>
      <c r="D512" t="inlineStr">
        <is>
          <t>STOCKHOLMS LÄN</t>
        </is>
      </c>
      <c r="E512" t="inlineStr">
        <is>
          <t>SIGTUNA</t>
        </is>
      </c>
      <c r="G512" t="n">
        <v>7.8</v>
      </c>
      <c r="H512" t="n">
        <v>0</v>
      </c>
      <c r="I512" t="n">
        <v>0</v>
      </c>
      <c r="J512" t="n">
        <v>0</v>
      </c>
      <c r="K512" t="n">
        <v>0</v>
      </c>
      <c r="L512" t="n">
        <v>0</v>
      </c>
      <c r="M512" t="n">
        <v>0</v>
      </c>
      <c r="N512" t="n">
        <v>0</v>
      </c>
      <c r="O512" t="n">
        <v>0</v>
      </c>
      <c r="P512" t="n">
        <v>0</v>
      </c>
      <c r="Q512" t="n">
        <v>0</v>
      </c>
      <c r="R512" s="2" t="inlineStr"/>
    </row>
    <row r="513" ht="15" customHeight="1">
      <c r="A513" t="inlineStr">
        <is>
          <t>A 19872-2019</t>
        </is>
      </c>
      <c r="B513" s="1" t="n">
        <v>43567</v>
      </c>
      <c r="C513" s="1" t="n">
        <v>45512</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19811-2019</t>
        </is>
      </c>
      <c r="B514" s="1" t="n">
        <v>43567</v>
      </c>
      <c r="C514" s="1" t="n">
        <v>45512</v>
      </c>
      <c r="D514" t="inlineStr">
        <is>
          <t>STOCKHOLMS LÄN</t>
        </is>
      </c>
      <c r="E514" t="inlineStr">
        <is>
          <t>NORRTÄLJE</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19812-2019</t>
        </is>
      </c>
      <c r="B515" s="1" t="n">
        <v>43567</v>
      </c>
      <c r="C515" s="1" t="n">
        <v>45512</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19931-2019</t>
        </is>
      </c>
      <c r="B516" s="1" t="n">
        <v>43568</v>
      </c>
      <c r="C516" s="1" t="n">
        <v>45512</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20033-2019</t>
        </is>
      </c>
      <c r="B517" s="1" t="n">
        <v>43570</v>
      </c>
      <c r="C517" s="1" t="n">
        <v>45512</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20020-2019</t>
        </is>
      </c>
      <c r="B518" s="1" t="n">
        <v>43570</v>
      </c>
      <c r="C518" s="1" t="n">
        <v>45512</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20051-2019</t>
        </is>
      </c>
      <c r="B519" s="1" t="n">
        <v>43570</v>
      </c>
      <c r="C519" s="1" t="n">
        <v>45512</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20137-2019</t>
        </is>
      </c>
      <c r="B520" s="1" t="n">
        <v>43570</v>
      </c>
      <c r="C520" s="1" t="n">
        <v>45512</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20007-2019</t>
        </is>
      </c>
      <c r="B521" s="1" t="n">
        <v>43570</v>
      </c>
      <c r="C521" s="1" t="n">
        <v>45512</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20052-2019</t>
        </is>
      </c>
      <c r="B522" s="1" t="n">
        <v>43570</v>
      </c>
      <c r="C522" s="1" t="n">
        <v>45512</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20159-2019</t>
        </is>
      </c>
      <c r="B523" s="1" t="n">
        <v>43570</v>
      </c>
      <c r="C523" s="1" t="n">
        <v>45512</v>
      </c>
      <c r="D523" t="inlineStr">
        <is>
          <t>STOCKHOLMS LÄN</t>
        </is>
      </c>
      <c r="E523" t="inlineStr">
        <is>
          <t>NORRTÄLJE</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20181-2019</t>
        </is>
      </c>
      <c r="B524" s="1" t="n">
        <v>43570</v>
      </c>
      <c r="C524" s="1" t="n">
        <v>45512</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20184-2019</t>
        </is>
      </c>
      <c r="B525" s="1" t="n">
        <v>43570</v>
      </c>
      <c r="C525" s="1" t="n">
        <v>45512</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20193-2019</t>
        </is>
      </c>
      <c r="B526" s="1" t="n">
        <v>43570</v>
      </c>
      <c r="C526" s="1" t="n">
        <v>45512</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20090-2019</t>
        </is>
      </c>
      <c r="B527" s="1" t="n">
        <v>43570</v>
      </c>
      <c r="C527" s="1" t="n">
        <v>45512</v>
      </c>
      <c r="D527" t="inlineStr">
        <is>
          <t>STOCKHOLMS LÄN</t>
        </is>
      </c>
      <c r="E527" t="inlineStr">
        <is>
          <t>NORRTÄLJE</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20165-2019</t>
        </is>
      </c>
      <c r="B528" s="1" t="n">
        <v>43570</v>
      </c>
      <c r="C528" s="1" t="n">
        <v>45512</v>
      </c>
      <c r="D528" t="inlineStr">
        <is>
          <t>STOCKHOLMS LÄN</t>
        </is>
      </c>
      <c r="E528" t="inlineStr">
        <is>
          <t>NORRTÄLJE</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20023-2019</t>
        </is>
      </c>
      <c r="B529" s="1" t="n">
        <v>43570</v>
      </c>
      <c r="C529" s="1" t="n">
        <v>45512</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20531-2019</t>
        </is>
      </c>
      <c r="B530" s="1" t="n">
        <v>43572</v>
      </c>
      <c r="C530" s="1" t="n">
        <v>45512</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20743-2019</t>
        </is>
      </c>
      <c r="B531" s="1" t="n">
        <v>43573</v>
      </c>
      <c r="C531" s="1" t="n">
        <v>45512</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20809-2019</t>
        </is>
      </c>
      <c r="B532" s="1" t="n">
        <v>43573</v>
      </c>
      <c r="C532" s="1" t="n">
        <v>45512</v>
      </c>
      <c r="D532" t="inlineStr">
        <is>
          <t>STOCKHOLMS LÄN</t>
        </is>
      </c>
      <c r="E532" t="inlineStr">
        <is>
          <t>NORRTÄLJE</t>
        </is>
      </c>
      <c r="F532" t="inlineStr">
        <is>
          <t>Kommuner</t>
        </is>
      </c>
      <c r="G532" t="n">
        <v>2.2</v>
      </c>
      <c r="H532" t="n">
        <v>0</v>
      </c>
      <c r="I532" t="n">
        <v>0</v>
      </c>
      <c r="J532" t="n">
        <v>0</v>
      </c>
      <c r="K532" t="n">
        <v>0</v>
      </c>
      <c r="L532" t="n">
        <v>0</v>
      </c>
      <c r="M532" t="n">
        <v>0</v>
      </c>
      <c r="N532" t="n">
        <v>0</v>
      </c>
      <c r="O532" t="n">
        <v>0</v>
      </c>
      <c r="P532" t="n">
        <v>0</v>
      </c>
      <c r="Q532" t="n">
        <v>0</v>
      </c>
      <c r="R532" s="2" t="inlineStr"/>
    </row>
    <row r="533" ht="15" customHeight="1">
      <c r="A533" t="inlineStr">
        <is>
          <t>A 20925-2019</t>
        </is>
      </c>
      <c r="B533" s="1" t="n">
        <v>43578</v>
      </c>
      <c r="C533" s="1" t="n">
        <v>45512</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21062-2019</t>
        </is>
      </c>
      <c r="B534" s="1" t="n">
        <v>43578</v>
      </c>
      <c r="C534" s="1" t="n">
        <v>45512</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21441-2019</t>
        </is>
      </c>
      <c r="B535" s="1" t="n">
        <v>43580</v>
      </c>
      <c r="C535" s="1" t="n">
        <v>45512</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21521-2019</t>
        </is>
      </c>
      <c r="B536" s="1" t="n">
        <v>43580</v>
      </c>
      <c r="C536" s="1" t="n">
        <v>45512</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21508-2019</t>
        </is>
      </c>
      <c r="B537" s="1" t="n">
        <v>43580</v>
      </c>
      <c r="C537" s="1" t="n">
        <v>45512</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21457-2019</t>
        </is>
      </c>
      <c r="B538" s="1" t="n">
        <v>43580</v>
      </c>
      <c r="C538" s="1" t="n">
        <v>45512</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21501-2019</t>
        </is>
      </c>
      <c r="B539" s="1" t="n">
        <v>43580</v>
      </c>
      <c r="C539" s="1" t="n">
        <v>45512</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21616-2019</t>
        </is>
      </c>
      <c r="B540" s="1" t="n">
        <v>43581</v>
      </c>
      <c r="C540" s="1" t="n">
        <v>45512</v>
      </c>
      <c r="D540" t="inlineStr">
        <is>
          <t>STOCKHOLMS LÄN</t>
        </is>
      </c>
      <c r="E540" t="inlineStr">
        <is>
          <t>NORRTÄLJE</t>
        </is>
      </c>
      <c r="G540" t="n">
        <v>5.3</v>
      </c>
      <c r="H540" t="n">
        <v>0</v>
      </c>
      <c r="I540" t="n">
        <v>0</v>
      </c>
      <c r="J540" t="n">
        <v>0</v>
      </c>
      <c r="K540" t="n">
        <v>0</v>
      </c>
      <c r="L540" t="n">
        <v>0</v>
      </c>
      <c r="M540" t="n">
        <v>0</v>
      </c>
      <c r="N540" t="n">
        <v>0</v>
      </c>
      <c r="O540" t="n">
        <v>0</v>
      </c>
      <c r="P540" t="n">
        <v>0</v>
      </c>
      <c r="Q540" t="n">
        <v>0</v>
      </c>
      <c r="R540" s="2" t="inlineStr"/>
    </row>
    <row r="541" ht="15" customHeight="1">
      <c r="A541" t="inlineStr">
        <is>
          <t>A 21662-2019</t>
        </is>
      </c>
      <c r="B541" s="1" t="n">
        <v>43581</v>
      </c>
      <c r="C541" s="1" t="n">
        <v>45512</v>
      </c>
      <c r="D541" t="inlineStr">
        <is>
          <t>STOCKHOLMS LÄN</t>
        </is>
      </c>
      <c r="E541" t="inlineStr">
        <is>
          <t>NORRTÄLJE</t>
        </is>
      </c>
      <c r="G541" t="n">
        <v>1.5</v>
      </c>
      <c r="H541" t="n">
        <v>0</v>
      </c>
      <c r="I541" t="n">
        <v>0</v>
      </c>
      <c r="J541" t="n">
        <v>0</v>
      </c>
      <c r="K541" t="n">
        <v>0</v>
      </c>
      <c r="L541" t="n">
        <v>0</v>
      </c>
      <c r="M541" t="n">
        <v>0</v>
      </c>
      <c r="N541" t="n">
        <v>0</v>
      </c>
      <c r="O541" t="n">
        <v>0</v>
      </c>
      <c r="P541" t="n">
        <v>0</v>
      </c>
      <c r="Q541" t="n">
        <v>0</v>
      </c>
      <c r="R541" s="2" t="inlineStr"/>
    </row>
    <row r="542" ht="15" customHeight="1">
      <c r="A542" t="inlineStr">
        <is>
          <t>A 21720-2019</t>
        </is>
      </c>
      <c r="B542" s="1" t="n">
        <v>43581</v>
      </c>
      <c r="C542" s="1" t="n">
        <v>45512</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21692-2019</t>
        </is>
      </c>
      <c r="B543" s="1" t="n">
        <v>43581</v>
      </c>
      <c r="C543" s="1" t="n">
        <v>45512</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21811-2019</t>
        </is>
      </c>
      <c r="B544" s="1" t="n">
        <v>43582</v>
      </c>
      <c r="C544" s="1" t="n">
        <v>45512</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22207-2019</t>
        </is>
      </c>
      <c r="B545" s="1" t="n">
        <v>43585</v>
      </c>
      <c r="C545" s="1" t="n">
        <v>45512</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22211-2019</t>
        </is>
      </c>
      <c r="B546" s="1" t="n">
        <v>43585</v>
      </c>
      <c r="C546" s="1" t="n">
        <v>45512</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22254-2019</t>
        </is>
      </c>
      <c r="B547" s="1" t="n">
        <v>43585</v>
      </c>
      <c r="C547" s="1" t="n">
        <v>45512</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22218-2019</t>
        </is>
      </c>
      <c r="B548" s="1" t="n">
        <v>43585</v>
      </c>
      <c r="C548" s="1" t="n">
        <v>45512</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22331-2019</t>
        </is>
      </c>
      <c r="B549" s="1" t="n">
        <v>43586</v>
      </c>
      <c r="C549" s="1" t="n">
        <v>45512</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22359-2019</t>
        </is>
      </c>
      <c r="B550" s="1" t="n">
        <v>43587</v>
      </c>
      <c r="C550" s="1" t="n">
        <v>45512</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22422-2019</t>
        </is>
      </c>
      <c r="B551" s="1" t="n">
        <v>43587</v>
      </c>
      <c r="C551" s="1" t="n">
        <v>45512</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22490-2019</t>
        </is>
      </c>
      <c r="B552" s="1" t="n">
        <v>43587</v>
      </c>
      <c r="C552" s="1" t="n">
        <v>45512</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22496-2019</t>
        </is>
      </c>
      <c r="B553" s="1" t="n">
        <v>43587</v>
      </c>
      <c r="C553" s="1" t="n">
        <v>45512</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23783-2019</t>
        </is>
      </c>
      <c r="B554" s="1" t="n">
        <v>43592</v>
      </c>
      <c r="C554" s="1" t="n">
        <v>45512</v>
      </c>
      <c r="D554" t="inlineStr">
        <is>
          <t>STOCKHOLMS LÄN</t>
        </is>
      </c>
      <c r="E554" t="inlineStr">
        <is>
          <t>NYNÄSHAMN</t>
        </is>
      </c>
      <c r="F554" t="inlineStr">
        <is>
          <t>Övriga statliga verk och myndigheter</t>
        </is>
      </c>
      <c r="G554" t="n">
        <v>7.3</v>
      </c>
      <c r="H554" t="n">
        <v>0</v>
      </c>
      <c r="I554" t="n">
        <v>0</v>
      </c>
      <c r="J554" t="n">
        <v>0</v>
      </c>
      <c r="K554" t="n">
        <v>0</v>
      </c>
      <c r="L554" t="n">
        <v>0</v>
      </c>
      <c r="M554" t="n">
        <v>0</v>
      </c>
      <c r="N554" t="n">
        <v>0</v>
      </c>
      <c r="O554" t="n">
        <v>0</v>
      </c>
      <c r="P554" t="n">
        <v>0</v>
      </c>
      <c r="Q554" t="n">
        <v>0</v>
      </c>
      <c r="R554" s="2" t="inlineStr"/>
    </row>
    <row r="555" ht="15" customHeight="1">
      <c r="A555" t="inlineStr">
        <is>
          <t>A 23444-2019</t>
        </is>
      </c>
      <c r="B555" s="1" t="n">
        <v>43592</v>
      </c>
      <c r="C555" s="1" t="n">
        <v>45512</v>
      </c>
      <c r="D555" t="inlineStr">
        <is>
          <t>STOCKHOLMS LÄN</t>
        </is>
      </c>
      <c r="E555" t="inlineStr">
        <is>
          <t>NYNÄSHAMN</t>
        </is>
      </c>
      <c r="F555" t="inlineStr">
        <is>
          <t>Övriga statliga verk och myndigheter</t>
        </is>
      </c>
      <c r="G555" t="n">
        <v>6.9</v>
      </c>
      <c r="H555" t="n">
        <v>0</v>
      </c>
      <c r="I555" t="n">
        <v>0</v>
      </c>
      <c r="J555" t="n">
        <v>0</v>
      </c>
      <c r="K555" t="n">
        <v>0</v>
      </c>
      <c r="L555" t="n">
        <v>0</v>
      </c>
      <c r="M555" t="n">
        <v>0</v>
      </c>
      <c r="N555" t="n">
        <v>0</v>
      </c>
      <c r="O555" t="n">
        <v>0</v>
      </c>
      <c r="P555" t="n">
        <v>0</v>
      </c>
      <c r="Q555" t="n">
        <v>0</v>
      </c>
      <c r="R555" s="2" t="inlineStr"/>
    </row>
    <row r="556" ht="15" customHeight="1">
      <c r="A556" t="inlineStr">
        <is>
          <t>A 23342-2019</t>
        </is>
      </c>
      <c r="B556" s="1" t="n">
        <v>43593</v>
      </c>
      <c r="C556" s="1" t="n">
        <v>45512</v>
      </c>
      <c r="D556" t="inlineStr">
        <is>
          <t>STOCKHOLMS LÄN</t>
        </is>
      </c>
      <c r="E556" t="inlineStr">
        <is>
          <t>VÄRMDÖ</t>
        </is>
      </c>
      <c r="G556" t="n">
        <v>4</v>
      </c>
      <c r="H556" t="n">
        <v>0</v>
      </c>
      <c r="I556" t="n">
        <v>0</v>
      </c>
      <c r="J556" t="n">
        <v>0</v>
      </c>
      <c r="K556" t="n">
        <v>0</v>
      </c>
      <c r="L556" t="n">
        <v>0</v>
      </c>
      <c r="M556" t="n">
        <v>0</v>
      </c>
      <c r="N556" t="n">
        <v>0</v>
      </c>
      <c r="O556" t="n">
        <v>0</v>
      </c>
      <c r="P556" t="n">
        <v>0</v>
      </c>
      <c r="Q556" t="n">
        <v>0</v>
      </c>
      <c r="R556" s="2" t="inlineStr"/>
    </row>
    <row r="557" ht="15" customHeight="1">
      <c r="A557" t="inlineStr">
        <is>
          <t>A 23711-2019</t>
        </is>
      </c>
      <c r="B557" s="1" t="n">
        <v>43594</v>
      </c>
      <c r="C557" s="1" t="n">
        <v>45512</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23710-2019</t>
        </is>
      </c>
      <c r="B558" s="1" t="n">
        <v>43594</v>
      </c>
      <c r="C558" s="1" t="n">
        <v>45512</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23862-2019</t>
        </is>
      </c>
      <c r="B559" s="1" t="n">
        <v>43595</v>
      </c>
      <c r="C559" s="1" t="n">
        <v>45512</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23878-2019</t>
        </is>
      </c>
      <c r="B560" s="1" t="n">
        <v>43595</v>
      </c>
      <c r="C560" s="1" t="n">
        <v>45512</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23961-2019</t>
        </is>
      </c>
      <c r="B561" s="1" t="n">
        <v>43597</v>
      </c>
      <c r="C561" s="1" t="n">
        <v>45512</v>
      </c>
      <c r="D561" t="inlineStr">
        <is>
          <t>STOCKHOLMS LÄN</t>
        </is>
      </c>
      <c r="E561" t="inlineStr">
        <is>
          <t>NORRTÄLJE</t>
        </is>
      </c>
      <c r="G561" t="n">
        <v>17.6</v>
      </c>
      <c r="H561" t="n">
        <v>0</v>
      </c>
      <c r="I561" t="n">
        <v>0</v>
      </c>
      <c r="J561" t="n">
        <v>0</v>
      </c>
      <c r="K561" t="n">
        <v>0</v>
      </c>
      <c r="L561" t="n">
        <v>0</v>
      </c>
      <c r="M561" t="n">
        <v>0</v>
      </c>
      <c r="N561" t="n">
        <v>0</v>
      </c>
      <c r="O561" t="n">
        <v>0</v>
      </c>
      <c r="P561" t="n">
        <v>0</v>
      </c>
      <c r="Q561" t="n">
        <v>0</v>
      </c>
      <c r="R561" s="2" t="inlineStr"/>
    </row>
    <row r="562" ht="15" customHeight="1">
      <c r="A562" t="inlineStr">
        <is>
          <t>A 23965-2019</t>
        </is>
      </c>
      <c r="B562" s="1" t="n">
        <v>43597</v>
      </c>
      <c r="C562" s="1" t="n">
        <v>45512</v>
      </c>
      <c r="D562" t="inlineStr">
        <is>
          <t>STOCKHOLMS LÄN</t>
        </is>
      </c>
      <c r="E562" t="inlineStr">
        <is>
          <t>NORRTÄLJE</t>
        </is>
      </c>
      <c r="G562" t="n">
        <v>6.1</v>
      </c>
      <c r="H562" t="n">
        <v>0</v>
      </c>
      <c r="I562" t="n">
        <v>0</v>
      </c>
      <c r="J562" t="n">
        <v>0</v>
      </c>
      <c r="K562" t="n">
        <v>0</v>
      </c>
      <c r="L562" t="n">
        <v>0</v>
      </c>
      <c r="M562" t="n">
        <v>0</v>
      </c>
      <c r="N562" t="n">
        <v>0</v>
      </c>
      <c r="O562" t="n">
        <v>0</v>
      </c>
      <c r="P562" t="n">
        <v>0</v>
      </c>
      <c r="Q562" t="n">
        <v>0</v>
      </c>
      <c r="R562" s="2" t="inlineStr"/>
    </row>
    <row r="563" ht="15" customHeight="1">
      <c r="A563" t="inlineStr">
        <is>
          <t>A 23963-2019</t>
        </is>
      </c>
      <c r="B563" s="1" t="n">
        <v>43597</v>
      </c>
      <c r="C563" s="1" t="n">
        <v>45512</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24124-2019</t>
        </is>
      </c>
      <c r="B564" s="1" t="n">
        <v>43598</v>
      </c>
      <c r="C564" s="1" t="n">
        <v>45512</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24058-2019</t>
        </is>
      </c>
      <c r="B565" s="1" t="n">
        <v>43598</v>
      </c>
      <c r="C565" s="1" t="n">
        <v>45512</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24360-2019</t>
        </is>
      </c>
      <c r="B566" s="1" t="n">
        <v>43599</v>
      </c>
      <c r="C566" s="1" t="n">
        <v>45512</v>
      </c>
      <c r="D566" t="inlineStr">
        <is>
          <t>STOCKHOLMS LÄN</t>
        </is>
      </c>
      <c r="E566" t="inlineStr">
        <is>
          <t>NYNÄSHAMN</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24562-2019</t>
        </is>
      </c>
      <c r="B567" s="1" t="n">
        <v>43600</v>
      </c>
      <c r="C567" s="1" t="n">
        <v>45512</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24657-2019</t>
        </is>
      </c>
      <c r="B568" s="1" t="n">
        <v>43601</v>
      </c>
      <c r="C568" s="1" t="n">
        <v>45512</v>
      </c>
      <c r="D568" t="inlineStr">
        <is>
          <t>STOCKHOLMS LÄN</t>
        </is>
      </c>
      <c r="E568" t="inlineStr">
        <is>
          <t>SÖDERTÄLJE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24721-2019</t>
        </is>
      </c>
      <c r="B569" s="1" t="n">
        <v>43601</v>
      </c>
      <c r="C569" s="1" t="n">
        <v>45512</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25284-2019</t>
        </is>
      </c>
      <c r="B570" s="1" t="n">
        <v>43605</v>
      </c>
      <c r="C570" s="1" t="n">
        <v>45512</v>
      </c>
      <c r="D570" t="inlineStr">
        <is>
          <t>STOCKHOLMS LÄN</t>
        </is>
      </c>
      <c r="E570" t="inlineStr">
        <is>
          <t>NORRTÄLJE</t>
        </is>
      </c>
      <c r="G570" t="n">
        <v>3.6</v>
      </c>
      <c r="H570" t="n">
        <v>0</v>
      </c>
      <c r="I570" t="n">
        <v>0</v>
      </c>
      <c r="J570" t="n">
        <v>0</v>
      </c>
      <c r="K570" t="n">
        <v>0</v>
      </c>
      <c r="L570" t="n">
        <v>0</v>
      </c>
      <c r="M570" t="n">
        <v>0</v>
      </c>
      <c r="N570" t="n">
        <v>0</v>
      </c>
      <c r="O570" t="n">
        <v>0</v>
      </c>
      <c r="P570" t="n">
        <v>0</v>
      </c>
      <c r="Q570" t="n">
        <v>0</v>
      </c>
      <c r="R570" s="2" t="inlineStr"/>
    </row>
    <row r="571" ht="15" customHeight="1">
      <c r="A571" t="inlineStr">
        <is>
          <t>A 25535-2019</t>
        </is>
      </c>
      <c r="B571" s="1" t="n">
        <v>43606</v>
      </c>
      <c r="C571" s="1" t="n">
        <v>45512</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25316-2019</t>
        </is>
      </c>
      <c r="B572" s="1" t="n">
        <v>43606</v>
      </c>
      <c r="C572" s="1" t="n">
        <v>45512</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26374-2019</t>
        </is>
      </c>
      <c r="B573" s="1" t="n">
        <v>43606</v>
      </c>
      <c r="C573" s="1" t="n">
        <v>45512</v>
      </c>
      <c r="D573" t="inlineStr">
        <is>
          <t>STOCKHOLMS LÄN</t>
        </is>
      </c>
      <c r="E573" t="inlineStr">
        <is>
          <t>NORRTÄLJE</t>
        </is>
      </c>
      <c r="G573" t="n">
        <v>11.6</v>
      </c>
      <c r="H573" t="n">
        <v>0</v>
      </c>
      <c r="I573" t="n">
        <v>0</v>
      </c>
      <c r="J573" t="n">
        <v>0</v>
      </c>
      <c r="K573" t="n">
        <v>0</v>
      </c>
      <c r="L573" t="n">
        <v>0</v>
      </c>
      <c r="M573" t="n">
        <v>0</v>
      </c>
      <c r="N573" t="n">
        <v>0</v>
      </c>
      <c r="O573" t="n">
        <v>0</v>
      </c>
      <c r="P573" t="n">
        <v>0</v>
      </c>
      <c r="Q573" t="n">
        <v>0</v>
      </c>
      <c r="R573" s="2" t="inlineStr"/>
    </row>
    <row r="574" ht="15" customHeight="1">
      <c r="A574" t="inlineStr">
        <is>
          <t>A 25315-2019</t>
        </is>
      </c>
      <c r="B574" s="1" t="n">
        <v>43606</v>
      </c>
      <c r="C574" s="1" t="n">
        <v>45512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25625-2019</t>
        </is>
      </c>
      <c r="B575" s="1" t="n">
        <v>43607</v>
      </c>
      <c r="C575" s="1" t="n">
        <v>45512</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26235-2019</t>
        </is>
      </c>
      <c r="B576" s="1" t="n">
        <v>43609</v>
      </c>
      <c r="C576" s="1" t="n">
        <v>45512</v>
      </c>
      <c r="D576" t="inlineStr">
        <is>
          <t>STOCKHOLMS LÄN</t>
        </is>
      </c>
      <c r="E576" t="inlineStr">
        <is>
          <t>NYKVARN</t>
        </is>
      </c>
      <c r="G576" t="n">
        <v>0.6</v>
      </c>
      <c r="H576" t="n">
        <v>0</v>
      </c>
      <c r="I576" t="n">
        <v>0</v>
      </c>
      <c r="J576" t="n">
        <v>0</v>
      </c>
      <c r="K576" t="n">
        <v>0</v>
      </c>
      <c r="L576" t="n">
        <v>0</v>
      </c>
      <c r="M576" t="n">
        <v>0</v>
      </c>
      <c r="N576" t="n">
        <v>0</v>
      </c>
      <c r="O576" t="n">
        <v>0</v>
      </c>
      <c r="P576" t="n">
        <v>0</v>
      </c>
      <c r="Q576" t="n">
        <v>0</v>
      </c>
      <c r="R576" s="2" t="inlineStr"/>
    </row>
    <row r="577" ht="15" customHeight="1">
      <c r="A577" t="inlineStr">
        <is>
          <t>A 26272-2019</t>
        </is>
      </c>
      <c r="B577" s="1" t="n">
        <v>43611</v>
      </c>
      <c r="C577" s="1" t="n">
        <v>45512</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26620-2019</t>
        </is>
      </c>
      <c r="B578" s="1" t="n">
        <v>43612</v>
      </c>
      <c r="C578" s="1" t="n">
        <v>45512</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26566-2019</t>
        </is>
      </c>
      <c r="B579" s="1" t="n">
        <v>43612</v>
      </c>
      <c r="C579" s="1" t="n">
        <v>45512</v>
      </c>
      <c r="D579" t="inlineStr">
        <is>
          <t>STOCKHOLMS LÄN</t>
        </is>
      </c>
      <c r="E579" t="inlineStr">
        <is>
          <t>SÖDERTÄLJE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26391-2019</t>
        </is>
      </c>
      <c r="B580" s="1" t="n">
        <v>43612</v>
      </c>
      <c r="C580" s="1" t="n">
        <v>45512</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26933-2019</t>
        </is>
      </c>
      <c r="B581" s="1" t="n">
        <v>43613</v>
      </c>
      <c r="C581" s="1" t="n">
        <v>45512</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26830-2019</t>
        </is>
      </c>
      <c r="B582" s="1" t="n">
        <v>43613</v>
      </c>
      <c r="C582" s="1" t="n">
        <v>45512</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27095-2019</t>
        </is>
      </c>
      <c r="B583" s="1" t="n">
        <v>43614</v>
      </c>
      <c r="C583" s="1" t="n">
        <v>45512</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28157-2019</t>
        </is>
      </c>
      <c r="B584" s="1" t="n">
        <v>43614</v>
      </c>
      <c r="C584" s="1" t="n">
        <v>45512</v>
      </c>
      <c r="D584" t="inlineStr">
        <is>
          <t>STOCKHOLMS LÄN</t>
        </is>
      </c>
      <c r="E584" t="inlineStr">
        <is>
          <t>NORRTÄLJE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28481-2019</t>
        </is>
      </c>
      <c r="B585" s="1" t="n">
        <v>43614</v>
      </c>
      <c r="C585" s="1" t="n">
        <v>45512</v>
      </c>
      <c r="D585" t="inlineStr">
        <is>
          <t>STOCKHOLMS LÄN</t>
        </is>
      </c>
      <c r="E585" t="inlineStr">
        <is>
          <t>UPPLANDS-BRO</t>
        </is>
      </c>
      <c r="F585" t="inlineStr">
        <is>
          <t>Allmännings- och besparingsskogar</t>
        </is>
      </c>
      <c r="G585" t="n">
        <v>1.8</v>
      </c>
      <c r="H585" t="n">
        <v>0</v>
      </c>
      <c r="I585" t="n">
        <v>0</v>
      </c>
      <c r="J585" t="n">
        <v>0</v>
      </c>
      <c r="K585" t="n">
        <v>0</v>
      </c>
      <c r="L585" t="n">
        <v>0</v>
      </c>
      <c r="M585" t="n">
        <v>0</v>
      </c>
      <c r="N585" t="n">
        <v>0</v>
      </c>
      <c r="O585" t="n">
        <v>0</v>
      </c>
      <c r="P585" t="n">
        <v>0</v>
      </c>
      <c r="Q585" t="n">
        <v>0</v>
      </c>
      <c r="R585" s="2" t="inlineStr"/>
    </row>
    <row r="586" ht="15" customHeight="1">
      <c r="A586" t="inlineStr">
        <is>
          <t>A 27264-2019</t>
        </is>
      </c>
      <c r="B586" s="1" t="n">
        <v>43615</v>
      </c>
      <c r="C586" s="1" t="n">
        <v>45512</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27505-2019</t>
        </is>
      </c>
      <c r="B587" s="1" t="n">
        <v>43619</v>
      </c>
      <c r="C587" s="1" t="n">
        <v>45512</v>
      </c>
      <c r="D587" t="inlineStr">
        <is>
          <t>STOCKHOLMS LÄN</t>
        </is>
      </c>
      <c r="E587" t="inlineStr">
        <is>
          <t>SÖDERTÄLJE</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27502-2019</t>
        </is>
      </c>
      <c r="B588" s="1" t="n">
        <v>43619</v>
      </c>
      <c r="C588" s="1" t="n">
        <v>45512</v>
      </c>
      <c r="D588" t="inlineStr">
        <is>
          <t>STOCKHOLMS LÄN</t>
        </is>
      </c>
      <c r="E588" t="inlineStr">
        <is>
          <t>SÖDERTÄLJE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27611-2019</t>
        </is>
      </c>
      <c r="B589" s="1" t="n">
        <v>43619</v>
      </c>
      <c r="C589" s="1" t="n">
        <v>45512</v>
      </c>
      <c r="D589" t="inlineStr">
        <is>
          <t>STOCKHOLMS LÄN</t>
        </is>
      </c>
      <c r="E589" t="inlineStr">
        <is>
          <t>NYKVARN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27623-2019</t>
        </is>
      </c>
      <c r="B590" s="1" t="n">
        <v>43619</v>
      </c>
      <c r="C590" s="1" t="n">
        <v>45512</v>
      </c>
      <c r="D590" t="inlineStr">
        <is>
          <t>STOCKHOLMS LÄN</t>
        </is>
      </c>
      <c r="E590" t="inlineStr">
        <is>
          <t>NYKVARN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27971-2019</t>
        </is>
      </c>
      <c r="B591" s="1" t="n">
        <v>43620</v>
      </c>
      <c r="C591" s="1" t="n">
        <v>45512</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27967-2019</t>
        </is>
      </c>
      <c r="B592" s="1" t="n">
        <v>43620</v>
      </c>
      <c r="C592" s="1" t="n">
        <v>45512</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24679-2019</t>
        </is>
      </c>
      <c r="B593" s="1" t="n">
        <v>43621</v>
      </c>
      <c r="C593" s="1" t="n">
        <v>45512</v>
      </c>
      <c r="D593" t="inlineStr">
        <is>
          <t>STOCKHOLMS LÄN</t>
        </is>
      </c>
      <c r="E593" t="inlineStr">
        <is>
          <t>VALLENTUNA</t>
        </is>
      </c>
      <c r="F593" t="inlineStr">
        <is>
          <t>Kommuner</t>
        </is>
      </c>
      <c r="G593" t="n">
        <v>31.6</v>
      </c>
      <c r="H593" t="n">
        <v>0</v>
      </c>
      <c r="I593" t="n">
        <v>0</v>
      </c>
      <c r="J593" t="n">
        <v>0</v>
      </c>
      <c r="K593" t="n">
        <v>0</v>
      </c>
      <c r="L593" t="n">
        <v>0</v>
      </c>
      <c r="M593" t="n">
        <v>0</v>
      </c>
      <c r="N593" t="n">
        <v>0</v>
      </c>
      <c r="O593" t="n">
        <v>0</v>
      </c>
      <c r="P593" t="n">
        <v>0</v>
      </c>
      <c r="Q593" t="n">
        <v>0</v>
      </c>
      <c r="R593" s="2" t="inlineStr"/>
    </row>
    <row r="594" ht="15" customHeight="1">
      <c r="A594" t="inlineStr">
        <is>
          <t>A 28121-2019</t>
        </is>
      </c>
      <c r="B594" s="1" t="n">
        <v>43621</v>
      </c>
      <c r="C594" s="1" t="n">
        <v>45512</v>
      </c>
      <c r="D594" t="inlineStr">
        <is>
          <t>STOCKHOLMS LÄN</t>
        </is>
      </c>
      <c r="E594" t="inlineStr">
        <is>
          <t>NORRTÄLJE</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28289-2019</t>
        </is>
      </c>
      <c r="B595" s="1" t="n">
        <v>43623</v>
      </c>
      <c r="C595" s="1" t="n">
        <v>45512</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28330-2019</t>
        </is>
      </c>
      <c r="B596" s="1" t="n">
        <v>43623</v>
      </c>
      <c r="C596" s="1" t="n">
        <v>45512</v>
      </c>
      <c r="D596" t="inlineStr">
        <is>
          <t>STOCKHOLMS LÄN</t>
        </is>
      </c>
      <c r="E596" t="inlineStr">
        <is>
          <t>SIGTUNA</t>
        </is>
      </c>
      <c r="G596" t="n">
        <v>6.3</v>
      </c>
      <c r="H596" t="n">
        <v>0</v>
      </c>
      <c r="I596" t="n">
        <v>0</v>
      </c>
      <c r="J596" t="n">
        <v>0</v>
      </c>
      <c r="K596" t="n">
        <v>0</v>
      </c>
      <c r="L596" t="n">
        <v>0</v>
      </c>
      <c r="M596" t="n">
        <v>0</v>
      </c>
      <c r="N596" t="n">
        <v>0</v>
      </c>
      <c r="O596" t="n">
        <v>0</v>
      </c>
      <c r="P596" t="n">
        <v>0</v>
      </c>
      <c r="Q596" t="n">
        <v>0</v>
      </c>
      <c r="R596" s="2" t="inlineStr"/>
    </row>
    <row r="597" ht="15" customHeight="1">
      <c r="A597" t="inlineStr">
        <is>
          <t>A 28519-2019</t>
        </is>
      </c>
      <c r="B597" s="1" t="n">
        <v>43626</v>
      </c>
      <c r="C597" s="1" t="n">
        <v>45512</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28495-2019</t>
        </is>
      </c>
      <c r="B598" s="1" t="n">
        <v>43626</v>
      </c>
      <c r="C598" s="1" t="n">
        <v>45512</v>
      </c>
      <c r="D598" t="inlineStr">
        <is>
          <t>STOCKHOLMS LÄN</t>
        </is>
      </c>
      <c r="E598" t="inlineStr">
        <is>
          <t>NORRTÄLJE</t>
        </is>
      </c>
      <c r="G598" t="n">
        <v>14.7</v>
      </c>
      <c r="H598" t="n">
        <v>0</v>
      </c>
      <c r="I598" t="n">
        <v>0</v>
      </c>
      <c r="J598" t="n">
        <v>0</v>
      </c>
      <c r="K598" t="n">
        <v>0</v>
      </c>
      <c r="L598" t="n">
        <v>0</v>
      </c>
      <c r="M598" t="n">
        <v>0</v>
      </c>
      <c r="N598" t="n">
        <v>0</v>
      </c>
      <c r="O598" t="n">
        <v>0</v>
      </c>
      <c r="P598" t="n">
        <v>0</v>
      </c>
      <c r="Q598" t="n">
        <v>0</v>
      </c>
      <c r="R598" s="2" t="inlineStr"/>
    </row>
    <row r="599" ht="15" customHeight="1">
      <c r="A599" t="inlineStr">
        <is>
          <t>A 28394-2019</t>
        </is>
      </c>
      <c r="B599" s="1" t="n">
        <v>43626</v>
      </c>
      <c r="C599" s="1" t="n">
        <v>45512</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28560-2019</t>
        </is>
      </c>
      <c r="B600" s="1" t="n">
        <v>43626</v>
      </c>
      <c r="C600" s="1" t="n">
        <v>45512</v>
      </c>
      <c r="D600" t="inlineStr">
        <is>
          <t>STOCKHOLMS LÄN</t>
        </is>
      </c>
      <c r="E600" t="inlineStr">
        <is>
          <t>SIGTUNA</t>
        </is>
      </c>
      <c r="G600" t="n">
        <v>1.4</v>
      </c>
      <c r="H600" t="n">
        <v>0</v>
      </c>
      <c r="I600" t="n">
        <v>0</v>
      </c>
      <c r="J600" t="n">
        <v>0</v>
      </c>
      <c r="K600" t="n">
        <v>0</v>
      </c>
      <c r="L600" t="n">
        <v>0</v>
      </c>
      <c r="M600" t="n">
        <v>0</v>
      </c>
      <c r="N600" t="n">
        <v>0</v>
      </c>
      <c r="O600" t="n">
        <v>0</v>
      </c>
      <c r="P600" t="n">
        <v>0</v>
      </c>
      <c r="Q600" t="n">
        <v>0</v>
      </c>
      <c r="R600" s="2" t="inlineStr"/>
    </row>
    <row r="601" ht="15" customHeight="1">
      <c r="A601" t="inlineStr">
        <is>
          <t>A 28384-2019</t>
        </is>
      </c>
      <c r="B601" s="1" t="n">
        <v>43626</v>
      </c>
      <c r="C601" s="1" t="n">
        <v>45512</v>
      </c>
      <c r="D601" t="inlineStr">
        <is>
          <t>STOCKHOLMS LÄN</t>
        </is>
      </c>
      <c r="E601" t="inlineStr">
        <is>
          <t>SIGTUNA</t>
        </is>
      </c>
      <c r="G601" t="n">
        <v>6.3</v>
      </c>
      <c r="H601" t="n">
        <v>0</v>
      </c>
      <c r="I601" t="n">
        <v>0</v>
      </c>
      <c r="J601" t="n">
        <v>0</v>
      </c>
      <c r="K601" t="n">
        <v>0</v>
      </c>
      <c r="L601" t="n">
        <v>0</v>
      </c>
      <c r="M601" t="n">
        <v>0</v>
      </c>
      <c r="N601" t="n">
        <v>0</v>
      </c>
      <c r="O601" t="n">
        <v>0</v>
      </c>
      <c r="P601" t="n">
        <v>0</v>
      </c>
      <c r="Q601" t="n">
        <v>0</v>
      </c>
      <c r="R601" s="2" t="inlineStr"/>
    </row>
    <row r="602" ht="15" customHeight="1">
      <c r="A602" t="inlineStr">
        <is>
          <t>A 29260-2019</t>
        </is>
      </c>
      <c r="B602" s="1" t="n">
        <v>43629</v>
      </c>
      <c r="C602" s="1" t="n">
        <v>45512</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29953-2019</t>
        </is>
      </c>
      <c r="B603" s="1" t="n">
        <v>43629</v>
      </c>
      <c r="C603" s="1" t="n">
        <v>45512</v>
      </c>
      <c r="D603" t="inlineStr">
        <is>
          <t>STOCKHOLMS LÄN</t>
        </is>
      </c>
      <c r="E603" t="inlineStr">
        <is>
          <t>VALLENTUNA</t>
        </is>
      </c>
      <c r="G603" t="n">
        <v>1.6</v>
      </c>
      <c r="H603" t="n">
        <v>0</v>
      </c>
      <c r="I603" t="n">
        <v>0</v>
      </c>
      <c r="J603" t="n">
        <v>0</v>
      </c>
      <c r="K603" t="n">
        <v>0</v>
      </c>
      <c r="L603" t="n">
        <v>0</v>
      </c>
      <c r="M603" t="n">
        <v>0</v>
      </c>
      <c r="N603" t="n">
        <v>0</v>
      </c>
      <c r="O603" t="n">
        <v>0</v>
      </c>
      <c r="P603" t="n">
        <v>0</v>
      </c>
      <c r="Q603" t="n">
        <v>0</v>
      </c>
      <c r="R603" s="2" t="inlineStr"/>
    </row>
    <row r="604" ht="15" customHeight="1">
      <c r="A604" t="inlineStr">
        <is>
          <t>A 29312-2019</t>
        </is>
      </c>
      <c r="B604" s="1" t="n">
        <v>43629</v>
      </c>
      <c r="C604" s="1" t="n">
        <v>45512</v>
      </c>
      <c r="D604" t="inlineStr">
        <is>
          <t>STOCKHOLMS LÄN</t>
        </is>
      </c>
      <c r="E604" t="inlineStr">
        <is>
          <t>NORRTÄLJE</t>
        </is>
      </c>
      <c r="G604" t="n">
        <v>7.1</v>
      </c>
      <c r="H604" t="n">
        <v>0</v>
      </c>
      <c r="I604" t="n">
        <v>0</v>
      </c>
      <c r="J604" t="n">
        <v>0</v>
      </c>
      <c r="K604" t="n">
        <v>0</v>
      </c>
      <c r="L604" t="n">
        <v>0</v>
      </c>
      <c r="M604" t="n">
        <v>0</v>
      </c>
      <c r="N604" t="n">
        <v>0</v>
      </c>
      <c r="O604" t="n">
        <v>0</v>
      </c>
      <c r="P604" t="n">
        <v>0</v>
      </c>
      <c r="Q604" t="n">
        <v>0</v>
      </c>
      <c r="R604" s="2" t="inlineStr"/>
    </row>
    <row r="605" ht="15" customHeight="1">
      <c r="A605" t="inlineStr">
        <is>
          <t>A 29759-2019</t>
        </is>
      </c>
      <c r="B605" s="1" t="n">
        <v>43631</v>
      </c>
      <c r="C605" s="1" t="n">
        <v>45512</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29973-2019</t>
        </is>
      </c>
      <c r="B606" s="1" t="n">
        <v>43633</v>
      </c>
      <c r="C606" s="1" t="n">
        <v>45512</v>
      </c>
      <c r="D606" t="inlineStr">
        <is>
          <t>STOCKHOLMS LÄN</t>
        </is>
      </c>
      <c r="E606" t="inlineStr">
        <is>
          <t>ÖSTERÅKER</t>
        </is>
      </c>
      <c r="G606" t="n">
        <v>0.4</v>
      </c>
      <c r="H606" t="n">
        <v>0</v>
      </c>
      <c r="I606" t="n">
        <v>0</v>
      </c>
      <c r="J606" t="n">
        <v>0</v>
      </c>
      <c r="K606" t="n">
        <v>0</v>
      </c>
      <c r="L606" t="n">
        <v>0</v>
      </c>
      <c r="M606" t="n">
        <v>0</v>
      </c>
      <c r="N606" t="n">
        <v>0</v>
      </c>
      <c r="O606" t="n">
        <v>0</v>
      </c>
      <c r="P606" t="n">
        <v>0</v>
      </c>
      <c r="Q606" t="n">
        <v>0</v>
      </c>
      <c r="R606" s="2" t="inlineStr"/>
    </row>
    <row r="607" ht="15" customHeight="1">
      <c r="A607" t="inlineStr">
        <is>
          <t>A 30000-2019</t>
        </is>
      </c>
      <c r="B607" s="1" t="n">
        <v>43633</v>
      </c>
      <c r="C607" s="1" t="n">
        <v>45512</v>
      </c>
      <c r="D607" t="inlineStr">
        <is>
          <t>STOCKHOLMS LÄN</t>
        </is>
      </c>
      <c r="E607" t="inlineStr">
        <is>
          <t>NORRTÄLJE</t>
        </is>
      </c>
      <c r="G607" t="n">
        <v>5.4</v>
      </c>
      <c r="H607" t="n">
        <v>0</v>
      </c>
      <c r="I607" t="n">
        <v>0</v>
      </c>
      <c r="J607" t="n">
        <v>0</v>
      </c>
      <c r="K607" t="n">
        <v>0</v>
      </c>
      <c r="L607" t="n">
        <v>0</v>
      </c>
      <c r="M607" t="n">
        <v>0</v>
      </c>
      <c r="N607" t="n">
        <v>0</v>
      </c>
      <c r="O607" t="n">
        <v>0</v>
      </c>
      <c r="P607" t="n">
        <v>0</v>
      </c>
      <c r="Q607" t="n">
        <v>0</v>
      </c>
      <c r="R607" s="2" t="inlineStr"/>
    </row>
    <row r="608" ht="15" customHeight="1">
      <c r="A608" t="inlineStr">
        <is>
          <t>A 30529-2019</t>
        </is>
      </c>
      <c r="B608" s="1" t="n">
        <v>43635</v>
      </c>
      <c r="C608" s="1" t="n">
        <v>45512</v>
      </c>
      <c r="D608" t="inlineStr">
        <is>
          <t>STOCKHOLMS LÄN</t>
        </is>
      </c>
      <c r="E608" t="inlineStr">
        <is>
          <t>VÄRMDÖ</t>
        </is>
      </c>
      <c r="G608" t="n">
        <v>2.6</v>
      </c>
      <c r="H608" t="n">
        <v>0</v>
      </c>
      <c r="I608" t="n">
        <v>0</v>
      </c>
      <c r="J608" t="n">
        <v>0</v>
      </c>
      <c r="K608" t="n">
        <v>0</v>
      </c>
      <c r="L608" t="n">
        <v>0</v>
      </c>
      <c r="M608" t="n">
        <v>0</v>
      </c>
      <c r="N608" t="n">
        <v>0</v>
      </c>
      <c r="O608" t="n">
        <v>0</v>
      </c>
      <c r="P608" t="n">
        <v>0</v>
      </c>
      <c r="Q608" t="n">
        <v>0</v>
      </c>
      <c r="R608" s="2" t="inlineStr"/>
    </row>
    <row r="609" ht="15" customHeight="1">
      <c r="A609" t="inlineStr">
        <is>
          <t>A 31171-2019</t>
        </is>
      </c>
      <c r="B609" s="1" t="n">
        <v>43635</v>
      </c>
      <c r="C609" s="1" t="n">
        <v>45512</v>
      </c>
      <c r="D609" t="inlineStr">
        <is>
          <t>STOCKHOLMS LÄN</t>
        </is>
      </c>
      <c r="E609" t="inlineStr">
        <is>
          <t>EKERÖ</t>
        </is>
      </c>
      <c r="F609" t="inlineStr">
        <is>
          <t>Övriga statliga verk och myndigheter</t>
        </is>
      </c>
      <c r="G609" t="n">
        <v>2.6</v>
      </c>
      <c r="H609" t="n">
        <v>0</v>
      </c>
      <c r="I609" t="n">
        <v>0</v>
      </c>
      <c r="J609" t="n">
        <v>0</v>
      </c>
      <c r="K609" t="n">
        <v>0</v>
      </c>
      <c r="L609" t="n">
        <v>0</v>
      </c>
      <c r="M609" t="n">
        <v>0</v>
      </c>
      <c r="N609" t="n">
        <v>0</v>
      </c>
      <c r="O609" t="n">
        <v>0</v>
      </c>
      <c r="P609" t="n">
        <v>0</v>
      </c>
      <c r="Q609" t="n">
        <v>0</v>
      </c>
      <c r="R609" s="2" t="inlineStr"/>
    </row>
    <row r="610" ht="15" customHeight="1">
      <c r="A610" t="inlineStr">
        <is>
          <t>A 30833-2019</t>
        </is>
      </c>
      <c r="B610" s="1" t="n">
        <v>43636</v>
      </c>
      <c r="C610" s="1" t="n">
        <v>45512</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31215-2019</t>
        </is>
      </c>
      <c r="B611" s="1" t="n">
        <v>43640</v>
      </c>
      <c r="C611" s="1" t="n">
        <v>45512</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31211-2019</t>
        </is>
      </c>
      <c r="B612" s="1" t="n">
        <v>43640</v>
      </c>
      <c r="C612" s="1" t="n">
        <v>45512</v>
      </c>
      <c r="D612" t="inlineStr">
        <is>
          <t>STOCKHOLMS LÄN</t>
        </is>
      </c>
      <c r="E612" t="inlineStr">
        <is>
          <t>VÄRMDÖ</t>
        </is>
      </c>
      <c r="G612" t="n">
        <v>1.3</v>
      </c>
      <c r="H612" t="n">
        <v>0</v>
      </c>
      <c r="I612" t="n">
        <v>0</v>
      </c>
      <c r="J612" t="n">
        <v>0</v>
      </c>
      <c r="K612" t="n">
        <v>0</v>
      </c>
      <c r="L612" t="n">
        <v>0</v>
      </c>
      <c r="M612" t="n">
        <v>0</v>
      </c>
      <c r="N612" t="n">
        <v>0</v>
      </c>
      <c r="O612" t="n">
        <v>0</v>
      </c>
      <c r="P612" t="n">
        <v>0</v>
      </c>
      <c r="Q612" t="n">
        <v>0</v>
      </c>
      <c r="R612" s="2" t="inlineStr"/>
    </row>
    <row r="613" ht="15" customHeight="1">
      <c r="A613" t="inlineStr">
        <is>
          <t>A 31017-2019</t>
        </is>
      </c>
      <c r="B613" s="1" t="n">
        <v>43640</v>
      </c>
      <c r="C613" s="1" t="n">
        <v>45512</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31382-2019</t>
        </is>
      </c>
      <c r="B614" s="1" t="n">
        <v>43641</v>
      </c>
      <c r="C614" s="1" t="n">
        <v>45512</v>
      </c>
      <c r="D614" t="inlineStr">
        <is>
          <t>STOCKHOLMS LÄN</t>
        </is>
      </c>
      <c r="E614" t="inlineStr">
        <is>
          <t>NYNÄSHAMN</t>
        </is>
      </c>
      <c r="G614" t="n">
        <v>7</v>
      </c>
      <c r="H614" t="n">
        <v>0</v>
      </c>
      <c r="I614" t="n">
        <v>0</v>
      </c>
      <c r="J614" t="n">
        <v>0</v>
      </c>
      <c r="K614" t="n">
        <v>0</v>
      </c>
      <c r="L614" t="n">
        <v>0</v>
      </c>
      <c r="M614" t="n">
        <v>0</v>
      </c>
      <c r="N614" t="n">
        <v>0</v>
      </c>
      <c r="O614" t="n">
        <v>0</v>
      </c>
      <c r="P614" t="n">
        <v>0</v>
      </c>
      <c r="Q614" t="n">
        <v>0</v>
      </c>
      <c r="R614" s="2" t="inlineStr"/>
    </row>
    <row r="615" ht="15" customHeight="1">
      <c r="A615" t="inlineStr">
        <is>
          <t>A 31662-2019</t>
        </is>
      </c>
      <c r="B615" s="1" t="n">
        <v>43642</v>
      </c>
      <c r="C615" s="1" t="n">
        <v>45512</v>
      </c>
      <c r="D615" t="inlineStr">
        <is>
          <t>STOCKHOLMS LÄN</t>
        </is>
      </c>
      <c r="E615" t="inlineStr">
        <is>
          <t>SÖDERTÄLJE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31966-2019</t>
        </is>
      </c>
      <c r="B616" s="1" t="n">
        <v>43643</v>
      </c>
      <c r="C616" s="1" t="n">
        <v>45512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31971-2019</t>
        </is>
      </c>
      <c r="B617" s="1" t="n">
        <v>43643</v>
      </c>
      <c r="C617" s="1" t="n">
        <v>45512</v>
      </c>
      <c r="D617" t="inlineStr">
        <is>
          <t>STOCKHOLMS LÄN</t>
        </is>
      </c>
      <c r="E617" t="inlineStr">
        <is>
          <t>NYNÄSHAMN</t>
        </is>
      </c>
      <c r="G617" t="n">
        <v>3.1</v>
      </c>
      <c r="H617" t="n">
        <v>0</v>
      </c>
      <c r="I617" t="n">
        <v>0</v>
      </c>
      <c r="J617" t="n">
        <v>0</v>
      </c>
      <c r="K617" t="n">
        <v>0</v>
      </c>
      <c r="L617" t="n">
        <v>0</v>
      </c>
      <c r="M617" t="n">
        <v>0</v>
      </c>
      <c r="N617" t="n">
        <v>0</v>
      </c>
      <c r="O617" t="n">
        <v>0</v>
      </c>
      <c r="P617" t="n">
        <v>0</v>
      </c>
      <c r="Q617" t="n">
        <v>0</v>
      </c>
      <c r="R617" s="2" t="inlineStr"/>
    </row>
    <row r="618" ht="15" customHeight="1">
      <c r="A618" t="inlineStr">
        <is>
          <t>A 31976-2019</t>
        </is>
      </c>
      <c r="B618" s="1" t="n">
        <v>43643</v>
      </c>
      <c r="C618" s="1" t="n">
        <v>45512</v>
      </c>
      <c r="D618" t="inlineStr">
        <is>
          <t>STOCKHOLMS LÄN</t>
        </is>
      </c>
      <c r="E618" t="inlineStr">
        <is>
          <t>NYNÄSHAMN</t>
        </is>
      </c>
      <c r="G618" t="n">
        <v>7.6</v>
      </c>
      <c r="H618" t="n">
        <v>0</v>
      </c>
      <c r="I618" t="n">
        <v>0</v>
      </c>
      <c r="J618" t="n">
        <v>0</v>
      </c>
      <c r="K618" t="n">
        <v>0</v>
      </c>
      <c r="L618" t="n">
        <v>0</v>
      </c>
      <c r="M618" t="n">
        <v>0</v>
      </c>
      <c r="N618" t="n">
        <v>0</v>
      </c>
      <c r="O618" t="n">
        <v>0</v>
      </c>
      <c r="P618" t="n">
        <v>0</v>
      </c>
      <c r="Q618" t="n">
        <v>0</v>
      </c>
      <c r="R618" s="2" t="inlineStr"/>
    </row>
    <row r="619" ht="15" customHeight="1">
      <c r="A619" t="inlineStr">
        <is>
          <t>A 33732-2019</t>
        </is>
      </c>
      <c r="B619" s="1" t="n">
        <v>43644</v>
      </c>
      <c r="C619" s="1" t="n">
        <v>45512</v>
      </c>
      <c r="D619" t="inlineStr">
        <is>
          <t>STOCKHOLMS LÄN</t>
        </is>
      </c>
      <c r="E619" t="inlineStr">
        <is>
          <t>UPPLANDS-BRO</t>
        </is>
      </c>
      <c r="G619" t="n">
        <v>0.9</v>
      </c>
      <c r="H619" t="n">
        <v>0</v>
      </c>
      <c r="I619" t="n">
        <v>0</v>
      </c>
      <c r="J619" t="n">
        <v>0</v>
      </c>
      <c r="K619" t="n">
        <v>0</v>
      </c>
      <c r="L619" t="n">
        <v>0</v>
      </c>
      <c r="M619" t="n">
        <v>0</v>
      </c>
      <c r="N619" t="n">
        <v>0</v>
      </c>
      <c r="O619" t="n">
        <v>0</v>
      </c>
      <c r="P619" t="n">
        <v>0</v>
      </c>
      <c r="Q619" t="n">
        <v>0</v>
      </c>
      <c r="R619" s="2" t="inlineStr"/>
    </row>
    <row r="620" ht="15" customHeight="1">
      <c r="A620" t="inlineStr">
        <is>
          <t>A 32725-2019</t>
        </is>
      </c>
      <c r="B620" s="1" t="n">
        <v>43647</v>
      </c>
      <c r="C620" s="1" t="n">
        <v>45512</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32726-2019</t>
        </is>
      </c>
      <c r="B621" s="1" t="n">
        <v>43647</v>
      </c>
      <c r="C621" s="1" t="n">
        <v>45512</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32813-2019</t>
        </is>
      </c>
      <c r="B622" s="1" t="n">
        <v>43648</v>
      </c>
      <c r="C622" s="1" t="n">
        <v>45512</v>
      </c>
      <c r="D622" t="inlineStr">
        <is>
          <t>STOCKHOLMS LÄN</t>
        </is>
      </c>
      <c r="E622" t="inlineStr">
        <is>
          <t>SIGTUNA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33196-2019</t>
        </is>
      </c>
      <c r="B623" s="1" t="n">
        <v>43649</v>
      </c>
      <c r="C623" s="1" t="n">
        <v>45512</v>
      </c>
      <c r="D623" t="inlineStr">
        <is>
          <t>STOCKHOLMS LÄN</t>
        </is>
      </c>
      <c r="E623" t="inlineStr">
        <is>
          <t>NYKVARN</t>
        </is>
      </c>
      <c r="G623" t="n">
        <v>0.9</v>
      </c>
      <c r="H623" t="n">
        <v>0</v>
      </c>
      <c r="I623" t="n">
        <v>0</v>
      </c>
      <c r="J623" t="n">
        <v>0</v>
      </c>
      <c r="K623" t="n">
        <v>0</v>
      </c>
      <c r="L623" t="n">
        <v>0</v>
      </c>
      <c r="M623" t="n">
        <v>0</v>
      </c>
      <c r="N623" t="n">
        <v>0</v>
      </c>
      <c r="O623" t="n">
        <v>0</v>
      </c>
      <c r="P623" t="n">
        <v>0</v>
      </c>
      <c r="Q623" t="n">
        <v>0</v>
      </c>
      <c r="R623" s="2" t="inlineStr"/>
    </row>
    <row r="624" ht="15" customHeight="1">
      <c r="A624" t="inlineStr">
        <is>
          <t>A 33207-2019</t>
        </is>
      </c>
      <c r="B624" s="1" t="n">
        <v>43649</v>
      </c>
      <c r="C624" s="1" t="n">
        <v>45512</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35301-2019</t>
        </is>
      </c>
      <c r="B625" s="1" t="n">
        <v>43651</v>
      </c>
      <c r="C625" s="1" t="n">
        <v>45512</v>
      </c>
      <c r="D625" t="inlineStr">
        <is>
          <t>STOCKHOLMS LÄN</t>
        </is>
      </c>
      <c r="E625" t="inlineStr">
        <is>
          <t>VALLENTUNA</t>
        </is>
      </c>
      <c r="G625" t="n">
        <v>4.7</v>
      </c>
      <c r="H625" t="n">
        <v>0</v>
      </c>
      <c r="I625" t="n">
        <v>0</v>
      </c>
      <c r="J625" t="n">
        <v>0</v>
      </c>
      <c r="K625" t="n">
        <v>0</v>
      </c>
      <c r="L625" t="n">
        <v>0</v>
      </c>
      <c r="M625" t="n">
        <v>0</v>
      </c>
      <c r="N625" t="n">
        <v>0</v>
      </c>
      <c r="O625" t="n">
        <v>0</v>
      </c>
      <c r="P625" t="n">
        <v>0</v>
      </c>
      <c r="Q625" t="n">
        <v>0</v>
      </c>
      <c r="R625" s="2" t="inlineStr"/>
    </row>
    <row r="626" ht="15" customHeight="1">
      <c r="A626" t="inlineStr">
        <is>
          <t>A 35303-2019</t>
        </is>
      </c>
      <c r="B626" s="1" t="n">
        <v>43651</v>
      </c>
      <c r="C626" s="1" t="n">
        <v>45512</v>
      </c>
      <c r="D626" t="inlineStr">
        <is>
          <t>STOCKHOLMS LÄN</t>
        </is>
      </c>
      <c r="E626" t="inlineStr">
        <is>
          <t>VALLENTUNA</t>
        </is>
      </c>
      <c r="G626" t="n">
        <v>7</v>
      </c>
      <c r="H626" t="n">
        <v>0</v>
      </c>
      <c r="I626" t="n">
        <v>0</v>
      </c>
      <c r="J626" t="n">
        <v>0</v>
      </c>
      <c r="K626" t="n">
        <v>0</v>
      </c>
      <c r="L626" t="n">
        <v>0</v>
      </c>
      <c r="M626" t="n">
        <v>0</v>
      </c>
      <c r="N626" t="n">
        <v>0</v>
      </c>
      <c r="O626" t="n">
        <v>0</v>
      </c>
      <c r="P626" t="n">
        <v>0</v>
      </c>
      <c r="Q626" t="n">
        <v>0</v>
      </c>
      <c r="R626" s="2" t="inlineStr"/>
    </row>
    <row r="627" ht="15" customHeight="1">
      <c r="A627" t="inlineStr">
        <is>
          <t>A 33955-2019</t>
        </is>
      </c>
      <c r="B627" s="1" t="n">
        <v>43654</v>
      </c>
      <c r="C627" s="1" t="n">
        <v>45512</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33966-2019</t>
        </is>
      </c>
      <c r="B628" s="1" t="n">
        <v>43654</v>
      </c>
      <c r="C628" s="1" t="n">
        <v>45512</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35247-2019</t>
        </is>
      </c>
      <c r="B629" s="1" t="n">
        <v>43656</v>
      </c>
      <c r="C629" s="1" t="n">
        <v>45512</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35244-2019</t>
        </is>
      </c>
      <c r="B630" s="1" t="n">
        <v>43656</v>
      </c>
      <c r="C630" s="1" t="n">
        <v>45512</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35249-2019</t>
        </is>
      </c>
      <c r="B631" s="1" t="n">
        <v>43656</v>
      </c>
      <c r="C631" s="1" t="n">
        <v>45512</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35251-2019</t>
        </is>
      </c>
      <c r="B632" s="1" t="n">
        <v>43656</v>
      </c>
      <c r="C632" s="1" t="n">
        <v>45512</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34656-2019</t>
        </is>
      </c>
      <c r="B633" s="1" t="n">
        <v>43657</v>
      </c>
      <c r="C633" s="1" t="n">
        <v>45512</v>
      </c>
      <c r="D633" t="inlineStr">
        <is>
          <t>STOCKHOLMS LÄN</t>
        </is>
      </c>
      <c r="E633" t="inlineStr">
        <is>
          <t>HANINGE</t>
        </is>
      </c>
      <c r="F633" t="inlineStr">
        <is>
          <t>Kommuner</t>
        </is>
      </c>
      <c r="G633" t="n">
        <v>5</v>
      </c>
      <c r="H633" t="n">
        <v>0</v>
      </c>
      <c r="I633" t="n">
        <v>0</v>
      </c>
      <c r="J633" t="n">
        <v>0</v>
      </c>
      <c r="K633" t="n">
        <v>0</v>
      </c>
      <c r="L633" t="n">
        <v>0</v>
      </c>
      <c r="M633" t="n">
        <v>0</v>
      </c>
      <c r="N633" t="n">
        <v>0</v>
      </c>
      <c r="O633" t="n">
        <v>0</v>
      </c>
      <c r="P633" t="n">
        <v>0</v>
      </c>
      <c r="Q633" t="n">
        <v>0</v>
      </c>
      <c r="R633" s="2" t="inlineStr"/>
    </row>
    <row r="634" ht="15" customHeight="1">
      <c r="A634" t="inlineStr">
        <is>
          <t>A 34756-2019</t>
        </is>
      </c>
      <c r="B634" s="1" t="n">
        <v>43658</v>
      </c>
      <c r="C634" s="1" t="n">
        <v>45512</v>
      </c>
      <c r="D634" t="inlineStr">
        <is>
          <t>STOCKHOLMS LÄN</t>
        </is>
      </c>
      <c r="E634" t="inlineStr">
        <is>
          <t>NYKVARN</t>
        </is>
      </c>
      <c r="G634" t="n">
        <v>11.5</v>
      </c>
      <c r="H634" t="n">
        <v>0</v>
      </c>
      <c r="I634" t="n">
        <v>0</v>
      </c>
      <c r="J634" t="n">
        <v>0</v>
      </c>
      <c r="K634" t="n">
        <v>0</v>
      </c>
      <c r="L634" t="n">
        <v>0</v>
      </c>
      <c r="M634" t="n">
        <v>0</v>
      </c>
      <c r="N634" t="n">
        <v>0</v>
      </c>
      <c r="O634" t="n">
        <v>0</v>
      </c>
      <c r="P634" t="n">
        <v>0</v>
      </c>
      <c r="Q634" t="n">
        <v>0</v>
      </c>
      <c r="R634" s="2" t="inlineStr"/>
    </row>
    <row r="635" ht="15" customHeight="1">
      <c r="A635" t="inlineStr">
        <is>
          <t>A 35187-2019</t>
        </is>
      </c>
      <c r="B635" s="1" t="n">
        <v>43661</v>
      </c>
      <c r="C635" s="1" t="n">
        <v>45512</v>
      </c>
      <c r="D635" t="inlineStr">
        <is>
          <t>STOCKHOLMS LÄN</t>
        </is>
      </c>
      <c r="E635" t="inlineStr">
        <is>
          <t>UPPLANDS-BRO</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45512</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45512</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45512</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36135-2019</t>
        </is>
      </c>
      <c r="B639" s="1" t="n">
        <v>43668</v>
      </c>
      <c r="C639" s="1" t="n">
        <v>45512</v>
      </c>
      <c r="D639" t="inlineStr">
        <is>
          <t>STOCKHOLMS LÄN</t>
        </is>
      </c>
      <c r="E639" t="inlineStr">
        <is>
          <t>NYNÄSHAMN</t>
        </is>
      </c>
      <c r="G639" t="n">
        <v>4.8</v>
      </c>
      <c r="H639" t="n">
        <v>0</v>
      </c>
      <c r="I639" t="n">
        <v>0</v>
      </c>
      <c r="J639" t="n">
        <v>0</v>
      </c>
      <c r="K639" t="n">
        <v>0</v>
      </c>
      <c r="L639" t="n">
        <v>0</v>
      </c>
      <c r="M639" t="n">
        <v>0</v>
      </c>
      <c r="N639" t="n">
        <v>0</v>
      </c>
      <c r="O639" t="n">
        <v>0</v>
      </c>
      <c r="P639" t="n">
        <v>0</v>
      </c>
      <c r="Q639" t="n">
        <v>0</v>
      </c>
      <c r="R639" s="2" t="inlineStr"/>
    </row>
    <row r="640" ht="15" customHeight="1">
      <c r="A640" t="inlineStr">
        <is>
          <t>A 36418-2019</t>
        </is>
      </c>
      <c r="B640" s="1" t="n">
        <v>43670</v>
      </c>
      <c r="C640" s="1" t="n">
        <v>45512</v>
      </c>
      <c r="D640" t="inlineStr">
        <is>
          <t>STOCKHOLMS LÄN</t>
        </is>
      </c>
      <c r="E640" t="inlineStr">
        <is>
          <t>NORRTÄLJE</t>
        </is>
      </c>
      <c r="G640" t="n">
        <v>16.8</v>
      </c>
      <c r="H640" t="n">
        <v>0</v>
      </c>
      <c r="I640" t="n">
        <v>0</v>
      </c>
      <c r="J640" t="n">
        <v>0</v>
      </c>
      <c r="K640" t="n">
        <v>0</v>
      </c>
      <c r="L640" t="n">
        <v>0</v>
      </c>
      <c r="M640" t="n">
        <v>0</v>
      </c>
      <c r="N640" t="n">
        <v>0</v>
      </c>
      <c r="O640" t="n">
        <v>0</v>
      </c>
      <c r="P640" t="n">
        <v>0</v>
      </c>
      <c r="Q640" t="n">
        <v>0</v>
      </c>
      <c r="R640" s="2" t="inlineStr"/>
    </row>
    <row r="641" ht="15" customHeight="1">
      <c r="A641" t="inlineStr">
        <is>
          <t>A 36722-2019</t>
        </is>
      </c>
      <c r="B641" s="1" t="n">
        <v>43671</v>
      </c>
      <c r="C641" s="1" t="n">
        <v>45512</v>
      </c>
      <c r="D641" t="inlineStr">
        <is>
          <t>STOCKHOLMS LÄN</t>
        </is>
      </c>
      <c r="E641" t="inlineStr">
        <is>
          <t>UPPLANDS-BRO</t>
        </is>
      </c>
      <c r="G641" t="n">
        <v>1.6</v>
      </c>
      <c r="H641" t="n">
        <v>0</v>
      </c>
      <c r="I641" t="n">
        <v>0</v>
      </c>
      <c r="J641" t="n">
        <v>0</v>
      </c>
      <c r="K641" t="n">
        <v>0</v>
      </c>
      <c r="L641" t="n">
        <v>0</v>
      </c>
      <c r="M641" t="n">
        <v>0</v>
      </c>
      <c r="N641" t="n">
        <v>0</v>
      </c>
      <c r="O641" t="n">
        <v>0</v>
      </c>
      <c r="P641" t="n">
        <v>0</v>
      </c>
      <c r="Q641" t="n">
        <v>0</v>
      </c>
      <c r="R641" s="2" t="inlineStr"/>
    </row>
    <row r="642" ht="15" customHeight="1">
      <c r="A642" t="inlineStr">
        <is>
          <t>A 36725-2019</t>
        </is>
      </c>
      <c r="B642" s="1" t="n">
        <v>43671</v>
      </c>
      <c r="C642" s="1" t="n">
        <v>45512</v>
      </c>
      <c r="D642" t="inlineStr">
        <is>
          <t>STOCKHOLMS LÄN</t>
        </is>
      </c>
      <c r="E642" t="inlineStr">
        <is>
          <t>UPPLANDS-BRO</t>
        </is>
      </c>
      <c r="G642" t="n">
        <v>2.7</v>
      </c>
      <c r="H642" t="n">
        <v>0</v>
      </c>
      <c r="I642" t="n">
        <v>0</v>
      </c>
      <c r="J642" t="n">
        <v>0</v>
      </c>
      <c r="K642" t="n">
        <v>0</v>
      </c>
      <c r="L642" t="n">
        <v>0</v>
      </c>
      <c r="M642" t="n">
        <v>0</v>
      </c>
      <c r="N642" t="n">
        <v>0</v>
      </c>
      <c r="O642" t="n">
        <v>0</v>
      </c>
      <c r="P642" t="n">
        <v>0</v>
      </c>
      <c r="Q642" t="n">
        <v>0</v>
      </c>
      <c r="R642" s="2" t="inlineStr"/>
    </row>
    <row r="643" ht="15" customHeight="1">
      <c r="A643" t="inlineStr">
        <is>
          <t>A 36728-2019</t>
        </is>
      </c>
      <c r="B643" s="1" t="n">
        <v>43671</v>
      </c>
      <c r="C643" s="1" t="n">
        <v>45512</v>
      </c>
      <c r="D643" t="inlineStr">
        <is>
          <t>STOCKHOLMS LÄN</t>
        </is>
      </c>
      <c r="E643" t="inlineStr">
        <is>
          <t>UPPLANDS-BRO</t>
        </is>
      </c>
      <c r="G643" t="n">
        <v>1.6</v>
      </c>
      <c r="H643" t="n">
        <v>0</v>
      </c>
      <c r="I643" t="n">
        <v>0</v>
      </c>
      <c r="J643" t="n">
        <v>0</v>
      </c>
      <c r="K643" t="n">
        <v>0</v>
      </c>
      <c r="L643" t="n">
        <v>0</v>
      </c>
      <c r="M643" t="n">
        <v>0</v>
      </c>
      <c r="N643" t="n">
        <v>0</v>
      </c>
      <c r="O643" t="n">
        <v>0</v>
      </c>
      <c r="P643" t="n">
        <v>0</v>
      </c>
      <c r="Q643" t="n">
        <v>0</v>
      </c>
      <c r="R643" s="2" t="inlineStr"/>
    </row>
    <row r="644" ht="15" customHeight="1">
      <c r="A644" t="inlineStr">
        <is>
          <t>A 36882-2019</t>
        </is>
      </c>
      <c r="B644" s="1" t="n">
        <v>43675</v>
      </c>
      <c r="C644" s="1" t="n">
        <v>45512</v>
      </c>
      <c r="D644" t="inlineStr">
        <is>
          <t>STOCKHOLMS LÄN</t>
        </is>
      </c>
      <c r="E644" t="inlineStr">
        <is>
          <t>SÖDERTÄLJE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37227-2019</t>
        </is>
      </c>
      <c r="B645" s="1" t="n">
        <v>43677</v>
      </c>
      <c r="C645" s="1" t="n">
        <v>45512</v>
      </c>
      <c r="D645" t="inlineStr">
        <is>
          <t>STOCKHOLMS LÄN</t>
        </is>
      </c>
      <c r="E645" t="inlineStr">
        <is>
          <t>SÖDERTÄLJE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37561-2019</t>
        </is>
      </c>
      <c r="B646" s="1" t="n">
        <v>43678</v>
      </c>
      <c r="C646" s="1" t="n">
        <v>45512</v>
      </c>
      <c r="D646" t="inlineStr">
        <is>
          <t>STOCKHOLMS LÄN</t>
        </is>
      </c>
      <c r="E646" t="inlineStr">
        <is>
          <t>VALLENTUNA</t>
        </is>
      </c>
      <c r="G646" t="n">
        <v>4</v>
      </c>
      <c r="H646" t="n">
        <v>0</v>
      </c>
      <c r="I646" t="n">
        <v>0</v>
      </c>
      <c r="J646" t="n">
        <v>0</v>
      </c>
      <c r="K646" t="n">
        <v>0</v>
      </c>
      <c r="L646" t="n">
        <v>0</v>
      </c>
      <c r="M646" t="n">
        <v>0</v>
      </c>
      <c r="N646" t="n">
        <v>0</v>
      </c>
      <c r="O646" t="n">
        <v>0</v>
      </c>
      <c r="P646" t="n">
        <v>0</v>
      </c>
      <c r="Q646" t="n">
        <v>0</v>
      </c>
      <c r="R646" s="2" t="inlineStr"/>
    </row>
    <row r="647" ht="15" customHeight="1">
      <c r="A647" t="inlineStr">
        <is>
          <t>A 37401-2019</t>
        </is>
      </c>
      <c r="B647" s="1" t="n">
        <v>43678</v>
      </c>
      <c r="C647" s="1" t="n">
        <v>45512</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37365-2019</t>
        </is>
      </c>
      <c r="B648" s="1" t="n">
        <v>43678</v>
      </c>
      <c r="C648" s="1" t="n">
        <v>45512</v>
      </c>
      <c r="D648" t="inlineStr">
        <is>
          <t>STOCKHOLMS LÄN</t>
        </is>
      </c>
      <c r="E648" t="inlineStr">
        <is>
          <t>UPPLANDS VÄSBY</t>
        </is>
      </c>
      <c r="G648" t="n">
        <v>1.3</v>
      </c>
      <c r="H648" t="n">
        <v>0</v>
      </c>
      <c r="I648" t="n">
        <v>0</v>
      </c>
      <c r="J648" t="n">
        <v>0</v>
      </c>
      <c r="K648" t="n">
        <v>0</v>
      </c>
      <c r="L648" t="n">
        <v>0</v>
      </c>
      <c r="M648" t="n">
        <v>0</v>
      </c>
      <c r="N648" t="n">
        <v>0</v>
      </c>
      <c r="O648" t="n">
        <v>0</v>
      </c>
      <c r="P648" t="n">
        <v>0</v>
      </c>
      <c r="Q648" t="n">
        <v>0</v>
      </c>
      <c r="R648" s="2" t="inlineStr"/>
    </row>
    <row r="649" ht="15" customHeight="1">
      <c r="A649" t="inlineStr">
        <is>
          <t>A 37662-2019</t>
        </is>
      </c>
      <c r="B649" s="1" t="n">
        <v>43682</v>
      </c>
      <c r="C649" s="1" t="n">
        <v>45512</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38144-2019</t>
        </is>
      </c>
      <c r="B650" s="1" t="n">
        <v>43684</v>
      </c>
      <c r="C650" s="1" t="n">
        <v>45512</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38139-2019</t>
        </is>
      </c>
      <c r="B651" s="1" t="n">
        <v>43684</v>
      </c>
      <c r="C651" s="1" t="n">
        <v>45512</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38145-2019</t>
        </is>
      </c>
      <c r="B652" s="1" t="n">
        <v>43684</v>
      </c>
      <c r="C652" s="1" t="n">
        <v>45512</v>
      </c>
      <c r="D652" t="inlineStr">
        <is>
          <t>STOCKHOLMS LÄN</t>
        </is>
      </c>
      <c r="E652" t="inlineStr">
        <is>
          <t>NORRTÄLJE</t>
        </is>
      </c>
      <c r="G652" t="n">
        <v>9.9</v>
      </c>
      <c r="H652" t="n">
        <v>0</v>
      </c>
      <c r="I652" t="n">
        <v>0</v>
      </c>
      <c r="J652" t="n">
        <v>0</v>
      </c>
      <c r="K652" t="n">
        <v>0</v>
      </c>
      <c r="L652" t="n">
        <v>0</v>
      </c>
      <c r="M652" t="n">
        <v>0</v>
      </c>
      <c r="N652" t="n">
        <v>0</v>
      </c>
      <c r="O652" t="n">
        <v>0</v>
      </c>
      <c r="P652" t="n">
        <v>0</v>
      </c>
      <c r="Q652" t="n">
        <v>0</v>
      </c>
      <c r="R652" s="2" t="inlineStr"/>
    </row>
    <row r="653" ht="15" customHeight="1">
      <c r="A653" t="inlineStr">
        <is>
          <t>A 38216-2019</t>
        </is>
      </c>
      <c r="B653" s="1" t="n">
        <v>43684</v>
      </c>
      <c r="C653" s="1" t="n">
        <v>45512</v>
      </c>
      <c r="D653" t="inlineStr">
        <is>
          <t>STOCKHOLMS LÄN</t>
        </is>
      </c>
      <c r="E653" t="inlineStr">
        <is>
          <t>NYKVARN</t>
        </is>
      </c>
      <c r="G653" t="n">
        <v>2.7</v>
      </c>
      <c r="H653" t="n">
        <v>0</v>
      </c>
      <c r="I653" t="n">
        <v>0</v>
      </c>
      <c r="J653" t="n">
        <v>0</v>
      </c>
      <c r="K653" t="n">
        <v>0</v>
      </c>
      <c r="L653" t="n">
        <v>0</v>
      </c>
      <c r="M653" t="n">
        <v>0</v>
      </c>
      <c r="N653" t="n">
        <v>0</v>
      </c>
      <c r="O653" t="n">
        <v>0</v>
      </c>
      <c r="P653" t="n">
        <v>0</v>
      </c>
      <c r="Q653" t="n">
        <v>0</v>
      </c>
      <c r="R653" s="2" t="inlineStr"/>
    </row>
    <row r="654" ht="15" customHeight="1">
      <c r="A654" t="inlineStr">
        <is>
          <t>A 38140-2019</t>
        </is>
      </c>
      <c r="B654" s="1" t="n">
        <v>43684</v>
      </c>
      <c r="C654" s="1" t="n">
        <v>45512</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38143-2019</t>
        </is>
      </c>
      <c r="B655" s="1" t="n">
        <v>43684</v>
      </c>
      <c r="C655" s="1" t="n">
        <v>45512</v>
      </c>
      <c r="D655" t="inlineStr">
        <is>
          <t>STOCKHOLMS LÄN</t>
        </is>
      </c>
      <c r="E655" t="inlineStr">
        <is>
          <t>NORRTÄLJE</t>
        </is>
      </c>
      <c r="G655" t="n">
        <v>12.7</v>
      </c>
      <c r="H655" t="n">
        <v>0</v>
      </c>
      <c r="I655" t="n">
        <v>0</v>
      </c>
      <c r="J655" t="n">
        <v>0</v>
      </c>
      <c r="K655" t="n">
        <v>0</v>
      </c>
      <c r="L655" t="n">
        <v>0</v>
      </c>
      <c r="M655" t="n">
        <v>0</v>
      </c>
      <c r="N655" t="n">
        <v>0</v>
      </c>
      <c r="O655" t="n">
        <v>0</v>
      </c>
      <c r="P655" t="n">
        <v>0</v>
      </c>
      <c r="Q655" t="n">
        <v>0</v>
      </c>
      <c r="R655" s="2" t="inlineStr"/>
    </row>
    <row r="656" ht="15" customHeight="1">
      <c r="A656" t="inlineStr">
        <is>
          <t>A 38506-2019</t>
        </is>
      </c>
      <c r="B656" s="1" t="n">
        <v>43685</v>
      </c>
      <c r="C656" s="1" t="n">
        <v>45512</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38605-2019</t>
        </is>
      </c>
      <c r="B657" s="1" t="n">
        <v>43686</v>
      </c>
      <c r="C657" s="1" t="n">
        <v>45512</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38737-2019</t>
        </is>
      </c>
      <c r="B658" s="1" t="n">
        <v>43686</v>
      </c>
      <c r="C658" s="1" t="n">
        <v>45512</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39090-2019</t>
        </is>
      </c>
      <c r="B659" s="1" t="n">
        <v>43689</v>
      </c>
      <c r="C659" s="1" t="n">
        <v>45512</v>
      </c>
      <c r="D659" t="inlineStr">
        <is>
          <t>STOCKHOLMS LÄN</t>
        </is>
      </c>
      <c r="E659" t="inlineStr">
        <is>
          <t>SÖDERTÄLJE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39083-2019</t>
        </is>
      </c>
      <c r="B660" s="1" t="n">
        <v>43689</v>
      </c>
      <c r="C660" s="1" t="n">
        <v>45512</v>
      </c>
      <c r="D660" t="inlineStr">
        <is>
          <t>STOCKHOLMS LÄN</t>
        </is>
      </c>
      <c r="E660" t="inlineStr">
        <is>
          <t>SÖDERTÄLJE</t>
        </is>
      </c>
      <c r="G660" t="n">
        <v>6.2</v>
      </c>
      <c r="H660" t="n">
        <v>0</v>
      </c>
      <c r="I660" t="n">
        <v>0</v>
      </c>
      <c r="J660" t="n">
        <v>0</v>
      </c>
      <c r="K660" t="n">
        <v>0</v>
      </c>
      <c r="L660" t="n">
        <v>0</v>
      </c>
      <c r="M660" t="n">
        <v>0</v>
      </c>
      <c r="N660" t="n">
        <v>0</v>
      </c>
      <c r="O660" t="n">
        <v>0</v>
      </c>
      <c r="P660" t="n">
        <v>0</v>
      </c>
      <c r="Q660" t="n">
        <v>0</v>
      </c>
      <c r="R660" s="2" t="inlineStr"/>
    </row>
    <row r="661" ht="15" customHeight="1">
      <c r="A661" t="inlineStr">
        <is>
          <t>A 39472-2019</t>
        </is>
      </c>
      <c r="B661" s="1" t="n">
        <v>43691</v>
      </c>
      <c r="C661" s="1" t="n">
        <v>45512</v>
      </c>
      <c r="D661" t="inlineStr">
        <is>
          <t>STOCKHOLMS LÄN</t>
        </is>
      </c>
      <c r="E661" t="inlineStr">
        <is>
          <t>UPPLANDS-BRO</t>
        </is>
      </c>
      <c r="G661" t="n">
        <v>0.9</v>
      </c>
      <c r="H661" t="n">
        <v>0</v>
      </c>
      <c r="I661" t="n">
        <v>0</v>
      </c>
      <c r="J661" t="n">
        <v>0</v>
      </c>
      <c r="K661" t="n">
        <v>0</v>
      </c>
      <c r="L661" t="n">
        <v>0</v>
      </c>
      <c r="M661" t="n">
        <v>0</v>
      </c>
      <c r="N661" t="n">
        <v>0</v>
      </c>
      <c r="O661" t="n">
        <v>0</v>
      </c>
      <c r="P661" t="n">
        <v>0</v>
      </c>
      <c r="Q661" t="n">
        <v>0</v>
      </c>
      <c r="R661" s="2" t="inlineStr"/>
    </row>
    <row r="662" ht="15" customHeight="1">
      <c r="A662" t="inlineStr">
        <is>
          <t>A 39663-2019</t>
        </is>
      </c>
      <c r="B662" s="1" t="n">
        <v>43691</v>
      </c>
      <c r="C662" s="1" t="n">
        <v>45512</v>
      </c>
      <c r="D662" t="inlineStr">
        <is>
          <t>STOCKHOLMS LÄN</t>
        </is>
      </c>
      <c r="E662" t="inlineStr">
        <is>
          <t>NYNÄSHAMN</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40571-2019</t>
        </is>
      </c>
      <c r="B663" s="1" t="n">
        <v>43696</v>
      </c>
      <c r="C663" s="1" t="n">
        <v>45512</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40642-2019</t>
        </is>
      </c>
      <c r="B664" s="1" t="n">
        <v>43696</v>
      </c>
      <c r="C664" s="1" t="n">
        <v>45512</v>
      </c>
      <c r="D664" t="inlineStr">
        <is>
          <t>STOCKHOLMS LÄN</t>
        </is>
      </c>
      <c r="E664" t="inlineStr">
        <is>
          <t>BOTKYRKA</t>
        </is>
      </c>
      <c r="G664" t="n">
        <v>4.1</v>
      </c>
      <c r="H664" t="n">
        <v>0</v>
      </c>
      <c r="I664" t="n">
        <v>0</v>
      </c>
      <c r="J664" t="n">
        <v>0</v>
      </c>
      <c r="K664" t="n">
        <v>0</v>
      </c>
      <c r="L664" t="n">
        <v>0</v>
      </c>
      <c r="M664" t="n">
        <v>0</v>
      </c>
      <c r="N664" t="n">
        <v>0</v>
      </c>
      <c r="O664" t="n">
        <v>0</v>
      </c>
      <c r="P664" t="n">
        <v>0</v>
      </c>
      <c r="Q664" t="n">
        <v>0</v>
      </c>
      <c r="R664" s="2" t="inlineStr"/>
    </row>
    <row r="665" ht="15" customHeight="1">
      <c r="A665" t="inlineStr">
        <is>
          <t>A 40641-2019</t>
        </is>
      </c>
      <c r="B665" s="1" t="n">
        <v>43696</v>
      </c>
      <c r="C665" s="1" t="n">
        <v>45512</v>
      </c>
      <c r="D665" t="inlineStr">
        <is>
          <t>STOCKHOLMS LÄN</t>
        </is>
      </c>
      <c r="E665" t="inlineStr">
        <is>
          <t>BOTKYRKA</t>
        </is>
      </c>
      <c r="G665" t="n">
        <v>5.3</v>
      </c>
      <c r="H665" t="n">
        <v>0</v>
      </c>
      <c r="I665" t="n">
        <v>0</v>
      </c>
      <c r="J665" t="n">
        <v>0</v>
      </c>
      <c r="K665" t="n">
        <v>0</v>
      </c>
      <c r="L665" t="n">
        <v>0</v>
      </c>
      <c r="M665" t="n">
        <v>0</v>
      </c>
      <c r="N665" t="n">
        <v>0</v>
      </c>
      <c r="O665" t="n">
        <v>0</v>
      </c>
      <c r="P665" t="n">
        <v>0</v>
      </c>
      <c r="Q665" t="n">
        <v>0</v>
      </c>
      <c r="R665" s="2" t="inlineStr"/>
    </row>
    <row r="666" ht="15" customHeight="1">
      <c r="A666" t="inlineStr">
        <is>
          <t>A 41065-2019</t>
        </is>
      </c>
      <c r="B666" s="1" t="n">
        <v>43697</v>
      </c>
      <c r="C666" s="1" t="n">
        <v>45512</v>
      </c>
      <c r="D666" t="inlineStr">
        <is>
          <t>STOCKHOLMS LÄN</t>
        </is>
      </c>
      <c r="E666" t="inlineStr">
        <is>
          <t>SÖDERTÄLJE</t>
        </is>
      </c>
      <c r="F666" t="inlineStr">
        <is>
          <t>Övriga statliga verk och myndigheter</t>
        </is>
      </c>
      <c r="G666" t="n">
        <v>1</v>
      </c>
      <c r="H666" t="n">
        <v>0</v>
      </c>
      <c r="I666" t="n">
        <v>0</v>
      </c>
      <c r="J666" t="n">
        <v>0</v>
      </c>
      <c r="K666" t="n">
        <v>0</v>
      </c>
      <c r="L666" t="n">
        <v>0</v>
      </c>
      <c r="M666" t="n">
        <v>0</v>
      </c>
      <c r="N666" t="n">
        <v>0</v>
      </c>
      <c r="O666" t="n">
        <v>0</v>
      </c>
      <c r="P666" t="n">
        <v>0</v>
      </c>
      <c r="Q666" t="n">
        <v>0</v>
      </c>
      <c r="R666" s="2" t="inlineStr"/>
    </row>
    <row r="667" ht="15" customHeight="1">
      <c r="A667" t="inlineStr">
        <is>
          <t>A 42330-2019</t>
        </is>
      </c>
      <c r="B667" s="1" t="n">
        <v>43703</v>
      </c>
      <c r="C667" s="1" t="n">
        <v>45512</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43379-2019</t>
        </is>
      </c>
      <c r="B668" s="1" t="n">
        <v>43703</v>
      </c>
      <c r="C668" s="1" t="n">
        <v>45512</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42448-2019</t>
        </is>
      </c>
      <c r="B669" s="1" t="n">
        <v>43704</v>
      </c>
      <c r="C669" s="1" t="n">
        <v>45512</v>
      </c>
      <c r="D669" t="inlineStr">
        <is>
          <t>STOCKHOLMS LÄN</t>
        </is>
      </c>
      <c r="E669" t="inlineStr">
        <is>
          <t>BOTKYRKA</t>
        </is>
      </c>
      <c r="G669" t="n">
        <v>3.4</v>
      </c>
      <c r="H669" t="n">
        <v>0</v>
      </c>
      <c r="I669" t="n">
        <v>0</v>
      </c>
      <c r="J669" t="n">
        <v>0</v>
      </c>
      <c r="K669" t="n">
        <v>0</v>
      </c>
      <c r="L669" t="n">
        <v>0</v>
      </c>
      <c r="M669" t="n">
        <v>0</v>
      </c>
      <c r="N669" t="n">
        <v>0</v>
      </c>
      <c r="O669" t="n">
        <v>0</v>
      </c>
      <c r="P669" t="n">
        <v>0</v>
      </c>
      <c r="Q669" t="n">
        <v>0</v>
      </c>
      <c r="R669" s="2" t="inlineStr"/>
    </row>
    <row r="670" ht="15" customHeight="1">
      <c r="A670" t="inlineStr">
        <is>
          <t>A 42669-2019</t>
        </is>
      </c>
      <c r="B670" s="1" t="n">
        <v>43704</v>
      </c>
      <c r="C670" s="1" t="n">
        <v>45512</v>
      </c>
      <c r="D670" t="inlineStr">
        <is>
          <t>STOCKHOLMS LÄN</t>
        </is>
      </c>
      <c r="E670" t="inlineStr">
        <is>
          <t>SÖDERTÄLJE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43296-2019</t>
        </is>
      </c>
      <c r="B671" s="1" t="n">
        <v>43706</v>
      </c>
      <c r="C671" s="1" t="n">
        <v>45512</v>
      </c>
      <c r="D671" t="inlineStr">
        <is>
          <t>STOCKHOLMS LÄN</t>
        </is>
      </c>
      <c r="E671" t="inlineStr">
        <is>
          <t>NORRTÄLJE</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43574-2019</t>
        </is>
      </c>
      <c r="B672" s="1" t="n">
        <v>43706</v>
      </c>
      <c r="C672" s="1" t="n">
        <v>45512</v>
      </c>
      <c r="D672" t="inlineStr">
        <is>
          <t>STOCKHOLMS LÄN</t>
        </is>
      </c>
      <c r="E672" t="inlineStr">
        <is>
          <t>VALLENTUNA</t>
        </is>
      </c>
      <c r="G672" t="n">
        <v>1</v>
      </c>
      <c r="H672" t="n">
        <v>0</v>
      </c>
      <c r="I672" t="n">
        <v>0</v>
      </c>
      <c r="J672" t="n">
        <v>0</v>
      </c>
      <c r="K672" t="n">
        <v>0</v>
      </c>
      <c r="L672" t="n">
        <v>0</v>
      </c>
      <c r="M672" t="n">
        <v>0</v>
      </c>
      <c r="N672" t="n">
        <v>0</v>
      </c>
      <c r="O672" t="n">
        <v>0</v>
      </c>
      <c r="P672" t="n">
        <v>0</v>
      </c>
      <c r="Q672" t="n">
        <v>0</v>
      </c>
      <c r="R672" s="2" t="inlineStr"/>
    </row>
    <row r="673" ht="15" customHeight="1">
      <c r="A673" t="inlineStr">
        <is>
          <t>A 43573-2019</t>
        </is>
      </c>
      <c r="B673" s="1" t="n">
        <v>43706</v>
      </c>
      <c r="C673" s="1" t="n">
        <v>45512</v>
      </c>
      <c r="D673" t="inlineStr">
        <is>
          <t>STOCKHOLMS LÄN</t>
        </is>
      </c>
      <c r="E673" t="inlineStr">
        <is>
          <t>VALLENTUNA</t>
        </is>
      </c>
      <c r="G673" t="n">
        <v>0.8</v>
      </c>
      <c r="H673" t="n">
        <v>0</v>
      </c>
      <c r="I673" t="n">
        <v>0</v>
      </c>
      <c r="J673" t="n">
        <v>0</v>
      </c>
      <c r="K673" t="n">
        <v>0</v>
      </c>
      <c r="L673" t="n">
        <v>0</v>
      </c>
      <c r="M673" t="n">
        <v>0</v>
      </c>
      <c r="N673" t="n">
        <v>0</v>
      </c>
      <c r="O673" t="n">
        <v>0</v>
      </c>
      <c r="P673" t="n">
        <v>0</v>
      </c>
      <c r="Q673" t="n">
        <v>0</v>
      </c>
      <c r="R673" s="2" t="inlineStr"/>
    </row>
    <row r="674" ht="15" customHeight="1">
      <c r="A674" t="inlineStr">
        <is>
          <t>A 43930-2019</t>
        </is>
      </c>
      <c r="B674" s="1" t="n">
        <v>43707</v>
      </c>
      <c r="C674" s="1" t="n">
        <v>45512</v>
      </c>
      <c r="D674" t="inlineStr">
        <is>
          <t>STOCKHOLMS LÄN</t>
        </is>
      </c>
      <c r="E674" t="inlineStr">
        <is>
          <t>HANINGE</t>
        </is>
      </c>
      <c r="G674" t="n">
        <v>1</v>
      </c>
      <c r="H674" t="n">
        <v>0</v>
      </c>
      <c r="I674" t="n">
        <v>0</v>
      </c>
      <c r="J674" t="n">
        <v>0</v>
      </c>
      <c r="K674" t="n">
        <v>0</v>
      </c>
      <c r="L674" t="n">
        <v>0</v>
      </c>
      <c r="M674" t="n">
        <v>0</v>
      </c>
      <c r="N674" t="n">
        <v>0</v>
      </c>
      <c r="O674" t="n">
        <v>0</v>
      </c>
      <c r="P674" t="n">
        <v>0</v>
      </c>
      <c r="Q674" t="n">
        <v>0</v>
      </c>
      <c r="R674" s="2" t="inlineStr"/>
    </row>
    <row r="675" ht="15" customHeight="1">
      <c r="A675" t="inlineStr">
        <is>
          <t>A 43809-2019</t>
        </is>
      </c>
      <c r="B675" s="1" t="n">
        <v>43707</v>
      </c>
      <c r="C675" s="1" t="n">
        <v>45512</v>
      </c>
      <c r="D675" t="inlineStr">
        <is>
          <t>STOCKHOLMS LÄN</t>
        </is>
      </c>
      <c r="E675" t="inlineStr">
        <is>
          <t>VALLENTUNA</t>
        </is>
      </c>
      <c r="G675" t="n">
        <v>3.6</v>
      </c>
      <c r="H675" t="n">
        <v>0</v>
      </c>
      <c r="I675" t="n">
        <v>0</v>
      </c>
      <c r="J675" t="n">
        <v>0</v>
      </c>
      <c r="K675" t="n">
        <v>0</v>
      </c>
      <c r="L675" t="n">
        <v>0</v>
      </c>
      <c r="M675" t="n">
        <v>0</v>
      </c>
      <c r="N675" t="n">
        <v>0</v>
      </c>
      <c r="O675" t="n">
        <v>0</v>
      </c>
      <c r="P675" t="n">
        <v>0</v>
      </c>
      <c r="Q675" t="n">
        <v>0</v>
      </c>
      <c r="R675" s="2" t="inlineStr"/>
    </row>
    <row r="676" ht="15" customHeight="1">
      <c r="A676" t="inlineStr">
        <is>
          <t>A 44453-2019</t>
        </is>
      </c>
      <c r="B676" s="1" t="n">
        <v>43711</v>
      </c>
      <c r="C676" s="1" t="n">
        <v>45512</v>
      </c>
      <c r="D676" t="inlineStr">
        <is>
          <t>STOCKHOLMS LÄN</t>
        </is>
      </c>
      <c r="E676" t="inlineStr">
        <is>
          <t>NYNÄSHAMN</t>
        </is>
      </c>
      <c r="G676" t="n">
        <v>8.9</v>
      </c>
      <c r="H676" t="n">
        <v>0</v>
      </c>
      <c r="I676" t="n">
        <v>0</v>
      </c>
      <c r="J676" t="n">
        <v>0</v>
      </c>
      <c r="K676" t="n">
        <v>0</v>
      </c>
      <c r="L676" t="n">
        <v>0</v>
      </c>
      <c r="M676" t="n">
        <v>0</v>
      </c>
      <c r="N676" t="n">
        <v>0</v>
      </c>
      <c r="O676" t="n">
        <v>0</v>
      </c>
      <c r="P676" t="n">
        <v>0</v>
      </c>
      <c r="Q676" t="n">
        <v>0</v>
      </c>
      <c r="R676" s="2" t="inlineStr"/>
    </row>
    <row r="677" ht="15" customHeight="1">
      <c r="A677" t="inlineStr">
        <is>
          <t>A 44643-2019</t>
        </is>
      </c>
      <c r="B677" s="1" t="n">
        <v>43712</v>
      </c>
      <c r="C677" s="1" t="n">
        <v>45512</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44921-2019</t>
        </is>
      </c>
      <c r="B678" s="1" t="n">
        <v>43712</v>
      </c>
      <c r="C678" s="1" t="n">
        <v>45512</v>
      </c>
      <c r="D678" t="inlineStr">
        <is>
          <t>STOCKHOLMS LÄN</t>
        </is>
      </c>
      <c r="E678" t="inlineStr">
        <is>
          <t>SÖDERTÄLJE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45306-2019</t>
        </is>
      </c>
      <c r="B679" s="1" t="n">
        <v>43713</v>
      </c>
      <c r="C679" s="1" t="n">
        <v>45512</v>
      </c>
      <c r="D679" t="inlineStr">
        <is>
          <t>STOCKHOLMS LÄN</t>
        </is>
      </c>
      <c r="E679" t="inlineStr">
        <is>
          <t>SÖDERTÄLJE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45463-2019</t>
        </is>
      </c>
      <c r="B680" s="1" t="n">
        <v>43714</v>
      </c>
      <c r="C680" s="1" t="n">
        <v>45512</v>
      </c>
      <c r="D680" t="inlineStr">
        <is>
          <t>STOCKHOLMS LÄN</t>
        </is>
      </c>
      <c r="E680" t="inlineStr">
        <is>
          <t>NORRTÄLJE</t>
        </is>
      </c>
      <c r="F680" t="inlineStr">
        <is>
          <t>Övriga statliga verk och myndigheter</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45477-2019</t>
        </is>
      </c>
      <c r="B681" s="1" t="n">
        <v>43714</v>
      </c>
      <c r="C681" s="1" t="n">
        <v>45512</v>
      </c>
      <c r="D681" t="inlineStr">
        <is>
          <t>STOCKHOLMS LÄN</t>
        </is>
      </c>
      <c r="E681" t="inlineStr">
        <is>
          <t>NORRTÄLJE</t>
        </is>
      </c>
      <c r="F681" t="inlineStr">
        <is>
          <t>Övriga statliga verk och myndigheter</t>
        </is>
      </c>
      <c r="G681" t="n">
        <v>8.9</v>
      </c>
      <c r="H681" t="n">
        <v>0</v>
      </c>
      <c r="I681" t="n">
        <v>0</v>
      </c>
      <c r="J681" t="n">
        <v>0</v>
      </c>
      <c r="K681" t="n">
        <v>0</v>
      </c>
      <c r="L681" t="n">
        <v>0</v>
      </c>
      <c r="M681" t="n">
        <v>0</v>
      </c>
      <c r="N681" t="n">
        <v>0</v>
      </c>
      <c r="O681" t="n">
        <v>0</v>
      </c>
      <c r="P681" t="n">
        <v>0</v>
      </c>
      <c r="Q681" t="n">
        <v>0</v>
      </c>
      <c r="R681" s="2" t="inlineStr"/>
    </row>
    <row r="682" ht="15" customHeight="1">
      <c r="A682" t="inlineStr">
        <is>
          <t>A 46327-2019</t>
        </is>
      </c>
      <c r="B682" s="1" t="n">
        <v>43718</v>
      </c>
      <c r="C682" s="1" t="n">
        <v>45512</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47242-2019</t>
        </is>
      </c>
      <c r="B683" s="1" t="n">
        <v>43721</v>
      </c>
      <c r="C683" s="1" t="n">
        <v>45512</v>
      </c>
      <c r="D683" t="inlineStr">
        <is>
          <t>STOCKHOLMS LÄN</t>
        </is>
      </c>
      <c r="E683" t="inlineStr">
        <is>
          <t>ÖSTERÅKER</t>
        </is>
      </c>
      <c r="G683" t="n">
        <v>3.7</v>
      </c>
      <c r="H683" t="n">
        <v>0</v>
      </c>
      <c r="I683" t="n">
        <v>0</v>
      </c>
      <c r="J683" t="n">
        <v>0</v>
      </c>
      <c r="K683" t="n">
        <v>0</v>
      </c>
      <c r="L683" t="n">
        <v>0</v>
      </c>
      <c r="M683" t="n">
        <v>0</v>
      </c>
      <c r="N683" t="n">
        <v>0</v>
      </c>
      <c r="O683" t="n">
        <v>0</v>
      </c>
      <c r="P683" t="n">
        <v>0</v>
      </c>
      <c r="Q683" t="n">
        <v>0</v>
      </c>
      <c r="R683" s="2" t="inlineStr"/>
    </row>
    <row r="684" ht="15" customHeight="1">
      <c r="A684" t="inlineStr">
        <is>
          <t>A 47583-2019</t>
        </is>
      </c>
      <c r="B684" s="1" t="n">
        <v>43724</v>
      </c>
      <c r="C684" s="1" t="n">
        <v>45512</v>
      </c>
      <c r="D684" t="inlineStr">
        <is>
          <t>STOCKHOLMS LÄN</t>
        </is>
      </c>
      <c r="E684" t="inlineStr">
        <is>
          <t>NYKVARN</t>
        </is>
      </c>
      <c r="G684" t="n">
        <v>2.9</v>
      </c>
      <c r="H684" t="n">
        <v>0</v>
      </c>
      <c r="I684" t="n">
        <v>0</v>
      </c>
      <c r="J684" t="n">
        <v>0</v>
      </c>
      <c r="K684" t="n">
        <v>0</v>
      </c>
      <c r="L684" t="n">
        <v>0</v>
      </c>
      <c r="M684" t="n">
        <v>0</v>
      </c>
      <c r="N684" t="n">
        <v>0</v>
      </c>
      <c r="O684" t="n">
        <v>0</v>
      </c>
      <c r="P684" t="n">
        <v>0</v>
      </c>
      <c r="Q684" t="n">
        <v>0</v>
      </c>
      <c r="R684" s="2" t="inlineStr"/>
    </row>
    <row r="685" ht="15" customHeight="1">
      <c r="A685" t="inlineStr">
        <is>
          <t>A 47876-2019</t>
        </is>
      </c>
      <c r="B685" s="1" t="n">
        <v>43725</v>
      </c>
      <c r="C685" s="1" t="n">
        <v>45512</v>
      </c>
      <c r="D685" t="inlineStr">
        <is>
          <t>STOCKHOLMS LÄN</t>
        </is>
      </c>
      <c r="E685" t="inlineStr">
        <is>
          <t>NORRTÄLJE</t>
        </is>
      </c>
      <c r="G685" t="n">
        <v>11.4</v>
      </c>
      <c r="H685" t="n">
        <v>0</v>
      </c>
      <c r="I685" t="n">
        <v>0</v>
      </c>
      <c r="J685" t="n">
        <v>0</v>
      </c>
      <c r="K685" t="n">
        <v>0</v>
      </c>
      <c r="L685" t="n">
        <v>0</v>
      </c>
      <c r="M685" t="n">
        <v>0</v>
      </c>
      <c r="N685" t="n">
        <v>0</v>
      </c>
      <c r="O685" t="n">
        <v>0</v>
      </c>
      <c r="P685" t="n">
        <v>0</v>
      </c>
      <c r="Q685" t="n">
        <v>0</v>
      </c>
      <c r="R685" s="2" t="inlineStr"/>
    </row>
    <row r="686" ht="15" customHeight="1">
      <c r="A686" t="inlineStr">
        <is>
          <t>A 47877-2019</t>
        </is>
      </c>
      <c r="B686" s="1" t="n">
        <v>43725</v>
      </c>
      <c r="C686" s="1" t="n">
        <v>45512</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47903-2019</t>
        </is>
      </c>
      <c r="B687" s="1" t="n">
        <v>43725</v>
      </c>
      <c r="C687" s="1" t="n">
        <v>45512</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47901-2019</t>
        </is>
      </c>
      <c r="B688" s="1" t="n">
        <v>43725</v>
      </c>
      <c r="C688" s="1" t="n">
        <v>45512</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47939-2019</t>
        </is>
      </c>
      <c r="B689" s="1" t="n">
        <v>43725</v>
      </c>
      <c r="C689" s="1" t="n">
        <v>45512</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47941-2019</t>
        </is>
      </c>
      <c r="B690" s="1" t="n">
        <v>43725</v>
      </c>
      <c r="C690" s="1" t="n">
        <v>45512</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47879-2019</t>
        </is>
      </c>
      <c r="B691" s="1" t="n">
        <v>43725</v>
      </c>
      <c r="C691" s="1" t="n">
        <v>45512</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48609-2019</t>
        </is>
      </c>
      <c r="B692" s="1" t="n">
        <v>43727</v>
      </c>
      <c r="C692" s="1" t="n">
        <v>45512</v>
      </c>
      <c r="D692" t="inlineStr">
        <is>
          <t>STOCKHOLMS LÄN</t>
        </is>
      </c>
      <c r="E692" t="inlineStr">
        <is>
          <t>HANINGE</t>
        </is>
      </c>
      <c r="G692" t="n">
        <v>2.5</v>
      </c>
      <c r="H692" t="n">
        <v>0</v>
      </c>
      <c r="I692" t="n">
        <v>0</v>
      </c>
      <c r="J692" t="n">
        <v>0</v>
      </c>
      <c r="K692" t="n">
        <v>0</v>
      </c>
      <c r="L692" t="n">
        <v>0</v>
      </c>
      <c r="M692" t="n">
        <v>0</v>
      </c>
      <c r="N692" t="n">
        <v>0</v>
      </c>
      <c r="O692" t="n">
        <v>0</v>
      </c>
      <c r="P692" t="n">
        <v>0</v>
      </c>
      <c r="Q692" t="n">
        <v>0</v>
      </c>
      <c r="R692" s="2" t="inlineStr"/>
    </row>
    <row r="693" ht="15" customHeight="1">
      <c r="A693" t="inlineStr">
        <is>
          <t>A 48932-2019</t>
        </is>
      </c>
      <c r="B693" s="1" t="n">
        <v>43728</v>
      </c>
      <c r="C693" s="1" t="n">
        <v>45512</v>
      </c>
      <c r="D693" t="inlineStr">
        <is>
          <t>STOCKHOLMS LÄN</t>
        </is>
      </c>
      <c r="E693" t="inlineStr">
        <is>
          <t>ÖSTERÅKER</t>
        </is>
      </c>
      <c r="G693" t="n">
        <v>5.9</v>
      </c>
      <c r="H693" t="n">
        <v>0</v>
      </c>
      <c r="I693" t="n">
        <v>0</v>
      </c>
      <c r="J693" t="n">
        <v>0</v>
      </c>
      <c r="K693" t="n">
        <v>0</v>
      </c>
      <c r="L693" t="n">
        <v>0</v>
      </c>
      <c r="M693" t="n">
        <v>0</v>
      </c>
      <c r="N693" t="n">
        <v>0</v>
      </c>
      <c r="O693" t="n">
        <v>0</v>
      </c>
      <c r="P693" t="n">
        <v>0</v>
      </c>
      <c r="Q693" t="n">
        <v>0</v>
      </c>
      <c r="R693" s="2" t="inlineStr"/>
    </row>
    <row r="694" ht="15" customHeight="1">
      <c r="A694" t="inlineStr">
        <is>
          <t>A 48906-2019</t>
        </is>
      </c>
      <c r="B694" s="1" t="n">
        <v>43728</v>
      </c>
      <c r="C694" s="1" t="n">
        <v>45512</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48730-2019</t>
        </is>
      </c>
      <c r="B695" s="1" t="n">
        <v>43728</v>
      </c>
      <c r="C695" s="1" t="n">
        <v>45512</v>
      </c>
      <c r="D695" t="inlineStr">
        <is>
          <t>STOCKHOLMS LÄN</t>
        </is>
      </c>
      <c r="E695" t="inlineStr">
        <is>
          <t>NORRTÄLJE</t>
        </is>
      </c>
      <c r="F695" t="inlineStr">
        <is>
          <t>Övriga statliga verk och myndigheter</t>
        </is>
      </c>
      <c r="G695" t="n">
        <v>1.3</v>
      </c>
      <c r="H695" t="n">
        <v>0</v>
      </c>
      <c r="I695" t="n">
        <v>0</v>
      </c>
      <c r="J695" t="n">
        <v>0</v>
      </c>
      <c r="K695" t="n">
        <v>0</v>
      </c>
      <c r="L695" t="n">
        <v>0</v>
      </c>
      <c r="M695" t="n">
        <v>0</v>
      </c>
      <c r="N695" t="n">
        <v>0</v>
      </c>
      <c r="O695" t="n">
        <v>0</v>
      </c>
      <c r="P695" t="n">
        <v>0</v>
      </c>
      <c r="Q695" t="n">
        <v>0</v>
      </c>
      <c r="R695" s="2" t="inlineStr"/>
    </row>
    <row r="696" ht="15" customHeight="1">
      <c r="A696" t="inlineStr">
        <is>
          <t>A 49121-2019</t>
        </is>
      </c>
      <c r="B696" s="1" t="n">
        <v>43731</v>
      </c>
      <c r="C696" s="1" t="n">
        <v>45512</v>
      </c>
      <c r="D696" t="inlineStr">
        <is>
          <t>STOCKHOLMS LÄN</t>
        </is>
      </c>
      <c r="E696" t="inlineStr">
        <is>
          <t>NYKVARN</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49130-2019</t>
        </is>
      </c>
      <c r="B697" s="1" t="n">
        <v>43731</v>
      </c>
      <c r="C697" s="1" t="n">
        <v>45512</v>
      </c>
      <c r="D697" t="inlineStr">
        <is>
          <t>STOCKHOLMS LÄN</t>
        </is>
      </c>
      <c r="E697" t="inlineStr">
        <is>
          <t>SÖDERTÄLJE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49118-2019</t>
        </is>
      </c>
      <c r="B698" s="1" t="n">
        <v>43731</v>
      </c>
      <c r="C698" s="1" t="n">
        <v>45512</v>
      </c>
      <c r="D698" t="inlineStr">
        <is>
          <t>STOCKHOLMS LÄN</t>
        </is>
      </c>
      <c r="E698" t="inlineStr">
        <is>
          <t>NYKVARN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49131-2019</t>
        </is>
      </c>
      <c r="B699" s="1" t="n">
        <v>43731</v>
      </c>
      <c r="C699" s="1" t="n">
        <v>45512</v>
      </c>
      <c r="D699" t="inlineStr">
        <is>
          <t>STOCKHOLMS LÄN</t>
        </is>
      </c>
      <c r="E699" t="inlineStr">
        <is>
          <t>SÖDERTÄLJE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49096-2019</t>
        </is>
      </c>
      <c r="B700" s="1" t="n">
        <v>43731</v>
      </c>
      <c r="C700" s="1" t="n">
        <v>45512</v>
      </c>
      <c r="D700" t="inlineStr">
        <is>
          <t>STOCKHOLMS LÄN</t>
        </is>
      </c>
      <c r="E700" t="inlineStr">
        <is>
          <t>NYKVARN</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49252-2019</t>
        </is>
      </c>
      <c r="B701" s="1" t="n">
        <v>43731</v>
      </c>
      <c r="C701" s="1" t="n">
        <v>45512</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49268-2019</t>
        </is>
      </c>
      <c r="B702" s="1" t="n">
        <v>43731</v>
      </c>
      <c r="C702" s="1" t="n">
        <v>45512</v>
      </c>
      <c r="D702" t="inlineStr">
        <is>
          <t>STOCKHOLMS LÄN</t>
        </is>
      </c>
      <c r="E702" t="inlineStr">
        <is>
          <t>SIGTUNA</t>
        </is>
      </c>
      <c r="G702" t="n">
        <v>2.1</v>
      </c>
      <c r="H702" t="n">
        <v>0</v>
      </c>
      <c r="I702" t="n">
        <v>0</v>
      </c>
      <c r="J702" t="n">
        <v>0</v>
      </c>
      <c r="K702" t="n">
        <v>0</v>
      </c>
      <c r="L702" t="n">
        <v>0</v>
      </c>
      <c r="M702" t="n">
        <v>0</v>
      </c>
      <c r="N702" t="n">
        <v>0</v>
      </c>
      <c r="O702" t="n">
        <v>0</v>
      </c>
      <c r="P702" t="n">
        <v>0</v>
      </c>
      <c r="Q702" t="n">
        <v>0</v>
      </c>
      <c r="R702" s="2" t="inlineStr"/>
    </row>
    <row r="703" ht="15" customHeight="1">
      <c r="A703" t="inlineStr">
        <is>
          <t>A 49349-2019</t>
        </is>
      </c>
      <c r="B703" s="1" t="n">
        <v>43731</v>
      </c>
      <c r="C703" s="1" t="n">
        <v>45512</v>
      </c>
      <c r="D703" t="inlineStr">
        <is>
          <t>STOCKHOLMS LÄN</t>
        </is>
      </c>
      <c r="E703" t="inlineStr">
        <is>
          <t>HANINGE</t>
        </is>
      </c>
      <c r="G703" t="n">
        <v>2.1</v>
      </c>
      <c r="H703" t="n">
        <v>0</v>
      </c>
      <c r="I703" t="n">
        <v>0</v>
      </c>
      <c r="J703" t="n">
        <v>0</v>
      </c>
      <c r="K703" t="n">
        <v>0</v>
      </c>
      <c r="L703" t="n">
        <v>0</v>
      </c>
      <c r="M703" t="n">
        <v>0</v>
      </c>
      <c r="N703" t="n">
        <v>0</v>
      </c>
      <c r="O703" t="n">
        <v>0</v>
      </c>
      <c r="P703" t="n">
        <v>0</v>
      </c>
      <c r="Q703" t="n">
        <v>0</v>
      </c>
      <c r="R703" s="2" t="inlineStr"/>
    </row>
    <row r="704" ht="15" customHeight="1">
      <c r="A704" t="inlineStr">
        <is>
          <t>A 49840-2019</t>
        </is>
      </c>
      <c r="B704" s="1" t="n">
        <v>43733</v>
      </c>
      <c r="C704" s="1" t="n">
        <v>45512</v>
      </c>
      <c r="D704" t="inlineStr">
        <is>
          <t>STOCKHOLMS LÄN</t>
        </is>
      </c>
      <c r="E704" t="inlineStr">
        <is>
          <t>NYNÄSHAMN</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50396-2019</t>
        </is>
      </c>
      <c r="B705" s="1" t="n">
        <v>43735</v>
      </c>
      <c r="C705" s="1" t="n">
        <v>45512</v>
      </c>
      <c r="D705" t="inlineStr">
        <is>
          <t>STOCKHOLMS LÄN</t>
        </is>
      </c>
      <c r="E705" t="inlineStr">
        <is>
          <t>SÖDERTÄLJE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50435-2019</t>
        </is>
      </c>
      <c r="B706" s="1" t="n">
        <v>43735</v>
      </c>
      <c r="C706" s="1" t="n">
        <v>45512</v>
      </c>
      <c r="D706" t="inlineStr">
        <is>
          <t>STOCKHOLMS LÄN</t>
        </is>
      </c>
      <c r="E706" t="inlineStr">
        <is>
          <t>SÖDERTÄLJE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50443-2019</t>
        </is>
      </c>
      <c r="B707" s="1" t="n">
        <v>43735</v>
      </c>
      <c r="C707" s="1" t="n">
        <v>45512</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50389-2019</t>
        </is>
      </c>
      <c r="B708" s="1" t="n">
        <v>43735</v>
      </c>
      <c r="C708" s="1" t="n">
        <v>45512</v>
      </c>
      <c r="D708" t="inlineStr">
        <is>
          <t>STOCKHOLMS LÄN</t>
        </is>
      </c>
      <c r="E708" t="inlineStr">
        <is>
          <t>SÖDERTÄLJE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50425-2019</t>
        </is>
      </c>
      <c r="B709" s="1" t="n">
        <v>43735</v>
      </c>
      <c r="C709" s="1" t="n">
        <v>45512</v>
      </c>
      <c r="D709" t="inlineStr">
        <is>
          <t>STOCKHOLMS LÄN</t>
        </is>
      </c>
      <c r="E709" t="inlineStr">
        <is>
          <t>SÖDERTÄLJE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50446-2019</t>
        </is>
      </c>
      <c r="B710" s="1" t="n">
        <v>43735</v>
      </c>
      <c r="C710" s="1" t="n">
        <v>45512</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50441-2019</t>
        </is>
      </c>
      <c r="B711" s="1" t="n">
        <v>43735</v>
      </c>
      <c r="C711" s="1" t="n">
        <v>45512</v>
      </c>
      <c r="D711" t="inlineStr">
        <is>
          <t>STOCKHOLMS LÄN</t>
        </is>
      </c>
      <c r="E711" t="inlineStr">
        <is>
          <t>SÖDERTÄLJE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50419-2019</t>
        </is>
      </c>
      <c r="B712" s="1" t="n">
        <v>43735</v>
      </c>
      <c r="C712" s="1" t="n">
        <v>45512</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50737-2019</t>
        </is>
      </c>
      <c r="B713" s="1" t="n">
        <v>43738</v>
      </c>
      <c r="C713" s="1" t="n">
        <v>45512</v>
      </c>
      <c r="D713" t="inlineStr">
        <is>
          <t>STOCKHOLMS LÄN</t>
        </is>
      </c>
      <c r="E713" t="inlineStr">
        <is>
          <t>SIGTUNA</t>
        </is>
      </c>
      <c r="G713" t="n">
        <v>0.8</v>
      </c>
      <c r="H713" t="n">
        <v>0</v>
      </c>
      <c r="I713" t="n">
        <v>0</v>
      </c>
      <c r="J713" t="n">
        <v>0</v>
      </c>
      <c r="K713" t="n">
        <v>0</v>
      </c>
      <c r="L713" t="n">
        <v>0</v>
      </c>
      <c r="M713" t="n">
        <v>0</v>
      </c>
      <c r="N713" t="n">
        <v>0</v>
      </c>
      <c r="O713" t="n">
        <v>0</v>
      </c>
      <c r="P713" t="n">
        <v>0</v>
      </c>
      <c r="Q713" t="n">
        <v>0</v>
      </c>
      <c r="R713" s="2" t="inlineStr"/>
    </row>
    <row r="714" ht="15" customHeight="1">
      <c r="A714" t="inlineStr">
        <is>
          <t>A 50755-2019</t>
        </is>
      </c>
      <c r="B714" s="1" t="n">
        <v>43738</v>
      </c>
      <c r="C714" s="1" t="n">
        <v>45512</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51184-2019</t>
        </is>
      </c>
      <c r="B715" s="1" t="n">
        <v>43739</v>
      </c>
      <c r="C715" s="1" t="n">
        <v>45512</v>
      </c>
      <c r="D715" t="inlineStr">
        <is>
          <t>STOCKHOLMS LÄN</t>
        </is>
      </c>
      <c r="E715" t="inlineStr">
        <is>
          <t>VALLENTUNA</t>
        </is>
      </c>
      <c r="G715" t="n">
        <v>2</v>
      </c>
      <c r="H715" t="n">
        <v>0</v>
      </c>
      <c r="I715" t="n">
        <v>0</v>
      </c>
      <c r="J715" t="n">
        <v>0</v>
      </c>
      <c r="K715" t="n">
        <v>0</v>
      </c>
      <c r="L715" t="n">
        <v>0</v>
      </c>
      <c r="M715" t="n">
        <v>0</v>
      </c>
      <c r="N715" t="n">
        <v>0</v>
      </c>
      <c r="O715" t="n">
        <v>0</v>
      </c>
      <c r="P715" t="n">
        <v>0</v>
      </c>
      <c r="Q715" t="n">
        <v>0</v>
      </c>
      <c r="R715" s="2" t="inlineStr"/>
    </row>
    <row r="716" ht="15" customHeight="1">
      <c r="A716" t="inlineStr">
        <is>
          <t>A 51387-2019</t>
        </is>
      </c>
      <c r="B716" s="1" t="n">
        <v>43740</v>
      </c>
      <c r="C716" s="1" t="n">
        <v>45512</v>
      </c>
      <c r="D716" t="inlineStr">
        <is>
          <t>STOCKHOLMS LÄN</t>
        </is>
      </c>
      <c r="E716" t="inlineStr">
        <is>
          <t>BOTKYRKA</t>
        </is>
      </c>
      <c r="G716" t="n">
        <v>2.3</v>
      </c>
      <c r="H716" t="n">
        <v>0</v>
      </c>
      <c r="I716" t="n">
        <v>0</v>
      </c>
      <c r="J716" t="n">
        <v>0</v>
      </c>
      <c r="K716" t="n">
        <v>0</v>
      </c>
      <c r="L716" t="n">
        <v>0</v>
      </c>
      <c r="M716" t="n">
        <v>0</v>
      </c>
      <c r="N716" t="n">
        <v>0</v>
      </c>
      <c r="O716" t="n">
        <v>0</v>
      </c>
      <c r="P716" t="n">
        <v>0</v>
      </c>
      <c r="Q716" t="n">
        <v>0</v>
      </c>
      <c r="R716" s="2" t="inlineStr"/>
    </row>
    <row r="717" ht="15" customHeight="1">
      <c r="A717" t="inlineStr">
        <is>
          <t>A 51571-2019</t>
        </is>
      </c>
      <c r="B717" s="1" t="n">
        <v>43740</v>
      </c>
      <c r="C717" s="1" t="n">
        <v>45512</v>
      </c>
      <c r="D717" t="inlineStr">
        <is>
          <t>STOCKHOLMS LÄN</t>
        </is>
      </c>
      <c r="E717" t="inlineStr">
        <is>
          <t>NYKVARN</t>
        </is>
      </c>
      <c r="G717" t="n">
        <v>2.5</v>
      </c>
      <c r="H717" t="n">
        <v>0</v>
      </c>
      <c r="I717" t="n">
        <v>0</v>
      </c>
      <c r="J717" t="n">
        <v>0</v>
      </c>
      <c r="K717" t="n">
        <v>0</v>
      </c>
      <c r="L717" t="n">
        <v>0</v>
      </c>
      <c r="M717" t="n">
        <v>0</v>
      </c>
      <c r="N717" t="n">
        <v>0</v>
      </c>
      <c r="O717" t="n">
        <v>0</v>
      </c>
      <c r="P717" t="n">
        <v>0</v>
      </c>
      <c r="Q717" t="n">
        <v>0</v>
      </c>
      <c r="R717" s="2" t="inlineStr"/>
    </row>
    <row r="718" ht="15" customHeight="1">
      <c r="A718" t="inlineStr">
        <is>
          <t>A 51938-2019</t>
        </is>
      </c>
      <c r="B718" s="1" t="n">
        <v>43741</v>
      </c>
      <c r="C718" s="1" t="n">
        <v>45512</v>
      </c>
      <c r="D718" t="inlineStr">
        <is>
          <t>STOCKHOLMS LÄN</t>
        </is>
      </c>
      <c r="E718" t="inlineStr">
        <is>
          <t>VÄRMDÖ</t>
        </is>
      </c>
      <c r="G718" t="n">
        <v>1.1</v>
      </c>
      <c r="H718" t="n">
        <v>0</v>
      </c>
      <c r="I718" t="n">
        <v>0</v>
      </c>
      <c r="J718" t="n">
        <v>0</v>
      </c>
      <c r="K718" t="n">
        <v>0</v>
      </c>
      <c r="L718" t="n">
        <v>0</v>
      </c>
      <c r="M718" t="n">
        <v>0</v>
      </c>
      <c r="N718" t="n">
        <v>0</v>
      </c>
      <c r="O718" t="n">
        <v>0</v>
      </c>
      <c r="P718" t="n">
        <v>0</v>
      </c>
      <c r="Q718" t="n">
        <v>0</v>
      </c>
      <c r="R718" s="2" t="inlineStr"/>
    </row>
    <row r="719" ht="15" customHeight="1">
      <c r="A719" t="inlineStr">
        <is>
          <t>A 51940-2019</t>
        </is>
      </c>
      <c r="B719" s="1" t="n">
        <v>43741</v>
      </c>
      <c r="C719" s="1" t="n">
        <v>45512</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51942-2019</t>
        </is>
      </c>
      <c r="B720" s="1" t="n">
        <v>43741</v>
      </c>
      <c r="C720" s="1" t="n">
        <v>45512</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52139-2019</t>
        </is>
      </c>
      <c r="B721" s="1" t="n">
        <v>43742</v>
      </c>
      <c r="C721" s="1" t="n">
        <v>45512</v>
      </c>
      <c r="D721" t="inlineStr">
        <is>
          <t>STOCKHOLMS LÄN</t>
        </is>
      </c>
      <c r="E721" t="inlineStr">
        <is>
          <t>ÖSTERÅKER</t>
        </is>
      </c>
      <c r="G721" t="n">
        <v>2.2</v>
      </c>
      <c r="H721" t="n">
        <v>0</v>
      </c>
      <c r="I721" t="n">
        <v>0</v>
      </c>
      <c r="J721" t="n">
        <v>0</v>
      </c>
      <c r="K721" t="n">
        <v>0</v>
      </c>
      <c r="L721" t="n">
        <v>0</v>
      </c>
      <c r="M721" t="n">
        <v>0</v>
      </c>
      <c r="N721" t="n">
        <v>0</v>
      </c>
      <c r="O721" t="n">
        <v>0</v>
      </c>
      <c r="P721" t="n">
        <v>0</v>
      </c>
      <c r="Q721" t="n">
        <v>0</v>
      </c>
      <c r="R721" s="2" t="inlineStr"/>
    </row>
    <row r="722" ht="15" customHeight="1">
      <c r="A722" t="inlineStr">
        <is>
          <t>A 54466-2019</t>
        </is>
      </c>
      <c r="B722" s="1" t="n">
        <v>43747</v>
      </c>
      <c r="C722" s="1" t="n">
        <v>45512</v>
      </c>
      <c r="D722" t="inlineStr">
        <is>
          <t>STOCKHOLMS LÄN</t>
        </is>
      </c>
      <c r="E722" t="inlineStr">
        <is>
          <t>VAXHOLM</t>
        </is>
      </c>
      <c r="F722" t="inlineStr">
        <is>
          <t>Övriga statliga verk och myndigheter</t>
        </is>
      </c>
      <c r="G722" t="n">
        <v>2.7</v>
      </c>
      <c r="H722" t="n">
        <v>0</v>
      </c>
      <c r="I722" t="n">
        <v>0</v>
      </c>
      <c r="J722" t="n">
        <v>0</v>
      </c>
      <c r="K722" t="n">
        <v>0</v>
      </c>
      <c r="L722" t="n">
        <v>0</v>
      </c>
      <c r="M722" t="n">
        <v>0</v>
      </c>
      <c r="N722" t="n">
        <v>0</v>
      </c>
      <c r="O722" t="n">
        <v>0</v>
      </c>
      <c r="P722" t="n">
        <v>0</v>
      </c>
      <c r="Q722" t="n">
        <v>0</v>
      </c>
      <c r="R722" s="2" t="inlineStr"/>
    </row>
    <row r="723" ht="15" customHeight="1">
      <c r="A723" t="inlineStr">
        <is>
          <t>A 53815-2019</t>
        </is>
      </c>
      <c r="B723" s="1" t="n">
        <v>43752</v>
      </c>
      <c r="C723" s="1" t="n">
        <v>45512</v>
      </c>
      <c r="D723" t="inlineStr">
        <is>
          <t>STOCKHOLMS LÄN</t>
        </is>
      </c>
      <c r="E723" t="inlineStr">
        <is>
          <t>HANINGE</t>
        </is>
      </c>
      <c r="G723" t="n">
        <v>1.3</v>
      </c>
      <c r="H723" t="n">
        <v>0</v>
      </c>
      <c r="I723" t="n">
        <v>0</v>
      </c>
      <c r="J723" t="n">
        <v>0</v>
      </c>
      <c r="K723" t="n">
        <v>0</v>
      </c>
      <c r="L723" t="n">
        <v>0</v>
      </c>
      <c r="M723" t="n">
        <v>0</v>
      </c>
      <c r="N723" t="n">
        <v>0</v>
      </c>
      <c r="O723" t="n">
        <v>0</v>
      </c>
      <c r="P723" t="n">
        <v>0</v>
      </c>
      <c r="Q723" t="n">
        <v>0</v>
      </c>
      <c r="R723" s="2" t="inlineStr"/>
    </row>
    <row r="724" ht="15" customHeight="1">
      <c r="A724" t="inlineStr">
        <is>
          <t>A 54187-2019</t>
        </is>
      </c>
      <c r="B724" s="1" t="n">
        <v>43753</v>
      </c>
      <c r="C724" s="1" t="n">
        <v>45512</v>
      </c>
      <c r="D724" t="inlineStr">
        <is>
          <t>STOCKHOLMS LÄN</t>
        </is>
      </c>
      <c r="E724" t="inlineStr">
        <is>
          <t>EKERÖ</t>
        </is>
      </c>
      <c r="G724" t="n">
        <v>3.7</v>
      </c>
      <c r="H724" t="n">
        <v>0</v>
      </c>
      <c r="I724" t="n">
        <v>0</v>
      </c>
      <c r="J724" t="n">
        <v>0</v>
      </c>
      <c r="K724" t="n">
        <v>0</v>
      </c>
      <c r="L724" t="n">
        <v>0</v>
      </c>
      <c r="M724" t="n">
        <v>0</v>
      </c>
      <c r="N724" t="n">
        <v>0</v>
      </c>
      <c r="O724" t="n">
        <v>0</v>
      </c>
      <c r="P724" t="n">
        <v>0</v>
      </c>
      <c r="Q724" t="n">
        <v>0</v>
      </c>
      <c r="R724" s="2" t="inlineStr"/>
    </row>
    <row r="725" ht="15" customHeight="1">
      <c r="A725" t="inlineStr">
        <is>
          <t>A 54875-2019</t>
        </is>
      </c>
      <c r="B725" s="1" t="n">
        <v>43755</v>
      </c>
      <c r="C725" s="1" t="n">
        <v>45512</v>
      </c>
      <c r="D725" t="inlineStr">
        <is>
          <t>STOCKHOLMS LÄN</t>
        </is>
      </c>
      <c r="E725" t="inlineStr">
        <is>
          <t>SIGTUNA</t>
        </is>
      </c>
      <c r="G725" t="n">
        <v>0.6</v>
      </c>
      <c r="H725" t="n">
        <v>0</v>
      </c>
      <c r="I725" t="n">
        <v>0</v>
      </c>
      <c r="J725" t="n">
        <v>0</v>
      </c>
      <c r="K725" t="n">
        <v>0</v>
      </c>
      <c r="L725" t="n">
        <v>0</v>
      </c>
      <c r="M725" t="n">
        <v>0</v>
      </c>
      <c r="N725" t="n">
        <v>0</v>
      </c>
      <c r="O725" t="n">
        <v>0</v>
      </c>
      <c r="P725" t="n">
        <v>0</v>
      </c>
      <c r="Q725" t="n">
        <v>0</v>
      </c>
      <c r="R725" s="2" t="inlineStr"/>
    </row>
    <row r="726" ht="15" customHeight="1">
      <c r="A726" t="inlineStr">
        <is>
          <t>A 55974-2019</t>
        </is>
      </c>
      <c r="B726" s="1" t="n">
        <v>43759</v>
      </c>
      <c r="C726" s="1" t="n">
        <v>45512</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55866-2019</t>
        </is>
      </c>
      <c r="B727" s="1" t="n">
        <v>43759</v>
      </c>
      <c r="C727" s="1" t="n">
        <v>45512</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55954-2019</t>
        </is>
      </c>
      <c r="B728" s="1" t="n">
        <v>43759</v>
      </c>
      <c r="C728" s="1" t="n">
        <v>45512</v>
      </c>
      <c r="D728" t="inlineStr">
        <is>
          <t>STOCKHOLMS LÄN</t>
        </is>
      </c>
      <c r="E728" t="inlineStr">
        <is>
          <t>SÖDERTÄLJE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55965-2019</t>
        </is>
      </c>
      <c r="B729" s="1" t="n">
        <v>43759</v>
      </c>
      <c r="C729" s="1" t="n">
        <v>45512</v>
      </c>
      <c r="D729" t="inlineStr">
        <is>
          <t>STOCKHOLMS LÄN</t>
        </is>
      </c>
      <c r="E729" t="inlineStr">
        <is>
          <t>SÖDERTÄLJE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55870-2019</t>
        </is>
      </c>
      <c r="B730" s="1" t="n">
        <v>43759</v>
      </c>
      <c r="C730" s="1" t="n">
        <v>45512</v>
      </c>
      <c r="D730" t="inlineStr">
        <is>
          <t>STOCKHOLMS LÄN</t>
        </is>
      </c>
      <c r="E730" t="inlineStr">
        <is>
          <t>SÖDERTÄLJE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55848-2019</t>
        </is>
      </c>
      <c r="B731" s="1" t="n">
        <v>43759</v>
      </c>
      <c r="C731" s="1" t="n">
        <v>45512</v>
      </c>
      <c r="D731" t="inlineStr">
        <is>
          <t>STOCKHOLMS LÄN</t>
        </is>
      </c>
      <c r="E731" t="inlineStr">
        <is>
          <t>SÖDERTÄLJE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55980-2019</t>
        </is>
      </c>
      <c r="B732" s="1" t="n">
        <v>43759</v>
      </c>
      <c r="C732" s="1" t="n">
        <v>45512</v>
      </c>
      <c r="D732" t="inlineStr">
        <is>
          <t>STOCKHOLMS LÄN</t>
        </is>
      </c>
      <c r="E732" t="inlineStr">
        <is>
          <t>SÖDERTÄLJE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55481-2019</t>
        </is>
      </c>
      <c r="B733" s="1" t="n">
        <v>43759</v>
      </c>
      <c r="C733" s="1" t="n">
        <v>45512</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55891-2019</t>
        </is>
      </c>
      <c r="B734" s="1" t="n">
        <v>43761</v>
      </c>
      <c r="C734" s="1" t="n">
        <v>45512</v>
      </c>
      <c r="D734" t="inlineStr">
        <is>
          <t>STOCKHOLMS LÄN</t>
        </is>
      </c>
      <c r="E734" t="inlineStr">
        <is>
          <t>NORRTÄLJE</t>
        </is>
      </c>
      <c r="G734" t="n">
        <v>7.6</v>
      </c>
      <c r="H734" t="n">
        <v>0</v>
      </c>
      <c r="I734" t="n">
        <v>0</v>
      </c>
      <c r="J734" t="n">
        <v>0</v>
      </c>
      <c r="K734" t="n">
        <v>0</v>
      </c>
      <c r="L734" t="n">
        <v>0</v>
      </c>
      <c r="M734" t="n">
        <v>0</v>
      </c>
      <c r="N734" t="n">
        <v>0</v>
      </c>
      <c r="O734" t="n">
        <v>0</v>
      </c>
      <c r="P734" t="n">
        <v>0</v>
      </c>
      <c r="Q734" t="n">
        <v>0</v>
      </c>
      <c r="R734" s="2" t="inlineStr"/>
    </row>
    <row r="735" ht="15" customHeight="1">
      <c r="A735" t="inlineStr">
        <is>
          <t>A 56349-2019</t>
        </is>
      </c>
      <c r="B735" s="1" t="n">
        <v>43762</v>
      </c>
      <c r="C735" s="1" t="n">
        <v>45512</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57759-2019</t>
        </is>
      </c>
      <c r="B736" s="1" t="n">
        <v>43763</v>
      </c>
      <c r="C736" s="1" t="n">
        <v>45512</v>
      </c>
      <c r="D736" t="inlineStr">
        <is>
          <t>STOCKHOLMS LÄN</t>
        </is>
      </c>
      <c r="E736" t="inlineStr">
        <is>
          <t>NORRTÄLJE</t>
        </is>
      </c>
      <c r="F736" t="inlineStr">
        <is>
          <t>Övriga Aktiebolag</t>
        </is>
      </c>
      <c r="G736" t="n">
        <v>7.3</v>
      </c>
      <c r="H736" t="n">
        <v>0</v>
      </c>
      <c r="I736" t="n">
        <v>0</v>
      </c>
      <c r="J736" t="n">
        <v>0</v>
      </c>
      <c r="K736" t="n">
        <v>0</v>
      </c>
      <c r="L736" t="n">
        <v>0</v>
      </c>
      <c r="M736" t="n">
        <v>0</v>
      </c>
      <c r="N736" t="n">
        <v>0</v>
      </c>
      <c r="O736" t="n">
        <v>0</v>
      </c>
      <c r="P736" t="n">
        <v>0</v>
      </c>
      <c r="Q736" t="n">
        <v>0</v>
      </c>
      <c r="R736" s="2" t="inlineStr"/>
    </row>
    <row r="737" ht="15" customHeight="1">
      <c r="A737" t="inlineStr">
        <is>
          <t>A 57063-2019</t>
        </is>
      </c>
      <c r="B737" s="1" t="n">
        <v>43766</v>
      </c>
      <c r="C737" s="1" t="n">
        <v>45512</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56950-2019</t>
        </is>
      </c>
      <c r="B738" s="1" t="n">
        <v>43766</v>
      </c>
      <c r="C738" s="1" t="n">
        <v>45512</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57461-2019</t>
        </is>
      </c>
      <c r="B739" s="1" t="n">
        <v>43767</v>
      </c>
      <c r="C739" s="1" t="n">
        <v>45512</v>
      </c>
      <c r="D739" t="inlineStr">
        <is>
          <t>STOCKHOLMS LÄN</t>
        </is>
      </c>
      <c r="E739" t="inlineStr">
        <is>
          <t>SIGTUNA</t>
        </is>
      </c>
      <c r="G739" t="n">
        <v>4.1</v>
      </c>
      <c r="H739" t="n">
        <v>0</v>
      </c>
      <c r="I739" t="n">
        <v>0</v>
      </c>
      <c r="J739" t="n">
        <v>0</v>
      </c>
      <c r="K739" t="n">
        <v>0</v>
      </c>
      <c r="L739" t="n">
        <v>0</v>
      </c>
      <c r="M739" t="n">
        <v>0</v>
      </c>
      <c r="N739" t="n">
        <v>0</v>
      </c>
      <c r="O739" t="n">
        <v>0</v>
      </c>
      <c r="P739" t="n">
        <v>0</v>
      </c>
      <c r="Q739" t="n">
        <v>0</v>
      </c>
      <c r="R739" s="2" t="inlineStr"/>
    </row>
    <row r="740" ht="15" customHeight="1">
      <c r="A740" t="inlineStr">
        <is>
          <t>A 57605-2019</t>
        </is>
      </c>
      <c r="B740" s="1" t="n">
        <v>43768</v>
      </c>
      <c r="C740" s="1" t="n">
        <v>45512</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58064-2019</t>
        </is>
      </c>
      <c r="B741" s="1" t="n">
        <v>43769</v>
      </c>
      <c r="C741" s="1" t="n">
        <v>45512</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58631-2019</t>
        </is>
      </c>
      <c r="B742" s="1" t="n">
        <v>43773</v>
      </c>
      <c r="C742" s="1" t="n">
        <v>45512</v>
      </c>
      <c r="D742" t="inlineStr">
        <is>
          <t>STOCKHOLMS LÄN</t>
        </is>
      </c>
      <c r="E742" t="inlineStr">
        <is>
          <t>NORRTÄLJE</t>
        </is>
      </c>
      <c r="G742" t="n">
        <v>6</v>
      </c>
      <c r="H742" t="n">
        <v>0</v>
      </c>
      <c r="I742" t="n">
        <v>0</v>
      </c>
      <c r="J742" t="n">
        <v>0</v>
      </c>
      <c r="K742" t="n">
        <v>0</v>
      </c>
      <c r="L742" t="n">
        <v>0</v>
      </c>
      <c r="M742" t="n">
        <v>0</v>
      </c>
      <c r="N742" t="n">
        <v>0</v>
      </c>
      <c r="O742" t="n">
        <v>0</v>
      </c>
      <c r="P742" t="n">
        <v>0</v>
      </c>
      <c r="Q742" t="n">
        <v>0</v>
      </c>
      <c r="R742" s="2" t="inlineStr"/>
    </row>
    <row r="743" ht="15" customHeight="1">
      <c r="A743" t="inlineStr">
        <is>
          <t>A 59155-2019</t>
        </is>
      </c>
      <c r="B743" s="1" t="n">
        <v>43775</v>
      </c>
      <c r="C743" s="1" t="n">
        <v>45512</v>
      </c>
      <c r="D743" t="inlineStr">
        <is>
          <t>STOCKHOLMS LÄN</t>
        </is>
      </c>
      <c r="E743" t="inlineStr">
        <is>
          <t>SÖDERTÄLJE</t>
        </is>
      </c>
      <c r="F743" t="inlineStr">
        <is>
          <t>Kommuner</t>
        </is>
      </c>
      <c r="G743" t="n">
        <v>4.3</v>
      </c>
      <c r="H743" t="n">
        <v>0</v>
      </c>
      <c r="I743" t="n">
        <v>0</v>
      </c>
      <c r="J743" t="n">
        <v>0</v>
      </c>
      <c r="K743" t="n">
        <v>0</v>
      </c>
      <c r="L743" t="n">
        <v>0</v>
      </c>
      <c r="M743" t="n">
        <v>0</v>
      </c>
      <c r="N743" t="n">
        <v>0</v>
      </c>
      <c r="O743" t="n">
        <v>0</v>
      </c>
      <c r="P743" t="n">
        <v>0</v>
      </c>
      <c r="Q743" t="n">
        <v>0</v>
      </c>
      <c r="R743" s="2" t="inlineStr"/>
    </row>
    <row r="744" ht="15" customHeight="1">
      <c r="A744" t="inlineStr">
        <is>
          <t>A 59790-2019</t>
        </is>
      </c>
      <c r="B744" s="1" t="n">
        <v>43776</v>
      </c>
      <c r="C744" s="1" t="n">
        <v>45512</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60214-2019</t>
        </is>
      </c>
      <c r="B745" s="1" t="n">
        <v>43780</v>
      </c>
      <c r="C745" s="1" t="n">
        <v>45512</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60208-2019</t>
        </is>
      </c>
      <c r="B746" s="1" t="n">
        <v>43780</v>
      </c>
      <c r="C746" s="1" t="n">
        <v>45512</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60842-2019</t>
        </is>
      </c>
      <c r="B747" s="1" t="n">
        <v>43781</v>
      </c>
      <c r="C747" s="1" t="n">
        <v>45512</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60844-2019</t>
        </is>
      </c>
      <c r="B748" s="1" t="n">
        <v>43781</v>
      </c>
      <c r="C748" s="1" t="n">
        <v>45512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61657-2019</t>
        </is>
      </c>
      <c r="B749" s="1" t="n">
        <v>43784</v>
      </c>
      <c r="C749" s="1" t="n">
        <v>45512</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62848-2019</t>
        </is>
      </c>
      <c r="B750" s="1" t="n">
        <v>43790</v>
      </c>
      <c r="C750" s="1" t="n">
        <v>45512</v>
      </c>
      <c r="D750" t="inlineStr">
        <is>
          <t>STOCKHOLMS LÄN</t>
        </is>
      </c>
      <c r="E750" t="inlineStr">
        <is>
          <t>NORRTÄLJE</t>
        </is>
      </c>
      <c r="F750" t="inlineStr">
        <is>
          <t>Holmen skog AB</t>
        </is>
      </c>
      <c r="G750" t="n">
        <v>6.6</v>
      </c>
      <c r="H750" t="n">
        <v>0</v>
      </c>
      <c r="I750" t="n">
        <v>0</v>
      </c>
      <c r="J750" t="n">
        <v>0</v>
      </c>
      <c r="K750" t="n">
        <v>0</v>
      </c>
      <c r="L750" t="n">
        <v>0</v>
      </c>
      <c r="M750" t="n">
        <v>0</v>
      </c>
      <c r="N750" t="n">
        <v>0</v>
      </c>
      <c r="O750" t="n">
        <v>0</v>
      </c>
      <c r="P750" t="n">
        <v>0</v>
      </c>
      <c r="Q750" t="n">
        <v>0</v>
      </c>
      <c r="R750" s="2" t="inlineStr"/>
    </row>
    <row r="751" ht="15" customHeight="1">
      <c r="A751" t="inlineStr">
        <is>
          <t>A 62980-2019</t>
        </is>
      </c>
      <c r="B751" s="1" t="n">
        <v>43790</v>
      </c>
      <c r="C751" s="1" t="n">
        <v>45512</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63513-2019</t>
        </is>
      </c>
      <c r="B752" s="1" t="n">
        <v>43794</v>
      </c>
      <c r="C752" s="1" t="n">
        <v>45512</v>
      </c>
      <c r="D752" t="inlineStr">
        <is>
          <t>STOCKHOLMS LÄN</t>
        </is>
      </c>
      <c r="E752" t="inlineStr">
        <is>
          <t>NORRTÄLJE</t>
        </is>
      </c>
      <c r="G752" t="n">
        <v>9</v>
      </c>
      <c r="H752" t="n">
        <v>0</v>
      </c>
      <c r="I752" t="n">
        <v>0</v>
      </c>
      <c r="J752" t="n">
        <v>0</v>
      </c>
      <c r="K752" t="n">
        <v>0</v>
      </c>
      <c r="L752" t="n">
        <v>0</v>
      </c>
      <c r="M752" t="n">
        <v>0</v>
      </c>
      <c r="N752" t="n">
        <v>0</v>
      </c>
      <c r="O752" t="n">
        <v>0</v>
      </c>
      <c r="P752" t="n">
        <v>0</v>
      </c>
      <c r="Q752" t="n">
        <v>0</v>
      </c>
      <c r="R752" s="2" t="inlineStr"/>
    </row>
    <row r="753" ht="15" customHeight="1">
      <c r="A753" t="inlineStr">
        <is>
          <t>A 63529-2019</t>
        </is>
      </c>
      <c r="B753" s="1" t="n">
        <v>43794</v>
      </c>
      <c r="C753" s="1" t="n">
        <v>45512</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63370-2019</t>
        </is>
      </c>
      <c r="B754" s="1" t="n">
        <v>43794</v>
      </c>
      <c r="C754" s="1" t="n">
        <v>45512</v>
      </c>
      <c r="D754" t="inlineStr">
        <is>
          <t>STOCKHOLMS LÄN</t>
        </is>
      </c>
      <c r="E754" t="inlineStr">
        <is>
          <t>UPPLANDS-BRO</t>
        </is>
      </c>
      <c r="G754" t="n">
        <v>7.2</v>
      </c>
      <c r="H754" t="n">
        <v>0</v>
      </c>
      <c r="I754" t="n">
        <v>0</v>
      </c>
      <c r="J754" t="n">
        <v>0</v>
      </c>
      <c r="K754" t="n">
        <v>0</v>
      </c>
      <c r="L754" t="n">
        <v>0</v>
      </c>
      <c r="M754" t="n">
        <v>0</v>
      </c>
      <c r="N754" t="n">
        <v>0</v>
      </c>
      <c r="O754" t="n">
        <v>0</v>
      </c>
      <c r="P754" t="n">
        <v>0</v>
      </c>
      <c r="Q754" t="n">
        <v>0</v>
      </c>
      <c r="R754" s="2" t="inlineStr"/>
    </row>
    <row r="755" ht="15" customHeight="1">
      <c r="A755" t="inlineStr">
        <is>
          <t>A 63495-2019</t>
        </is>
      </c>
      <c r="B755" s="1" t="n">
        <v>43794</v>
      </c>
      <c r="C755" s="1" t="n">
        <v>45512</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63504-2019</t>
        </is>
      </c>
      <c r="B756" s="1" t="n">
        <v>43794</v>
      </c>
      <c r="C756" s="1" t="n">
        <v>45512</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63528-2019</t>
        </is>
      </c>
      <c r="B757" s="1" t="n">
        <v>43794</v>
      </c>
      <c r="C757" s="1" t="n">
        <v>45512</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63515-2019</t>
        </is>
      </c>
      <c r="B758" s="1" t="n">
        <v>43794</v>
      </c>
      <c r="C758" s="1" t="n">
        <v>45512</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63745-2019</t>
        </is>
      </c>
      <c r="B759" s="1" t="n">
        <v>43795</v>
      </c>
      <c r="C759" s="1" t="n">
        <v>45512</v>
      </c>
      <c r="D759" t="inlineStr">
        <is>
          <t>STOCKHOLMS LÄN</t>
        </is>
      </c>
      <c r="E759" t="inlineStr">
        <is>
          <t>UPPLANDS-BRO</t>
        </is>
      </c>
      <c r="F759" t="inlineStr">
        <is>
          <t>Övriga statliga verk och myndigheter</t>
        </is>
      </c>
      <c r="G759" t="n">
        <v>12.9</v>
      </c>
      <c r="H759" t="n">
        <v>0</v>
      </c>
      <c r="I759" t="n">
        <v>0</v>
      </c>
      <c r="J759" t="n">
        <v>0</v>
      </c>
      <c r="K759" t="n">
        <v>0</v>
      </c>
      <c r="L759" t="n">
        <v>0</v>
      </c>
      <c r="M759" t="n">
        <v>0</v>
      </c>
      <c r="N759" t="n">
        <v>0</v>
      </c>
      <c r="O759" t="n">
        <v>0</v>
      </c>
      <c r="P759" t="n">
        <v>0</v>
      </c>
      <c r="Q759" t="n">
        <v>0</v>
      </c>
      <c r="R759" s="2" t="inlineStr"/>
    </row>
    <row r="760" ht="15" customHeight="1">
      <c r="A760" t="inlineStr">
        <is>
          <t>A 64293-2019</t>
        </is>
      </c>
      <c r="B760" s="1" t="n">
        <v>43797</v>
      </c>
      <c r="C760" s="1" t="n">
        <v>45512</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64617-2019</t>
        </is>
      </c>
      <c r="B761" s="1" t="n">
        <v>43798</v>
      </c>
      <c r="C761" s="1" t="n">
        <v>45512</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64490-2019</t>
        </is>
      </c>
      <c r="B762" s="1" t="n">
        <v>43798</v>
      </c>
      <c r="C762" s="1" t="n">
        <v>45512</v>
      </c>
      <c r="D762" t="inlineStr">
        <is>
          <t>STOCKHOLMS LÄN</t>
        </is>
      </c>
      <c r="E762" t="inlineStr">
        <is>
          <t>NYKVARN</t>
        </is>
      </c>
      <c r="G762" t="n">
        <v>0.8</v>
      </c>
      <c r="H762" t="n">
        <v>0</v>
      </c>
      <c r="I762" t="n">
        <v>0</v>
      </c>
      <c r="J762" t="n">
        <v>0</v>
      </c>
      <c r="K762" t="n">
        <v>0</v>
      </c>
      <c r="L762" t="n">
        <v>0</v>
      </c>
      <c r="M762" t="n">
        <v>0</v>
      </c>
      <c r="N762" t="n">
        <v>0</v>
      </c>
      <c r="O762" t="n">
        <v>0</v>
      </c>
      <c r="P762" t="n">
        <v>0</v>
      </c>
      <c r="Q762" t="n">
        <v>0</v>
      </c>
      <c r="R762" s="2" t="inlineStr"/>
    </row>
    <row r="763" ht="15" customHeight="1">
      <c r="A763" t="inlineStr">
        <is>
          <t>A 64656-2019</t>
        </is>
      </c>
      <c r="B763" s="1" t="n">
        <v>43798</v>
      </c>
      <c r="C763" s="1" t="n">
        <v>45512</v>
      </c>
      <c r="D763" t="inlineStr">
        <is>
          <t>STOCKHOLMS LÄN</t>
        </is>
      </c>
      <c r="E763" t="inlineStr">
        <is>
          <t>EKERÖ</t>
        </is>
      </c>
      <c r="G763" t="n">
        <v>2.1</v>
      </c>
      <c r="H763" t="n">
        <v>0</v>
      </c>
      <c r="I763" t="n">
        <v>0</v>
      </c>
      <c r="J763" t="n">
        <v>0</v>
      </c>
      <c r="K763" t="n">
        <v>0</v>
      </c>
      <c r="L763" t="n">
        <v>0</v>
      </c>
      <c r="M763" t="n">
        <v>0</v>
      </c>
      <c r="N763" t="n">
        <v>0</v>
      </c>
      <c r="O763" t="n">
        <v>0</v>
      </c>
      <c r="P763" t="n">
        <v>0</v>
      </c>
      <c r="Q763" t="n">
        <v>0</v>
      </c>
      <c r="R763" s="2" t="inlineStr"/>
    </row>
    <row r="764" ht="15" customHeight="1">
      <c r="A764" t="inlineStr">
        <is>
          <t>A 65405-2019</t>
        </is>
      </c>
      <c r="B764" s="1" t="n">
        <v>43798</v>
      </c>
      <c r="C764" s="1" t="n">
        <v>45512</v>
      </c>
      <c r="D764" t="inlineStr">
        <is>
          <t>STOCKHOLMS LÄN</t>
        </is>
      </c>
      <c r="E764" t="inlineStr">
        <is>
          <t>UPPLANDS-BRO</t>
        </is>
      </c>
      <c r="G764" t="n">
        <v>6.6</v>
      </c>
      <c r="H764" t="n">
        <v>0</v>
      </c>
      <c r="I764" t="n">
        <v>0</v>
      </c>
      <c r="J764" t="n">
        <v>0</v>
      </c>
      <c r="K764" t="n">
        <v>0</v>
      </c>
      <c r="L764" t="n">
        <v>0</v>
      </c>
      <c r="M764" t="n">
        <v>0</v>
      </c>
      <c r="N764" t="n">
        <v>0</v>
      </c>
      <c r="O764" t="n">
        <v>0</v>
      </c>
      <c r="P764" t="n">
        <v>0</v>
      </c>
      <c r="Q764" t="n">
        <v>0</v>
      </c>
      <c r="R764" s="2" t="inlineStr"/>
    </row>
    <row r="765" ht="15" customHeight="1">
      <c r="A765" t="inlineStr">
        <is>
          <t>A 64901-2019</t>
        </is>
      </c>
      <c r="B765" s="1" t="n">
        <v>43801</v>
      </c>
      <c r="C765" s="1" t="n">
        <v>45512</v>
      </c>
      <c r="D765" t="inlineStr">
        <is>
          <t>STOCKHOLMS LÄN</t>
        </is>
      </c>
      <c r="E765" t="inlineStr">
        <is>
          <t>SIGTUNA</t>
        </is>
      </c>
      <c r="G765" t="n">
        <v>1.3</v>
      </c>
      <c r="H765" t="n">
        <v>0</v>
      </c>
      <c r="I765" t="n">
        <v>0</v>
      </c>
      <c r="J765" t="n">
        <v>0</v>
      </c>
      <c r="K765" t="n">
        <v>0</v>
      </c>
      <c r="L765" t="n">
        <v>0</v>
      </c>
      <c r="M765" t="n">
        <v>0</v>
      </c>
      <c r="N765" t="n">
        <v>0</v>
      </c>
      <c r="O765" t="n">
        <v>0</v>
      </c>
      <c r="P765" t="n">
        <v>0</v>
      </c>
      <c r="Q765" t="n">
        <v>0</v>
      </c>
      <c r="R765" s="2" t="inlineStr"/>
    </row>
    <row r="766" ht="15" customHeight="1">
      <c r="A766" t="inlineStr">
        <is>
          <t>A 64995-2019</t>
        </is>
      </c>
      <c r="B766" s="1" t="n">
        <v>43801</v>
      </c>
      <c r="C766" s="1" t="n">
        <v>45512</v>
      </c>
      <c r="D766" t="inlineStr">
        <is>
          <t>STOCKHOLMS LÄN</t>
        </is>
      </c>
      <c r="E766" t="inlineStr">
        <is>
          <t>SÖDERTÄLJE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64938-2019</t>
        </is>
      </c>
      <c r="B767" s="1" t="n">
        <v>43801</v>
      </c>
      <c r="C767" s="1" t="n">
        <v>45512</v>
      </c>
      <c r="D767" t="inlineStr">
        <is>
          <t>STOCKHOLMS LÄN</t>
        </is>
      </c>
      <c r="E767" t="inlineStr">
        <is>
          <t>SÖDERTÄLJE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64898-2019</t>
        </is>
      </c>
      <c r="B768" s="1" t="n">
        <v>43801</v>
      </c>
      <c r="C768" s="1" t="n">
        <v>45512</v>
      </c>
      <c r="D768" t="inlineStr">
        <is>
          <t>STOCKHOLMS LÄN</t>
        </is>
      </c>
      <c r="E768" t="inlineStr">
        <is>
          <t>SIGTUNA</t>
        </is>
      </c>
      <c r="G768" t="n">
        <v>2.3</v>
      </c>
      <c r="H768" t="n">
        <v>0</v>
      </c>
      <c r="I768" t="n">
        <v>0</v>
      </c>
      <c r="J768" t="n">
        <v>0</v>
      </c>
      <c r="K768" t="n">
        <v>0</v>
      </c>
      <c r="L768" t="n">
        <v>0</v>
      </c>
      <c r="M768" t="n">
        <v>0</v>
      </c>
      <c r="N768" t="n">
        <v>0</v>
      </c>
      <c r="O768" t="n">
        <v>0</v>
      </c>
      <c r="P768" t="n">
        <v>0</v>
      </c>
      <c r="Q768" t="n">
        <v>0</v>
      </c>
      <c r="R768" s="2" t="inlineStr"/>
    </row>
    <row r="769" ht="15" customHeight="1">
      <c r="A769" t="inlineStr">
        <is>
          <t>A 65577-2019</t>
        </is>
      </c>
      <c r="B769" s="1" t="n">
        <v>43803</v>
      </c>
      <c r="C769" s="1" t="n">
        <v>45512</v>
      </c>
      <c r="D769" t="inlineStr">
        <is>
          <t>STOCKHOLMS LÄN</t>
        </is>
      </c>
      <c r="E769" t="inlineStr">
        <is>
          <t>NYKVARN</t>
        </is>
      </c>
      <c r="G769" t="n">
        <v>1.5</v>
      </c>
      <c r="H769" t="n">
        <v>0</v>
      </c>
      <c r="I769" t="n">
        <v>0</v>
      </c>
      <c r="J769" t="n">
        <v>0</v>
      </c>
      <c r="K769" t="n">
        <v>0</v>
      </c>
      <c r="L769" t="n">
        <v>0</v>
      </c>
      <c r="M769" t="n">
        <v>0</v>
      </c>
      <c r="N769" t="n">
        <v>0</v>
      </c>
      <c r="O769" t="n">
        <v>0</v>
      </c>
      <c r="P769" t="n">
        <v>0</v>
      </c>
      <c r="Q769" t="n">
        <v>0</v>
      </c>
      <c r="R769" s="2" t="inlineStr"/>
    </row>
    <row r="770" ht="15" customHeight="1">
      <c r="A770" t="inlineStr">
        <is>
          <t>A 65640-2019</t>
        </is>
      </c>
      <c r="B770" s="1" t="n">
        <v>43804</v>
      </c>
      <c r="C770" s="1" t="n">
        <v>45512</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65998-2019</t>
        </is>
      </c>
      <c r="B771" s="1" t="n">
        <v>43805</v>
      </c>
      <c r="C771" s="1" t="n">
        <v>45512</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67111-2019</t>
        </is>
      </c>
      <c r="B772" s="1" t="n">
        <v>43807</v>
      </c>
      <c r="C772" s="1" t="n">
        <v>45512</v>
      </c>
      <c r="D772" t="inlineStr">
        <is>
          <t>STOCKHOLMS LÄN</t>
        </is>
      </c>
      <c r="E772" t="inlineStr">
        <is>
          <t>HANINGE</t>
        </is>
      </c>
      <c r="G772" t="n">
        <v>0.6</v>
      </c>
      <c r="H772" t="n">
        <v>0</v>
      </c>
      <c r="I772" t="n">
        <v>0</v>
      </c>
      <c r="J772" t="n">
        <v>0</v>
      </c>
      <c r="K772" t="n">
        <v>0</v>
      </c>
      <c r="L772" t="n">
        <v>0</v>
      </c>
      <c r="M772" t="n">
        <v>0</v>
      </c>
      <c r="N772" t="n">
        <v>0</v>
      </c>
      <c r="O772" t="n">
        <v>0</v>
      </c>
      <c r="P772" t="n">
        <v>0</v>
      </c>
      <c r="Q772" t="n">
        <v>0</v>
      </c>
      <c r="R772" s="2" t="inlineStr"/>
    </row>
    <row r="773" ht="15" customHeight="1">
      <c r="A773" t="inlineStr">
        <is>
          <t>A 66604-2019</t>
        </is>
      </c>
      <c r="B773" s="1" t="n">
        <v>43809</v>
      </c>
      <c r="C773" s="1" t="n">
        <v>45512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66603-2019</t>
        </is>
      </c>
      <c r="B774" s="1" t="n">
        <v>43809</v>
      </c>
      <c r="C774" s="1" t="n">
        <v>45512</v>
      </c>
      <c r="D774" t="inlineStr">
        <is>
          <t>STOCKHOLMS LÄN</t>
        </is>
      </c>
      <c r="E774" t="inlineStr">
        <is>
          <t>EKERÖ</t>
        </is>
      </c>
      <c r="G774" t="n">
        <v>2.8</v>
      </c>
      <c r="H774" t="n">
        <v>0</v>
      </c>
      <c r="I774" t="n">
        <v>0</v>
      </c>
      <c r="J774" t="n">
        <v>0</v>
      </c>
      <c r="K774" t="n">
        <v>0</v>
      </c>
      <c r="L774" t="n">
        <v>0</v>
      </c>
      <c r="M774" t="n">
        <v>0</v>
      </c>
      <c r="N774" t="n">
        <v>0</v>
      </c>
      <c r="O774" t="n">
        <v>0</v>
      </c>
      <c r="P774" t="n">
        <v>0</v>
      </c>
      <c r="Q774" t="n">
        <v>0</v>
      </c>
      <c r="R774" s="2" t="inlineStr"/>
    </row>
    <row r="775" ht="15" customHeight="1">
      <c r="A775" t="inlineStr">
        <is>
          <t>A 66599-2019</t>
        </is>
      </c>
      <c r="B775" s="1" t="n">
        <v>43809</v>
      </c>
      <c r="C775" s="1" t="n">
        <v>45512</v>
      </c>
      <c r="D775" t="inlineStr">
        <is>
          <t>STOCKHOLMS LÄN</t>
        </is>
      </c>
      <c r="E775" t="inlineStr">
        <is>
          <t>EKERÖ</t>
        </is>
      </c>
      <c r="G775" t="n">
        <v>4.9</v>
      </c>
      <c r="H775" t="n">
        <v>0</v>
      </c>
      <c r="I775" t="n">
        <v>0</v>
      </c>
      <c r="J775" t="n">
        <v>0</v>
      </c>
      <c r="K775" t="n">
        <v>0</v>
      </c>
      <c r="L775" t="n">
        <v>0</v>
      </c>
      <c r="M775" t="n">
        <v>0</v>
      </c>
      <c r="N775" t="n">
        <v>0</v>
      </c>
      <c r="O775" t="n">
        <v>0</v>
      </c>
      <c r="P775" t="n">
        <v>0</v>
      </c>
      <c r="Q775" t="n">
        <v>0</v>
      </c>
      <c r="R775" s="2" t="inlineStr"/>
    </row>
    <row r="776" ht="15" customHeight="1">
      <c r="A776" t="inlineStr">
        <is>
          <t>A 66589-2019</t>
        </is>
      </c>
      <c r="B776" s="1" t="n">
        <v>43809</v>
      </c>
      <c r="C776" s="1" t="n">
        <v>45512</v>
      </c>
      <c r="D776" t="inlineStr">
        <is>
          <t>STOCKHOLMS LÄN</t>
        </is>
      </c>
      <c r="E776" t="inlineStr">
        <is>
          <t>NYNÄSHAMN</t>
        </is>
      </c>
      <c r="G776" t="n">
        <v>2</v>
      </c>
      <c r="H776" t="n">
        <v>0</v>
      </c>
      <c r="I776" t="n">
        <v>0</v>
      </c>
      <c r="J776" t="n">
        <v>0</v>
      </c>
      <c r="K776" t="n">
        <v>0</v>
      </c>
      <c r="L776" t="n">
        <v>0</v>
      </c>
      <c r="M776" t="n">
        <v>0</v>
      </c>
      <c r="N776" t="n">
        <v>0</v>
      </c>
      <c r="O776" t="n">
        <v>0</v>
      </c>
      <c r="P776" t="n">
        <v>0</v>
      </c>
      <c r="Q776" t="n">
        <v>0</v>
      </c>
      <c r="R776" s="2" t="inlineStr"/>
    </row>
    <row r="777" ht="15" customHeight="1">
      <c r="A777" t="inlineStr">
        <is>
          <t>A 67158-2019</t>
        </is>
      </c>
      <c r="B777" s="1" t="n">
        <v>43811</v>
      </c>
      <c r="C777" s="1" t="n">
        <v>45512</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67324-2019</t>
        </is>
      </c>
      <c r="B778" s="1" t="n">
        <v>43812</v>
      </c>
      <c r="C778" s="1" t="n">
        <v>45512</v>
      </c>
      <c r="D778" t="inlineStr">
        <is>
          <t>STOCKHOLMS LÄN</t>
        </is>
      </c>
      <c r="E778" t="inlineStr">
        <is>
          <t>NORRTÄLJE</t>
        </is>
      </c>
      <c r="G778" t="n">
        <v>7.7</v>
      </c>
      <c r="H778" t="n">
        <v>0</v>
      </c>
      <c r="I778" t="n">
        <v>0</v>
      </c>
      <c r="J778" t="n">
        <v>0</v>
      </c>
      <c r="K778" t="n">
        <v>0</v>
      </c>
      <c r="L778" t="n">
        <v>0</v>
      </c>
      <c r="M778" t="n">
        <v>0</v>
      </c>
      <c r="N778" t="n">
        <v>0</v>
      </c>
      <c r="O778" t="n">
        <v>0</v>
      </c>
      <c r="P778" t="n">
        <v>0</v>
      </c>
      <c r="Q778" t="n">
        <v>0</v>
      </c>
      <c r="R778" s="2" t="inlineStr"/>
    </row>
    <row r="779" ht="15" customHeight="1">
      <c r="A779" t="inlineStr">
        <is>
          <t>A 68011-2019</t>
        </is>
      </c>
      <c r="B779" s="1" t="n">
        <v>43816</v>
      </c>
      <c r="C779" s="1" t="n">
        <v>45512</v>
      </c>
      <c r="D779" t="inlineStr">
        <is>
          <t>STOCKHOLMS LÄN</t>
        </is>
      </c>
      <c r="E779" t="inlineStr">
        <is>
          <t>HANINGE</t>
        </is>
      </c>
      <c r="G779" t="n">
        <v>0.1</v>
      </c>
      <c r="H779" t="n">
        <v>0</v>
      </c>
      <c r="I779" t="n">
        <v>0</v>
      </c>
      <c r="J779" t="n">
        <v>0</v>
      </c>
      <c r="K779" t="n">
        <v>0</v>
      </c>
      <c r="L779" t="n">
        <v>0</v>
      </c>
      <c r="M779" t="n">
        <v>0</v>
      </c>
      <c r="N779" t="n">
        <v>0</v>
      </c>
      <c r="O779" t="n">
        <v>0</v>
      </c>
      <c r="P779" t="n">
        <v>0</v>
      </c>
      <c r="Q779" t="n">
        <v>0</v>
      </c>
      <c r="R779" s="2" t="inlineStr"/>
    </row>
    <row r="780" ht="15" customHeight="1">
      <c r="A780" t="inlineStr">
        <is>
          <t>A 68105-2019</t>
        </is>
      </c>
      <c r="B780" s="1" t="n">
        <v>43817</v>
      </c>
      <c r="C780" s="1" t="n">
        <v>45512</v>
      </c>
      <c r="D780" t="inlineStr">
        <is>
          <t>STOCKHOLMS LÄN</t>
        </is>
      </c>
      <c r="E780" t="inlineStr">
        <is>
          <t>ÖSTERÅKER</t>
        </is>
      </c>
      <c r="G780" t="n">
        <v>16.6</v>
      </c>
      <c r="H780" t="n">
        <v>0</v>
      </c>
      <c r="I780" t="n">
        <v>0</v>
      </c>
      <c r="J780" t="n">
        <v>0</v>
      </c>
      <c r="K780" t="n">
        <v>0</v>
      </c>
      <c r="L780" t="n">
        <v>0</v>
      </c>
      <c r="M780" t="n">
        <v>0</v>
      </c>
      <c r="N780" t="n">
        <v>0</v>
      </c>
      <c r="O780" t="n">
        <v>0</v>
      </c>
      <c r="P780" t="n">
        <v>0</v>
      </c>
      <c r="Q780" t="n">
        <v>0</v>
      </c>
      <c r="R780" s="2" t="inlineStr"/>
    </row>
    <row r="781" ht="15" customHeight="1">
      <c r="A781" t="inlineStr">
        <is>
          <t>A 68121-2019</t>
        </is>
      </c>
      <c r="B781" s="1" t="n">
        <v>43817</v>
      </c>
      <c r="C781" s="1" t="n">
        <v>45512</v>
      </c>
      <c r="D781" t="inlineStr">
        <is>
          <t>STOCKHOLMS LÄN</t>
        </is>
      </c>
      <c r="E781" t="inlineStr">
        <is>
          <t>ÖSTERÅKER</t>
        </is>
      </c>
      <c r="G781" t="n">
        <v>4.2</v>
      </c>
      <c r="H781" t="n">
        <v>0</v>
      </c>
      <c r="I781" t="n">
        <v>0</v>
      </c>
      <c r="J781" t="n">
        <v>0</v>
      </c>
      <c r="K781" t="n">
        <v>0</v>
      </c>
      <c r="L781" t="n">
        <v>0</v>
      </c>
      <c r="M781" t="n">
        <v>0</v>
      </c>
      <c r="N781" t="n">
        <v>0</v>
      </c>
      <c r="O781" t="n">
        <v>0</v>
      </c>
      <c r="P781" t="n">
        <v>0</v>
      </c>
      <c r="Q781" t="n">
        <v>0</v>
      </c>
      <c r="R781" s="2" t="inlineStr"/>
    </row>
    <row r="782" ht="15" customHeight="1">
      <c r="A782" t="inlineStr">
        <is>
          <t>A 68129-2019</t>
        </is>
      </c>
      <c r="B782" s="1" t="n">
        <v>43817</v>
      </c>
      <c r="C782" s="1" t="n">
        <v>45512</v>
      </c>
      <c r="D782" t="inlineStr">
        <is>
          <t>STOCKHOLMS LÄN</t>
        </is>
      </c>
      <c r="E782" t="inlineStr">
        <is>
          <t>VALLENTUNA</t>
        </is>
      </c>
      <c r="G782" t="n">
        <v>4.2</v>
      </c>
      <c r="H782" t="n">
        <v>0</v>
      </c>
      <c r="I782" t="n">
        <v>0</v>
      </c>
      <c r="J782" t="n">
        <v>0</v>
      </c>
      <c r="K782" t="n">
        <v>0</v>
      </c>
      <c r="L782" t="n">
        <v>0</v>
      </c>
      <c r="M782" t="n">
        <v>0</v>
      </c>
      <c r="N782" t="n">
        <v>0</v>
      </c>
      <c r="O782" t="n">
        <v>0</v>
      </c>
      <c r="P782" t="n">
        <v>0</v>
      </c>
      <c r="Q782" t="n">
        <v>0</v>
      </c>
      <c r="R782" s="2" t="inlineStr"/>
    </row>
    <row r="783" ht="15" customHeight="1">
      <c r="A783" t="inlineStr">
        <is>
          <t>A 68109-2019</t>
        </is>
      </c>
      <c r="B783" s="1" t="n">
        <v>43817</v>
      </c>
      <c r="C783" s="1" t="n">
        <v>45512</v>
      </c>
      <c r="D783" t="inlineStr">
        <is>
          <t>STOCKHOLMS LÄN</t>
        </is>
      </c>
      <c r="E783" t="inlineStr">
        <is>
          <t>ÖSTERÅKER</t>
        </is>
      </c>
      <c r="G783" t="n">
        <v>5.8</v>
      </c>
      <c r="H783" t="n">
        <v>0</v>
      </c>
      <c r="I783" t="n">
        <v>0</v>
      </c>
      <c r="J783" t="n">
        <v>0</v>
      </c>
      <c r="K783" t="n">
        <v>0</v>
      </c>
      <c r="L783" t="n">
        <v>0</v>
      </c>
      <c r="M783" t="n">
        <v>0</v>
      </c>
      <c r="N783" t="n">
        <v>0</v>
      </c>
      <c r="O783" t="n">
        <v>0</v>
      </c>
      <c r="P783" t="n">
        <v>0</v>
      </c>
      <c r="Q783" t="n">
        <v>0</v>
      </c>
      <c r="R783" s="2" t="inlineStr"/>
    </row>
    <row r="784" ht="15" customHeight="1">
      <c r="A784" t="inlineStr">
        <is>
          <t>A 68123-2019</t>
        </is>
      </c>
      <c r="B784" s="1" t="n">
        <v>43817</v>
      </c>
      <c r="C784" s="1" t="n">
        <v>45512</v>
      </c>
      <c r="D784" t="inlineStr">
        <is>
          <t>STOCKHOLMS LÄN</t>
        </is>
      </c>
      <c r="E784" t="inlineStr">
        <is>
          <t>ÖSTERÅKER</t>
        </is>
      </c>
      <c r="G784" t="n">
        <v>2</v>
      </c>
      <c r="H784" t="n">
        <v>0</v>
      </c>
      <c r="I784" t="n">
        <v>0</v>
      </c>
      <c r="J784" t="n">
        <v>0</v>
      </c>
      <c r="K784" t="n">
        <v>0</v>
      </c>
      <c r="L784" t="n">
        <v>0</v>
      </c>
      <c r="M784" t="n">
        <v>0</v>
      </c>
      <c r="N784" t="n">
        <v>0</v>
      </c>
      <c r="O784" t="n">
        <v>0</v>
      </c>
      <c r="P784" t="n">
        <v>0</v>
      </c>
      <c r="Q784" t="n">
        <v>0</v>
      </c>
      <c r="R784" s="2" t="inlineStr"/>
    </row>
    <row r="785" ht="15" customHeight="1">
      <c r="A785" t="inlineStr">
        <is>
          <t>A 68122-2019</t>
        </is>
      </c>
      <c r="B785" s="1" t="n">
        <v>43817</v>
      </c>
      <c r="C785" s="1" t="n">
        <v>45512</v>
      </c>
      <c r="D785" t="inlineStr">
        <is>
          <t>STOCKHOLMS LÄN</t>
        </is>
      </c>
      <c r="E785" t="inlineStr">
        <is>
          <t>ÖSTERÅKER</t>
        </is>
      </c>
      <c r="G785" t="n">
        <v>4.5</v>
      </c>
      <c r="H785" t="n">
        <v>0</v>
      </c>
      <c r="I785" t="n">
        <v>0</v>
      </c>
      <c r="J785" t="n">
        <v>0</v>
      </c>
      <c r="K785" t="n">
        <v>0</v>
      </c>
      <c r="L785" t="n">
        <v>0</v>
      </c>
      <c r="M785" t="n">
        <v>0</v>
      </c>
      <c r="N785" t="n">
        <v>0</v>
      </c>
      <c r="O785" t="n">
        <v>0</v>
      </c>
      <c r="P785" t="n">
        <v>0</v>
      </c>
      <c r="Q785" t="n">
        <v>0</v>
      </c>
      <c r="R785" s="2" t="inlineStr"/>
    </row>
    <row r="786" ht="15" customHeight="1">
      <c r="A786" t="inlineStr">
        <is>
          <t>A 68236-2019</t>
        </is>
      </c>
      <c r="B786" s="1" t="n">
        <v>43817</v>
      </c>
      <c r="C786" s="1" t="n">
        <v>45512</v>
      </c>
      <c r="D786" t="inlineStr">
        <is>
          <t>STOCKHOLMS LÄN</t>
        </is>
      </c>
      <c r="E786" t="inlineStr">
        <is>
          <t>UPPLANDS-BRO</t>
        </is>
      </c>
      <c r="G786" t="n">
        <v>0.9</v>
      </c>
      <c r="H786" t="n">
        <v>0</v>
      </c>
      <c r="I786" t="n">
        <v>0</v>
      </c>
      <c r="J786" t="n">
        <v>0</v>
      </c>
      <c r="K786" t="n">
        <v>0</v>
      </c>
      <c r="L786" t="n">
        <v>0</v>
      </c>
      <c r="M786" t="n">
        <v>0</v>
      </c>
      <c r="N786" t="n">
        <v>0</v>
      </c>
      <c r="O786" t="n">
        <v>0</v>
      </c>
      <c r="P786" t="n">
        <v>0</v>
      </c>
      <c r="Q786" t="n">
        <v>0</v>
      </c>
      <c r="R786" s="2" t="inlineStr"/>
    </row>
    <row r="787" ht="15" customHeight="1">
      <c r="A787" t="inlineStr">
        <is>
          <t>A 68104-2019</t>
        </is>
      </c>
      <c r="B787" s="1" t="n">
        <v>43817</v>
      </c>
      <c r="C787" s="1" t="n">
        <v>45512</v>
      </c>
      <c r="D787" t="inlineStr">
        <is>
          <t>STOCKHOLMS LÄN</t>
        </is>
      </c>
      <c r="E787" t="inlineStr">
        <is>
          <t>ÖSTERÅKER</t>
        </is>
      </c>
      <c r="G787" t="n">
        <v>8.4</v>
      </c>
      <c r="H787" t="n">
        <v>0</v>
      </c>
      <c r="I787" t="n">
        <v>0</v>
      </c>
      <c r="J787" t="n">
        <v>0</v>
      </c>
      <c r="K787" t="n">
        <v>0</v>
      </c>
      <c r="L787" t="n">
        <v>0</v>
      </c>
      <c r="M787" t="n">
        <v>0</v>
      </c>
      <c r="N787" t="n">
        <v>0</v>
      </c>
      <c r="O787" t="n">
        <v>0</v>
      </c>
      <c r="P787" t="n">
        <v>0</v>
      </c>
      <c r="Q787" t="n">
        <v>0</v>
      </c>
      <c r="R787" s="2" t="inlineStr"/>
    </row>
    <row r="788" ht="15" customHeight="1">
      <c r="A788" t="inlineStr">
        <is>
          <t>A 68825-2019</t>
        </is>
      </c>
      <c r="B788" s="1" t="n">
        <v>43819</v>
      </c>
      <c r="C788" s="1" t="n">
        <v>45512</v>
      </c>
      <c r="D788" t="inlineStr">
        <is>
          <t>STOCKHOLMS LÄN</t>
        </is>
      </c>
      <c r="E788" t="inlineStr">
        <is>
          <t>SIGTUNA</t>
        </is>
      </c>
      <c r="F788" t="inlineStr">
        <is>
          <t>Kyrkan</t>
        </is>
      </c>
      <c r="G788" t="n">
        <v>7.6</v>
      </c>
      <c r="H788" t="n">
        <v>0</v>
      </c>
      <c r="I788" t="n">
        <v>0</v>
      </c>
      <c r="J788" t="n">
        <v>0</v>
      </c>
      <c r="K788" t="n">
        <v>0</v>
      </c>
      <c r="L788" t="n">
        <v>0</v>
      </c>
      <c r="M788" t="n">
        <v>0</v>
      </c>
      <c r="N788" t="n">
        <v>0</v>
      </c>
      <c r="O788" t="n">
        <v>0</v>
      </c>
      <c r="P788" t="n">
        <v>0</v>
      </c>
      <c r="Q788" t="n">
        <v>0</v>
      </c>
      <c r="R788" s="2" t="inlineStr"/>
    </row>
    <row r="789" ht="15" customHeight="1">
      <c r="A789" t="inlineStr">
        <is>
          <t>A 68826-2019</t>
        </is>
      </c>
      <c r="B789" s="1" t="n">
        <v>43819</v>
      </c>
      <c r="C789" s="1" t="n">
        <v>45512</v>
      </c>
      <c r="D789" t="inlineStr">
        <is>
          <t>STOCKHOLMS LÄN</t>
        </is>
      </c>
      <c r="E789" t="inlineStr">
        <is>
          <t>SIGTUNA</t>
        </is>
      </c>
      <c r="F789" t="inlineStr">
        <is>
          <t>Kyrkan</t>
        </is>
      </c>
      <c r="G789" t="n">
        <v>4.6</v>
      </c>
      <c r="H789" t="n">
        <v>0</v>
      </c>
      <c r="I789" t="n">
        <v>0</v>
      </c>
      <c r="J789" t="n">
        <v>0</v>
      </c>
      <c r="K789" t="n">
        <v>0</v>
      </c>
      <c r="L789" t="n">
        <v>0</v>
      </c>
      <c r="M789" t="n">
        <v>0</v>
      </c>
      <c r="N789" t="n">
        <v>0</v>
      </c>
      <c r="O789" t="n">
        <v>0</v>
      </c>
      <c r="P789" t="n">
        <v>0</v>
      </c>
      <c r="Q789" t="n">
        <v>0</v>
      </c>
      <c r="R789" s="2" t="inlineStr"/>
    </row>
    <row r="790" ht="15" customHeight="1">
      <c r="A790" t="inlineStr">
        <is>
          <t>A 68829-2019</t>
        </is>
      </c>
      <c r="B790" s="1" t="n">
        <v>43819</v>
      </c>
      <c r="C790" s="1" t="n">
        <v>45512</v>
      </c>
      <c r="D790" t="inlineStr">
        <is>
          <t>STOCKHOLMS LÄN</t>
        </is>
      </c>
      <c r="E790" t="inlineStr">
        <is>
          <t>SIGTUNA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68865-2019</t>
        </is>
      </c>
      <c r="B791" s="1" t="n">
        <v>43821</v>
      </c>
      <c r="C791" s="1" t="n">
        <v>45512</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1099-2020</t>
        </is>
      </c>
      <c r="B792" s="1" t="n">
        <v>43822</v>
      </c>
      <c r="C792" s="1" t="n">
        <v>45512</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292-2020</t>
        </is>
      </c>
      <c r="B793" s="1" t="n">
        <v>43837</v>
      </c>
      <c r="C793" s="1" t="n">
        <v>45512</v>
      </c>
      <c r="D793" t="inlineStr">
        <is>
          <t>STOCKHOLMS LÄN</t>
        </is>
      </c>
      <c r="E793" t="inlineStr">
        <is>
          <t>EKERÖ</t>
        </is>
      </c>
      <c r="G793" t="n">
        <v>4.1</v>
      </c>
      <c r="H793" t="n">
        <v>0</v>
      </c>
      <c r="I793" t="n">
        <v>0</v>
      </c>
      <c r="J793" t="n">
        <v>0</v>
      </c>
      <c r="K793" t="n">
        <v>0</v>
      </c>
      <c r="L793" t="n">
        <v>0</v>
      </c>
      <c r="M793" t="n">
        <v>0</v>
      </c>
      <c r="N793" t="n">
        <v>0</v>
      </c>
      <c r="O793" t="n">
        <v>0</v>
      </c>
      <c r="P793" t="n">
        <v>0</v>
      </c>
      <c r="Q793" t="n">
        <v>0</v>
      </c>
      <c r="R793" s="2" t="inlineStr"/>
    </row>
    <row r="794" ht="15" customHeight="1">
      <c r="A794" t="inlineStr">
        <is>
          <t>A 461-2020</t>
        </is>
      </c>
      <c r="B794" s="1" t="n">
        <v>43837</v>
      </c>
      <c r="C794" s="1" t="n">
        <v>45512</v>
      </c>
      <c r="D794" t="inlineStr">
        <is>
          <t>STOCKHOLMS LÄN</t>
        </is>
      </c>
      <c r="E794" t="inlineStr">
        <is>
          <t>NYNÄSHAMN</t>
        </is>
      </c>
      <c r="G794" t="n">
        <v>1.1</v>
      </c>
      <c r="H794" t="n">
        <v>0</v>
      </c>
      <c r="I794" t="n">
        <v>0</v>
      </c>
      <c r="J794" t="n">
        <v>0</v>
      </c>
      <c r="K794" t="n">
        <v>0</v>
      </c>
      <c r="L794" t="n">
        <v>0</v>
      </c>
      <c r="M794" t="n">
        <v>0</v>
      </c>
      <c r="N794" t="n">
        <v>0</v>
      </c>
      <c r="O794" t="n">
        <v>0</v>
      </c>
      <c r="P794" t="n">
        <v>0</v>
      </c>
      <c r="Q794" t="n">
        <v>0</v>
      </c>
      <c r="R794" s="2" t="inlineStr"/>
    </row>
    <row r="795" ht="15" customHeight="1">
      <c r="A795" t="inlineStr">
        <is>
          <t>A 464-2020</t>
        </is>
      </c>
      <c r="B795" s="1" t="n">
        <v>43837</v>
      </c>
      <c r="C795" s="1" t="n">
        <v>45512</v>
      </c>
      <c r="D795" t="inlineStr">
        <is>
          <t>STOCKHOLMS LÄN</t>
        </is>
      </c>
      <c r="E795" t="inlineStr">
        <is>
          <t>NYNÄSHAMN</t>
        </is>
      </c>
      <c r="G795" t="n">
        <v>1.1</v>
      </c>
      <c r="H795" t="n">
        <v>0</v>
      </c>
      <c r="I795" t="n">
        <v>0</v>
      </c>
      <c r="J795" t="n">
        <v>0</v>
      </c>
      <c r="K795" t="n">
        <v>0</v>
      </c>
      <c r="L795" t="n">
        <v>0</v>
      </c>
      <c r="M795" t="n">
        <v>0</v>
      </c>
      <c r="N795" t="n">
        <v>0</v>
      </c>
      <c r="O795" t="n">
        <v>0</v>
      </c>
      <c r="P795" t="n">
        <v>0</v>
      </c>
      <c r="Q795" t="n">
        <v>0</v>
      </c>
      <c r="R795" s="2" t="inlineStr"/>
    </row>
    <row r="796" ht="15" customHeight="1">
      <c r="A796" t="inlineStr">
        <is>
          <t>A 630-2020</t>
        </is>
      </c>
      <c r="B796" s="1" t="n">
        <v>43838</v>
      </c>
      <c r="C796" s="1" t="n">
        <v>45512</v>
      </c>
      <c r="D796" t="inlineStr">
        <is>
          <t>STOCKHOLMS LÄN</t>
        </is>
      </c>
      <c r="E796" t="inlineStr">
        <is>
          <t>SÖDERTÄLJE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2559-2020</t>
        </is>
      </c>
      <c r="B797" s="1" t="n">
        <v>43843</v>
      </c>
      <c r="C797" s="1" t="n">
        <v>45512</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1388-2020</t>
        </is>
      </c>
      <c r="B798" s="1" t="n">
        <v>43843</v>
      </c>
      <c r="C798" s="1" t="n">
        <v>45512</v>
      </c>
      <c r="D798" t="inlineStr">
        <is>
          <t>STOCKHOLMS LÄN</t>
        </is>
      </c>
      <c r="E798" t="inlineStr">
        <is>
          <t>VÄRMDÖ</t>
        </is>
      </c>
      <c r="F798" t="inlineStr">
        <is>
          <t>Övriga statliga verk och myndigheter</t>
        </is>
      </c>
      <c r="G798" t="n">
        <v>2.1</v>
      </c>
      <c r="H798" t="n">
        <v>0</v>
      </c>
      <c r="I798" t="n">
        <v>0</v>
      </c>
      <c r="J798" t="n">
        <v>0</v>
      </c>
      <c r="K798" t="n">
        <v>0</v>
      </c>
      <c r="L798" t="n">
        <v>0</v>
      </c>
      <c r="M798" t="n">
        <v>0</v>
      </c>
      <c r="N798" t="n">
        <v>0</v>
      </c>
      <c r="O798" t="n">
        <v>0</v>
      </c>
      <c r="P798" t="n">
        <v>0</v>
      </c>
      <c r="Q798" t="n">
        <v>0</v>
      </c>
      <c r="R798" s="2" t="inlineStr"/>
    </row>
    <row r="799" ht="15" customHeight="1">
      <c r="A799" t="inlineStr">
        <is>
          <t>A 1669-2020</t>
        </is>
      </c>
      <c r="B799" s="1" t="n">
        <v>43844</v>
      </c>
      <c r="C799" s="1" t="n">
        <v>45512</v>
      </c>
      <c r="D799" t="inlineStr">
        <is>
          <t>STOCKHOLMS LÄN</t>
        </is>
      </c>
      <c r="E799" t="inlineStr">
        <is>
          <t>NYNÄSHAMN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1789-2020</t>
        </is>
      </c>
      <c r="B800" s="1" t="n">
        <v>43844</v>
      </c>
      <c r="C800" s="1" t="n">
        <v>45512</v>
      </c>
      <c r="D800" t="inlineStr">
        <is>
          <t>STOCKHOLMS LÄN</t>
        </is>
      </c>
      <c r="E800" t="inlineStr">
        <is>
          <t>NYNÄSHAMN</t>
        </is>
      </c>
      <c r="F800" t="inlineStr">
        <is>
          <t>Övriga statliga verk och myndigheter</t>
        </is>
      </c>
      <c r="G800" t="n">
        <v>6.4</v>
      </c>
      <c r="H800" t="n">
        <v>0</v>
      </c>
      <c r="I800" t="n">
        <v>0</v>
      </c>
      <c r="J800" t="n">
        <v>0</v>
      </c>
      <c r="K800" t="n">
        <v>0</v>
      </c>
      <c r="L800" t="n">
        <v>0</v>
      </c>
      <c r="M800" t="n">
        <v>0</v>
      </c>
      <c r="N800" t="n">
        <v>0</v>
      </c>
      <c r="O800" t="n">
        <v>0</v>
      </c>
      <c r="P800" t="n">
        <v>0</v>
      </c>
      <c r="Q800" t="n">
        <v>0</v>
      </c>
      <c r="R800" s="2" t="inlineStr"/>
    </row>
    <row r="801" ht="15" customHeight="1">
      <c r="A801" t="inlineStr">
        <is>
          <t>A 1811-2020</t>
        </is>
      </c>
      <c r="B801" s="1" t="n">
        <v>43844</v>
      </c>
      <c r="C801" s="1" t="n">
        <v>45512</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2554-2020</t>
        </is>
      </c>
      <c r="B802" s="1" t="n">
        <v>43847</v>
      </c>
      <c r="C802" s="1" t="n">
        <v>45512</v>
      </c>
      <c r="D802" t="inlineStr">
        <is>
          <t>STOCKHOLMS LÄN</t>
        </is>
      </c>
      <c r="E802" t="inlineStr">
        <is>
          <t>BOTKYRKA</t>
        </is>
      </c>
      <c r="G802" t="n">
        <v>3.3</v>
      </c>
      <c r="H802" t="n">
        <v>0</v>
      </c>
      <c r="I802" t="n">
        <v>0</v>
      </c>
      <c r="J802" t="n">
        <v>0</v>
      </c>
      <c r="K802" t="n">
        <v>0</v>
      </c>
      <c r="L802" t="n">
        <v>0</v>
      </c>
      <c r="M802" t="n">
        <v>0</v>
      </c>
      <c r="N802" t="n">
        <v>0</v>
      </c>
      <c r="O802" t="n">
        <v>0</v>
      </c>
      <c r="P802" t="n">
        <v>0</v>
      </c>
      <c r="Q802" t="n">
        <v>0</v>
      </c>
      <c r="R802" s="2" t="inlineStr"/>
    </row>
    <row r="803" ht="15" customHeight="1">
      <c r="A803" t="inlineStr">
        <is>
          <t>A 2671-2020</t>
        </is>
      </c>
      <c r="B803" s="1" t="n">
        <v>43849</v>
      </c>
      <c r="C803" s="1" t="n">
        <v>45512</v>
      </c>
      <c r="D803" t="inlineStr">
        <is>
          <t>STOCKHOLMS LÄN</t>
        </is>
      </c>
      <c r="E803" t="inlineStr">
        <is>
          <t>NYNÄSHAMN</t>
        </is>
      </c>
      <c r="G803" t="n">
        <v>1.6</v>
      </c>
      <c r="H803" t="n">
        <v>0</v>
      </c>
      <c r="I803" t="n">
        <v>0</v>
      </c>
      <c r="J803" t="n">
        <v>0</v>
      </c>
      <c r="K803" t="n">
        <v>0</v>
      </c>
      <c r="L803" t="n">
        <v>0</v>
      </c>
      <c r="M803" t="n">
        <v>0</v>
      </c>
      <c r="N803" t="n">
        <v>0</v>
      </c>
      <c r="O803" t="n">
        <v>0</v>
      </c>
      <c r="P803" t="n">
        <v>0</v>
      </c>
      <c r="Q803" t="n">
        <v>0</v>
      </c>
      <c r="R803" s="2" t="inlineStr"/>
    </row>
    <row r="804" ht="15" customHeight="1">
      <c r="A804" t="inlineStr">
        <is>
          <t>A 4475-2020</t>
        </is>
      </c>
      <c r="B804" s="1" t="n">
        <v>43849</v>
      </c>
      <c r="C804" s="1" t="n">
        <v>45512</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45512</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45512</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45512</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45512</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45512</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45512</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45512</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45512</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45512</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45512</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45512</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45512</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45512</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45512</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45512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45512</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45512</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45512</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45512</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45512</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45512</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45512</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45512</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45512</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45512</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45512</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45512</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45512</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45512</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45512</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45512</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45512</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45512</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45512</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45512</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45512</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45512</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45512</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45512</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45512</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45512</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45512</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45512</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45512</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45512</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45512</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45512</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45512</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45512</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45512</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45512</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45512</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45512</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45512</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45512</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45512</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45512</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45512</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45512</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45512</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45512</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45512</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45512</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45512</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45512</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45512</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45512</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45512</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45512</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45512</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45512</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45512</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45512</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45512</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45512</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45512</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45512</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45512</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45512</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45512</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45512</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45512</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45512</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45512</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45512</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45512</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45512</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45512</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45512</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45512</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45512</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45512</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45512</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45512</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45512</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45512</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45512</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45512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45512</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45512</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45512</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45512</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45512</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45512</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45512</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45512</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45512</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45512</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45512</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45512</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45512</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45512</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45512</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45512</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45512</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45512</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45512</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45512</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45512</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45512</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45512</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45512</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45512</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45512</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45512</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45512</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45512</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45512</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45512</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45512</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45512</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45512</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45512</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45512</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45512</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45512</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45512</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45512</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45512</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45512</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45512</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45512</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45512</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45512</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45512</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45512</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45512</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45512</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45512</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45512</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45512</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45512</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45512</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45512</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45512</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45512</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45512</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45512</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45512</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45512</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45512</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45512</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45512</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45512</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45512</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45512</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45512</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45512</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45512</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45512</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45512</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45512</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45512</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45512</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45512</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45512</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45512</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45512</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45512</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45512</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45512</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45512</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45512</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45512</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45512</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45512</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45512</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45512</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45512</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45512</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45512</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45512</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45512</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45512</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45512</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45512</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45512</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45512</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45512</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45512</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45512</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45512</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45512</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45512</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45512</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45512</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45512</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45512</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45512</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45512</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45512</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45512</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45512</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45512</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45512</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45512</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45512</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45512</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45512</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45512</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45512</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45512</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45512</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45512</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45512</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45512</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45512</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45512</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45512</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45512</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45512</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45512</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45512</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45512</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45512</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45512</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45512</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45512</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45512</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45512</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45512</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45512</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45512</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45512</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45512</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45512</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45512</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45512</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45512</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45512</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45512</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45512</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45512</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45512</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45512</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45512</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45512</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45512</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45512</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45512</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45512</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45512</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45512</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45512</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45512</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45512</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45512</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45512</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45512</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45512</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45512</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45512</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45512</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45512</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45512</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45512</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45512</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45512</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45512</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45512</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45512</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45512</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45512</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45512</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45512</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45512</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45512</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45512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45512</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45512</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45512</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45512</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45512</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45512</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45512</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45512</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45512</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45512</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45512</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45512</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45512</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45512</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45512</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45512</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45512</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45512</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45512</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45512</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45512</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45512</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45512</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45512</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45512</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45512</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45512</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45512</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45512</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45512</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45512</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45512</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45512</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45512</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45512</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45512</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45512</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45512</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45512</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45512</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45512</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45512</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45512</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45512</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45512</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45512</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45512</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45512</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45512</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45512</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45512</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45512</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45512</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45512</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45512</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45512</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45512</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45512</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45512</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45512</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45512</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45512</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45512</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45512</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45512</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45512</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45512</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45512</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45512</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45512</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45512</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45512</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45512</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45512</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45512</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45512</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45512</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45512</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45512</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45512</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45512</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45512</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45512</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45512</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45512</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45512</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45512</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45512</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45512</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45512</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45512</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45512</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45512</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45512</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45512</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45512</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45512</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45512</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45512</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45512</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45512</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45512</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45512</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45512</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45512</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45512</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45512</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45512</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45512</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45512</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45512</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45512</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45512</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45512</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45512</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45512</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45512</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45512</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45512</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45512</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45512</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45512</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45512</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45512</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45512</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45512</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45512</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45512</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45512</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45512</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45512</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45512</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45512</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45512</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45512</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45512</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45512</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45512</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45512</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45512</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45512</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45512</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45512</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45512</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45512</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45512</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45512</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45512</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45512</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45512</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45512</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45512</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45512</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45512</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45512</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45512</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45512</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45512</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45512</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45512</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45512</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45512</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45512</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45512</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45512</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45512</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45512</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45512</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45512</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45512</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45512</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45512</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45512</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45512</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45512</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45512</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45512</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45512</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45512</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45512</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45512</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45512</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45512</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45512</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45512</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45512</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45512</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45512</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45512</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45512</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45512</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45512</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45512</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45512</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45512</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45512</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45512</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45512</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45512</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45512</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45512</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45512</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45512</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45512</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45512</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45512</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45512</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45512</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45512</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45512</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45512</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45512</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45512</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45512</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45512</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45512</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45512</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45512</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45512</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45512</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45512</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45512</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45512</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45512</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45512</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45512</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45512</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45512</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45512</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45512</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45512</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45512</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45512</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45512</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45512</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45512</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45512</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45512</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45512</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45512</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45512</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45512</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45512</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45512</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45512</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45512</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45512</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45512</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45512</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45512</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45512</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45512</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45512</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45512</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45512</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45512</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45512</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45512</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45512</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45512</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45512</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45512</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45512</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45512</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45512</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45512</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45512</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45512</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45512</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45512</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45512</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45512</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45512</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45512</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45512</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45512</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45512</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45512</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45512</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45512</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45512</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45512</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45512</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45512</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45512</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45512</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45512</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45512</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45512</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45512</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45512</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45512</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45512</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45512</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45512</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45512</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45512</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45512</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45512</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45512</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45512</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45512</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45512</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45512</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45512</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45512</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45512</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45512</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45512</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45512</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45512</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45512</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45512</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45512</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45512</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45512</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45512</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45512</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45512</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45512</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45512</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45512</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45512</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45512</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45512</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45512</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45512</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45512</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45512</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45512</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45512</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45512</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45512</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45512</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45512</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45512</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45512</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45512</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45512</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45512</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45512</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45512</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45512</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45512</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45512</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45512</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45512</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45512</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45512</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45512</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45512</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45512</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45512</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45512</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45512</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45512</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45512</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45512</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45512</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45512</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45512</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45512</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45512</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45512</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45512</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45512</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45512</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45512</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45512</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45512</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45512</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45512</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45512</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45512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45512</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45512</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45512</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45512</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45512</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45512</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45512</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45512</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45512</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45512</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45512</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45512</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45512</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45512</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45512</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45512</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45512</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45512</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45512</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45512</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45512</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45512</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45512</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45512</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45512</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45512</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45512</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45512</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45512</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45512</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45512</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45512</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45512</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45512</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45512</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45512</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45512</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45512</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45512</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45512</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45512</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45512</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45512</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45512</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45512</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45512</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45512</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45512</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45512</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45512</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45512</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45512</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45512</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45512</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45512</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45512</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45512</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45512</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45512</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45512</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45512</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45512</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45512</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45512</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45512</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45512</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45512</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45512</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45512</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45512</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45512</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45512</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45512</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45512</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45512</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45512</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45512</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45512</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45512</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45512</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45512</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45512</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45512</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45512</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45512</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45512</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45512</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45512</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45512</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45512</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45512</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45512</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45512</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45512</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45512</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45512</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45512</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45512</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45512</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45512</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45512</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45512</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45512</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45512</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45512</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45512</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45512</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45512</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45512</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45512</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45512</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45512</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45512</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45512</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45512</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45512</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45512</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45512</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45512</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45512</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45512</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45512</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45512</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45512</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45512</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45512</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45512</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45512</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45512</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45512</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45512</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45512</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45512</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45512</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45512</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45512</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45512</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45512</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45512</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45512</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45512</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45512</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45512</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45512</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45512</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45512</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45512</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45512</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45512</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45512</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45512</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45512</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45512</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45512</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45512</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45512</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45512</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45512</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45512</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45512</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45512</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45512</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45512</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45512</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45512</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45512</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45512</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45512</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45512</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45512</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45512</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45512</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45512</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45512</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45512</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45512</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45512</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45512</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45512</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45512</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45512</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45512</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45512</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45512</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45512</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45512</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45512</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45512</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45512</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45512</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45512</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45512</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45512</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45512</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45512</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45512</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45512</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45512</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45512</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45512</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45512</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45512</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45512</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45512</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45512</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45512</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45512</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45512</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45512</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45512</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45512</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45512</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45512</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45512</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45512</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45512</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45512</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45512</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45512</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45512</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45512</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45512</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45512</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45512</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45512</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45512</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45512</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45512</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45512</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45512</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45512</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45512</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45512</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45512</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45512</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45512</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45512</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45512</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45512</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45512</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45512</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45512</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45512</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45512</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45512</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45512</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45512</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45512</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45512</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45512</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45512</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45512</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45512</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45512</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45512</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45512</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45512</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45512</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45512</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45512</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45512</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45512</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45512</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45512</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45512</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45512</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45512</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45512</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45512</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45512</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45512</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45512</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45512</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45512</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45512</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45512</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45512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45512</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45512</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45512</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45512</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45512</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45512</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45512</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45512</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45512</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45512</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45512</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45512</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45512</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45512</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45512</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45512</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45512</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45512</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45512</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45512</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45512</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45512</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45512</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45512</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45512</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45512</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45512</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45512</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45512</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45512</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45512</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45512</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45512</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45512</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45512</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45512</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45512</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45512</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45512</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45512</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45512</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45512</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45512</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45512</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45512</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45512</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45512</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45512</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45512</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45512</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45512</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45512</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45512</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45512</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45512</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45512</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45512</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45512</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45512</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45512</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45512</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45512</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45512</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45512</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45512</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45512</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45512</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45512</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45512</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45512</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45512</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45512</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45512</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45512</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45512</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45512</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45512</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45512</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45512</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45512</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45512</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45512</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45512</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45512</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45512</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45512</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45512</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45512</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45512</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45512</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45512</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45512</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45512</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45512</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45512</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45512</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45512</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45512</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45512</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45512</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45512</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45512</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45512</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45512</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45512</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45512</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45512</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45512</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45512</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45512</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45512</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45512</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45512</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45512</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45512</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45512</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45512</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45512</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45512</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45512</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45512</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45512</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45512</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45512</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45512</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45512</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45512</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45512</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45512</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45512</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45512</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45512</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45512</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45512</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45512</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45512</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45512</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45512</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45512</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45512</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45512</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45512</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45512</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45512</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45512</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45512</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45512</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45512</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45512</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45512</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45512</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45512</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45512</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45512</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45512</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45512</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45512</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45512</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45512</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45512</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45512</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45512</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45512</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45512</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45512</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45512</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45512</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45512</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45512</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45512</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45512</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45512</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45512</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45512</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45512</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45512</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45512</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45512</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45512</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45512</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45512</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45512</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45512</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45512</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45512</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45512</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45512</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45512</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45512</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45512</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45512</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45512</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45512</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45512</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45512</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45512</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45512</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45512</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45512</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45512</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45512</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45512</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45512</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45512</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45512</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45512</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45512</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45512</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45512</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45512</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45512</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45512</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45512</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45512</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45512</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45512</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45512</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45512</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45512</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45512</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45512</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45512</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45512</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45512</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45512</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45512</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45512</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45512</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45512</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45512</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45512</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45512</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45512</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45512</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45512</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45512</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45512</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45512</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45512</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45512</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45512</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45512</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45512</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45512</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45512</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45512</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45512</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45512</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45512</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45512</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45512</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45512</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45512</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45512</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45512</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45512</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45512</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45512</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45512</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45512</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45512</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45512</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45512</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45512</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45512</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45512</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45512</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45512</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45512</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45512</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45512</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45512</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45512</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45512</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45512</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45512</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45512</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45512</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45512</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45512</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45512</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45512</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45512</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45512</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45512</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45512</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45512</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45512</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45512</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45512</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45512</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45512</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45512</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45512</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45512</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45512</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45512</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45512</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45512</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45512</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45512</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45512</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45512</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45512</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45512</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45512</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45512</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45512</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45512</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45512</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45512</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45512</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45512</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45512</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45512</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45512</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45512</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45512</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45512</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45512</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45512</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45512</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45512</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45512</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45512</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45512</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45512</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45512</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45512</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45512</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45512</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45512</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45512</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45512</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45512</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45512</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45512</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45512</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45512</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45512</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45512</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45512</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45512</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45512</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45512</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45512</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45512</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45512</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45512</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45512</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45512</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45512</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45512</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45512</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45512</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45512</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45512</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45512</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45512</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45512</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45512</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45512</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45512</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45512</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45512</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45512</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45512</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45512</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45512</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45512</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45512</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45512</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45512</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45512</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45512</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45512</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45512</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45512</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45512</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45512</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45512</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45512</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45512</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45512</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45512</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45512</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45512</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45512</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45512</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45512</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45512</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45512</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45512</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45512</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45512</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45512</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45512</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45512</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45512</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45512</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45512</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45512</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45512</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45512</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45512</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45512</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45512</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45512</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45512</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45512</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45512</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45512</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45512</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45512</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45512</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45512</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45512</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45512</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45512</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45512</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45512</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45512</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45512</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45512</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45512</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45512</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45512</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45512</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45512</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45512</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45512</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45512</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45512</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45512</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45512</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45512</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45512</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45512</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45512</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45512</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45512</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45512</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45512</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45512</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45512</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45512</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45512</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45512</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45512</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45512</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45512</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45512</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45512</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45512</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45512</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45512</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45512</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45512</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45512</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45512</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45512</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45512</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45512</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45512</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45512</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45512</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45512</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45512</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45512</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45512</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45512</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45512</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45512</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45512</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45512</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45512</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45512</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45512</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45512</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45512</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45512</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45512</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45512</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45512</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45512</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45512</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45512</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45512</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45512</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45512</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45512</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45512</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45512</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45512</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45512</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45512</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45512</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45512</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45512</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45512</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45512</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45512</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45512</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45512</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45512</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45512</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45512</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45512</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45512</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45512</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45512</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45512</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45512</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45512</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45512</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45512</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45512</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45512</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45512</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45512</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45512</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45512</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45512</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45512</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45512</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45512</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45512</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45512</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45512</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45512</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45512</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45512</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45512</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45512</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45512</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45512</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45512</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45512</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45512</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45512</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45512</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45512</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45512</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45512</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45512</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45512</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45512</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45512</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45512</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45512</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45512</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45512</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45512</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45512</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45512</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45512</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45512</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45512</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45512</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45512</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45512</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45512</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45512</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45512</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45512</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45512</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45512</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45512</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45512</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45512</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45512</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45512</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45512</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45512</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45512</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45512</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45512</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45512</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45512</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45512</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45512</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45512</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45512</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45512</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45512</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45512</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45512</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45512</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45512</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45512</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45512</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45512</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45512</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45512</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45512</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45512</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45512</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45512</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45512</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45512</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45512</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45512</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45512</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45512</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45512</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45512</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45512</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45512</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45512</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45512</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45512</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45512</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45512</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45512</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45512</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45512</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45512</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45512</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45512</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45512</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45512</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45512</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45512</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45512</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45512</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45512</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45512</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45512</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45512</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45512</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45512</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45512</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45512</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45512</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45512</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45512</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45512</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45512</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45512</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45512</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45512</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45512</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45512</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45512</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45512</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45512</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45512</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45512</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45512</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45512</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45512</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45512</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45512</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45512</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45512</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45512</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45512</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45512</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45512</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45512</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45512</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45512</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45512</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45512</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45512</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45512</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45512</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45512</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45512</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45512</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45512</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45512</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45512</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45512</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45512</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45512</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45512</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45512</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45512</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45512</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45512</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45512</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45512</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45512</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45512</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45512</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45512</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45512</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45512</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45512</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45512</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45512</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45512</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45512</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45512</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45512</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45512</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45512</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45512</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45512</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45512</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45512</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45512</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45512</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45512</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45512</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45512</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45512</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45512</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45512</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45512</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45512</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45512</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45512</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45512</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45512</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45512</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45512</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45512</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45512</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45512</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45512</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45512</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45512</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45512</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45512</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45512</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45512</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45512</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45512</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45512</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45512</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45512</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45512</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45512</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45512</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45512</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45512</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45512</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45512</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45512</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45512</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45512</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45512</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45512</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45512</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45512</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45512</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45512</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45512</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45512</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45512</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45512</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45512</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45512</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45512</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45512</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45512</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45512</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45512</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45512</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45512</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45512</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45512</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45512</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45512</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45512</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45512</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45512</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45512</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45512</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45512</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45512</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45512</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45512</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45512</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45512</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45512</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45512</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45512</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45512</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45512</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45512</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45512</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45512</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45512</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45512</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45512</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45512</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45512</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45512</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45512</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45512</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45512</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45512</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45512</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45512</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45512</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45512</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45512</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45512</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45512</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45512</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45512</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45512</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45512</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45512</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45512</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45512</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45512</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45512</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45512</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45512</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45512</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45512</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45512</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45512</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45512</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45512</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45512</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45512</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45512</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45512</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45512</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45512</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45512</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45512</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45512</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45512</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45512</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45512</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45512</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45512</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45512</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45512</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45512</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45512</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45512</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45512</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45512</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45512</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45512</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45512</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45512</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45512</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45512</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45512</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45512</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45512</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45512</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45512</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45512</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45512</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45512</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45512</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45512</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45512</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45512</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45512</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45512</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45512</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45512</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45512</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45512</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45512</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45512</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45512</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45512</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45512</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45512</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45512</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45512</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45512</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45512</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45512</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45512</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45512</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45512</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45512</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45512</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45512</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45512</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45512</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45512</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45512</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45512</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45512</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45512</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45512</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45512</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45512</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45512</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45512</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45512</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45512</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45512</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45512</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45512</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45512</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45512</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45512</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45512</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45512</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45512</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45512</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45512</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45512</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45512</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45512</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45512</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45512</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45512</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45512</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45512</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45512</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45512</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45512</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45512</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45512</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45512</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45512</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45512</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45512</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45512</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45512</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45512</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45512</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45512</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45512</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45512</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45512</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45512</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45512</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45512</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45512</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45512</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45512</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45512</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45512</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45512</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45512</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45512</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45512</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45512</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45512</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45512</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45512</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45512</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45512</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45512</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45512</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45512</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45512</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45512</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45512</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45512</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45512</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45512</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45512</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45512</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45512</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45512</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45512</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45512</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45512</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45512</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45512</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45512</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45512</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45512</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45512</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45512</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45512</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45512</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45512</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45512</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45512</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45512</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45512</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45512</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45512</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45512</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45512</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45512</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45512</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45512</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45512</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45512</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45512</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45512</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45512</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45512</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45512</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45512</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45512</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45512</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45512</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45512</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45512</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45512</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45512</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45512</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45512</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45512</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45512</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45512</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45512</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45512</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45512</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45512</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45512</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45512</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45512</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45512</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45512</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45512</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45512</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45512</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45512</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45512</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45512</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45512</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45512</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45512</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45512</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45512</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45512</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45512</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45512</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45512</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45512</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45512</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45512</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45512</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45512</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45512</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45512</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45512</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45512</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45512</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45512</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45512</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45512</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45512</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45512</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45512</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45512</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45512</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45512</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45512</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45512</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45512</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45512</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45512</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45512</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45512</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45512</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45512</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45512</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45512</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45512</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45512</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45512</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45512</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45512</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45512</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45512</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45512</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45512</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45512</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45512</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45512</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45512</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45512</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45512</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45512</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45512</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45512</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45512</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45512</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45512</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45512</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45512</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45512</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45512</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45512</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45512</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45512</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45512</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45512</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45512</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45512</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45512</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45512</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45512</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45512</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45512</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45512</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45512</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45512</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45512</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45512</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45512</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45512</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45512</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45512</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45512</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45512</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45512</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45512</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45512</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45512</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45512</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45512</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45512</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45512</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45512</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45512</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45512</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45512</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45512</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45512</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45512</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45512</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45512</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45512</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45512</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45512</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45512</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45512</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45512</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45512</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45512</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45512</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45512</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45512</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45512</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45512</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45512</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45512</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45512</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45512</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45512</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45512</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45512</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45512</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45512</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45512</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45512</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45512</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45512</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45512</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45512</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45512</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45512</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45512</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45512</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45512</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45512</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45512</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45512</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45512</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45512</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45512</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45512</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45512</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45512</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45512</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45512</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45512</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45512</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45512</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45512</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45512</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45512</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45512</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45512</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45512</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45512</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45512</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45512</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45512</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45512</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45512</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45512</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45512</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45512</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45512</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45512</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45512</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45512</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45512</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45512</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45512</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45512</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45512</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45512</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45512</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45512</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45512</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45512</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45512</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45512</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45512</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45512</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45512</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45512</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45512</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45512</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45512</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45512</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45512</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45512</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45512</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45512</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45512</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45512</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45512</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45512</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45512</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45512</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45512</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45512</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45512</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45512</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45512</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45512</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45512</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45512</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45512</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45512</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45512</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45512</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45512</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45512</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45512</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45512</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45512</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45512</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45512</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45512</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45512</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45512</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45512</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45512</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45512</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45512</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45512</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45512</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45512</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45512</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45512</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45512</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45512</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45512</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45512</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45512</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45512</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45512</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45512</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45512</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45512</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45512</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45512</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45512</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45512</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45512</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45512</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45512</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45512</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45512</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45512</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45512</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45512</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45512</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45512</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45512</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45512</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45512</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45512</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45512</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45512</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45512</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45512</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45512</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45512</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45512</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45512</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45512</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45512</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45512</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45512</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45512</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45512</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45512</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45512</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45512</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45512</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45512</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45512</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45512</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45512</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45512</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45512</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45512</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45512</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45512</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45512</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45512</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45512</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45512</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45512</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45512</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45512</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45512</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45512</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45512</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45512</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45512</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45512</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45512</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45512</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45512</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45512</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45512</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45512</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45512</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45512</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45512</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45512</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45512</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45512</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45512</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45512</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45512</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45512</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45512</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45512</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45512</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45512</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45512</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45512</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45512</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45512</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45512</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45512</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45512</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45512</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45512</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45512</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45512</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45512</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45512</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45512</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45512</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45512</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45512</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45512</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45512</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45512</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45512</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45512</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45512</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45512</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45512</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45512</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45512</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45512</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45512</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45512</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45512</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45512</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45512</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45512</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45512</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45512</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45512</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45512</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45512</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45512</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45512</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45512</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45512</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45512</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45512</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45512</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45512</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45512</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45512</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45512</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45512</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45512</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45512</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45512</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45512</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45512</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45512</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45512</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45512</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45512</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45512</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45512</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45512</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45512</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45512</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45512</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45512</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45512</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45512</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45512</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45512</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45512</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45512</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45512</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45512</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45512</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45512</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45512</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45512</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45512</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45512</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45512</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45512</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45512</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45512</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45512</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45512</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45512</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45512</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45512</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45512</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45512</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45512</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45512</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45512</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45512</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45512</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45512</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45512</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45512</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45512</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45512</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45512</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45512</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45512</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45512</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45512</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45512</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45512</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45512</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45512</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45512</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45512</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45512</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45512</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45512</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45512</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45512</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45512</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45512</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45512</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45512</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45512</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45512</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45512</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45512</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45512</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45512</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45512</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45512</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45512</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45512</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45512</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45512</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45512</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45512</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45512</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45512</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45512</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45512</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45512</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45512</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45512</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45512</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45512</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45512</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45512</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45512</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45512</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45512</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45512</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45512</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45512</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45512</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45512</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45512</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45512</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45512</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45512</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45512</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45512</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45512</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45512</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45512</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45512</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45512</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45512</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45512</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45512</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45512</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45512</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45512</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45512</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45512</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45512</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45512</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45512</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45512</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45512</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45512</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45512</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45512</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45512</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45512</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45512</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45512</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45512</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45512</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45512</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45512</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45512</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45512</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45512</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45512</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45512</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45512</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45512</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45512</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45512</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45512</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45512</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45512</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45512</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45512</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45512</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45512</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45512</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45512</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45512</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45512</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45512</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45512</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45512</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45512</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45512</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45512</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45512</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45512</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45512</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45512</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45512</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45512</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45512</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45512</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45512</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45512</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45512</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45512</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45512</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45512</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45512</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45512</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45512</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45512</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45512</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45512</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45512</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45512</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45512</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45512</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45512</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45512</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45512</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45512</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45512</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45512</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45512</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45512</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45512</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45512</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45512</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45512</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45512</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45512</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45512</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45512</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45512</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45512</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45512</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45512</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45512</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45512</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45512</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45512</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45512</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45512</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45512</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45512</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45512</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45512</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45512</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45512</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45512</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45512</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45512</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45512</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45512</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45512</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45512</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45512</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45512</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45512</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45512</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45512</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45512</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45512</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45512</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45512</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45512</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45512</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45512</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45512</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45512</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45512</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45512</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45512</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45512</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45512</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45512</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45512</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45512</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45512</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45512</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45512</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45512</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45512</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45512</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45512</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45512</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45512</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45512</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45512</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45512</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45512</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45512</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45512</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45512</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45512</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45512</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45512</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45512</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45512</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45512</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45512</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45512</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45512</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45512</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45512</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45512</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45512</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45512</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45512</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45512</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45512</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45512</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45512</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45512</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45512</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45512</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45512</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45512</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45512</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45512</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45512</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45512</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45512</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45512</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45512</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45512</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45512</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45512</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45512</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45512</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45512</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45512</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45512</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45512</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45512</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45512</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45512</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45512</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45512</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45512</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45512</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45512</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45512</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45512</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45512</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45512</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45512</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45512</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45512</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45512</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45512</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45512</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45512</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45512</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45512</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45512</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45512</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45512</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45512</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45512</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45512</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45512</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45512</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45512</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45512</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45512</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45512</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45512</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45512</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45512</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45512</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45512</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45512</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45512</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45512</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45512</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45512</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45512</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45512</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45512</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45512</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45512</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45512</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45512</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45512</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45512</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45512</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45512</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45512</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45512</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45512</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45512</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45512</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45512</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45512</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45512</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45512</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45512</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45512</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45512</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45512</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45512</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45512</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45512</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45512</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45512</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45512</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45512</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45512</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45512</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45512</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45512</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45512</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45512</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45512</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45512</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45512</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45512</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45512</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45512</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45512</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45512</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45512</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45512</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45512</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45512</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45512</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45512</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45512</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45512</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45512</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45512</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45512</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45512</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45512</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45512</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45512</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45512</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45512</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29210-2024</t>
        </is>
      </c>
      <c r="B3546" s="1" t="n">
        <v>45482</v>
      </c>
      <c r="C3546" s="1" t="n">
        <v>45512</v>
      </c>
      <c r="D3546" t="inlineStr">
        <is>
          <t>STOCKHOLMS LÄN</t>
        </is>
      </c>
      <c r="E3546" t="inlineStr">
        <is>
          <t>NORRTÄLJE</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29176-2024</t>
        </is>
      </c>
      <c r="B3547" s="1" t="n">
        <v>45482</v>
      </c>
      <c r="C3547" s="1" t="n">
        <v>45512</v>
      </c>
      <c r="D3547" t="inlineStr">
        <is>
          <t>STOCKHOLMS LÄN</t>
        </is>
      </c>
      <c r="E3547" t="inlineStr">
        <is>
          <t>NORRTÄLJE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45512</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45512</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29505-2024</t>
        </is>
      </c>
      <c r="B3550" s="1" t="n">
        <v>45484</v>
      </c>
      <c r="C3550" s="1" t="n">
        <v>45512</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29504-2024</t>
        </is>
      </c>
      <c r="B3551" s="1" t="n">
        <v>45484</v>
      </c>
      <c r="C3551" s="1" t="n">
        <v>45512</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29578-2024</t>
        </is>
      </c>
      <c r="B3552" s="1" t="n">
        <v>45484</v>
      </c>
      <c r="C3552" s="1" t="n">
        <v>45512</v>
      </c>
      <c r="D3552" t="inlineStr">
        <is>
          <t>STOCKHOLMS LÄN</t>
        </is>
      </c>
      <c r="E3552" t="inlineStr">
        <is>
          <t>NORRTÄLJE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29583-2024</t>
        </is>
      </c>
      <c r="B3553" s="1" t="n">
        <v>45484</v>
      </c>
      <c r="C3553" s="1" t="n">
        <v>45512</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29589-2024</t>
        </is>
      </c>
      <c r="B3554" s="1" t="n">
        <v>45484</v>
      </c>
      <c r="C3554" s="1" t="n">
        <v>45512</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29841-2024</t>
        </is>
      </c>
      <c r="B3555" s="1" t="n">
        <v>45485</v>
      </c>
      <c r="C3555" s="1" t="n">
        <v>45512</v>
      </c>
      <c r="D3555" t="inlineStr">
        <is>
          <t>STOCKHOLMS LÄN</t>
        </is>
      </c>
      <c r="E3555" t="inlineStr">
        <is>
          <t>NORRTÄLJE</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29972-2024</t>
        </is>
      </c>
      <c r="B3556" s="1" t="n">
        <v>45485</v>
      </c>
      <c r="C3556" s="1" t="n">
        <v>45512</v>
      </c>
      <c r="D3556" t="inlineStr">
        <is>
          <t>STOCKHOLMS LÄN</t>
        </is>
      </c>
      <c r="E3556" t="inlineStr">
        <is>
          <t>NORRTÄLJE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45512</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30033-2024</t>
        </is>
      </c>
      <c r="B3558" s="1" t="n">
        <v>45488</v>
      </c>
      <c r="C3558" s="1" t="n">
        <v>45512</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29994-2024</t>
        </is>
      </c>
      <c r="B3559" s="1" t="n">
        <v>45488</v>
      </c>
      <c r="C3559" s="1" t="n">
        <v>45512</v>
      </c>
      <c r="D3559" t="inlineStr">
        <is>
          <t>STOCKHOLMS LÄN</t>
        </is>
      </c>
      <c r="E3559" t="inlineStr">
        <is>
          <t>NORRTÄLJE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45512</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45512</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45512</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45512</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45512</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45512</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45512</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45512</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45512</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45512</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45512</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30949-2024</t>
        </is>
      </c>
      <c r="B3571" s="1" t="n">
        <v>45499</v>
      </c>
      <c r="C3571" s="1" t="n">
        <v>45512</v>
      </c>
      <c r="D3571" t="inlineStr">
        <is>
          <t>STOCKHOLMS LÄN</t>
        </is>
      </c>
      <c r="E3571" t="inlineStr">
        <is>
          <t>ÖSTERÅKER</t>
        </is>
      </c>
      <c r="F3571" t="inlineStr">
        <is>
          <t>Övriga Aktiebolag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30963-2024</t>
        </is>
      </c>
      <c r="B3572" s="1" t="n">
        <v>45499</v>
      </c>
      <c r="C3572" s="1" t="n">
        <v>45512</v>
      </c>
      <c r="D3572" t="inlineStr">
        <is>
          <t>STOCKHOLMS LÄN</t>
        </is>
      </c>
      <c r="E3572" t="inlineStr">
        <is>
          <t>NORRTÄLJE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31013-2024</t>
        </is>
      </c>
      <c r="B3573" s="1" t="n">
        <v>45499</v>
      </c>
      <c r="C3573" s="1" t="n">
        <v>45512</v>
      </c>
      <c r="D3573" t="inlineStr">
        <is>
          <t>STOCKHOLMS LÄN</t>
        </is>
      </c>
      <c r="E3573" t="inlineStr">
        <is>
          <t>ÖSTERÅKER</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30995-2024</t>
        </is>
      </c>
      <c r="B3574" s="1" t="n">
        <v>45499</v>
      </c>
      <c r="C3574" s="1" t="n">
        <v>45512</v>
      </c>
      <c r="D3574" t="inlineStr">
        <is>
          <t>STOCKHOLMS LÄN</t>
        </is>
      </c>
      <c r="E3574" t="inlineStr">
        <is>
          <t>NORRTÄLJE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45512</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31228-2024</t>
        </is>
      </c>
      <c r="B3576" s="1" t="n">
        <v>45503</v>
      </c>
      <c r="C3576" s="1" t="n">
        <v>45512</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31168-2024</t>
        </is>
      </c>
      <c r="B3577" s="1" t="n">
        <v>45503</v>
      </c>
      <c r="C3577" s="1" t="n">
        <v>45512</v>
      </c>
      <c r="D3577" t="inlineStr">
        <is>
          <t>STOCKHOLMS LÄN</t>
        </is>
      </c>
      <c r="E3577" t="inlineStr">
        <is>
          <t>NYNÄSHAMN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31232-2024</t>
        </is>
      </c>
      <c r="B3578" s="1" t="n">
        <v>45503</v>
      </c>
      <c r="C3578" s="1" t="n">
        <v>45512</v>
      </c>
      <c r="D3578" t="inlineStr">
        <is>
          <t>STOCKHOLMS LÄN</t>
        </is>
      </c>
      <c r="E3578" t="inlineStr">
        <is>
          <t>NORRTÄLJE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31212-2024</t>
        </is>
      </c>
      <c r="B3579" s="1" t="n">
        <v>45503</v>
      </c>
      <c r="C3579" s="1" t="n">
        <v>45512</v>
      </c>
      <c r="D3579" t="inlineStr">
        <is>
          <t>STOCKHOLMS LÄN</t>
        </is>
      </c>
      <c r="E3579" t="inlineStr">
        <is>
          <t>SÖDERTÄLJE</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31311-2024</t>
        </is>
      </c>
      <c r="B3580" s="1" t="n">
        <v>45504</v>
      </c>
      <c r="C3580" s="1" t="n">
        <v>45512</v>
      </c>
      <c r="D3580" t="inlineStr">
        <is>
          <t>STOCKHOLMS LÄN</t>
        </is>
      </c>
      <c r="E3580" t="inlineStr">
        <is>
          <t>NORRTÄLJE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31279-2024</t>
        </is>
      </c>
      <c r="B3581" s="1" t="n">
        <v>45504</v>
      </c>
      <c r="C3581" s="1" t="n">
        <v>45512</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45512</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31393-2024</t>
        </is>
      </c>
      <c r="B3583" s="1" t="n">
        <v>45505</v>
      </c>
      <c r="C3583" s="1" t="n">
        <v>45512</v>
      </c>
      <c r="D3583" t="inlineStr">
        <is>
          <t>STOCKHOLMS LÄN</t>
        </is>
      </c>
      <c r="E3583" t="inlineStr">
        <is>
          <t>NYKVARN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31397-2024</t>
        </is>
      </c>
      <c r="B3584" s="1" t="n">
        <v>45505</v>
      </c>
      <c r="C3584" s="1" t="n">
        <v>45512</v>
      </c>
      <c r="D3584" t="inlineStr">
        <is>
          <t>STOCKHOLMS LÄN</t>
        </is>
      </c>
      <c r="E3584" t="inlineStr">
        <is>
          <t>NYKVARN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31394-2024</t>
        </is>
      </c>
      <c r="B3585" s="1" t="n">
        <v>45505</v>
      </c>
      <c r="C3585" s="1" t="n">
        <v>45512</v>
      </c>
      <c r="D3585" t="inlineStr">
        <is>
          <t>STOCKHOLMS LÄN</t>
        </is>
      </c>
      <c r="E3585" t="inlineStr">
        <is>
          <t>NYKVARN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31375-2024</t>
        </is>
      </c>
      <c r="B3586" s="1" t="n">
        <v>45505</v>
      </c>
      <c r="C3586" s="1" t="n">
        <v>45512</v>
      </c>
      <c r="D3586" t="inlineStr">
        <is>
          <t>STOCKHOLMS LÄN</t>
        </is>
      </c>
      <c r="E3586" t="inlineStr">
        <is>
          <t>SÖDERTÄLJE</t>
        </is>
      </c>
      <c r="F3586" t="inlineStr">
        <is>
          <t>Kommuner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31843-2024</t>
        </is>
      </c>
      <c r="B3587" s="1" t="n">
        <v>45509</v>
      </c>
      <c r="C3587" s="1" t="n">
        <v>45512</v>
      </c>
      <c r="D3587" t="inlineStr">
        <is>
          <t>STOCKHOLMS LÄN</t>
        </is>
      </c>
      <c r="E3587" t="inlineStr">
        <is>
          <t>VALLENTUNA</t>
        </is>
      </c>
      <c r="G3587" t="n">
        <v>2.5</v>
      </c>
      <c r="H3587" t="n">
        <v>0</v>
      </c>
      <c r="I3587" t="n">
        <v>0</v>
      </c>
      <c r="J3587" t="n">
        <v>0</v>
      </c>
      <c r="K3587" t="n">
        <v>0</v>
      </c>
      <c r="L3587" t="n">
        <v>0</v>
      </c>
      <c r="M3587" t="n">
        <v>0</v>
      </c>
      <c r="N3587" t="n">
        <v>0</v>
      </c>
      <c r="O3587" t="n">
        <v>0</v>
      </c>
      <c r="P3587" t="n">
        <v>0</v>
      </c>
      <c r="Q3587" t="n">
        <v>0</v>
      </c>
      <c r="R3587" s="2" t="inlineStr"/>
    </row>
    <row r="3588">
      <c r="A3588" t="inlineStr">
        <is>
          <t>A 32200-2024</t>
        </is>
      </c>
      <c r="B3588" s="1" t="n">
        <v>45511</v>
      </c>
      <c r="C3588" s="1" t="n">
        <v>45512</v>
      </c>
      <c r="D3588" t="inlineStr">
        <is>
          <t>STOCKHOLMS LÄN</t>
        </is>
      </c>
      <c r="E3588" t="inlineStr">
        <is>
          <t>SÖDERTÄLJE</t>
        </is>
      </c>
      <c r="F3588" t="inlineStr">
        <is>
          <t>Kommuner</t>
        </is>
      </c>
      <c r="G3588" t="n">
        <v>0.8</v>
      </c>
      <c r="H3588" t="n">
        <v>0</v>
      </c>
      <c r="I3588" t="n">
        <v>0</v>
      </c>
      <c r="J3588" t="n">
        <v>0</v>
      </c>
      <c r="K3588" t="n">
        <v>0</v>
      </c>
      <c r="L3588" t="n">
        <v>0</v>
      </c>
      <c r="M3588" t="n">
        <v>0</v>
      </c>
      <c r="N3588" t="n">
        <v>0</v>
      </c>
      <c r="O3588" t="n">
        <v>0</v>
      </c>
      <c r="P3588" t="n">
        <v>0</v>
      </c>
      <c r="Q3588" t="n">
        <v>0</v>
      </c>
      <c r="R3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2024-08-08T10:03:45Z</dcterms:created>
  <dcterms:modified xmlns:dcterms="http://purl.org/dc/terms/" xmlns:xsi="http://www.w3.org/2001/XMLSchema-instance" xsi:type="dcterms:W3CDTF">2024-08-08T10:03:48Z</dcterms:modified>
</cp:coreProperties>
</file>
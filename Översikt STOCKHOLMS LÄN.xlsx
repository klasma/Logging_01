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45693</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45693</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45693</v>
      </c>
      <c r="D6" t="inlineStr">
        <is>
          <t>STOCKHOLMS LÄN</t>
        </is>
      </c>
      <c r="E6" t="inlineStr">
        <is>
          <t>VALLENTUNA</t>
        </is>
      </c>
      <c r="G6" t="n">
        <v>5.6</v>
      </c>
      <c r="H6" t="n">
        <v>5</v>
      </c>
      <c r="I6" t="n">
        <v>15</v>
      </c>
      <c r="J6" t="n">
        <v>15</v>
      </c>
      <c r="K6" t="n">
        <v>1</v>
      </c>
      <c r="L6" t="n">
        <v>0</v>
      </c>
      <c r="M6" t="n">
        <v>0</v>
      </c>
      <c r="N6" t="n">
        <v>0</v>
      </c>
      <c r="O6" t="n">
        <v>16</v>
      </c>
      <c r="P6" t="n">
        <v>1</v>
      </c>
      <c r="Q6" t="n">
        <v>31</v>
      </c>
      <c r="R6"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45693</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45693</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45693</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45693</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45693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45693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45693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45693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45693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45693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45693</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45693</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45693</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45693</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28411-2019</t>
        </is>
      </c>
      <c r="B44" s="1" t="n">
        <v>43626</v>
      </c>
      <c r="C44" s="1" t="n">
        <v>45693</v>
      </c>
      <c r="D44" t="inlineStr">
        <is>
          <t>STOCKHOLMS LÄN</t>
        </is>
      </c>
      <c r="E44" t="inlineStr">
        <is>
          <t>NORRTÄLJE</t>
        </is>
      </c>
      <c r="G44" t="n">
        <v>3.1</v>
      </c>
      <c r="H44" t="n">
        <v>3</v>
      </c>
      <c r="I44" t="n">
        <v>11</v>
      </c>
      <c r="J44" t="n">
        <v>2</v>
      </c>
      <c r="K44" t="n">
        <v>0</v>
      </c>
      <c r="L44" t="n">
        <v>0</v>
      </c>
      <c r="M44" t="n">
        <v>0</v>
      </c>
      <c r="N44" t="n">
        <v>0</v>
      </c>
      <c r="O44" t="n">
        <v>2</v>
      </c>
      <c r="P44" t="n">
        <v>0</v>
      </c>
      <c r="Q44" t="n">
        <v>14</v>
      </c>
      <c r="R44" s="2" t="inlineStr">
        <is>
          <t>Granticka
Spillkråka
Bronshjon
Granbarkgnagare
Grönpyrola
Jättesvampmal
Kattfotslav
Källpraktmossa
Mörk husmossa
Nästrot
Svavelriska
Thomsons trägnagare
Tibast
Blåsippa</t>
        </is>
      </c>
      <c r="S44">
        <f>HYPERLINK("https://klasma.github.io/Logging_0188/artfynd/A 28411-2019 artfynd.xlsx", "A 28411-2019")</f>
        <v/>
      </c>
      <c r="T44">
        <f>HYPERLINK("https://klasma.github.io/Logging_0188/kartor/A 28411-2019 karta.png", "A 28411-2019")</f>
        <v/>
      </c>
      <c r="V44">
        <f>HYPERLINK("https://klasma.github.io/Logging_0188/klagomål/A 28411-2019 FSC-klagomål.docx", "A 28411-2019")</f>
        <v/>
      </c>
      <c r="W44">
        <f>HYPERLINK("https://klasma.github.io/Logging_0188/klagomålsmail/A 28411-2019 FSC-klagomål mail.docx", "A 28411-2019")</f>
        <v/>
      </c>
      <c r="X44">
        <f>HYPERLINK("https://klasma.github.io/Logging_0188/tillsyn/A 28411-2019 tillsynsbegäran.docx", "A 28411-2019")</f>
        <v/>
      </c>
      <c r="Y44">
        <f>HYPERLINK("https://klasma.github.io/Logging_0188/tillsynsmail/A 28411-2019 tillsynsbegäran mail.docx", "A 28411-2019")</f>
        <v/>
      </c>
      <c r="Z44">
        <f>HYPERLINK("https://klasma.github.io/Logging_0188/fåglar/A 28411-2019 prioriterade fågelarter.docx", "A 28411-2019")</f>
        <v/>
      </c>
    </row>
    <row r="45" ht="15" customHeight="1">
      <c r="A45" t="inlineStr">
        <is>
          <t>A 9939-2021</t>
        </is>
      </c>
      <c r="B45" s="1" t="n">
        <v>44253</v>
      </c>
      <c r="C45" s="1" t="n">
        <v>45693</v>
      </c>
      <c r="D45" t="inlineStr">
        <is>
          <t>STOCKHOLMS LÄN</t>
        </is>
      </c>
      <c r="E45" t="inlineStr">
        <is>
          <t>HUDDINGE</t>
        </is>
      </c>
      <c r="F45" t="inlineStr">
        <is>
          <t>Kommuner</t>
        </is>
      </c>
      <c r="G45" t="n">
        <v>2.4</v>
      </c>
      <c r="H45" t="n">
        <v>14</v>
      </c>
      <c r="I45" t="n">
        <v>0</v>
      </c>
      <c r="J45" t="n">
        <v>8</v>
      </c>
      <c r="K45" t="n">
        <v>0</v>
      </c>
      <c r="L45" t="n">
        <v>1</v>
      </c>
      <c r="M45" t="n">
        <v>0</v>
      </c>
      <c r="N45" t="n">
        <v>0</v>
      </c>
      <c r="O45" t="n">
        <v>9</v>
      </c>
      <c r="P45" t="n">
        <v>1</v>
      </c>
      <c r="Q45" t="n">
        <v>14</v>
      </c>
      <c r="R45" s="2" t="inlineStr">
        <is>
          <t>Grönfink
Gulsparv
Havsörn
Rödvingetrast
Rörsångare
Spillkråka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51334-2022</t>
        </is>
      </c>
      <c r="B46" s="1" t="n">
        <v>44869</v>
      </c>
      <c r="C46" s="1" t="n">
        <v>45693</v>
      </c>
      <c r="D46" t="inlineStr">
        <is>
          <t>STOCKHOLMS LÄN</t>
        </is>
      </c>
      <c r="E46" t="inlineStr">
        <is>
          <t>NORRTÄLJE</t>
        </is>
      </c>
      <c r="F46" t="inlineStr">
        <is>
          <t>Holmen skog AB</t>
        </is>
      </c>
      <c r="G46" t="n">
        <v>8.699999999999999</v>
      </c>
      <c r="H46" t="n">
        <v>1</v>
      </c>
      <c r="I46" t="n">
        <v>7</v>
      </c>
      <c r="J46" t="n">
        <v>6</v>
      </c>
      <c r="K46" t="n">
        <v>1</v>
      </c>
      <c r="L46" t="n">
        <v>0</v>
      </c>
      <c r="M46" t="n">
        <v>0</v>
      </c>
      <c r="N46" t="n">
        <v>0</v>
      </c>
      <c r="O46" t="n">
        <v>7</v>
      </c>
      <c r="P46" t="n">
        <v>1</v>
      </c>
      <c r="Q46" t="n">
        <v>14</v>
      </c>
      <c r="R46" s="2" t="inlineStr">
        <is>
          <t>Västlig njurlav
Gränsticka
Kortskaftad ärgspik
Rödbrun blekspik
Större flatbagge
Ullticka
Vedtrappmossa
Brandticka
Bronshjon
Grön sköldmossa
Myskmadra
Skogshakmossa
Stubbspretmossa
Vedticka</t>
        </is>
      </c>
      <c r="S46">
        <f>HYPERLINK("https://klasma.github.io/Logging_0188/artfynd/A 51334-2022 artfynd.xlsx", "A 51334-2022")</f>
        <v/>
      </c>
      <c r="T46">
        <f>HYPERLINK("https://klasma.github.io/Logging_0188/kartor/A 51334-2022 karta.png", "A 51334-2022")</f>
        <v/>
      </c>
      <c r="V46">
        <f>HYPERLINK("https://klasma.github.io/Logging_0188/klagomål/A 51334-2022 FSC-klagomål.docx", "A 51334-2022")</f>
        <v/>
      </c>
      <c r="W46">
        <f>HYPERLINK("https://klasma.github.io/Logging_0188/klagomålsmail/A 51334-2022 FSC-klagomål mail.docx", "A 51334-2022")</f>
        <v/>
      </c>
      <c r="X46">
        <f>HYPERLINK("https://klasma.github.io/Logging_0188/tillsyn/A 51334-2022 tillsynsbegäran.docx", "A 51334-2022")</f>
        <v/>
      </c>
      <c r="Y46">
        <f>HYPERLINK("https://klasma.github.io/Logging_0188/tillsynsmail/A 51334-2022 tillsynsbegäran mail.docx", "A 51334-2022")</f>
        <v/>
      </c>
    </row>
    <row r="47" ht="15" customHeight="1">
      <c r="A47" t="inlineStr">
        <is>
          <t>A 26273-2019</t>
        </is>
      </c>
      <c r="B47" s="1" t="n">
        <v>43611</v>
      </c>
      <c r="C47" s="1" t="n">
        <v>45693</v>
      </c>
      <c r="D47" t="inlineStr">
        <is>
          <t>STOCKHOLMS LÄN</t>
        </is>
      </c>
      <c r="E47" t="inlineStr">
        <is>
          <t>NORRTÄLJE</t>
        </is>
      </c>
      <c r="G47" t="n">
        <v>2.6</v>
      </c>
      <c r="H47" t="n">
        <v>2</v>
      </c>
      <c r="I47" t="n">
        <v>8</v>
      </c>
      <c r="J47" t="n">
        <v>3</v>
      </c>
      <c r="K47" t="n">
        <v>1</v>
      </c>
      <c r="L47" t="n">
        <v>0</v>
      </c>
      <c r="M47" t="n">
        <v>0</v>
      </c>
      <c r="N47" t="n">
        <v>0</v>
      </c>
      <c r="O47" t="n">
        <v>4</v>
      </c>
      <c r="P47" t="n">
        <v>1</v>
      </c>
      <c r="Q47" t="n">
        <v>13</v>
      </c>
      <c r="R47" s="2" t="inlineStr">
        <is>
          <t>Knärot
Granticka
Kandelabersvamp
Ullticka
Bronshjon
Kattfotslav
Rostfläck
Skinnlav
Stor aspticka
Svavelriska
Vedticka
Vågbandad barkbock
Blåsippa</t>
        </is>
      </c>
      <c r="S47">
        <f>HYPERLINK("https://klasma.github.io/Logging_0188/artfynd/A 26273-2019 artfynd.xlsx", "A 26273-2019")</f>
        <v/>
      </c>
      <c r="T47">
        <f>HYPERLINK("https://klasma.github.io/Logging_0188/kartor/A 26273-2019 karta.png", "A 26273-2019")</f>
        <v/>
      </c>
      <c r="U47">
        <f>HYPERLINK("https://klasma.github.io/Logging_0188/knärot/A 26273-2019 karta knärot.png", "A 26273-2019")</f>
        <v/>
      </c>
      <c r="V47">
        <f>HYPERLINK("https://klasma.github.io/Logging_0188/klagomål/A 26273-2019 FSC-klagomål.docx", "A 26273-2019")</f>
        <v/>
      </c>
      <c r="W47">
        <f>HYPERLINK("https://klasma.github.io/Logging_0188/klagomålsmail/A 26273-2019 FSC-klagomål mail.docx", "A 26273-2019")</f>
        <v/>
      </c>
      <c r="X47">
        <f>HYPERLINK("https://klasma.github.io/Logging_0188/tillsyn/A 26273-2019 tillsynsbegäran.docx", "A 26273-2019")</f>
        <v/>
      </c>
      <c r="Y47">
        <f>HYPERLINK("https://klasma.github.io/Logging_0188/tillsynsmail/A 26273-2019 tillsynsbegäran mail.docx", "A 26273-2019")</f>
        <v/>
      </c>
    </row>
    <row r="48" ht="15" customHeight="1">
      <c r="A48" t="inlineStr">
        <is>
          <t>A 5736-2020</t>
        </is>
      </c>
      <c r="B48" s="1" t="n">
        <v>43863</v>
      </c>
      <c r="C48" s="1" t="n">
        <v>45693</v>
      </c>
      <c r="D48" t="inlineStr">
        <is>
          <t>STOCKHOLMS LÄN</t>
        </is>
      </c>
      <c r="E48" t="inlineStr">
        <is>
          <t>NORRTÄLJE</t>
        </is>
      </c>
      <c r="G48" t="n">
        <v>2.1</v>
      </c>
      <c r="H48" t="n">
        <v>0</v>
      </c>
      <c r="I48" t="n">
        <v>6</v>
      </c>
      <c r="J48" t="n">
        <v>4</v>
      </c>
      <c r="K48" t="n">
        <v>2</v>
      </c>
      <c r="L48" t="n">
        <v>1</v>
      </c>
      <c r="M48" t="n">
        <v>0</v>
      </c>
      <c r="N48" t="n">
        <v>0</v>
      </c>
      <c r="O48" t="n">
        <v>7</v>
      </c>
      <c r="P48" t="n">
        <v>3</v>
      </c>
      <c r="Q48" t="n">
        <v>13</v>
      </c>
      <c r="R48" s="2" t="inlineStr">
        <is>
          <t>Raggtaggsvamp
Fläckfingersvamp
Koppartaggsvamp
Dofttaggsvamp
Druvfingersvamp
Orange taggsvamp
Ullticka
Dropptaggsvamp
Fjällig taggsvamp s.str.
Grönpyrola
Olivspindling
Skarp dropptaggsvamp
Zontaggsvamp</t>
        </is>
      </c>
      <c r="S48">
        <f>HYPERLINK("https://klasma.github.io/Logging_0188/artfynd/A 5736-2020 artfynd.xlsx", "A 5736-2020")</f>
        <v/>
      </c>
      <c r="T48">
        <f>HYPERLINK("https://klasma.github.io/Logging_0188/kartor/A 5736-2020 karta.png", "A 5736-2020")</f>
        <v/>
      </c>
      <c r="V48">
        <f>HYPERLINK("https://klasma.github.io/Logging_0188/klagomål/A 5736-2020 FSC-klagomål.docx", "A 5736-2020")</f>
        <v/>
      </c>
      <c r="W48">
        <f>HYPERLINK("https://klasma.github.io/Logging_0188/klagomålsmail/A 5736-2020 FSC-klagomål mail.docx", "A 5736-2020")</f>
        <v/>
      </c>
      <c r="X48">
        <f>HYPERLINK("https://klasma.github.io/Logging_0188/tillsyn/A 5736-2020 tillsynsbegäran.docx", "A 5736-2020")</f>
        <v/>
      </c>
      <c r="Y48">
        <f>HYPERLINK("https://klasma.github.io/Logging_0188/tillsynsmail/A 5736-2020 tillsynsbegäran mail.docx", "A 5736-2020")</f>
        <v/>
      </c>
    </row>
    <row r="49" ht="15" customHeight="1">
      <c r="A49" t="inlineStr">
        <is>
          <t>A 11053-2022</t>
        </is>
      </c>
      <c r="B49" s="1" t="n">
        <v>44628</v>
      </c>
      <c r="C49" s="1" t="n">
        <v>45693</v>
      </c>
      <c r="D49" t="inlineStr">
        <is>
          <t>STOCKHOLMS LÄN</t>
        </is>
      </c>
      <c r="E49" t="inlineStr">
        <is>
          <t>NYKVARN</t>
        </is>
      </c>
      <c r="G49" t="n">
        <v>4.8</v>
      </c>
      <c r="H49" t="n">
        <v>10</v>
      </c>
      <c r="I49" t="n">
        <v>1</v>
      </c>
      <c r="J49" t="n">
        <v>9</v>
      </c>
      <c r="K49" t="n">
        <v>1</v>
      </c>
      <c r="L49" t="n">
        <v>1</v>
      </c>
      <c r="M49" t="n">
        <v>0</v>
      </c>
      <c r="N49" t="n">
        <v>0</v>
      </c>
      <c r="O49" t="n">
        <v>11</v>
      </c>
      <c r="P49" t="n">
        <v>2</v>
      </c>
      <c r="Q49" t="n">
        <v>13</v>
      </c>
      <c r="R49" s="2" t="inlineStr">
        <is>
          <t>Grönfink
Stare
Björktrast
Fiskmås
Granticka
Gulsparv
Kråka
Rödvingetrast
Spillkråka
Svartvit flugsnappare
Vippärt
Vårärt
Blåsippa</t>
        </is>
      </c>
      <c r="S49">
        <f>HYPERLINK("https://klasma.github.io/Logging_0140/artfynd/A 11053-2022 artfynd.xlsx", "A 11053-2022")</f>
        <v/>
      </c>
      <c r="T49">
        <f>HYPERLINK("https://klasma.github.io/Logging_0140/kartor/A 11053-2022 karta.png", "A 11053-2022")</f>
        <v/>
      </c>
      <c r="V49">
        <f>HYPERLINK("https://klasma.github.io/Logging_0140/klagomål/A 11053-2022 FSC-klagomål.docx", "A 11053-2022")</f>
        <v/>
      </c>
      <c r="W49">
        <f>HYPERLINK("https://klasma.github.io/Logging_0140/klagomålsmail/A 11053-2022 FSC-klagomål mail.docx", "A 11053-2022")</f>
        <v/>
      </c>
      <c r="X49">
        <f>HYPERLINK("https://klasma.github.io/Logging_0140/tillsyn/A 11053-2022 tillsynsbegäran.docx", "A 11053-2022")</f>
        <v/>
      </c>
      <c r="Y49">
        <f>HYPERLINK("https://klasma.github.io/Logging_0140/tillsynsmail/A 11053-2022 tillsynsbegäran mail.docx", "A 11053-2022")</f>
        <v/>
      </c>
      <c r="Z49">
        <f>HYPERLINK("https://klasma.github.io/Logging_0140/fåglar/A 11053-2022 prioriterade fågelarter.docx", "A 11053-2022")</f>
        <v/>
      </c>
    </row>
    <row r="50" ht="15" customHeight="1">
      <c r="A50" t="inlineStr">
        <is>
          <t>A 27425-2023</t>
        </is>
      </c>
      <c r="B50" s="1" t="n">
        <v>45097</v>
      </c>
      <c r="C50" s="1" t="n">
        <v>45693</v>
      </c>
      <c r="D50" t="inlineStr">
        <is>
          <t>STOCKHOLMS LÄN</t>
        </is>
      </c>
      <c r="E50" t="inlineStr">
        <is>
          <t>SIGTUNA</t>
        </is>
      </c>
      <c r="F50" t="inlineStr">
        <is>
          <t>Allmännings- och besparingsskogar</t>
        </is>
      </c>
      <c r="G50" t="n">
        <v>9.300000000000001</v>
      </c>
      <c r="H50" t="n">
        <v>13</v>
      </c>
      <c r="I50" t="n">
        <v>0</v>
      </c>
      <c r="J50" t="n">
        <v>4</v>
      </c>
      <c r="K50" t="n">
        <v>0</v>
      </c>
      <c r="L50" t="n">
        <v>0</v>
      </c>
      <c r="M50" t="n">
        <v>0</v>
      </c>
      <c r="N50" t="n">
        <v>0</v>
      </c>
      <c r="O50" t="n">
        <v>4</v>
      </c>
      <c r="P50" t="n">
        <v>0</v>
      </c>
      <c r="Q50" t="n">
        <v>13</v>
      </c>
      <c r="R50" s="2" t="inlineStr">
        <is>
          <t>Brunlångöra
Gulsparv
Nordfladdermus
Talltita
Dvärgpipistrell
Grönsiska
Järnsparv
Kungsfågel
Skogsduva
Större brunfladdermus
Trollpipistrell
Vattenfladdermus
Blåsippa</t>
        </is>
      </c>
      <c r="S50">
        <f>HYPERLINK("https://klasma.github.io/Logging_0191/artfynd/A 27425-2023 artfynd.xlsx", "A 27425-2023")</f>
        <v/>
      </c>
      <c r="T50">
        <f>HYPERLINK("https://klasma.github.io/Logging_0191/kartor/A 27425-2023 karta.png", "A 27425-2023")</f>
        <v/>
      </c>
      <c r="V50">
        <f>HYPERLINK("https://klasma.github.io/Logging_0191/klagomål/A 27425-2023 FSC-klagomål.docx", "A 27425-2023")</f>
        <v/>
      </c>
      <c r="W50">
        <f>HYPERLINK("https://klasma.github.io/Logging_0191/klagomålsmail/A 27425-2023 FSC-klagomål mail.docx", "A 27425-2023")</f>
        <v/>
      </c>
      <c r="X50">
        <f>HYPERLINK("https://klasma.github.io/Logging_0191/tillsyn/A 27425-2023 tillsynsbegäran.docx", "A 27425-2023")</f>
        <v/>
      </c>
      <c r="Y50">
        <f>HYPERLINK("https://klasma.github.io/Logging_0191/tillsynsmail/A 27425-2023 tillsynsbegäran mail.docx", "A 27425-2023")</f>
        <v/>
      </c>
      <c r="Z50">
        <f>HYPERLINK("https://klasma.github.io/Logging_0191/fåglar/A 27425-2023 prioriterade fågelarter.docx", "A 27425-2023")</f>
        <v/>
      </c>
    </row>
    <row r="51" ht="15" customHeight="1">
      <c r="A51" t="inlineStr">
        <is>
          <t>A 34343-2023</t>
        </is>
      </c>
      <c r="B51" s="1" t="n">
        <v>45139</v>
      </c>
      <c r="C51" s="1" t="n">
        <v>45693</v>
      </c>
      <c r="D51" t="inlineStr">
        <is>
          <t>STOCKHOLMS LÄN</t>
        </is>
      </c>
      <c r="E51" t="inlineStr">
        <is>
          <t>HANINGE</t>
        </is>
      </c>
      <c r="G51" t="n">
        <v>3.9</v>
      </c>
      <c r="H51" t="n">
        <v>3</v>
      </c>
      <c r="I51" t="n">
        <v>7</v>
      </c>
      <c r="J51" t="n">
        <v>3</v>
      </c>
      <c r="K51" t="n">
        <v>0</v>
      </c>
      <c r="L51" t="n">
        <v>1</v>
      </c>
      <c r="M51" t="n">
        <v>0</v>
      </c>
      <c r="N51" t="n">
        <v>0</v>
      </c>
      <c r="O51" t="n">
        <v>4</v>
      </c>
      <c r="P51" t="n">
        <v>1</v>
      </c>
      <c r="Q51" t="n">
        <v>13</v>
      </c>
      <c r="R51" s="2" t="inlineStr">
        <is>
          <t>Ask
Granticka
Grön aspvedbock
Spillkråka
Björksplintborre
Fjällig taggsvamp s.str.
Granbarkgnagare
Guldlockmossa
Stubbspretmossa
Sårläka
Vågbandad barkbock
Blåsippa
Gullviva</t>
        </is>
      </c>
      <c r="S51">
        <f>HYPERLINK("https://klasma.github.io/Logging_0136/artfynd/A 34343-2023 artfynd.xlsx", "A 34343-2023")</f>
        <v/>
      </c>
      <c r="T51">
        <f>HYPERLINK("https://klasma.github.io/Logging_0136/kartor/A 34343-2023 karta.png", "A 34343-2023")</f>
        <v/>
      </c>
      <c r="V51">
        <f>HYPERLINK("https://klasma.github.io/Logging_0136/klagomål/A 34343-2023 FSC-klagomål.docx", "A 34343-2023")</f>
        <v/>
      </c>
      <c r="W51">
        <f>HYPERLINK("https://klasma.github.io/Logging_0136/klagomålsmail/A 34343-2023 FSC-klagomål mail.docx", "A 34343-2023")</f>
        <v/>
      </c>
      <c r="X51">
        <f>HYPERLINK("https://klasma.github.io/Logging_0136/tillsyn/A 34343-2023 tillsynsbegäran.docx", "A 34343-2023")</f>
        <v/>
      </c>
      <c r="Y51">
        <f>HYPERLINK("https://klasma.github.io/Logging_0136/tillsynsmail/A 34343-2023 tillsynsbegäran mail.docx", "A 34343-2023")</f>
        <v/>
      </c>
      <c r="Z51">
        <f>HYPERLINK("https://klasma.github.io/Logging_0136/fåglar/A 34343-2023 prioriterade fågelarter.docx", "A 34343-2023")</f>
        <v/>
      </c>
    </row>
    <row r="52" ht="15" customHeight="1">
      <c r="A52" t="inlineStr">
        <is>
          <t>A 55825-2023</t>
        </is>
      </c>
      <c r="B52" s="1" t="n">
        <v>45239</v>
      </c>
      <c r="C52" s="1" t="n">
        <v>45693</v>
      </c>
      <c r="D52" t="inlineStr">
        <is>
          <t>STOCKHOLMS LÄN</t>
        </is>
      </c>
      <c r="E52" t="inlineStr">
        <is>
          <t>VALLENTUNA</t>
        </is>
      </c>
      <c r="G52" t="n">
        <v>4.9</v>
      </c>
      <c r="H52" t="n">
        <v>5</v>
      </c>
      <c r="I52" t="n">
        <v>5</v>
      </c>
      <c r="J52" t="n">
        <v>5</v>
      </c>
      <c r="K52" t="n">
        <v>0</v>
      </c>
      <c r="L52" t="n">
        <v>0</v>
      </c>
      <c r="M52" t="n">
        <v>0</v>
      </c>
      <c r="N52" t="n">
        <v>0</v>
      </c>
      <c r="O52" t="n">
        <v>5</v>
      </c>
      <c r="P52" t="n">
        <v>0</v>
      </c>
      <c r="Q52" t="n">
        <v>13</v>
      </c>
      <c r="R52" s="2" t="inlineStr">
        <is>
          <t>Garnlav
Spillkråka
Talltita
Ullticka
Vedskivlav
Björksplintborre
Blodticka
Jättesvampmal
Mindre märgborre
Vedticka
Tjäder
Fläcknycklar
Revlummer</t>
        </is>
      </c>
      <c r="S52">
        <f>HYPERLINK("https://klasma.github.io/Logging_0115/artfynd/A 55825-2023 artfynd.xlsx", "A 55825-2023")</f>
        <v/>
      </c>
      <c r="T52">
        <f>HYPERLINK("https://klasma.github.io/Logging_0115/kartor/A 55825-2023 karta.png", "A 55825-2023")</f>
        <v/>
      </c>
      <c r="U52">
        <f>HYPERLINK("https://klasma.github.io/Logging_0115/knärot/A 55825-2023 karta knärot.png", "A 55825-2023")</f>
        <v/>
      </c>
      <c r="V52">
        <f>HYPERLINK("https://klasma.github.io/Logging_0115/klagomål/A 55825-2023 FSC-klagomål.docx", "A 55825-2023")</f>
        <v/>
      </c>
      <c r="W52">
        <f>HYPERLINK("https://klasma.github.io/Logging_0115/klagomålsmail/A 55825-2023 FSC-klagomål mail.docx", "A 55825-2023")</f>
        <v/>
      </c>
      <c r="X52">
        <f>HYPERLINK("https://klasma.github.io/Logging_0115/tillsyn/A 55825-2023 tillsynsbegäran.docx", "A 55825-2023")</f>
        <v/>
      </c>
      <c r="Y52">
        <f>HYPERLINK("https://klasma.github.io/Logging_0115/tillsynsmail/A 55825-2023 tillsynsbegäran mail.docx", "A 55825-2023")</f>
        <v/>
      </c>
      <c r="Z52">
        <f>HYPERLINK("https://klasma.github.io/Logging_0115/fåglar/A 55825-2023 prioriterade fågelarter.docx", "A 55825-2023")</f>
        <v/>
      </c>
    </row>
    <row r="53" ht="15" customHeight="1">
      <c r="A53" t="inlineStr">
        <is>
          <t>A 20632-2019</t>
        </is>
      </c>
      <c r="B53" s="1" t="n">
        <v>43572</v>
      </c>
      <c r="C53" s="1" t="n">
        <v>45693</v>
      </c>
      <c r="D53" t="inlineStr">
        <is>
          <t>STOCKHOLMS LÄN</t>
        </is>
      </c>
      <c r="E53" t="inlineStr">
        <is>
          <t>NORRTÄLJE</t>
        </is>
      </c>
      <c r="G53" t="n">
        <v>6.2</v>
      </c>
      <c r="H53" t="n">
        <v>4</v>
      </c>
      <c r="I53" t="n">
        <v>6</v>
      </c>
      <c r="J53" t="n">
        <v>1</v>
      </c>
      <c r="K53" t="n">
        <v>0</v>
      </c>
      <c r="L53" t="n">
        <v>2</v>
      </c>
      <c r="M53" t="n">
        <v>0</v>
      </c>
      <c r="N53" t="n">
        <v>0</v>
      </c>
      <c r="O53" t="n">
        <v>3</v>
      </c>
      <c r="P53" t="n">
        <v>2</v>
      </c>
      <c r="Q53" t="n">
        <v>12</v>
      </c>
      <c r="R53" s="2" t="inlineStr">
        <is>
          <t>Ask
Fältgentiana
Slåtterfibbla
Svart trolldruva
Tibast
Tvåblad
Underviol
Vätteros
Vårärt
Nattviol
Blåsippa
Gullviva</t>
        </is>
      </c>
      <c r="S53">
        <f>HYPERLINK("https://klasma.github.io/Logging_0188/artfynd/A 20632-2019 artfynd.xlsx", "A 20632-2019")</f>
        <v/>
      </c>
      <c r="T53">
        <f>HYPERLINK("https://klasma.github.io/Logging_0188/kartor/A 20632-2019 karta.png", "A 20632-2019")</f>
        <v/>
      </c>
      <c r="V53">
        <f>HYPERLINK("https://klasma.github.io/Logging_0188/klagomål/A 20632-2019 FSC-klagomål.docx", "A 20632-2019")</f>
        <v/>
      </c>
      <c r="W53">
        <f>HYPERLINK("https://klasma.github.io/Logging_0188/klagomålsmail/A 20632-2019 FSC-klagomål mail.docx", "A 20632-2019")</f>
        <v/>
      </c>
      <c r="X53">
        <f>HYPERLINK("https://klasma.github.io/Logging_0188/tillsyn/A 20632-2019 tillsynsbegäran.docx", "A 20632-2019")</f>
        <v/>
      </c>
      <c r="Y53">
        <f>HYPERLINK("https://klasma.github.io/Logging_0188/tillsynsmail/A 20632-2019 tillsynsbegäran mail.docx", "A 20632-2019")</f>
        <v/>
      </c>
    </row>
    <row r="54" ht="15" customHeight="1">
      <c r="A54" t="inlineStr">
        <is>
          <t>A 68153-2019</t>
        </is>
      </c>
      <c r="B54" s="1" t="n">
        <v>43817</v>
      </c>
      <c r="C54" s="1" t="n">
        <v>45693</v>
      </c>
      <c r="D54" t="inlineStr">
        <is>
          <t>STOCKHOLMS LÄN</t>
        </is>
      </c>
      <c r="E54" t="inlineStr">
        <is>
          <t>VALLENTUNA</t>
        </is>
      </c>
      <c r="G54" t="n">
        <v>21.8</v>
      </c>
      <c r="H54" t="n">
        <v>1</v>
      </c>
      <c r="I54" t="n">
        <v>9</v>
      </c>
      <c r="J54" t="n">
        <v>3</v>
      </c>
      <c r="K54" t="n">
        <v>0</v>
      </c>
      <c r="L54" t="n">
        <v>0</v>
      </c>
      <c r="M54" t="n">
        <v>0</v>
      </c>
      <c r="N54" t="n">
        <v>0</v>
      </c>
      <c r="O54" t="n">
        <v>3</v>
      </c>
      <c r="P54" t="n">
        <v>0</v>
      </c>
      <c r="Q54" t="n">
        <v>12</v>
      </c>
      <c r="R54" s="2" t="inlineStr">
        <is>
          <t>Dofttaggsvamp
Granticka
Mörk kolflarnlav
Blåmossa
Bollvitmossa
Grön sköldmossa
Kattfotslav
Mindre märgborre
Rödgul trumpetsvamp
Skarp dropptaggsvamp
Skuggblåslav
Vedticka</t>
        </is>
      </c>
      <c r="S54">
        <f>HYPERLINK("https://klasma.github.io/Logging_0115/artfynd/A 68153-2019 artfynd.xlsx", "A 68153-2019")</f>
        <v/>
      </c>
      <c r="T54">
        <f>HYPERLINK("https://klasma.github.io/Logging_0115/kartor/A 68153-2019 karta.png", "A 68153-2019")</f>
        <v/>
      </c>
      <c r="V54">
        <f>HYPERLINK("https://klasma.github.io/Logging_0115/klagomål/A 68153-2019 FSC-klagomål.docx", "A 68153-2019")</f>
        <v/>
      </c>
      <c r="W54">
        <f>HYPERLINK("https://klasma.github.io/Logging_0115/klagomålsmail/A 68153-2019 FSC-klagomål mail.docx", "A 68153-2019")</f>
        <v/>
      </c>
      <c r="X54">
        <f>HYPERLINK("https://klasma.github.io/Logging_0115/tillsyn/A 68153-2019 tillsynsbegäran.docx", "A 68153-2019")</f>
        <v/>
      </c>
      <c r="Y54">
        <f>HYPERLINK("https://klasma.github.io/Logging_0115/tillsynsmail/A 68153-2019 tillsynsbegäran mail.docx", "A 68153-2019")</f>
        <v/>
      </c>
    </row>
    <row r="55" ht="15" customHeight="1">
      <c r="A55" t="inlineStr">
        <is>
          <t>A 40859-2022</t>
        </is>
      </c>
      <c r="B55" s="1" t="n">
        <v>44825</v>
      </c>
      <c r="C55" s="1" t="n">
        <v>45693</v>
      </c>
      <c r="D55" t="inlineStr">
        <is>
          <t>STOCKHOLMS LÄN</t>
        </is>
      </c>
      <c r="E55" t="inlineStr">
        <is>
          <t>HANINGE</t>
        </is>
      </c>
      <c r="G55" t="n">
        <v>7.8</v>
      </c>
      <c r="H55" t="n">
        <v>3</v>
      </c>
      <c r="I55" t="n">
        <v>8</v>
      </c>
      <c r="J55" t="n">
        <v>4</v>
      </c>
      <c r="K55" t="n">
        <v>0</v>
      </c>
      <c r="L55" t="n">
        <v>0</v>
      </c>
      <c r="M55" t="n">
        <v>0</v>
      </c>
      <c r="N55" t="n">
        <v>0</v>
      </c>
      <c r="O55" t="n">
        <v>4</v>
      </c>
      <c r="P55" t="n">
        <v>0</v>
      </c>
      <c r="Q55" t="n">
        <v>12</v>
      </c>
      <c r="R55" s="2" t="inlineStr">
        <is>
          <t>Granticka
Spillkråka
Talltita
Ullticka
Bronshjon
Fjällig taggsvamp s.str.
Granbarkgnagare
Grön sköldmossa
Mörk husmossa
Rödgul trumpetsvamp
Svavelriska
Thomsons trägnagare</t>
        </is>
      </c>
      <c r="S55">
        <f>HYPERLINK("https://klasma.github.io/Logging_0136/artfynd/A 40859-2022 artfynd.xlsx", "A 40859-2022")</f>
        <v/>
      </c>
      <c r="T55">
        <f>HYPERLINK("https://klasma.github.io/Logging_0136/kartor/A 40859-2022 karta.png", "A 40859-2022")</f>
        <v/>
      </c>
      <c r="V55">
        <f>HYPERLINK("https://klasma.github.io/Logging_0136/klagomål/A 40859-2022 FSC-klagomål.docx", "A 40859-2022")</f>
        <v/>
      </c>
      <c r="W55">
        <f>HYPERLINK("https://klasma.github.io/Logging_0136/klagomålsmail/A 40859-2022 FSC-klagomål mail.docx", "A 40859-2022")</f>
        <v/>
      </c>
      <c r="X55">
        <f>HYPERLINK("https://klasma.github.io/Logging_0136/tillsyn/A 40859-2022 tillsynsbegäran.docx", "A 40859-2022")</f>
        <v/>
      </c>
      <c r="Y55">
        <f>HYPERLINK("https://klasma.github.io/Logging_0136/tillsynsmail/A 40859-2022 tillsynsbegäran mail.docx", "A 40859-2022")</f>
        <v/>
      </c>
      <c r="Z55">
        <f>HYPERLINK("https://klasma.github.io/Logging_0136/fåglar/A 40859-2022 prioriterade fågelarter.docx", "A 40859-2022")</f>
        <v/>
      </c>
    </row>
    <row r="56" ht="15" customHeight="1">
      <c r="A56" t="inlineStr">
        <is>
          <t>A 60543-2022</t>
        </is>
      </c>
      <c r="B56" s="1" t="n">
        <v>44911</v>
      </c>
      <c r="C56" s="1" t="n">
        <v>45693</v>
      </c>
      <c r="D56" t="inlineStr">
        <is>
          <t>STOCKHOLMS LÄN</t>
        </is>
      </c>
      <c r="E56" t="inlineStr">
        <is>
          <t>NORRTÄLJE</t>
        </is>
      </c>
      <c r="G56" t="n">
        <v>4.3</v>
      </c>
      <c r="H56" t="n">
        <v>2</v>
      </c>
      <c r="I56" t="n">
        <v>5</v>
      </c>
      <c r="J56" t="n">
        <v>5</v>
      </c>
      <c r="K56" t="n">
        <v>1</v>
      </c>
      <c r="L56" t="n">
        <v>0</v>
      </c>
      <c r="M56" t="n">
        <v>0</v>
      </c>
      <c r="N56" t="n">
        <v>0</v>
      </c>
      <c r="O56" t="n">
        <v>6</v>
      </c>
      <c r="P56" t="n">
        <v>1</v>
      </c>
      <c r="Q56" t="n">
        <v>12</v>
      </c>
      <c r="R56" s="2" t="inlineStr">
        <is>
          <t>Läderlappslav
Granticka
Grönhjon
Rosenticka
Tretåig hackspett
Ullticka
Bronshjon
Grönpyrola
Gulnål
Kornig nållav
Vågbandad barkbock
Blåsippa</t>
        </is>
      </c>
      <c r="S56">
        <f>HYPERLINK("https://klasma.github.io/Logging_0188/artfynd/A 60543-2022 artfynd.xlsx", "A 60543-2022")</f>
        <v/>
      </c>
      <c r="T56">
        <f>HYPERLINK("https://klasma.github.io/Logging_0188/kartor/A 60543-2022 karta.png", "A 60543-2022")</f>
        <v/>
      </c>
      <c r="V56">
        <f>HYPERLINK("https://klasma.github.io/Logging_0188/klagomål/A 60543-2022 FSC-klagomål.docx", "A 60543-2022")</f>
        <v/>
      </c>
      <c r="W56">
        <f>HYPERLINK("https://klasma.github.io/Logging_0188/klagomålsmail/A 60543-2022 FSC-klagomål mail.docx", "A 60543-2022")</f>
        <v/>
      </c>
      <c r="X56">
        <f>HYPERLINK("https://klasma.github.io/Logging_0188/tillsyn/A 60543-2022 tillsynsbegäran.docx", "A 60543-2022")</f>
        <v/>
      </c>
      <c r="Y56">
        <f>HYPERLINK("https://klasma.github.io/Logging_0188/tillsynsmail/A 60543-2022 tillsynsbegäran mail.docx", "A 60543-2022")</f>
        <v/>
      </c>
      <c r="Z56">
        <f>HYPERLINK("https://klasma.github.io/Logging_0188/fåglar/A 60543-2022 prioriterade fågelarter.docx", "A 60543-2022")</f>
        <v/>
      </c>
    </row>
    <row r="57" ht="15" customHeight="1">
      <c r="A57" t="inlineStr">
        <is>
          <t>A 31418-2023</t>
        </is>
      </c>
      <c r="B57" s="1" t="n">
        <v>45114</v>
      </c>
      <c r="C57" s="1" t="n">
        <v>45693</v>
      </c>
      <c r="D57" t="inlineStr">
        <is>
          <t>STOCKHOLMS LÄN</t>
        </is>
      </c>
      <c r="E57" t="inlineStr">
        <is>
          <t>NORRTÄLJE</t>
        </is>
      </c>
      <c r="G57" t="n">
        <v>4.1</v>
      </c>
      <c r="H57" t="n">
        <v>0</v>
      </c>
      <c r="I57" t="n">
        <v>7</v>
      </c>
      <c r="J57" t="n">
        <v>2</v>
      </c>
      <c r="K57" t="n">
        <v>3</v>
      </c>
      <c r="L57" t="n">
        <v>0</v>
      </c>
      <c r="M57" t="n">
        <v>0</v>
      </c>
      <c r="N57" t="n">
        <v>0</v>
      </c>
      <c r="O57" t="n">
        <v>5</v>
      </c>
      <c r="P57" t="n">
        <v>3</v>
      </c>
      <c r="Q57" t="n">
        <v>12</v>
      </c>
      <c r="R57" s="2" t="inlineStr">
        <is>
          <t>Duvspindling
Koppartaggsvamp
Läderdoftande fingersvamp
Odörspindling
Orange taggsvamp
Anisspindling
Dropptaggsvamp
Grönpyrola
Mörk husmossa
Skarp dropptaggsvamp
Skogshakmossa
Tjockfotad fingersvamp</t>
        </is>
      </c>
      <c r="S57">
        <f>HYPERLINK("https://klasma.github.io/Logging_0188/artfynd/A 31418-2023 artfynd.xlsx", "A 31418-2023")</f>
        <v/>
      </c>
      <c r="T57">
        <f>HYPERLINK("https://klasma.github.io/Logging_0188/kartor/A 31418-2023 karta.png", "A 31418-2023")</f>
        <v/>
      </c>
      <c r="U57">
        <f>HYPERLINK("https://klasma.github.io/Logging_0188/knärot/A 31418-2023 karta knärot.png", "A 31418-2023")</f>
        <v/>
      </c>
      <c r="V57">
        <f>HYPERLINK("https://klasma.github.io/Logging_0188/klagomål/A 31418-2023 FSC-klagomål.docx", "A 31418-2023")</f>
        <v/>
      </c>
      <c r="W57">
        <f>HYPERLINK("https://klasma.github.io/Logging_0188/klagomålsmail/A 31418-2023 FSC-klagomål mail.docx", "A 31418-2023")</f>
        <v/>
      </c>
      <c r="X57">
        <f>HYPERLINK("https://klasma.github.io/Logging_0188/tillsyn/A 31418-2023 tillsynsbegäran.docx", "A 31418-2023")</f>
        <v/>
      </c>
      <c r="Y57">
        <f>HYPERLINK("https://klasma.github.io/Logging_0188/tillsynsmail/A 31418-2023 tillsynsbegäran mail.docx", "A 31418-2023")</f>
        <v/>
      </c>
    </row>
    <row r="58" ht="15" customHeight="1">
      <c r="A58" t="inlineStr">
        <is>
          <t>A 46004-2023</t>
        </is>
      </c>
      <c r="B58" s="1" t="n">
        <v>45196</v>
      </c>
      <c r="C58" s="1" t="n">
        <v>45693</v>
      </c>
      <c r="D58" t="inlineStr">
        <is>
          <t>STOCKHOLMS LÄN</t>
        </is>
      </c>
      <c r="E58" t="inlineStr">
        <is>
          <t>VÄRMDÖ</t>
        </is>
      </c>
      <c r="G58" t="n">
        <v>12.3</v>
      </c>
      <c r="H58" t="n">
        <v>4</v>
      </c>
      <c r="I58" t="n">
        <v>6</v>
      </c>
      <c r="J58" t="n">
        <v>4</v>
      </c>
      <c r="K58" t="n">
        <v>1</v>
      </c>
      <c r="L58" t="n">
        <v>0</v>
      </c>
      <c r="M58" t="n">
        <v>0</v>
      </c>
      <c r="N58" t="n">
        <v>0</v>
      </c>
      <c r="O58" t="n">
        <v>5</v>
      </c>
      <c r="P58" t="n">
        <v>1</v>
      </c>
      <c r="Q58" t="n">
        <v>12</v>
      </c>
      <c r="R58" s="2" t="inlineStr">
        <is>
          <t>Knärot
Reliktbock
Spillkråka
Tallticka
Talltita
Björksplintborre
Bronshjon
Granbarkgnagare
Sårläka
Thomsons trägnagare
Trådticka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44237-2024</t>
        </is>
      </c>
      <c r="B59" s="1" t="n">
        <v>45573</v>
      </c>
      <c r="C59" s="1" t="n">
        <v>45693</v>
      </c>
      <c r="D59" t="inlineStr">
        <is>
          <t>STOCKHOLMS LÄN</t>
        </is>
      </c>
      <c r="E59" t="inlineStr">
        <is>
          <t>NORRTÄLJE</t>
        </is>
      </c>
      <c r="G59" t="n">
        <v>7.7</v>
      </c>
      <c r="H59" t="n">
        <v>3</v>
      </c>
      <c r="I59" t="n">
        <v>5</v>
      </c>
      <c r="J59" t="n">
        <v>5</v>
      </c>
      <c r="K59" t="n">
        <v>1</v>
      </c>
      <c r="L59" t="n">
        <v>0</v>
      </c>
      <c r="M59" t="n">
        <v>0</v>
      </c>
      <c r="N59" t="n">
        <v>0</v>
      </c>
      <c r="O59" t="n">
        <v>6</v>
      </c>
      <c r="P59" t="n">
        <v>1</v>
      </c>
      <c r="Q59" t="n">
        <v>12</v>
      </c>
      <c r="R59" s="2" t="inlineStr">
        <is>
          <t>Knärot
Motaggsvamp
Tallticka
Tretåig hackspett
Vedskivlav
Vedtrappmossa
Dropptaggsvamp
Grönpyrola
Kattfotslav
Nästlav
Sårläka
Blåsippa</t>
        </is>
      </c>
      <c r="S59">
        <f>HYPERLINK("https://klasma.github.io/Logging_0188/artfynd/A 44237-2024 artfynd.xlsx", "A 44237-2024")</f>
        <v/>
      </c>
      <c r="T59">
        <f>HYPERLINK("https://klasma.github.io/Logging_0188/kartor/A 44237-2024 karta.png", "A 44237-2024")</f>
        <v/>
      </c>
      <c r="U59">
        <f>HYPERLINK("https://klasma.github.io/Logging_0188/knärot/A 44237-2024 karta knärot.png", "A 44237-2024")</f>
        <v/>
      </c>
      <c r="V59">
        <f>HYPERLINK("https://klasma.github.io/Logging_0188/klagomål/A 44237-2024 FSC-klagomål.docx", "A 44237-2024")</f>
        <v/>
      </c>
      <c r="W59">
        <f>HYPERLINK("https://klasma.github.io/Logging_0188/klagomålsmail/A 44237-2024 FSC-klagomål mail.docx", "A 44237-2024")</f>
        <v/>
      </c>
      <c r="X59">
        <f>HYPERLINK("https://klasma.github.io/Logging_0188/tillsyn/A 44237-2024 tillsynsbegäran.docx", "A 44237-2024")</f>
        <v/>
      </c>
      <c r="Y59">
        <f>HYPERLINK("https://klasma.github.io/Logging_0188/tillsynsmail/A 44237-2024 tillsynsbegäran mail.docx", "A 44237-2024")</f>
        <v/>
      </c>
      <c r="Z59">
        <f>HYPERLINK("https://klasma.github.io/Logging_0188/fåglar/A 44237-2024 prioriterade fågelarter.docx", "A 44237-2024")</f>
        <v/>
      </c>
    </row>
    <row r="60" ht="15" customHeight="1">
      <c r="A60" t="inlineStr">
        <is>
          <t>A 55611-2024</t>
        </is>
      </c>
      <c r="B60" s="1" t="n">
        <v>45622</v>
      </c>
      <c r="C60" s="1" t="n">
        <v>45693</v>
      </c>
      <c r="D60" t="inlineStr">
        <is>
          <t>STOCKHOLMS LÄN</t>
        </is>
      </c>
      <c r="E60" t="inlineStr">
        <is>
          <t>VALLENTUNA</t>
        </is>
      </c>
      <c r="G60" t="n">
        <v>11.1</v>
      </c>
      <c r="H60" t="n">
        <v>5</v>
      </c>
      <c r="I60" t="n">
        <v>6</v>
      </c>
      <c r="J60" t="n">
        <v>4</v>
      </c>
      <c r="K60" t="n">
        <v>0</v>
      </c>
      <c r="L60" t="n">
        <v>0</v>
      </c>
      <c r="M60" t="n">
        <v>0</v>
      </c>
      <c r="N60" t="n">
        <v>0</v>
      </c>
      <c r="O60" t="n">
        <v>4</v>
      </c>
      <c r="P60" t="n">
        <v>0</v>
      </c>
      <c r="Q60" t="n">
        <v>12</v>
      </c>
      <c r="R60" s="2" t="inlineStr">
        <is>
          <t>Duvhök
Spillkråka
Talltita
Ullticka
Björksplintborre
Brandticka
Bronshjon
Kornknutmossa
Mindre märgborre
Vågbandad barkbock
Kungsfågel
Blåsippa</t>
        </is>
      </c>
      <c r="S60">
        <f>HYPERLINK("https://klasma.github.io/Logging_0115/artfynd/A 55611-2024 artfynd.xlsx", "A 55611-2024")</f>
        <v/>
      </c>
      <c r="T60">
        <f>HYPERLINK("https://klasma.github.io/Logging_0115/kartor/A 55611-2024 karta.png", "A 55611-2024")</f>
        <v/>
      </c>
      <c r="V60">
        <f>HYPERLINK("https://klasma.github.io/Logging_0115/klagomål/A 55611-2024 FSC-klagomål.docx", "A 55611-2024")</f>
        <v/>
      </c>
      <c r="W60">
        <f>HYPERLINK("https://klasma.github.io/Logging_0115/klagomålsmail/A 55611-2024 FSC-klagomål mail.docx", "A 55611-2024")</f>
        <v/>
      </c>
      <c r="X60">
        <f>HYPERLINK("https://klasma.github.io/Logging_0115/tillsyn/A 55611-2024 tillsynsbegäran.docx", "A 55611-2024")</f>
        <v/>
      </c>
      <c r="Y60">
        <f>HYPERLINK("https://klasma.github.io/Logging_0115/tillsynsmail/A 55611-2024 tillsynsbegäran mail.docx", "A 55611-2024")</f>
        <v/>
      </c>
      <c r="Z60">
        <f>HYPERLINK("https://klasma.github.io/Logging_0115/fåglar/A 55611-2024 prioriterade fågelarter.docx", "A 55611-2024")</f>
        <v/>
      </c>
    </row>
    <row r="61" ht="15" customHeight="1">
      <c r="A61" t="inlineStr">
        <is>
          <t>A 56743-2024</t>
        </is>
      </c>
      <c r="B61" s="1" t="n">
        <v>45628</v>
      </c>
      <c r="C61" s="1" t="n">
        <v>45693</v>
      </c>
      <c r="D61" t="inlineStr">
        <is>
          <t>STOCKHOLMS LÄN</t>
        </is>
      </c>
      <c r="E61" t="inlineStr">
        <is>
          <t>NORRTÄLJE</t>
        </is>
      </c>
      <c r="G61" t="n">
        <v>10.5</v>
      </c>
      <c r="H61" t="n">
        <v>3</v>
      </c>
      <c r="I61" t="n">
        <v>6</v>
      </c>
      <c r="J61" t="n">
        <v>2</v>
      </c>
      <c r="K61" t="n">
        <v>2</v>
      </c>
      <c r="L61" t="n">
        <v>0</v>
      </c>
      <c r="M61" t="n">
        <v>0</v>
      </c>
      <c r="N61" t="n">
        <v>0</v>
      </c>
      <c r="O61" t="n">
        <v>4</v>
      </c>
      <c r="P61" t="n">
        <v>2</v>
      </c>
      <c r="Q61" t="n">
        <v>12</v>
      </c>
      <c r="R61" s="2" t="inlineStr">
        <is>
          <t>Koppartaggsvamp
Violgubbe
Orange taggsvamp
Spillkråka
Bronshjon
Grovticka
Grönpyrola
Skarp dropptaggsvamp
Svavelriska
Vedticka
Blåsippa
Revlummer</t>
        </is>
      </c>
      <c r="S61">
        <f>HYPERLINK("https://klasma.github.io/Logging_0188/artfynd/A 56743-2024 artfynd.xlsx", "A 56743-2024")</f>
        <v/>
      </c>
      <c r="T61">
        <f>HYPERLINK("https://klasma.github.io/Logging_0188/kartor/A 56743-2024 karta.png", "A 56743-2024")</f>
        <v/>
      </c>
      <c r="V61">
        <f>HYPERLINK("https://klasma.github.io/Logging_0188/klagomål/A 56743-2024 FSC-klagomål.docx", "A 56743-2024")</f>
        <v/>
      </c>
      <c r="W61">
        <f>HYPERLINK("https://klasma.github.io/Logging_0188/klagomålsmail/A 56743-2024 FSC-klagomål mail.docx", "A 56743-2024")</f>
        <v/>
      </c>
      <c r="X61">
        <f>HYPERLINK("https://klasma.github.io/Logging_0188/tillsyn/A 56743-2024 tillsynsbegäran.docx", "A 56743-2024")</f>
        <v/>
      </c>
      <c r="Y61">
        <f>HYPERLINK("https://klasma.github.io/Logging_0188/tillsynsmail/A 56743-2024 tillsynsbegäran mail.docx", "A 56743-2024")</f>
        <v/>
      </c>
      <c r="Z61">
        <f>HYPERLINK("https://klasma.github.io/Logging_0188/fåglar/A 56743-2024 prioriterade fågelarter.docx", "A 56743-2024")</f>
        <v/>
      </c>
    </row>
    <row r="62" ht="15" customHeight="1">
      <c r="A62" t="inlineStr">
        <is>
          <t>A 56742-2024</t>
        </is>
      </c>
      <c r="B62" s="1" t="n">
        <v>45628</v>
      </c>
      <c r="C62" s="1" t="n">
        <v>45693</v>
      </c>
      <c r="D62" t="inlineStr">
        <is>
          <t>STOCKHOLMS LÄN</t>
        </is>
      </c>
      <c r="E62" t="inlineStr">
        <is>
          <t>NORRTÄLJE</t>
        </is>
      </c>
      <c r="G62" t="n">
        <v>10.5</v>
      </c>
      <c r="H62" t="n">
        <v>3</v>
      </c>
      <c r="I62" t="n">
        <v>6</v>
      </c>
      <c r="J62" t="n">
        <v>2</v>
      </c>
      <c r="K62" t="n">
        <v>2</v>
      </c>
      <c r="L62" t="n">
        <v>0</v>
      </c>
      <c r="M62" t="n">
        <v>0</v>
      </c>
      <c r="N62" t="n">
        <v>0</v>
      </c>
      <c r="O62" t="n">
        <v>4</v>
      </c>
      <c r="P62" t="n">
        <v>2</v>
      </c>
      <c r="Q62" t="n">
        <v>12</v>
      </c>
      <c r="R62" s="2" t="inlineStr">
        <is>
          <t>Koppartaggsvamp
Violgubbe
Orange taggsvamp
Spillkråka
Bronshjon
Grovticka
Grönpyrola
Skarp dropptaggsvamp
Svavelriska
Vedticka
Blåsippa
Revlummer</t>
        </is>
      </c>
      <c r="S62">
        <f>HYPERLINK("https://klasma.github.io/Logging_0188/artfynd/A 56742-2024 artfynd.xlsx", "A 56742-2024")</f>
        <v/>
      </c>
      <c r="T62">
        <f>HYPERLINK("https://klasma.github.io/Logging_0188/kartor/A 56742-2024 karta.png", "A 56742-2024")</f>
        <v/>
      </c>
      <c r="V62">
        <f>HYPERLINK("https://klasma.github.io/Logging_0188/klagomål/A 56742-2024 FSC-klagomål.docx", "A 56742-2024")</f>
        <v/>
      </c>
      <c r="W62">
        <f>HYPERLINK("https://klasma.github.io/Logging_0188/klagomålsmail/A 56742-2024 FSC-klagomål mail.docx", "A 56742-2024")</f>
        <v/>
      </c>
      <c r="X62">
        <f>HYPERLINK("https://klasma.github.io/Logging_0188/tillsyn/A 56742-2024 tillsynsbegäran.docx", "A 56742-2024")</f>
        <v/>
      </c>
      <c r="Y62">
        <f>HYPERLINK("https://klasma.github.io/Logging_0188/tillsynsmail/A 56742-2024 tillsynsbegäran mail.docx", "A 56742-2024")</f>
        <v/>
      </c>
      <c r="Z62">
        <f>HYPERLINK("https://klasma.github.io/Logging_0188/fåglar/A 56742-2024 prioriterade fågelarter.docx", "A 56742-2024")</f>
        <v/>
      </c>
    </row>
    <row r="63" ht="15" customHeight="1">
      <c r="A63" t="inlineStr">
        <is>
          <t>A 60838-2021</t>
        </is>
      </c>
      <c r="B63" s="1" t="n">
        <v>44497</v>
      </c>
      <c r="C63" s="1" t="n">
        <v>45693</v>
      </c>
      <c r="D63" t="inlineStr">
        <is>
          <t>STOCKHOLMS LÄN</t>
        </is>
      </c>
      <c r="E63" t="inlineStr">
        <is>
          <t>SIGTUNA</t>
        </is>
      </c>
      <c r="G63" t="n">
        <v>13.7</v>
      </c>
      <c r="H63" t="n">
        <v>11</v>
      </c>
      <c r="I63" t="n">
        <v>0</v>
      </c>
      <c r="J63" t="n">
        <v>6</v>
      </c>
      <c r="K63" t="n">
        <v>0</v>
      </c>
      <c r="L63" t="n">
        <v>0</v>
      </c>
      <c r="M63" t="n">
        <v>0</v>
      </c>
      <c r="N63" t="n">
        <v>0</v>
      </c>
      <c r="O63" t="n">
        <v>6</v>
      </c>
      <c r="P63" t="n">
        <v>0</v>
      </c>
      <c r="Q63" t="n">
        <v>11</v>
      </c>
      <c r="R63" s="2" t="inlineStr">
        <is>
          <t>Björktrast
Blå kärrhök
Duvhök
Gulsparv
Rödvingetrast
Skrattmås
Grönsiska
Kungsfågel
Nattskärra
Trädlärka
Törnskata</t>
        </is>
      </c>
      <c r="S63">
        <f>HYPERLINK("https://klasma.github.io/Logging_0191/artfynd/A 60838-2021 artfynd.xlsx", "A 60838-2021")</f>
        <v/>
      </c>
      <c r="T63">
        <f>HYPERLINK("https://klasma.github.io/Logging_0191/kartor/A 60838-2021 karta.png", "A 60838-2021")</f>
        <v/>
      </c>
      <c r="V63">
        <f>HYPERLINK("https://klasma.github.io/Logging_0191/klagomål/A 60838-2021 FSC-klagomål.docx", "A 60838-2021")</f>
        <v/>
      </c>
      <c r="W63">
        <f>HYPERLINK("https://klasma.github.io/Logging_0191/klagomålsmail/A 60838-2021 FSC-klagomål mail.docx", "A 60838-2021")</f>
        <v/>
      </c>
      <c r="X63">
        <f>HYPERLINK("https://klasma.github.io/Logging_0191/tillsyn/A 60838-2021 tillsynsbegäran.docx", "A 60838-2021")</f>
        <v/>
      </c>
      <c r="Y63">
        <f>HYPERLINK("https://klasma.github.io/Logging_0191/tillsynsmail/A 60838-2021 tillsynsbegäran mail.docx", "A 60838-2021")</f>
        <v/>
      </c>
      <c r="Z63">
        <f>HYPERLINK("https://klasma.github.io/Logging_0191/fåglar/A 60838-2021 prioriterade fågelarter.docx", "A 60838-2021")</f>
        <v/>
      </c>
    </row>
    <row r="64" ht="15" customHeight="1">
      <c r="A64" t="inlineStr">
        <is>
          <t>A 66797-2021</t>
        </is>
      </c>
      <c r="B64" s="1" t="n">
        <v>44519</v>
      </c>
      <c r="C64" s="1" t="n">
        <v>45693</v>
      </c>
      <c r="D64" t="inlineStr">
        <is>
          <t>STOCKHOLMS LÄN</t>
        </is>
      </c>
      <c r="E64" t="inlineStr">
        <is>
          <t>HANINGE</t>
        </is>
      </c>
      <c r="G64" t="n">
        <v>3</v>
      </c>
      <c r="H64" t="n">
        <v>0</v>
      </c>
      <c r="I64" t="n">
        <v>2</v>
      </c>
      <c r="J64" t="n">
        <v>6</v>
      </c>
      <c r="K64" t="n">
        <v>3</v>
      </c>
      <c r="L64" t="n">
        <v>0</v>
      </c>
      <c r="M64" t="n">
        <v>0</v>
      </c>
      <c r="N64" t="n">
        <v>0</v>
      </c>
      <c r="O64" t="n">
        <v>9</v>
      </c>
      <c r="P64" t="n">
        <v>3</v>
      </c>
      <c r="Q64" t="n">
        <v>11</v>
      </c>
      <c r="R64" s="2" t="inlineStr">
        <is>
          <t>Gulbrunt nejlikfly
Korkmusslingsmal
Tajgafältmätare
Hedjordfly
Mindre aspvårvecklare
Snedstreckad fältmätare
Spybollsmal
Större aspvårvecklare
Svartfläckig högstjärt
Jättesvampmal
Större aspvedbock</t>
        </is>
      </c>
      <c r="S64">
        <f>HYPERLINK("https://klasma.github.io/Logging_0136/artfynd/A 66797-2021 artfynd.xlsx", "A 66797-2021")</f>
        <v/>
      </c>
      <c r="T64">
        <f>HYPERLINK("https://klasma.github.io/Logging_0136/kartor/A 66797-2021 karta.png", "A 66797-2021")</f>
        <v/>
      </c>
      <c r="V64">
        <f>HYPERLINK("https://klasma.github.io/Logging_0136/klagomål/A 66797-2021 FSC-klagomål.docx", "A 66797-2021")</f>
        <v/>
      </c>
      <c r="W64">
        <f>HYPERLINK("https://klasma.github.io/Logging_0136/klagomålsmail/A 66797-2021 FSC-klagomål mail.docx", "A 66797-2021")</f>
        <v/>
      </c>
      <c r="X64">
        <f>HYPERLINK("https://klasma.github.io/Logging_0136/tillsyn/A 66797-2021 tillsynsbegäran.docx", "A 66797-2021")</f>
        <v/>
      </c>
      <c r="Y64">
        <f>HYPERLINK("https://klasma.github.io/Logging_0136/tillsynsmail/A 66797-2021 tillsynsbegäran mail.docx", "A 66797-2021")</f>
        <v/>
      </c>
    </row>
    <row r="65" ht="15" customHeight="1">
      <c r="A65" t="inlineStr">
        <is>
          <t>A 22060-2022</t>
        </is>
      </c>
      <c r="B65" s="1" t="n">
        <v>44711</v>
      </c>
      <c r="C65" s="1" t="n">
        <v>45693</v>
      </c>
      <c r="D65" t="inlineStr">
        <is>
          <t>STOCKHOLMS LÄN</t>
        </is>
      </c>
      <c r="E65" t="inlineStr">
        <is>
          <t>VALLENTUNA</t>
        </is>
      </c>
      <c r="G65" t="n">
        <v>5.4</v>
      </c>
      <c r="H65" t="n">
        <v>3</v>
      </c>
      <c r="I65" t="n">
        <v>7</v>
      </c>
      <c r="J65" t="n">
        <v>2</v>
      </c>
      <c r="K65" t="n">
        <v>0</v>
      </c>
      <c r="L65" t="n">
        <v>0</v>
      </c>
      <c r="M65" t="n">
        <v>0</v>
      </c>
      <c r="N65" t="n">
        <v>0</v>
      </c>
      <c r="O65" t="n">
        <v>2</v>
      </c>
      <c r="P65" t="n">
        <v>0</v>
      </c>
      <c r="Q65" t="n">
        <v>11</v>
      </c>
      <c r="R65" s="2" t="inlineStr">
        <is>
          <t>Grönhjon
Ullticka
Bronshjon
Granbarkgnagare
Grönpyrola
Korallrot
Stubbspretmossa
Vågbandad barkbock
Ögonpyrola
Fläcknycklar
Blåsippa</t>
        </is>
      </c>
      <c r="S65">
        <f>HYPERLINK("https://klasma.github.io/Logging_0115/artfynd/A 22060-2022 artfynd.xlsx", "A 22060-2022")</f>
        <v/>
      </c>
      <c r="T65">
        <f>HYPERLINK("https://klasma.github.io/Logging_0115/kartor/A 22060-2022 karta.png", "A 22060-2022")</f>
        <v/>
      </c>
      <c r="V65">
        <f>HYPERLINK("https://klasma.github.io/Logging_0115/klagomål/A 22060-2022 FSC-klagomål.docx", "A 22060-2022")</f>
        <v/>
      </c>
      <c r="W65">
        <f>HYPERLINK("https://klasma.github.io/Logging_0115/klagomålsmail/A 22060-2022 FSC-klagomål mail.docx", "A 22060-2022")</f>
        <v/>
      </c>
      <c r="X65">
        <f>HYPERLINK("https://klasma.github.io/Logging_0115/tillsyn/A 22060-2022 tillsynsbegäran.docx", "A 22060-2022")</f>
        <v/>
      </c>
      <c r="Y65">
        <f>HYPERLINK("https://klasma.github.io/Logging_0115/tillsynsmail/A 22060-2022 tillsynsbegäran mail.docx", "A 22060-2022")</f>
        <v/>
      </c>
    </row>
    <row r="66" ht="15" customHeight="1">
      <c r="A66" t="inlineStr">
        <is>
          <t>A 57943-2022</t>
        </is>
      </c>
      <c r="B66" s="1" t="n">
        <v>44900</v>
      </c>
      <c r="C66" s="1" t="n">
        <v>45693</v>
      </c>
      <c r="D66" t="inlineStr">
        <is>
          <t>STOCKHOLMS LÄN</t>
        </is>
      </c>
      <c r="E66" t="inlineStr">
        <is>
          <t>SIGTUNA</t>
        </is>
      </c>
      <c r="G66" t="n">
        <v>15</v>
      </c>
      <c r="H66" t="n">
        <v>9</v>
      </c>
      <c r="I66" t="n">
        <v>2</v>
      </c>
      <c r="J66" t="n">
        <v>2</v>
      </c>
      <c r="K66" t="n">
        <v>0</v>
      </c>
      <c r="L66" t="n">
        <v>0</v>
      </c>
      <c r="M66" t="n">
        <v>0</v>
      </c>
      <c r="N66" t="n">
        <v>0</v>
      </c>
      <c r="O66" t="n">
        <v>2</v>
      </c>
      <c r="P66" t="n">
        <v>0</v>
      </c>
      <c r="Q66" t="n">
        <v>11</v>
      </c>
      <c r="R66" s="2" t="inlineStr">
        <is>
          <t>Nordfladdermus
Spillkråka
Thomsons trägnagare
Vanlig flatbagge
Dvärgpipistrell
Grönsiska
Järnsparv
Kungsfågel
Större brunfladdermus
Skogsödla
Gullviva</t>
        </is>
      </c>
      <c r="S66">
        <f>HYPERLINK("https://klasma.github.io/Logging_0191/artfynd/A 57943-2022 artfynd.xlsx", "A 57943-2022")</f>
        <v/>
      </c>
      <c r="T66">
        <f>HYPERLINK("https://klasma.github.io/Logging_0191/kartor/A 57943-2022 karta.png", "A 57943-2022")</f>
        <v/>
      </c>
      <c r="V66">
        <f>HYPERLINK("https://klasma.github.io/Logging_0191/klagomål/A 57943-2022 FSC-klagomål.docx", "A 57943-2022")</f>
        <v/>
      </c>
      <c r="W66">
        <f>HYPERLINK("https://klasma.github.io/Logging_0191/klagomålsmail/A 57943-2022 FSC-klagomål mail.docx", "A 57943-2022")</f>
        <v/>
      </c>
      <c r="X66">
        <f>HYPERLINK("https://klasma.github.io/Logging_0191/tillsyn/A 57943-2022 tillsynsbegäran.docx", "A 57943-2022")</f>
        <v/>
      </c>
      <c r="Y66">
        <f>HYPERLINK("https://klasma.github.io/Logging_0191/tillsynsmail/A 57943-2022 tillsynsbegäran mail.docx", "A 57943-2022")</f>
        <v/>
      </c>
      <c r="Z66">
        <f>HYPERLINK("https://klasma.github.io/Logging_0191/fåglar/A 57943-2022 prioriterade fågelarter.docx", "A 57943-2022")</f>
        <v/>
      </c>
    </row>
    <row r="67" ht="15" customHeight="1">
      <c r="A67" t="inlineStr">
        <is>
          <t>A 61724-2022</t>
        </is>
      </c>
      <c r="B67" s="1" t="n">
        <v>44917</v>
      </c>
      <c r="C67" s="1" t="n">
        <v>45693</v>
      </c>
      <c r="D67" t="inlineStr">
        <is>
          <t>STOCKHOLMS LÄN</t>
        </is>
      </c>
      <c r="E67" t="inlineStr">
        <is>
          <t>ÖSTERÅKER</t>
        </is>
      </c>
      <c r="G67" t="n">
        <v>3.5</v>
      </c>
      <c r="H67" t="n">
        <v>2</v>
      </c>
      <c r="I67" t="n">
        <v>9</v>
      </c>
      <c r="J67" t="n">
        <v>1</v>
      </c>
      <c r="K67" t="n">
        <v>0</v>
      </c>
      <c r="L67" t="n">
        <v>0</v>
      </c>
      <c r="M67" t="n">
        <v>0</v>
      </c>
      <c r="N67" t="n">
        <v>0</v>
      </c>
      <c r="O67" t="n">
        <v>1</v>
      </c>
      <c r="P67" t="n">
        <v>0</v>
      </c>
      <c r="Q67" t="n">
        <v>11</v>
      </c>
      <c r="R67" s="2" t="inlineStr">
        <is>
          <t>Spillkråka
Bronshjon
Granbarkgnagare
Mörk husmossa
Skogshakmossa
Stubbspretmossa
Tibast
Västlig hakmossa
Vätteros
Vårärt
Blåsippa</t>
        </is>
      </c>
      <c r="S67">
        <f>HYPERLINK("https://klasma.github.io/Logging_0117/artfynd/A 61724-2022 artfynd.xlsx", "A 61724-2022")</f>
        <v/>
      </c>
      <c r="T67">
        <f>HYPERLINK("https://klasma.github.io/Logging_0117/kartor/A 61724-2022 karta.png", "A 61724-2022")</f>
        <v/>
      </c>
      <c r="V67">
        <f>HYPERLINK("https://klasma.github.io/Logging_0117/klagomål/A 61724-2022 FSC-klagomål.docx", "A 61724-2022")</f>
        <v/>
      </c>
      <c r="W67">
        <f>HYPERLINK("https://klasma.github.io/Logging_0117/klagomålsmail/A 61724-2022 FSC-klagomål mail.docx", "A 61724-2022")</f>
        <v/>
      </c>
      <c r="X67">
        <f>HYPERLINK("https://klasma.github.io/Logging_0117/tillsyn/A 61724-2022 tillsynsbegäran.docx", "A 61724-2022")</f>
        <v/>
      </c>
      <c r="Y67">
        <f>HYPERLINK("https://klasma.github.io/Logging_0117/tillsynsmail/A 61724-2022 tillsynsbegäran mail.docx", "A 61724-2022")</f>
        <v/>
      </c>
      <c r="Z67">
        <f>HYPERLINK("https://klasma.github.io/Logging_0117/fåglar/A 61724-2022 prioriterade fågelarter.docx", "A 61724-2022")</f>
        <v/>
      </c>
    </row>
    <row r="68" ht="15" customHeight="1">
      <c r="A68" t="inlineStr">
        <is>
          <t>A 3472-2023</t>
        </is>
      </c>
      <c r="B68" s="1" t="n">
        <v>44949</v>
      </c>
      <c r="C68" s="1" t="n">
        <v>45693</v>
      </c>
      <c r="D68" t="inlineStr">
        <is>
          <t>STOCKHOLMS LÄN</t>
        </is>
      </c>
      <c r="E68" t="inlineStr">
        <is>
          <t>NORRTÄLJE</t>
        </is>
      </c>
      <c r="G68" t="n">
        <v>26.3</v>
      </c>
      <c r="H68" t="n">
        <v>1</v>
      </c>
      <c r="I68" t="n">
        <v>7</v>
      </c>
      <c r="J68" t="n">
        <v>2</v>
      </c>
      <c r="K68" t="n">
        <v>1</v>
      </c>
      <c r="L68" t="n">
        <v>0</v>
      </c>
      <c r="M68" t="n">
        <v>0</v>
      </c>
      <c r="N68" t="n">
        <v>0</v>
      </c>
      <c r="O68" t="n">
        <v>3</v>
      </c>
      <c r="P68" t="n">
        <v>1</v>
      </c>
      <c r="Q68" t="n">
        <v>11</v>
      </c>
      <c r="R68" s="2" t="inlineStr">
        <is>
          <t>Blackticka
Tallticka
Ullticka
Aspvedgnagare
Platt fjädermossa
Rävticka
Rökmusseron
Stor aspticka
Svavelriska
Vårärt
Blåsippa</t>
        </is>
      </c>
      <c r="S68">
        <f>HYPERLINK("https://klasma.github.io/Logging_0188/artfynd/A 3472-2023 artfynd.xlsx", "A 3472-2023")</f>
        <v/>
      </c>
      <c r="T68">
        <f>HYPERLINK("https://klasma.github.io/Logging_0188/kartor/A 3472-2023 karta.png", "A 3472-2023")</f>
        <v/>
      </c>
      <c r="V68">
        <f>HYPERLINK("https://klasma.github.io/Logging_0188/klagomål/A 3472-2023 FSC-klagomål.docx", "A 3472-2023")</f>
        <v/>
      </c>
      <c r="W68">
        <f>HYPERLINK("https://klasma.github.io/Logging_0188/klagomålsmail/A 3472-2023 FSC-klagomål mail.docx", "A 3472-2023")</f>
        <v/>
      </c>
      <c r="X68">
        <f>HYPERLINK("https://klasma.github.io/Logging_0188/tillsyn/A 3472-2023 tillsynsbegäran.docx", "A 3472-2023")</f>
        <v/>
      </c>
      <c r="Y68">
        <f>HYPERLINK("https://klasma.github.io/Logging_0188/tillsynsmail/A 3472-2023 tillsynsbegäran mail.docx", "A 3472-2023")</f>
        <v/>
      </c>
    </row>
    <row r="69" ht="15" customHeight="1">
      <c r="A69" t="inlineStr">
        <is>
          <t>A 16743-2023</t>
        </is>
      </c>
      <c r="B69" s="1" t="n">
        <v>45030</v>
      </c>
      <c r="C69" s="1" t="n">
        <v>45693</v>
      </c>
      <c r="D69" t="inlineStr">
        <is>
          <t>STOCKHOLMS LÄN</t>
        </is>
      </c>
      <c r="E69" t="inlineStr">
        <is>
          <t>NORRTÄLJE</t>
        </is>
      </c>
      <c r="G69" t="n">
        <v>6</v>
      </c>
      <c r="H69" t="n">
        <v>3</v>
      </c>
      <c r="I69" t="n">
        <v>6</v>
      </c>
      <c r="J69" t="n">
        <v>1</v>
      </c>
      <c r="K69" t="n">
        <v>2</v>
      </c>
      <c r="L69" t="n">
        <v>0</v>
      </c>
      <c r="M69" t="n">
        <v>0</v>
      </c>
      <c r="N69" t="n">
        <v>0</v>
      </c>
      <c r="O69" t="n">
        <v>3</v>
      </c>
      <c r="P69" t="n">
        <v>2</v>
      </c>
      <c r="Q69" t="n">
        <v>11</v>
      </c>
      <c r="R69" s="2" t="inlineStr">
        <is>
          <t>Grangråticka
Koppartaggsvamp
Granticka
Fjällig taggsvamp s.str.
Grönpyrola
Jättesvampmal
Skarp dropptaggsvamp
Skogsknipprot
Zontaggsvamp
Nattviol
Blåsippa</t>
        </is>
      </c>
      <c r="S69">
        <f>HYPERLINK("https://klasma.github.io/Logging_0188/artfynd/A 16743-2023 artfynd.xlsx", "A 16743-2023")</f>
        <v/>
      </c>
      <c r="T69">
        <f>HYPERLINK("https://klasma.github.io/Logging_0188/kartor/A 16743-2023 karta.png", "A 16743-2023")</f>
        <v/>
      </c>
      <c r="V69">
        <f>HYPERLINK("https://klasma.github.io/Logging_0188/klagomål/A 16743-2023 FSC-klagomål.docx", "A 16743-2023")</f>
        <v/>
      </c>
      <c r="W69">
        <f>HYPERLINK("https://klasma.github.io/Logging_0188/klagomålsmail/A 16743-2023 FSC-klagomål mail.docx", "A 16743-2023")</f>
        <v/>
      </c>
      <c r="X69">
        <f>HYPERLINK("https://klasma.github.io/Logging_0188/tillsyn/A 16743-2023 tillsynsbegäran.docx", "A 16743-2023")</f>
        <v/>
      </c>
      <c r="Y69">
        <f>HYPERLINK("https://klasma.github.io/Logging_0188/tillsynsmail/A 16743-2023 tillsynsbegäran mail.docx", "A 16743-2023")</f>
        <v/>
      </c>
    </row>
    <row r="70" ht="15" customHeight="1">
      <c r="A70" t="inlineStr">
        <is>
          <t>A 31462-2023</t>
        </is>
      </c>
      <c r="B70" s="1" t="n">
        <v>45114</v>
      </c>
      <c r="C70" s="1" t="n">
        <v>45693</v>
      </c>
      <c r="D70" t="inlineStr">
        <is>
          <t>STOCKHOLMS LÄN</t>
        </is>
      </c>
      <c r="E70" t="inlineStr">
        <is>
          <t>NORRTÄLJE</t>
        </is>
      </c>
      <c r="G70" t="n">
        <v>6.8</v>
      </c>
      <c r="H70" t="n">
        <v>7</v>
      </c>
      <c r="I70" t="n">
        <v>4</v>
      </c>
      <c r="J70" t="n">
        <v>1</v>
      </c>
      <c r="K70" t="n">
        <v>0</v>
      </c>
      <c r="L70" t="n">
        <v>0</v>
      </c>
      <c r="M70" t="n">
        <v>0</v>
      </c>
      <c r="N70" t="n">
        <v>0</v>
      </c>
      <c r="O70" t="n">
        <v>1</v>
      </c>
      <c r="P70" t="n">
        <v>0</v>
      </c>
      <c r="Q70" t="n">
        <v>11</v>
      </c>
      <c r="R70" s="2" t="inlineStr">
        <is>
          <t>Ängsstarr
Gräsull
Skogsknipprot
Terpentinmossa
Vågbandad barkbock
Gröngöling
Vanlig groda
Kärrknipprot
Ängsnycklar
Blåsippa
Revlummer</t>
        </is>
      </c>
      <c r="S70">
        <f>HYPERLINK("https://klasma.github.io/Logging_0188/artfynd/A 31462-2023 artfynd.xlsx", "A 31462-2023")</f>
        <v/>
      </c>
      <c r="T70">
        <f>HYPERLINK("https://klasma.github.io/Logging_0188/kartor/A 31462-2023 karta.png", "A 31462-2023")</f>
        <v/>
      </c>
      <c r="V70">
        <f>HYPERLINK("https://klasma.github.io/Logging_0188/klagomål/A 31462-2023 FSC-klagomål.docx", "A 31462-2023")</f>
        <v/>
      </c>
      <c r="W70">
        <f>HYPERLINK("https://klasma.github.io/Logging_0188/klagomålsmail/A 31462-2023 FSC-klagomål mail.docx", "A 31462-2023")</f>
        <v/>
      </c>
      <c r="X70">
        <f>HYPERLINK("https://klasma.github.io/Logging_0188/tillsyn/A 31462-2023 tillsynsbegäran.docx", "A 31462-2023")</f>
        <v/>
      </c>
      <c r="Y70">
        <f>HYPERLINK("https://klasma.github.io/Logging_0188/tillsynsmail/A 31462-2023 tillsynsbegäran mail.docx", "A 31462-2023")</f>
        <v/>
      </c>
      <c r="Z70">
        <f>HYPERLINK("https://klasma.github.io/Logging_0188/fåglar/A 31462-2023 prioriterade fågelarter.docx", "A 31462-2023")</f>
        <v/>
      </c>
    </row>
    <row r="71" ht="15" customHeight="1">
      <c r="A71" t="inlineStr">
        <is>
          <t>A 44481-2023</t>
        </is>
      </c>
      <c r="B71" s="1" t="n">
        <v>45189</v>
      </c>
      <c r="C71" s="1" t="n">
        <v>45693</v>
      </c>
      <c r="D71" t="inlineStr">
        <is>
          <t>STOCKHOLMS LÄN</t>
        </is>
      </c>
      <c r="E71" t="inlineStr">
        <is>
          <t>NORRTÄLJE</t>
        </is>
      </c>
      <c r="G71" t="n">
        <v>10.1</v>
      </c>
      <c r="H71" t="n">
        <v>4</v>
      </c>
      <c r="I71" t="n">
        <v>7</v>
      </c>
      <c r="J71" t="n">
        <v>0</v>
      </c>
      <c r="K71" t="n">
        <v>1</v>
      </c>
      <c r="L71" t="n">
        <v>0</v>
      </c>
      <c r="M71" t="n">
        <v>0</v>
      </c>
      <c r="N71" t="n">
        <v>0</v>
      </c>
      <c r="O71" t="n">
        <v>1</v>
      </c>
      <c r="P71" t="n">
        <v>1</v>
      </c>
      <c r="Q71" t="n">
        <v>11</v>
      </c>
      <c r="R71" s="2" t="inlineStr">
        <is>
          <t>Gul lammticka
Diskvaxskivling
Dropptaggsvamp
Fjällig taggsvamp s.str.
Rödgul trumpetsvamp
Rökmusseron
Skogsknipprot
Zontaggsvamp
Tjäder
Blåsippa
Revlummer</t>
        </is>
      </c>
      <c r="S71">
        <f>HYPERLINK("https://klasma.github.io/Logging_0188/artfynd/A 44481-2023 artfynd.xlsx", "A 44481-2023")</f>
        <v/>
      </c>
      <c r="T71">
        <f>HYPERLINK("https://klasma.github.io/Logging_0188/kartor/A 44481-2023 karta.png", "A 44481-2023")</f>
        <v/>
      </c>
      <c r="V71">
        <f>HYPERLINK("https://klasma.github.io/Logging_0188/klagomål/A 44481-2023 FSC-klagomål.docx", "A 44481-2023")</f>
        <v/>
      </c>
      <c r="W71">
        <f>HYPERLINK("https://klasma.github.io/Logging_0188/klagomålsmail/A 44481-2023 FSC-klagomål mail.docx", "A 44481-2023")</f>
        <v/>
      </c>
      <c r="X71">
        <f>HYPERLINK("https://klasma.github.io/Logging_0188/tillsyn/A 44481-2023 tillsynsbegäran.docx", "A 44481-2023")</f>
        <v/>
      </c>
      <c r="Y71">
        <f>HYPERLINK("https://klasma.github.io/Logging_0188/tillsynsmail/A 44481-2023 tillsynsbegäran mail.docx", "A 44481-2023")</f>
        <v/>
      </c>
      <c r="Z71">
        <f>HYPERLINK("https://klasma.github.io/Logging_0188/fåglar/A 44481-2023 prioriterade fågelarter.docx", "A 44481-2023")</f>
        <v/>
      </c>
    </row>
    <row r="72" ht="15" customHeight="1">
      <c r="A72" t="inlineStr">
        <is>
          <t>A 35652-2024</t>
        </is>
      </c>
      <c r="B72" s="1" t="n">
        <v>45532</v>
      </c>
      <c r="C72" s="1" t="n">
        <v>45693</v>
      </c>
      <c r="D72" t="inlineStr">
        <is>
          <t>STOCKHOLMS LÄN</t>
        </is>
      </c>
      <c r="E72" t="inlineStr">
        <is>
          <t>NORRTÄLJE</t>
        </is>
      </c>
      <c r="G72" t="n">
        <v>23.7</v>
      </c>
      <c r="H72" t="n">
        <v>0</v>
      </c>
      <c r="I72" t="n">
        <v>6</v>
      </c>
      <c r="J72" t="n">
        <v>2</v>
      </c>
      <c r="K72" t="n">
        <v>3</v>
      </c>
      <c r="L72" t="n">
        <v>0</v>
      </c>
      <c r="M72" t="n">
        <v>0</v>
      </c>
      <c r="N72" t="n">
        <v>0</v>
      </c>
      <c r="O72" t="n">
        <v>5</v>
      </c>
      <c r="P72" t="n">
        <v>3</v>
      </c>
      <c r="Q72" t="n">
        <v>11</v>
      </c>
      <c r="R72" s="2" t="inlineStr">
        <is>
          <t>Läderdoftande fingersvamp
Ostticka
Rynkskinn
Grönhjon
Ullticka
Bronshjon
Fjällig taggsvamp s.str.
Grönpyrola
Rödgul trumpetsvamp
Vedticka
Vågbandad barkbock</t>
        </is>
      </c>
      <c r="S72">
        <f>HYPERLINK("https://klasma.github.io/Logging_0188/artfynd/A 35652-2024 artfynd.xlsx", "A 35652-2024")</f>
        <v/>
      </c>
      <c r="T72">
        <f>HYPERLINK("https://klasma.github.io/Logging_0188/kartor/A 35652-2024 karta.png", "A 35652-2024")</f>
        <v/>
      </c>
      <c r="V72">
        <f>HYPERLINK("https://klasma.github.io/Logging_0188/klagomål/A 35652-2024 FSC-klagomål.docx", "A 35652-2024")</f>
        <v/>
      </c>
      <c r="W72">
        <f>HYPERLINK("https://klasma.github.io/Logging_0188/klagomålsmail/A 35652-2024 FSC-klagomål mail.docx", "A 35652-2024")</f>
        <v/>
      </c>
      <c r="X72">
        <f>HYPERLINK("https://klasma.github.io/Logging_0188/tillsyn/A 35652-2024 tillsynsbegäran.docx", "A 35652-2024")</f>
        <v/>
      </c>
      <c r="Y72">
        <f>HYPERLINK("https://klasma.github.io/Logging_0188/tillsynsmail/A 35652-2024 tillsynsbegäran mail.docx", "A 35652-2024")</f>
        <v/>
      </c>
    </row>
    <row r="73" ht="15" customHeight="1">
      <c r="A73" t="inlineStr">
        <is>
          <t>A 21999-2019</t>
        </is>
      </c>
      <c r="B73" s="1" t="n">
        <v>43584</v>
      </c>
      <c r="C73" s="1" t="n">
        <v>45693</v>
      </c>
      <c r="D73" t="inlineStr">
        <is>
          <t>STOCKHOLMS LÄN</t>
        </is>
      </c>
      <c r="E73" t="inlineStr">
        <is>
          <t>NORRTÄLJE</t>
        </is>
      </c>
      <c r="G73" t="n">
        <v>6.4</v>
      </c>
      <c r="H73" t="n">
        <v>0</v>
      </c>
      <c r="I73" t="n">
        <v>7</v>
      </c>
      <c r="J73" t="n">
        <v>3</v>
      </c>
      <c r="K73" t="n">
        <v>0</v>
      </c>
      <c r="L73" t="n">
        <v>0</v>
      </c>
      <c r="M73" t="n">
        <v>0</v>
      </c>
      <c r="N73" t="n">
        <v>0</v>
      </c>
      <c r="O73" t="n">
        <v>3</v>
      </c>
      <c r="P73" t="n">
        <v>0</v>
      </c>
      <c r="Q73" t="n">
        <v>10</v>
      </c>
      <c r="R73" s="2" t="inlineStr">
        <is>
          <t>Dofttaggsvamp
Granticka
Orange taggsvamp
Fjällig taggsvamp s.str.
Granbräken
Skarp dropptaggsvamp
Sårläka
Thomsons trägnagare
Tibast
Vårärt</t>
        </is>
      </c>
      <c r="S73">
        <f>HYPERLINK("https://klasma.github.io/Logging_0188/artfynd/A 21999-2019 artfynd.xlsx", "A 21999-2019")</f>
        <v/>
      </c>
      <c r="T73">
        <f>HYPERLINK("https://klasma.github.io/Logging_0188/kartor/A 21999-2019 karta.png", "A 21999-2019")</f>
        <v/>
      </c>
      <c r="V73">
        <f>HYPERLINK("https://klasma.github.io/Logging_0188/klagomål/A 21999-2019 FSC-klagomål.docx", "A 21999-2019")</f>
        <v/>
      </c>
      <c r="W73">
        <f>HYPERLINK("https://klasma.github.io/Logging_0188/klagomålsmail/A 21999-2019 FSC-klagomål mail.docx", "A 21999-2019")</f>
        <v/>
      </c>
      <c r="X73">
        <f>HYPERLINK("https://klasma.github.io/Logging_0188/tillsyn/A 21999-2019 tillsynsbegäran.docx", "A 21999-2019")</f>
        <v/>
      </c>
      <c r="Y73">
        <f>HYPERLINK("https://klasma.github.io/Logging_0188/tillsynsmail/A 21999-2019 tillsynsbegäran mail.docx", "A 21999-2019")</f>
        <v/>
      </c>
    </row>
    <row r="74" ht="15" customHeight="1">
      <c r="A74" t="inlineStr">
        <is>
          <t>A 27195-2019</t>
        </is>
      </c>
      <c r="B74" s="1" t="n">
        <v>43614</v>
      </c>
      <c r="C74" s="1" t="n">
        <v>45693</v>
      </c>
      <c r="D74" t="inlineStr">
        <is>
          <t>STOCKHOLMS LÄN</t>
        </is>
      </c>
      <c r="E74" t="inlineStr">
        <is>
          <t>NORRTÄLJE</t>
        </is>
      </c>
      <c r="G74" t="n">
        <v>6.8</v>
      </c>
      <c r="H74" t="n">
        <v>0</v>
      </c>
      <c r="I74" t="n">
        <v>6</v>
      </c>
      <c r="J74" t="n">
        <v>3</v>
      </c>
      <c r="K74" t="n">
        <v>1</v>
      </c>
      <c r="L74" t="n">
        <v>0</v>
      </c>
      <c r="M74" t="n">
        <v>0</v>
      </c>
      <c r="N74" t="n">
        <v>0</v>
      </c>
      <c r="O74" t="n">
        <v>4</v>
      </c>
      <c r="P74" t="n">
        <v>1</v>
      </c>
      <c r="Q74" t="n">
        <v>10</v>
      </c>
      <c r="R74" s="2" t="inlineStr">
        <is>
          <t>Violgubbe
Granticka
Gropticka
Kandelabersvamp
Barkticka
Bronshjon
Dvärgtufs
Fjällig taggsvamp s.str.
Jättesvampmal
Skarp dropptaggsvamp</t>
        </is>
      </c>
      <c r="S74">
        <f>HYPERLINK("https://klasma.github.io/Logging_0188/artfynd/A 27195-2019 artfynd.xlsx", "A 27195-2019")</f>
        <v/>
      </c>
      <c r="T74">
        <f>HYPERLINK("https://klasma.github.io/Logging_0188/kartor/A 27195-2019 karta.png", "A 27195-2019")</f>
        <v/>
      </c>
      <c r="V74">
        <f>HYPERLINK("https://klasma.github.io/Logging_0188/klagomål/A 27195-2019 FSC-klagomål.docx", "A 27195-2019")</f>
        <v/>
      </c>
      <c r="W74">
        <f>HYPERLINK("https://klasma.github.io/Logging_0188/klagomålsmail/A 27195-2019 FSC-klagomål mail.docx", "A 27195-2019")</f>
        <v/>
      </c>
      <c r="X74">
        <f>HYPERLINK("https://klasma.github.io/Logging_0188/tillsyn/A 27195-2019 tillsynsbegäran.docx", "A 27195-2019")</f>
        <v/>
      </c>
      <c r="Y74">
        <f>HYPERLINK("https://klasma.github.io/Logging_0188/tillsynsmail/A 27195-2019 tillsynsbegäran mail.docx", "A 27195-2019")</f>
        <v/>
      </c>
    </row>
    <row r="75" ht="15" customHeight="1">
      <c r="A75" t="inlineStr">
        <is>
          <t>A 20030-2020</t>
        </is>
      </c>
      <c r="B75" s="1" t="n">
        <v>43942</v>
      </c>
      <c r="C75" s="1" t="n">
        <v>45693</v>
      </c>
      <c r="D75" t="inlineStr">
        <is>
          <t>STOCKHOLMS LÄN</t>
        </is>
      </c>
      <c r="E75" t="inlineStr">
        <is>
          <t>SIGTUNA</t>
        </is>
      </c>
      <c r="G75" t="n">
        <v>11.5</v>
      </c>
      <c r="H75" t="n">
        <v>9</v>
      </c>
      <c r="I75" t="n">
        <v>1</v>
      </c>
      <c r="J75" t="n">
        <v>2</v>
      </c>
      <c r="K75" t="n">
        <v>1</v>
      </c>
      <c r="L75" t="n">
        <v>1</v>
      </c>
      <c r="M75" t="n">
        <v>0</v>
      </c>
      <c r="N75" t="n">
        <v>0</v>
      </c>
      <c r="O75" t="n">
        <v>4</v>
      </c>
      <c r="P75" t="n">
        <v>2</v>
      </c>
      <c r="Q75" t="n">
        <v>10</v>
      </c>
      <c r="R75" s="2" t="inlineStr">
        <is>
          <t>Grönfink
Tofsvipa
Svartvit flugsnappare
Talltita
Vågbandad barkbock
Gröngöling
Grönsiska
Järnsparv
Kungsfågel
Blåsippa</t>
        </is>
      </c>
      <c r="S75">
        <f>HYPERLINK("https://klasma.github.io/Logging_0191/artfynd/A 20030-2020 artfynd.xlsx", "A 20030-2020")</f>
        <v/>
      </c>
      <c r="T75">
        <f>HYPERLINK("https://klasma.github.io/Logging_0191/kartor/A 20030-2020 karta.png", "A 20030-2020")</f>
        <v/>
      </c>
      <c r="V75">
        <f>HYPERLINK("https://klasma.github.io/Logging_0191/klagomål/A 20030-2020 FSC-klagomål.docx", "A 20030-2020")</f>
        <v/>
      </c>
      <c r="W75">
        <f>HYPERLINK("https://klasma.github.io/Logging_0191/klagomålsmail/A 20030-2020 FSC-klagomål mail.docx", "A 20030-2020")</f>
        <v/>
      </c>
      <c r="X75">
        <f>HYPERLINK("https://klasma.github.io/Logging_0191/tillsyn/A 20030-2020 tillsynsbegäran.docx", "A 20030-2020")</f>
        <v/>
      </c>
      <c r="Y75">
        <f>HYPERLINK("https://klasma.github.io/Logging_0191/tillsynsmail/A 20030-2020 tillsynsbegäran mail.docx", "A 20030-2020")</f>
        <v/>
      </c>
      <c r="Z75">
        <f>HYPERLINK("https://klasma.github.io/Logging_0191/fåglar/A 20030-2020 prioriterade fågelarter.docx", "A 20030-2020")</f>
        <v/>
      </c>
    </row>
    <row r="76" ht="15" customHeight="1">
      <c r="A76" t="inlineStr">
        <is>
          <t>A 11231-2021</t>
        </is>
      </c>
      <c r="B76" s="1" t="n">
        <v>44263</v>
      </c>
      <c r="C76" s="1" t="n">
        <v>45693</v>
      </c>
      <c r="D76" t="inlineStr">
        <is>
          <t>STOCKHOLMS LÄN</t>
        </is>
      </c>
      <c r="E76" t="inlineStr">
        <is>
          <t>NORRTÄLJE</t>
        </is>
      </c>
      <c r="F76" t="inlineStr">
        <is>
          <t>Holmen skog AB</t>
        </is>
      </c>
      <c r="G76" t="n">
        <v>12</v>
      </c>
      <c r="H76" t="n">
        <v>6</v>
      </c>
      <c r="I76" t="n">
        <v>2</v>
      </c>
      <c r="J76" t="n">
        <v>5</v>
      </c>
      <c r="K76" t="n">
        <v>0</v>
      </c>
      <c r="L76" t="n">
        <v>2</v>
      </c>
      <c r="M76" t="n">
        <v>0</v>
      </c>
      <c r="N76" t="n">
        <v>0</v>
      </c>
      <c r="O76" t="n">
        <v>7</v>
      </c>
      <c r="P76" t="n">
        <v>2</v>
      </c>
      <c r="Q76" t="n">
        <v>10</v>
      </c>
      <c r="R76" s="2" t="inlineStr">
        <is>
          <t>Grönfink
Tornseglare
Fiskmås
Havsörn
Motaggsvamp
Talltita
Vedskivlav
Björksplintborre
Dropptaggsvamp
Tjäder</t>
        </is>
      </c>
      <c r="S76">
        <f>HYPERLINK("https://klasma.github.io/Logging_0188/artfynd/A 11231-2021 artfynd.xlsx", "A 11231-2021")</f>
        <v/>
      </c>
      <c r="T76">
        <f>HYPERLINK("https://klasma.github.io/Logging_0188/kartor/A 11231-2021 karta.png", "A 11231-2021")</f>
        <v/>
      </c>
      <c r="V76">
        <f>HYPERLINK("https://klasma.github.io/Logging_0188/klagomål/A 11231-2021 FSC-klagomål.docx", "A 11231-2021")</f>
        <v/>
      </c>
      <c r="W76">
        <f>HYPERLINK("https://klasma.github.io/Logging_0188/klagomålsmail/A 11231-2021 FSC-klagomål mail.docx", "A 11231-2021")</f>
        <v/>
      </c>
      <c r="X76">
        <f>HYPERLINK("https://klasma.github.io/Logging_0188/tillsyn/A 11231-2021 tillsynsbegäran.docx", "A 11231-2021")</f>
        <v/>
      </c>
      <c r="Y76">
        <f>HYPERLINK("https://klasma.github.io/Logging_0188/tillsynsmail/A 11231-2021 tillsynsbegäran mail.docx", "A 11231-2021")</f>
        <v/>
      </c>
      <c r="Z76">
        <f>HYPERLINK("https://klasma.github.io/Logging_0188/fåglar/A 11231-2021 prioriterade fågelarter.docx", "A 11231-2021")</f>
        <v/>
      </c>
    </row>
    <row r="77" ht="15" customHeight="1">
      <c r="A77" t="inlineStr">
        <is>
          <t>A 43913-2021</t>
        </is>
      </c>
      <c r="B77" s="1" t="n">
        <v>44434</v>
      </c>
      <c r="C77" s="1" t="n">
        <v>45693</v>
      </c>
      <c r="D77" t="inlineStr">
        <is>
          <t>STOCKHOLMS LÄN</t>
        </is>
      </c>
      <c r="E77" t="inlineStr">
        <is>
          <t>BOTKYRKA</t>
        </is>
      </c>
      <c r="F77" t="inlineStr">
        <is>
          <t>Kommuner</t>
        </is>
      </c>
      <c r="G77" t="n">
        <v>2.8</v>
      </c>
      <c r="H77" t="n">
        <v>1</v>
      </c>
      <c r="I77" t="n">
        <v>7</v>
      </c>
      <c r="J77" t="n">
        <v>3</v>
      </c>
      <c r="K77" t="n">
        <v>0</v>
      </c>
      <c r="L77" t="n">
        <v>0</v>
      </c>
      <c r="M77" t="n">
        <v>0</v>
      </c>
      <c r="N77" t="n">
        <v>0</v>
      </c>
      <c r="O77" t="n">
        <v>3</v>
      </c>
      <c r="P77" t="n">
        <v>0</v>
      </c>
      <c r="Q77" t="n">
        <v>10</v>
      </c>
      <c r="R77" s="2" t="inlineStr">
        <is>
          <t>Blek fingersvamp
Gul taggsvamp
Tallticka
Brandticka
Dropptaggsvamp
Fjällig taggsvamp s.str.
Grovticka
Grön sköldmossa
Jättesvampmal
Trådticka</t>
        </is>
      </c>
      <c r="S77">
        <f>HYPERLINK("https://klasma.github.io/Logging_0127/artfynd/A 43913-2021 artfynd.xlsx", "A 43913-2021")</f>
        <v/>
      </c>
      <c r="T77">
        <f>HYPERLINK("https://klasma.github.io/Logging_0127/kartor/A 43913-2021 karta.png", "A 43913-2021")</f>
        <v/>
      </c>
      <c r="U77">
        <f>HYPERLINK("https://klasma.github.io/Logging_0127/knärot/A 43913-2021 karta knärot.png", "A 43913-2021")</f>
        <v/>
      </c>
      <c r="V77">
        <f>HYPERLINK("https://klasma.github.io/Logging_0127/klagomål/A 43913-2021 FSC-klagomål.docx", "A 43913-2021")</f>
        <v/>
      </c>
      <c r="W77">
        <f>HYPERLINK("https://klasma.github.io/Logging_0127/klagomålsmail/A 43913-2021 FSC-klagomål mail.docx", "A 43913-2021")</f>
        <v/>
      </c>
      <c r="X77">
        <f>HYPERLINK("https://klasma.github.io/Logging_0127/tillsyn/A 43913-2021 tillsynsbegäran.docx", "A 43913-2021")</f>
        <v/>
      </c>
      <c r="Y77">
        <f>HYPERLINK("https://klasma.github.io/Logging_0127/tillsynsmail/A 43913-2021 tillsynsbegäran mail.docx", "A 43913-2021")</f>
        <v/>
      </c>
    </row>
    <row r="78" ht="15" customHeight="1">
      <c r="A78" t="inlineStr">
        <is>
          <t>A 1212-2023</t>
        </is>
      </c>
      <c r="B78" s="1" t="n">
        <v>44935</v>
      </c>
      <c r="C78" s="1" t="n">
        <v>45693</v>
      </c>
      <c r="D78" t="inlineStr">
        <is>
          <t>STOCKHOLMS LÄN</t>
        </is>
      </c>
      <c r="E78" t="inlineStr">
        <is>
          <t>NYNÄSHAMN</t>
        </is>
      </c>
      <c r="G78" t="n">
        <v>3.9</v>
      </c>
      <c r="H78" t="n">
        <v>4</v>
      </c>
      <c r="I78" t="n">
        <v>8</v>
      </c>
      <c r="J78" t="n">
        <v>0</v>
      </c>
      <c r="K78" t="n">
        <v>1</v>
      </c>
      <c r="L78" t="n">
        <v>0</v>
      </c>
      <c r="M78" t="n">
        <v>0</v>
      </c>
      <c r="N78" t="n">
        <v>0</v>
      </c>
      <c r="O78" t="n">
        <v>1</v>
      </c>
      <c r="P78" t="n">
        <v>1</v>
      </c>
      <c r="Q78" t="n">
        <v>10</v>
      </c>
      <c r="R78" s="2" t="inlineStr">
        <is>
          <t>Knärot
Grön sköldmossa
Hasselticka
Kattfotslav
Kornknutmossa
Skogsknipprot
Stor revmossa
Sårläka
Västlig hakmossa
Blåsippa</t>
        </is>
      </c>
      <c r="S78">
        <f>HYPERLINK("https://klasma.github.io/Logging_0192/artfynd/A 1212-2023 artfynd.xlsx", "A 1212-2023")</f>
        <v/>
      </c>
      <c r="T78">
        <f>HYPERLINK("https://klasma.github.io/Logging_0192/kartor/A 1212-2023 karta.png", "A 1212-2023")</f>
        <v/>
      </c>
      <c r="U78">
        <f>HYPERLINK("https://klasma.github.io/Logging_0192/knärot/A 1212-2023 karta knärot.png", "A 1212-2023")</f>
        <v/>
      </c>
      <c r="V78">
        <f>HYPERLINK("https://klasma.github.io/Logging_0192/klagomål/A 1212-2023 FSC-klagomål.docx", "A 1212-2023")</f>
        <v/>
      </c>
      <c r="W78">
        <f>HYPERLINK("https://klasma.github.io/Logging_0192/klagomålsmail/A 1212-2023 FSC-klagomål mail.docx", "A 1212-2023")</f>
        <v/>
      </c>
      <c r="X78">
        <f>HYPERLINK("https://klasma.github.io/Logging_0192/tillsyn/A 1212-2023 tillsynsbegäran.docx", "A 1212-2023")</f>
        <v/>
      </c>
      <c r="Y78">
        <f>HYPERLINK("https://klasma.github.io/Logging_0192/tillsynsmail/A 1212-2023 tillsynsbegäran mail.docx", "A 1212-2023")</f>
        <v/>
      </c>
    </row>
    <row r="79" ht="15" customHeight="1">
      <c r="A79" t="inlineStr">
        <is>
          <t>A 4262-2023</t>
        </is>
      </c>
      <c r="B79" s="1" t="n">
        <v>44953</v>
      </c>
      <c r="C79" s="1" t="n">
        <v>45693</v>
      </c>
      <c r="D79" t="inlineStr">
        <is>
          <t>STOCKHOLMS LÄN</t>
        </is>
      </c>
      <c r="E79" t="inlineStr">
        <is>
          <t>NORRTÄLJE</t>
        </is>
      </c>
      <c r="G79" t="n">
        <v>8.699999999999999</v>
      </c>
      <c r="H79" t="n">
        <v>0</v>
      </c>
      <c r="I79" t="n">
        <v>9</v>
      </c>
      <c r="J79" t="n">
        <v>0</v>
      </c>
      <c r="K79" t="n">
        <v>1</v>
      </c>
      <c r="L79" t="n">
        <v>0</v>
      </c>
      <c r="M79" t="n">
        <v>0</v>
      </c>
      <c r="N79" t="n">
        <v>0</v>
      </c>
      <c r="O79" t="n">
        <v>1</v>
      </c>
      <c r="P79" t="n">
        <v>1</v>
      </c>
      <c r="Q79" t="n">
        <v>10</v>
      </c>
      <c r="R79" s="2" t="inlineStr">
        <is>
          <t>Grangråticka
Dofttråding
Fjällig taggsvamp s.str.
Guldkremla
Kryddspindling
Olivspindling
Rödgul trumpetsvamp
Skarp dropptaggsvamp
Strimspindling
Svavelriska</t>
        </is>
      </c>
      <c r="S79">
        <f>HYPERLINK("https://klasma.github.io/Logging_0188/artfynd/A 4262-2023 artfynd.xlsx", "A 4262-2023")</f>
        <v/>
      </c>
      <c r="T79">
        <f>HYPERLINK("https://klasma.github.io/Logging_0188/kartor/A 4262-2023 karta.png", "A 4262-2023")</f>
        <v/>
      </c>
      <c r="V79">
        <f>HYPERLINK("https://klasma.github.io/Logging_0188/klagomål/A 4262-2023 FSC-klagomål.docx", "A 4262-2023")</f>
        <v/>
      </c>
      <c r="W79">
        <f>HYPERLINK("https://klasma.github.io/Logging_0188/klagomålsmail/A 4262-2023 FSC-klagomål mail.docx", "A 4262-2023")</f>
        <v/>
      </c>
      <c r="X79">
        <f>HYPERLINK("https://klasma.github.io/Logging_0188/tillsyn/A 4262-2023 tillsynsbegäran.docx", "A 4262-2023")</f>
        <v/>
      </c>
      <c r="Y79">
        <f>HYPERLINK("https://klasma.github.io/Logging_0188/tillsynsmail/A 4262-2023 tillsynsbegäran mail.docx", "A 4262-2023")</f>
        <v/>
      </c>
    </row>
    <row r="80" ht="15" customHeight="1">
      <c r="A80" t="inlineStr">
        <is>
          <t>A 15265-2023</t>
        </is>
      </c>
      <c r="B80" s="1" t="n">
        <v>45019</v>
      </c>
      <c r="C80" s="1" t="n">
        <v>45693</v>
      </c>
      <c r="D80" t="inlineStr">
        <is>
          <t>STOCKHOLMS LÄN</t>
        </is>
      </c>
      <c r="E80" t="inlineStr">
        <is>
          <t>VALLENTUNA</t>
        </is>
      </c>
      <c r="G80" t="n">
        <v>4.2</v>
      </c>
      <c r="H80" t="n">
        <v>3</v>
      </c>
      <c r="I80" t="n">
        <v>5</v>
      </c>
      <c r="J80" t="n">
        <v>4</v>
      </c>
      <c r="K80" t="n">
        <v>0</v>
      </c>
      <c r="L80" t="n">
        <v>0</v>
      </c>
      <c r="M80" t="n">
        <v>0</v>
      </c>
      <c r="N80" t="n">
        <v>0</v>
      </c>
      <c r="O80" t="n">
        <v>4</v>
      </c>
      <c r="P80" t="n">
        <v>0</v>
      </c>
      <c r="Q80" t="n">
        <v>10</v>
      </c>
      <c r="R80" s="2" t="inlineStr">
        <is>
          <t>Asppraktbagge
Gullklöver
Mindre bastardsvärmare
Spillkråka
Ljus vedstrit
Skogsknipprot
Spindelbock
Stekelbock
Tibast
Skogsödla</t>
        </is>
      </c>
      <c r="S80">
        <f>HYPERLINK("https://klasma.github.io/Logging_0115/artfynd/A 15265-2023 artfynd.xlsx", "A 15265-2023")</f>
        <v/>
      </c>
      <c r="T80">
        <f>HYPERLINK("https://klasma.github.io/Logging_0115/kartor/A 15265-2023 karta.png", "A 15265-2023")</f>
        <v/>
      </c>
      <c r="V80">
        <f>HYPERLINK("https://klasma.github.io/Logging_0115/klagomål/A 15265-2023 FSC-klagomål.docx", "A 15265-2023")</f>
        <v/>
      </c>
      <c r="W80">
        <f>HYPERLINK("https://klasma.github.io/Logging_0115/klagomålsmail/A 15265-2023 FSC-klagomål mail.docx", "A 15265-2023")</f>
        <v/>
      </c>
      <c r="X80">
        <f>HYPERLINK("https://klasma.github.io/Logging_0115/tillsyn/A 15265-2023 tillsynsbegäran.docx", "A 15265-2023")</f>
        <v/>
      </c>
      <c r="Y80">
        <f>HYPERLINK("https://klasma.github.io/Logging_0115/tillsynsmail/A 15265-2023 tillsynsbegäran mail.docx", "A 15265-2023")</f>
        <v/>
      </c>
      <c r="Z80">
        <f>HYPERLINK("https://klasma.github.io/Logging_0115/fåglar/A 15265-2023 prioriterade fågelarter.docx", "A 15265-2023")</f>
        <v/>
      </c>
    </row>
    <row r="81" ht="15" customHeight="1">
      <c r="A81" t="inlineStr">
        <is>
          <t>A 44847-2023</t>
        </is>
      </c>
      <c r="B81" s="1" t="n">
        <v>45190</v>
      </c>
      <c r="C81" s="1" t="n">
        <v>45693</v>
      </c>
      <c r="D81" t="inlineStr">
        <is>
          <t>STOCKHOLMS LÄN</t>
        </is>
      </c>
      <c r="E81" t="inlineStr">
        <is>
          <t>NORRTÄLJE</t>
        </is>
      </c>
      <c r="G81" t="n">
        <v>8.5</v>
      </c>
      <c r="H81" t="n">
        <v>10</v>
      </c>
      <c r="I81" t="n">
        <v>0</v>
      </c>
      <c r="J81" t="n">
        <v>4</v>
      </c>
      <c r="K81" t="n">
        <v>4</v>
      </c>
      <c r="L81" t="n">
        <v>1</v>
      </c>
      <c r="M81" t="n">
        <v>0</v>
      </c>
      <c r="N81" t="n">
        <v>0</v>
      </c>
      <c r="O81" t="n">
        <v>9</v>
      </c>
      <c r="P81" t="n">
        <v>5</v>
      </c>
      <c r="Q81" t="n">
        <v>10</v>
      </c>
      <c r="R81" s="2" t="inlineStr">
        <is>
          <t>Ejder
Gråtrut
Havstrut
Knärot
Stare
Fiskmås
Havsörn
Skrattmås
Strandskata
Gråkråka</t>
        </is>
      </c>
      <c r="S81">
        <f>HYPERLINK("https://klasma.github.io/Logging_0188/artfynd/A 44847-2023 artfynd.xlsx", "A 44847-2023")</f>
        <v/>
      </c>
      <c r="T81">
        <f>HYPERLINK("https://klasma.github.io/Logging_0188/kartor/A 44847-2023 karta.png", "A 44847-2023")</f>
        <v/>
      </c>
      <c r="U81">
        <f>HYPERLINK("https://klasma.github.io/Logging_0188/knärot/A 44847-2023 karta knärot.png", "A 44847-2023")</f>
        <v/>
      </c>
      <c r="V81">
        <f>HYPERLINK("https://klasma.github.io/Logging_0188/klagomål/A 44847-2023 FSC-klagomål.docx", "A 44847-2023")</f>
        <v/>
      </c>
      <c r="W81">
        <f>HYPERLINK("https://klasma.github.io/Logging_0188/klagomålsmail/A 44847-2023 FSC-klagomål mail.docx", "A 44847-2023")</f>
        <v/>
      </c>
      <c r="X81">
        <f>HYPERLINK("https://klasma.github.io/Logging_0188/tillsyn/A 44847-2023 tillsynsbegäran.docx", "A 44847-2023")</f>
        <v/>
      </c>
      <c r="Y81">
        <f>HYPERLINK("https://klasma.github.io/Logging_0188/tillsynsmail/A 44847-2023 tillsynsbegäran mail.docx", "A 44847-2023")</f>
        <v/>
      </c>
      <c r="Z81">
        <f>HYPERLINK("https://klasma.github.io/Logging_0188/fåglar/A 44847-2023 prioriterade fågelarter.docx", "A 44847-2023")</f>
        <v/>
      </c>
    </row>
    <row r="82" ht="15" customHeight="1">
      <c r="A82" t="inlineStr">
        <is>
          <t>A 47690-2023</t>
        </is>
      </c>
      <c r="B82" s="1" t="n">
        <v>45198</v>
      </c>
      <c r="C82" s="1" t="n">
        <v>45693</v>
      </c>
      <c r="D82" t="inlineStr">
        <is>
          <t>STOCKHOLMS LÄN</t>
        </is>
      </c>
      <c r="E82" t="inlineStr">
        <is>
          <t>SÖDERTÄLJE</t>
        </is>
      </c>
      <c r="G82" t="n">
        <v>17.6</v>
      </c>
      <c r="H82" t="n">
        <v>3</v>
      </c>
      <c r="I82" t="n">
        <v>5</v>
      </c>
      <c r="J82" t="n">
        <v>3</v>
      </c>
      <c r="K82" t="n">
        <v>0</v>
      </c>
      <c r="L82" t="n">
        <v>0</v>
      </c>
      <c r="M82" t="n">
        <v>0</v>
      </c>
      <c r="N82" t="n">
        <v>0</v>
      </c>
      <c r="O82" t="n">
        <v>3</v>
      </c>
      <c r="P82" t="n">
        <v>0</v>
      </c>
      <c r="Q82" t="n">
        <v>10</v>
      </c>
      <c r="R82" s="2" t="inlineStr">
        <is>
          <t>Motaggsvamp
Spillkråka
Vedtrappmossa
Fjällig taggsvamp s.str.
Grönpyrola
Rödgul trumpetsvamp
Trådticka
Zontaggsvamp
Gröngöling
Blåsippa</t>
        </is>
      </c>
      <c r="S82">
        <f>HYPERLINK("https://klasma.github.io/Logging_0181/artfynd/A 47690-2023 artfynd.xlsx", "A 47690-2023")</f>
        <v/>
      </c>
      <c r="T82">
        <f>HYPERLINK("https://klasma.github.io/Logging_0181/kartor/A 47690-2023 karta.png", "A 47690-2023")</f>
        <v/>
      </c>
      <c r="V82">
        <f>HYPERLINK("https://klasma.github.io/Logging_0181/klagomål/A 47690-2023 FSC-klagomål.docx", "A 47690-2023")</f>
        <v/>
      </c>
      <c r="W82">
        <f>HYPERLINK("https://klasma.github.io/Logging_0181/klagomålsmail/A 47690-2023 FSC-klagomål mail.docx", "A 47690-2023")</f>
        <v/>
      </c>
      <c r="X82">
        <f>HYPERLINK("https://klasma.github.io/Logging_0181/tillsyn/A 47690-2023 tillsynsbegäran.docx", "A 47690-2023")</f>
        <v/>
      </c>
      <c r="Y82">
        <f>HYPERLINK("https://klasma.github.io/Logging_0181/tillsynsmail/A 47690-2023 tillsynsbegäran mail.docx", "A 47690-2023")</f>
        <v/>
      </c>
      <c r="Z82">
        <f>HYPERLINK("https://klasma.github.io/Logging_0181/fåglar/A 47690-2023 prioriterade fågelarter.docx", "A 47690-2023")</f>
        <v/>
      </c>
    </row>
    <row r="83" ht="15" customHeight="1">
      <c r="A83" t="inlineStr">
        <is>
          <t>A 49418-2023</t>
        </is>
      </c>
      <c r="B83" s="1" t="n">
        <v>45211</v>
      </c>
      <c r="C83" s="1" t="n">
        <v>45693</v>
      </c>
      <c r="D83" t="inlineStr">
        <is>
          <t>STOCKHOLMS LÄN</t>
        </is>
      </c>
      <c r="E83" t="inlineStr">
        <is>
          <t>HUDDINGE</t>
        </is>
      </c>
      <c r="F83" t="inlineStr">
        <is>
          <t>Kommuner</t>
        </is>
      </c>
      <c r="G83" t="n">
        <v>3.5</v>
      </c>
      <c r="H83" t="n">
        <v>6</v>
      </c>
      <c r="I83" t="n">
        <v>4</v>
      </c>
      <c r="J83" t="n">
        <v>2</v>
      </c>
      <c r="K83" t="n">
        <v>0</v>
      </c>
      <c r="L83" t="n">
        <v>1</v>
      </c>
      <c r="M83" t="n">
        <v>0</v>
      </c>
      <c r="N83" t="n">
        <v>0</v>
      </c>
      <c r="O83" t="n">
        <v>3</v>
      </c>
      <c r="P83" t="n">
        <v>1</v>
      </c>
      <c r="Q83" t="n">
        <v>10</v>
      </c>
      <c r="R83" s="2" t="inlineStr">
        <is>
          <t>Grönfink
Entita
Gulsparv
Bronshjon
Grovticka
Vedticka
Vågbandad barkbock
Grönsiska
Järnsparv
Kungsfågel</t>
        </is>
      </c>
      <c r="S83">
        <f>HYPERLINK("https://klasma.github.io/Logging_0126/artfynd/A 49418-2023 artfynd.xlsx", "A 49418-2023")</f>
        <v/>
      </c>
      <c r="T83">
        <f>HYPERLINK("https://klasma.github.io/Logging_0126/kartor/A 49418-2023 karta.png", "A 49418-2023")</f>
        <v/>
      </c>
      <c r="V83">
        <f>HYPERLINK("https://klasma.github.io/Logging_0126/klagomål/A 49418-2023 FSC-klagomål.docx", "A 49418-2023")</f>
        <v/>
      </c>
      <c r="W83">
        <f>HYPERLINK("https://klasma.github.io/Logging_0126/klagomålsmail/A 49418-2023 FSC-klagomål mail.docx", "A 49418-2023")</f>
        <v/>
      </c>
      <c r="X83">
        <f>HYPERLINK("https://klasma.github.io/Logging_0126/tillsyn/A 49418-2023 tillsynsbegäran.docx", "A 49418-2023")</f>
        <v/>
      </c>
      <c r="Y83">
        <f>HYPERLINK("https://klasma.github.io/Logging_0126/tillsynsmail/A 49418-2023 tillsynsbegäran mail.docx", "A 49418-2023")</f>
        <v/>
      </c>
      <c r="Z83">
        <f>HYPERLINK("https://klasma.github.io/Logging_0126/fåglar/A 49418-2023 prioriterade fågelarter.docx", "A 49418-2023")</f>
        <v/>
      </c>
    </row>
    <row r="84" ht="15" customHeight="1">
      <c r="A84" t="inlineStr">
        <is>
          <t>A 55773-2023</t>
        </is>
      </c>
      <c r="B84" s="1" t="n">
        <v>45232</v>
      </c>
      <c r="C84" s="1" t="n">
        <v>45693</v>
      </c>
      <c r="D84" t="inlineStr">
        <is>
          <t>STOCKHOLMS LÄN</t>
        </is>
      </c>
      <c r="E84" t="inlineStr">
        <is>
          <t>UPPLANDS-BRO</t>
        </is>
      </c>
      <c r="G84" t="n">
        <v>4.9</v>
      </c>
      <c r="H84" t="n">
        <v>2</v>
      </c>
      <c r="I84" t="n">
        <v>5</v>
      </c>
      <c r="J84" t="n">
        <v>3</v>
      </c>
      <c r="K84" t="n">
        <v>0</v>
      </c>
      <c r="L84" t="n">
        <v>0</v>
      </c>
      <c r="M84" t="n">
        <v>0</v>
      </c>
      <c r="N84" t="n">
        <v>0</v>
      </c>
      <c r="O84" t="n">
        <v>3</v>
      </c>
      <c r="P84" t="n">
        <v>0</v>
      </c>
      <c r="Q84" t="n">
        <v>10</v>
      </c>
      <c r="R84" s="2" t="inlineStr">
        <is>
          <t>Flattoppad klubbsvamp
Fyrflikig jordstjärna
Grantaggsvamp
Fjällig taggsvamp s.str.
Kamjordstjärna
Skarp dropptaggsvamp
Svavelriska
Zontaggsvamp
Kopparödla
Nattviol</t>
        </is>
      </c>
      <c r="S84">
        <f>HYPERLINK("https://klasma.github.io/Logging_0139/artfynd/A 55773-2023 artfynd.xlsx", "A 55773-2023")</f>
        <v/>
      </c>
      <c r="T84">
        <f>HYPERLINK("https://klasma.github.io/Logging_0139/kartor/A 55773-2023 karta.png", "A 55773-2023")</f>
        <v/>
      </c>
      <c r="V84">
        <f>HYPERLINK("https://klasma.github.io/Logging_0139/klagomål/A 55773-2023 FSC-klagomål.docx", "A 55773-2023")</f>
        <v/>
      </c>
      <c r="W84">
        <f>HYPERLINK("https://klasma.github.io/Logging_0139/klagomålsmail/A 55773-2023 FSC-klagomål mail.docx", "A 55773-2023")</f>
        <v/>
      </c>
      <c r="X84">
        <f>HYPERLINK("https://klasma.github.io/Logging_0139/tillsyn/A 55773-2023 tillsynsbegäran.docx", "A 55773-2023")</f>
        <v/>
      </c>
      <c r="Y84">
        <f>HYPERLINK("https://klasma.github.io/Logging_0139/tillsynsmail/A 55773-2023 tillsynsbegäran mail.docx", "A 55773-2023")</f>
        <v/>
      </c>
    </row>
    <row r="85" ht="15" customHeight="1">
      <c r="A85" t="inlineStr">
        <is>
          <t>A 20722-2024</t>
        </is>
      </c>
      <c r="B85" s="1" t="n">
        <v>45436</v>
      </c>
      <c r="C85" s="1" t="n">
        <v>45693</v>
      </c>
      <c r="D85" t="inlineStr">
        <is>
          <t>STOCKHOLMS LÄN</t>
        </is>
      </c>
      <c r="E85" t="inlineStr">
        <is>
          <t>NORRTÄLJE</t>
        </is>
      </c>
      <c r="G85" t="n">
        <v>5.2</v>
      </c>
      <c r="H85" t="n">
        <v>4</v>
      </c>
      <c r="I85" t="n">
        <v>2</v>
      </c>
      <c r="J85" t="n">
        <v>6</v>
      </c>
      <c r="K85" t="n">
        <v>1</v>
      </c>
      <c r="L85" t="n">
        <v>0</v>
      </c>
      <c r="M85" t="n">
        <v>0</v>
      </c>
      <c r="N85" t="n">
        <v>0</v>
      </c>
      <c r="O85" t="n">
        <v>7</v>
      </c>
      <c r="P85" t="n">
        <v>1</v>
      </c>
      <c r="Q85" t="n">
        <v>10</v>
      </c>
      <c r="R85" s="2" t="inlineStr">
        <is>
          <t>Knärot
Garnlav
Granticka
Gränsticka
Spillkråka
Svartvit flugsnappare
Ullticka
Bronshjon
Vågbandad barkbock
Blåsippa</t>
        </is>
      </c>
      <c r="S85">
        <f>HYPERLINK("https://klasma.github.io/Logging_0188/artfynd/A 20722-2024 artfynd.xlsx", "A 20722-2024")</f>
        <v/>
      </c>
      <c r="T85">
        <f>HYPERLINK("https://klasma.github.io/Logging_0188/kartor/A 20722-2024 karta.png", "A 20722-2024")</f>
        <v/>
      </c>
      <c r="U85">
        <f>HYPERLINK("https://klasma.github.io/Logging_0188/knärot/A 20722-2024 karta knärot.png", "A 20722-2024")</f>
        <v/>
      </c>
      <c r="V85">
        <f>HYPERLINK("https://klasma.github.io/Logging_0188/klagomål/A 20722-2024 FSC-klagomål.docx", "A 20722-2024")</f>
        <v/>
      </c>
      <c r="W85">
        <f>HYPERLINK("https://klasma.github.io/Logging_0188/klagomålsmail/A 20722-2024 FSC-klagomål mail.docx", "A 20722-2024")</f>
        <v/>
      </c>
      <c r="X85">
        <f>HYPERLINK("https://klasma.github.io/Logging_0188/tillsyn/A 20722-2024 tillsynsbegäran.docx", "A 20722-2024")</f>
        <v/>
      </c>
      <c r="Y85">
        <f>HYPERLINK("https://klasma.github.io/Logging_0188/tillsynsmail/A 20722-2024 tillsynsbegäran mail.docx", "A 20722-2024")</f>
        <v/>
      </c>
      <c r="Z85">
        <f>HYPERLINK("https://klasma.github.io/Logging_0188/fåglar/A 20722-2024 prioriterade fågelarter.docx", "A 20722-2024")</f>
        <v/>
      </c>
    </row>
    <row r="86" ht="15" customHeight="1">
      <c r="A86" t="inlineStr">
        <is>
          <t>A 21482-2024</t>
        </is>
      </c>
      <c r="B86" s="1" t="n">
        <v>45441</v>
      </c>
      <c r="C86" s="1" t="n">
        <v>45693</v>
      </c>
      <c r="D86" t="inlineStr">
        <is>
          <t>STOCKHOLMS LÄN</t>
        </is>
      </c>
      <c r="E86" t="inlineStr">
        <is>
          <t>HANINGE</t>
        </is>
      </c>
      <c r="G86" t="n">
        <v>3.9</v>
      </c>
      <c r="H86" t="n">
        <v>7</v>
      </c>
      <c r="I86" t="n">
        <v>4</v>
      </c>
      <c r="J86" t="n">
        <v>3</v>
      </c>
      <c r="K86" t="n">
        <v>0</v>
      </c>
      <c r="L86" t="n">
        <v>0</v>
      </c>
      <c r="M86" t="n">
        <v>0</v>
      </c>
      <c r="N86" t="n">
        <v>0</v>
      </c>
      <c r="O86" t="n">
        <v>3</v>
      </c>
      <c r="P86" t="n">
        <v>0</v>
      </c>
      <c r="Q86" t="n">
        <v>10</v>
      </c>
      <c r="R86" s="2" t="inlineStr">
        <is>
          <t>Gulsparv
Spillkråka
Tallticka
Blåmossa
Skogsknipprot
Sårläka
Tvåblad
Nattviol
Blåsippa
Gullviva</t>
        </is>
      </c>
      <c r="S86">
        <f>HYPERLINK("https://klasma.github.io/Logging_0136/artfynd/A 21482-2024 artfynd.xlsx", "A 21482-2024")</f>
        <v/>
      </c>
      <c r="T86">
        <f>HYPERLINK("https://klasma.github.io/Logging_0136/kartor/A 21482-2024 karta.png", "A 21482-2024")</f>
        <v/>
      </c>
      <c r="V86">
        <f>HYPERLINK("https://klasma.github.io/Logging_0136/klagomål/A 21482-2024 FSC-klagomål.docx", "A 21482-2024")</f>
        <v/>
      </c>
      <c r="W86">
        <f>HYPERLINK("https://klasma.github.io/Logging_0136/klagomålsmail/A 21482-2024 FSC-klagomål mail.docx", "A 21482-2024")</f>
        <v/>
      </c>
      <c r="X86">
        <f>HYPERLINK("https://klasma.github.io/Logging_0136/tillsyn/A 21482-2024 tillsynsbegäran.docx", "A 21482-2024")</f>
        <v/>
      </c>
      <c r="Y86">
        <f>HYPERLINK("https://klasma.github.io/Logging_0136/tillsynsmail/A 21482-2024 tillsynsbegäran mail.docx", "A 21482-2024")</f>
        <v/>
      </c>
      <c r="Z86">
        <f>HYPERLINK("https://klasma.github.io/Logging_0136/fåglar/A 21482-2024 prioriterade fågelarter.docx", "A 21482-2024")</f>
        <v/>
      </c>
    </row>
    <row r="87" ht="15" customHeight="1">
      <c r="A87" t="inlineStr">
        <is>
          <t>A 60084-2024</t>
        </is>
      </c>
      <c r="B87" s="1" t="n">
        <v>45642</v>
      </c>
      <c r="C87" s="1" t="n">
        <v>45693</v>
      </c>
      <c r="D87" t="inlineStr">
        <is>
          <t>STOCKHOLMS LÄN</t>
        </is>
      </c>
      <c r="E87" t="inlineStr">
        <is>
          <t>NORRTÄLJE</t>
        </is>
      </c>
      <c r="G87" t="n">
        <v>5.3</v>
      </c>
      <c r="H87" t="n">
        <v>2</v>
      </c>
      <c r="I87" t="n">
        <v>6</v>
      </c>
      <c r="J87" t="n">
        <v>1</v>
      </c>
      <c r="K87" t="n">
        <v>0</v>
      </c>
      <c r="L87" t="n">
        <v>0</v>
      </c>
      <c r="M87" t="n">
        <v>1</v>
      </c>
      <c r="N87" t="n">
        <v>0</v>
      </c>
      <c r="O87" t="n">
        <v>2</v>
      </c>
      <c r="P87" t="n">
        <v>1</v>
      </c>
      <c r="Q87" t="n">
        <v>10</v>
      </c>
      <c r="R87" s="2" t="inlineStr">
        <is>
          <t>Skogsalm
Granticka
Fjällig taggsvamp s.str.
Hasselticka
Rödgul trumpetsvamp
Skarp dropptaggsvamp
Svavelriska
Trådticka
Blåsippa
Revlummer</t>
        </is>
      </c>
      <c r="S87">
        <f>HYPERLINK("https://klasma.github.io/Logging_0188/artfynd/A 60084-2024 artfynd.xlsx", "A 60084-2024")</f>
        <v/>
      </c>
      <c r="T87">
        <f>HYPERLINK("https://klasma.github.io/Logging_0188/kartor/A 60084-2024 karta.png", "A 60084-2024")</f>
        <v/>
      </c>
      <c r="V87">
        <f>HYPERLINK("https://klasma.github.io/Logging_0188/klagomål/A 60084-2024 FSC-klagomål.docx", "A 60084-2024")</f>
        <v/>
      </c>
      <c r="W87">
        <f>HYPERLINK("https://klasma.github.io/Logging_0188/klagomålsmail/A 60084-2024 FSC-klagomål mail.docx", "A 60084-2024")</f>
        <v/>
      </c>
      <c r="X87">
        <f>HYPERLINK("https://klasma.github.io/Logging_0188/tillsyn/A 60084-2024 tillsynsbegäran.docx", "A 60084-2024")</f>
        <v/>
      </c>
      <c r="Y87">
        <f>HYPERLINK("https://klasma.github.io/Logging_0188/tillsynsmail/A 60084-2024 tillsynsbegäran mail.docx", "A 60084-2024")</f>
        <v/>
      </c>
    </row>
    <row r="88" ht="15" customHeight="1">
      <c r="A88" t="inlineStr">
        <is>
          <t>A 3155-2025</t>
        </is>
      </c>
      <c r="B88" s="1" t="n">
        <v>45679</v>
      </c>
      <c r="C88" s="1" t="n">
        <v>45693</v>
      </c>
      <c r="D88" t="inlineStr">
        <is>
          <t>STOCKHOLMS LÄN</t>
        </is>
      </c>
      <c r="E88" t="inlineStr">
        <is>
          <t>HANINGE</t>
        </is>
      </c>
      <c r="G88" t="n">
        <v>17.7</v>
      </c>
      <c r="H88" t="n">
        <v>2</v>
      </c>
      <c r="I88" t="n">
        <v>6</v>
      </c>
      <c r="J88" t="n">
        <v>3</v>
      </c>
      <c r="K88" t="n">
        <v>0</v>
      </c>
      <c r="L88" t="n">
        <v>0</v>
      </c>
      <c r="M88" t="n">
        <v>0</v>
      </c>
      <c r="N88" t="n">
        <v>0</v>
      </c>
      <c r="O88" t="n">
        <v>3</v>
      </c>
      <c r="P88" t="n">
        <v>0</v>
      </c>
      <c r="Q88" t="n">
        <v>10</v>
      </c>
      <c r="R88" s="2" t="inlineStr">
        <is>
          <t>Granticka
Kandelabersvamp
Vedtrappmossa
Brandticka
Grön sköldmossa
Grönpyrola
Mörk husmossa
Rödgul trumpetsvamp
Sårläka
Blåsippa</t>
        </is>
      </c>
      <c r="S88">
        <f>HYPERLINK("https://klasma.github.io/Logging_0136/artfynd/A 3155-2025 artfynd.xlsx", "A 3155-2025")</f>
        <v/>
      </c>
      <c r="T88">
        <f>HYPERLINK("https://klasma.github.io/Logging_0136/kartor/A 3155-2025 karta.png", "A 3155-2025")</f>
        <v/>
      </c>
      <c r="V88">
        <f>HYPERLINK("https://klasma.github.io/Logging_0136/klagomål/A 3155-2025 FSC-klagomål.docx", "A 3155-2025")</f>
        <v/>
      </c>
      <c r="W88">
        <f>HYPERLINK("https://klasma.github.io/Logging_0136/klagomålsmail/A 3155-2025 FSC-klagomål mail.docx", "A 3155-2025")</f>
        <v/>
      </c>
      <c r="X88">
        <f>HYPERLINK("https://klasma.github.io/Logging_0136/tillsyn/A 3155-2025 tillsynsbegäran.docx", "A 3155-2025")</f>
        <v/>
      </c>
      <c r="Y88">
        <f>HYPERLINK("https://klasma.github.io/Logging_0136/tillsynsmail/A 3155-2025 tillsynsbegäran mail.docx", "A 3155-2025")</f>
        <v/>
      </c>
    </row>
    <row r="89" ht="15" customHeight="1">
      <c r="A89" t="inlineStr">
        <is>
          <t>A 6703-2020</t>
        </is>
      </c>
      <c r="B89" s="1" t="n">
        <v>43865</v>
      </c>
      <c r="C89" s="1" t="n">
        <v>45693</v>
      </c>
      <c r="D89" t="inlineStr">
        <is>
          <t>STOCKHOLMS LÄN</t>
        </is>
      </c>
      <c r="E89" t="inlineStr">
        <is>
          <t>HANINGE</t>
        </is>
      </c>
      <c r="G89" t="n">
        <v>2.3</v>
      </c>
      <c r="H89" t="n">
        <v>4</v>
      </c>
      <c r="I89" t="n">
        <v>4</v>
      </c>
      <c r="J89" t="n">
        <v>3</v>
      </c>
      <c r="K89" t="n">
        <v>0</v>
      </c>
      <c r="L89" t="n">
        <v>1</v>
      </c>
      <c r="M89" t="n">
        <v>0</v>
      </c>
      <c r="N89" t="n">
        <v>0</v>
      </c>
      <c r="O89" t="n">
        <v>4</v>
      </c>
      <c r="P89" t="n">
        <v>1</v>
      </c>
      <c r="Q89" t="n">
        <v>9</v>
      </c>
      <c r="R89" s="2" t="inlineStr">
        <is>
          <t>Ask
Gulsparv
Spillkråka
Tallticka
Grön sköldmossa
Scharlakansvårskål agg.
Skogshakmossa
Västlig hakmossa
Blåsippa</t>
        </is>
      </c>
      <c r="S89">
        <f>HYPERLINK("https://klasma.github.io/Logging_0136/artfynd/A 6703-2020 artfynd.xlsx", "A 6703-2020")</f>
        <v/>
      </c>
      <c r="T89">
        <f>HYPERLINK("https://klasma.github.io/Logging_0136/kartor/A 6703-2020 karta.png", "A 6703-2020")</f>
        <v/>
      </c>
      <c r="V89">
        <f>HYPERLINK("https://klasma.github.io/Logging_0136/klagomål/A 6703-2020 FSC-klagomål.docx", "A 6703-2020")</f>
        <v/>
      </c>
      <c r="W89">
        <f>HYPERLINK("https://klasma.github.io/Logging_0136/klagomålsmail/A 6703-2020 FSC-klagomål mail.docx", "A 6703-2020")</f>
        <v/>
      </c>
      <c r="X89">
        <f>HYPERLINK("https://klasma.github.io/Logging_0136/tillsyn/A 6703-2020 tillsynsbegäran.docx", "A 6703-2020")</f>
        <v/>
      </c>
      <c r="Y89">
        <f>HYPERLINK("https://klasma.github.io/Logging_0136/tillsynsmail/A 6703-2020 tillsynsbegäran mail.docx", "A 6703-2020")</f>
        <v/>
      </c>
      <c r="Z89">
        <f>HYPERLINK("https://klasma.github.io/Logging_0136/fåglar/A 6703-2020 prioriterade fågelarter.docx", "A 6703-2020")</f>
        <v/>
      </c>
    </row>
    <row r="90" ht="15" customHeight="1">
      <c r="A90" t="inlineStr">
        <is>
          <t>A 7430-2020</t>
        </is>
      </c>
      <c r="B90" s="1" t="n">
        <v>43871</v>
      </c>
      <c r="C90" s="1" t="n">
        <v>45693</v>
      </c>
      <c r="D90" t="inlineStr">
        <is>
          <t>STOCKHOLMS LÄN</t>
        </is>
      </c>
      <c r="E90" t="inlineStr">
        <is>
          <t>NYNÄSHAMN</t>
        </is>
      </c>
      <c r="F90" t="inlineStr">
        <is>
          <t>Kommuner</t>
        </is>
      </c>
      <c r="G90" t="n">
        <v>1.5</v>
      </c>
      <c r="H90" t="n">
        <v>6</v>
      </c>
      <c r="I90" t="n">
        <v>2</v>
      </c>
      <c r="J90" t="n">
        <v>3</v>
      </c>
      <c r="K90" t="n">
        <v>0</v>
      </c>
      <c r="L90" t="n">
        <v>0</v>
      </c>
      <c r="M90" t="n">
        <v>0</v>
      </c>
      <c r="N90" t="n">
        <v>0</v>
      </c>
      <c r="O90" t="n">
        <v>3</v>
      </c>
      <c r="P90" t="n">
        <v>0</v>
      </c>
      <c r="Q90" t="n">
        <v>9</v>
      </c>
      <c r="R90" s="2" t="inlineStr">
        <is>
          <t>Nordfladdermus
Sydfladdermus
Ullticka
Stubbspretmossa
Vågbandad barkbock
Dvärgpipistrell
Gråskimlig fladdermus
Större brunfladdermus
Vattenfladdermus</t>
        </is>
      </c>
      <c r="S90">
        <f>HYPERLINK("https://klasma.github.io/Logging_0192/artfynd/A 7430-2020 artfynd.xlsx", "A 7430-2020")</f>
        <v/>
      </c>
      <c r="T90">
        <f>HYPERLINK("https://klasma.github.io/Logging_0192/kartor/A 7430-2020 karta.png", "A 7430-2020")</f>
        <v/>
      </c>
      <c r="V90">
        <f>HYPERLINK("https://klasma.github.io/Logging_0192/klagomål/A 7430-2020 FSC-klagomål.docx", "A 7430-2020")</f>
        <v/>
      </c>
      <c r="W90">
        <f>HYPERLINK("https://klasma.github.io/Logging_0192/klagomålsmail/A 7430-2020 FSC-klagomål mail.docx", "A 7430-2020")</f>
        <v/>
      </c>
      <c r="X90">
        <f>HYPERLINK("https://klasma.github.io/Logging_0192/tillsyn/A 7430-2020 tillsynsbegäran.docx", "A 7430-2020")</f>
        <v/>
      </c>
      <c r="Y90">
        <f>HYPERLINK("https://klasma.github.io/Logging_0192/tillsynsmail/A 7430-2020 tillsynsbegäran mail.docx", "A 7430-2020")</f>
        <v/>
      </c>
    </row>
    <row r="91" ht="15" customHeight="1">
      <c r="A91" t="inlineStr">
        <is>
          <t>A 9148-2020</t>
        </is>
      </c>
      <c r="B91" s="1" t="n">
        <v>43879</v>
      </c>
      <c r="C91" s="1" t="n">
        <v>45693</v>
      </c>
      <c r="D91" t="inlineStr">
        <is>
          <t>STOCKHOLMS LÄN</t>
        </is>
      </c>
      <c r="E91" t="inlineStr">
        <is>
          <t>SALEM</t>
        </is>
      </c>
      <c r="F91" t="inlineStr">
        <is>
          <t>Kommuner</t>
        </is>
      </c>
      <c r="G91" t="n">
        <v>2.1</v>
      </c>
      <c r="H91" t="n">
        <v>2</v>
      </c>
      <c r="I91" t="n">
        <v>6</v>
      </c>
      <c r="J91" t="n">
        <v>3</v>
      </c>
      <c r="K91" t="n">
        <v>0</v>
      </c>
      <c r="L91" t="n">
        <v>0</v>
      </c>
      <c r="M91" t="n">
        <v>0</v>
      </c>
      <c r="N91" t="n">
        <v>0</v>
      </c>
      <c r="O91" t="n">
        <v>3</v>
      </c>
      <c r="P91" t="n">
        <v>0</v>
      </c>
      <c r="Q91" t="n">
        <v>9</v>
      </c>
      <c r="R91" s="2" t="inlineStr">
        <is>
          <t>Granticka
Kandelabersvamp
Mindre hackspett
Bronshjon
Fjällig taggsvamp s.str.
Grovticka
Grön sköldmossa
Hasselticka
Skarp dropptaggsvamp</t>
        </is>
      </c>
      <c r="S91">
        <f>HYPERLINK("https://klasma.github.io/Logging_0128/artfynd/A 9148-2020 artfynd.xlsx", "A 9148-2020")</f>
        <v/>
      </c>
      <c r="T91">
        <f>HYPERLINK("https://klasma.github.io/Logging_0128/kartor/A 9148-2020 karta.png", "A 9148-2020")</f>
        <v/>
      </c>
      <c r="V91">
        <f>HYPERLINK("https://klasma.github.io/Logging_0128/klagomål/A 9148-2020 FSC-klagomål.docx", "A 9148-2020")</f>
        <v/>
      </c>
      <c r="W91">
        <f>HYPERLINK("https://klasma.github.io/Logging_0128/klagomålsmail/A 9148-2020 FSC-klagomål mail.docx", "A 9148-2020")</f>
        <v/>
      </c>
      <c r="X91">
        <f>HYPERLINK("https://klasma.github.io/Logging_0128/tillsyn/A 9148-2020 tillsynsbegäran.docx", "A 9148-2020")</f>
        <v/>
      </c>
      <c r="Y91">
        <f>HYPERLINK("https://klasma.github.io/Logging_0128/tillsynsmail/A 9148-2020 tillsynsbegäran mail.docx", "A 9148-2020")</f>
        <v/>
      </c>
      <c r="Z91">
        <f>HYPERLINK("https://klasma.github.io/Logging_0128/fåglar/A 9148-2020 prioriterade fågelarter.docx", "A 9148-2020")</f>
        <v/>
      </c>
    </row>
    <row r="92" ht="15" customHeight="1">
      <c r="A92" t="inlineStr">
        <is>
          <t>A 31366-2021</t>
        </is>
      </c>
      <c r="B92" s="1" t="n">
        <v>44368</v>
      </c>
      <c r="C92" s="1" t="n">
        <v>45693</v>
      </c>
      <c r="D92" t="inlineStr">
        <is>
          <t>STOCKHOLMS LÄN</t>
        </is>
      </c>
      <c r="E92" t="inlineStr">
        <is>
          <t>UPPLANDS-BRO</t>
        </is>
      </c>
      <c r="G92" t="n">
        <v>8.5</v>
      </c>
      <c r="H92" t="n">
        <v>2</v>
      </c>
      <c r="I92" t="n">
        <v>5</v>
      </c>
      <c r="J92" t="n">
        <v>2</v>
      </c>
      <c r="K92" t="n">
        <v>1</v>
      </c>
      <c r="L92" t="n">
        <v>0</v>
      </c>
      <c r="M92" t="n">
        <v>0</v>
      </c>
      <c r="N92" t="n">
        <v>0</v>
      </c>
      <c r="O92" t="n">
        <v>3</v>
      </c>
      <c r="P92" t="n">
        <v>1</v>
      </c>
      <c r="Q92" t="n">
        <v>9</v>
      </c>
      <c r="R92" s="2" t="inlineStr">
        <is>
          <t>Klotsporig murkla
Motaggsvamp
Spillkråka
Blåmossa
Rödbrun jordstjärna
Stubbspretmossa
Svavelriska
Thomsons trägnagare
Blåsippa</t>
        </is>
      </c>
      <c r="S92">
        <f>HYPERLINK("https://klasma.github.io/Logging_0139/artfynd/A 31366-2021 artfynd.xlsx", "A 31366-2021")</f>
        <v/>
      </c>
      <c r="T92">
        <f>HYPERLINK("https://klasma.github.io/Logging_0139/kartor/A 31366-2021 karta.png", "A 31366-2021")</f>
        <v/>
      </c>
      <c r="V92">
        <f>HYPERLINK("https://klasma.github.io/Logging_0139/klagomål/A 31366-2021 FSC-klagomål.docx", "A 31366-2021")</f>
        <v/>
      </c>
      <c r="W92">
        <f>HYPERLINK("https://klasma.github.io/Logging_0139/klagomålsmail/A 31366-2021 FSC-klagomål mail.docx", "A 31366-2021")</f>
        <v/>
      </c>
      <c r="X92">
        <f>HYPERLINK("https://klasma.github.io/Logging_0139/tillsyn/A 31366-2021 tillsynsbegäran.docx", "A 31366-2021")</f>
        <v/>
      </c>
      <c r="Y92">
        <f>HYPERLINK("https://klasma.github.io/Logging_0139/tillsynsmail/A 31366-2021 tillsynsbegäran mail.docx", "A 31366-2021")</f>
        <v/>
      </c>
      <c r="Z92">
        <f>HYPERLINK("https://klasma.github.io/Logging_0139/fåglar/A 31366-2021 prioriterade fågelarter.docx", "A 31366-2021")</f>
        <v/>
      </c>
    </row>
    <row r="93" ht="15" customHeight="1">
      <c r="A93" t="inlineStr">
        <is>
          <t>A 52815-2021</t>
        </is>
      </c>
      <c r="B93" s="1" t="n">
        <v>44467</v>
      </c>
      <c r="C93" s="1" t="n">
        <v>45693</v>
      </c>
      <c r="D93" t="inlineStr">
        <is>
          <t>STOCKHOLMS LÄN</t>
        </is>
      </c>
      <c r="E93" t="inlineStr">
        <is>
          <t>NORRTÄLJE</t>
        </is>
      </c>
      <c r="G93" t="n">
        <v>2.8</v>
      </c>
      <c r="H93" t="n">
        <v>0</v>
      </c>
      <c r="I93" t="n">
        <v>2</v>
      </c>
      <c r="J93" t="n">
        <v>2</v>
      </c>
      <c r="K93" t="n">
        <v>4</v>
      </c>
      <c r="L93" t="n">
        <v>1</v>
      </c>
      <c r="M93" t="n">
        <v>0</v>
      </c>
      <c r="N93" t="n">
        <v>0</v>
      </c>
      <c r="O93" t="n">
        <v>7</v>
      </c>
      <c r="P93" t="n">
        <v>5</v>
      </c>
      <c r="Q93" t="n">
        <v>9</v>
      </c>
      <c r="R93" s="2" t="inlineStr">
        <is>
          <t>Raggtaggsvamp
Gul lammticka
Koppartaggsvamp
Spricktaggsvamp
Svartfjällig musseron
Bittermusseron
Flattoppad klubbsvamp
Diskvaxskivling
Fjällig taggsvamp s.str.</t>
        </is>
      </c>
      <c r="S93">
        <f>HYPERLINK("https://klasma.github.io/Logging_0188/artfynd/A 52815-2021 artfynd.xlsx", "A 52815-2021")</f>
        <v/>
      </c>
      <c r="T93">
        <f>HYPERLINK("https://klasma.github.io/Logging_0188/kartor/A 52815-2021 karta.png", "A 52815-2021")</f>
        <v/>
      </c>
      <c r="V93">
        <f>HYPERLINK("https://klasma.github.io/Logging_0188/klagomål/A 52815-2021 FSC-klagomål.docx", "A 52815-2021")</f>
        <v/>
      </c>
      <c r="W93">
        <f>HYPERLINK("https://klasma.github.io/Logging_0188/klagomålsmail/A 52815-2021 FSC-klagomål mail.docx", "A 52815-2021")</f>
        <v/>
      </c>
      <c r="X93">
        <f>HYPERLINK("https://klasma.github.io/Logging_0188/tillsyn/A 52815-2021 tillsynsbegäran.docx", "A 52815-2021")</f>
        <v/>
      </c>
      <c r="Y93">
        <f>HYPERLINK("https://klasma.github.io/Logging_0188/tillsynsmail/A 52815-2021 tillsynsbegäran mail.docx", "A 52815-2021")</f>
        <v/>
      </c>
    </row>
    <row r="94" ht="15" customHeight="1">
      <c r="A94" t="inlineStr">
        <is>
          <t>A 73093-2021</t>
        </is>
      </c>
      <c r="B94" s="1" t="n">
        <v>44550</v>
      </c>
      <c r="C94" s="1" t="n">
        <v>45693</v>
      </c>
      <c r="D94" t="inlineStr">
        <is>
          <t>STOCKHOLMS LÄN</t>
        </is>
      </c>
      <c r="E94" t="inlineStr">
        <is>
          <t>NORRTÄLJE</t>
        </is>
      </c>
      <c r="G94" t="n">
        <v>5.1</v>
      </c>
      <c r="H94" t="n">
        <v>6</v>
      </c>
      <c r="I94" t="n">
        <v>6</v>
      </c>
      <c r="J94" t="n">
        <v>1</v>
      </c>
      <c r="K94" t="n">
        <v>0</v>
      </c>
      <c r="L94" t="n">
        <v>0</v>
      </c>
      <c r="M94" t="n">
        <v>0</v>
      </c>
      <c r="N94" t="n">
        <v>0</v>
      </c>
      <c r="O94" t="n">
        <v>1</v>
      </c>
      <c r="P94" t="n">
        <v>0</v>
      </c>
      <c r="Q94" t="n">
        <v>9</v>
      </c>
      <c r="R94" s="2" t="inlineStr">
        <is>
          <t>Rödvingetrast
Guckusko
Myskmadra
Nästrot
Skogsknipprot
Tibast
Vätteros
Nattviol
Blåsippa</t>
        </is>
      </c>
      <c r="S94">
        <f>HYPERLINK("https://klasma.github.io/Logging_0188/artfynd/A 73093-2021 artfynd.xlsx", "A 73093-2021")</f>
        <v/>
      </c>
      <c r="T94">
        <f>HYPERLINK("https://klasma.github.io/Logging_0188/kartor/A 73093-2021 karta.png", "A 73093-2021")</f>
        <v/>
      </c>
      <c r="V94">
        <f>HYPERLINK("https://klasma.github.io/Logging_0188/klagomål/A 73093-2021 FSC-klagomål.docx", "A 73093-2021")</f>
        <v/>
      </c>
      <c r="W94">
        <f>HYPERLINK("https://klasma.github.io/Logging_0188/klagomålsmail/A 73093-2021 FSC-klagomål mail.docx", "A 73093-2021")</f>
        <v/>
      </c>
      <c r="X94">
        <f>HYPERLINK("https://klasma.github.io/Logging_0188/tillsyn/A 73093-2021 tillsynsbegäran.docx", "A 73093-2021")</f>
        <v/>
      </c>
      <c r="Y94">
        <f>HYPERLINK("https://klasma.github.io/Logging_0188/tillsynsmail/A 73093-2021 tillsynsbegäran mail.docx", "A 73093-2021")</f>
        <v/>
      </c>
      <c r="Z94">
        <f>HYPERLINK("https://klasma.github.io/Logging_0188/fåglar/A 73093-2021 prioriterade fågelarter.docx", "A 73093-2021")</f>
        <v/>
      </c>
    </row>
    <row r="95" ht="15" customHeight="1">
      <c r="A95" t="inlineStr">
        <is>
          <t>A 13137-2022</t>
        </is>
      </c>
      <c r="B95" s="1" t="n">
        <v>44643</v>
      </c>
      <c r="C95" s="1" t="n">
        <v>45693</v>
      </c>
      <c r="D95" t="inlineStr">
        <is>
          <t>STOCKHOLMS LÄN</t>
        </is>
      </c>
      <c r="E95" t="inlineStr">
        <is>
          <t>HANINGE</t>
        </is>
      </c>
      <c r="G95" t="n">
        <v>5.6</v>
      </c>
      <c r="H95" t="n">
        <v>4</v>
      </c>
      <c r="I95" t="n">
        <v>5</v>
      </c>
      <c r="J95" t="n">
        <v>2</v>
      </c>
      <c r="K95" t="n">
        <v>1</v>
      </c>
      <c r="L95" t="n">
        <v>0</v>
      </c>
      <c r="M95" t="n">
        <v>0</v>
      </c>
      <c r="N95" t="n">
        <v>0</v>
      </c>
      <c r="O95" t="n">
        <v>3</v>
      </c>
      <c r="P95" t="n">
        <v>1</v>
      </c>
      <c r="Q95" t="n">
        <v>9</v>
      </c>
      <c r="R95" s="2" t="inlineStr">
        <is>
          <t>Knärot
Spillkråka
Vedskivlav
Blodticka
Granbarkgnagare
Grön sköldmossa
Mindre märgborre
Stubbspretmossa
Revlummer</t>
        </is>
      </c>
      <c r="S95">
        <f>HYPERLINK("https://klasma.github.io/Logging_0136/artfynd/A 13137-2022 artfynd.xlsx", "A 13137-2022")</f>
        <v/>
      </c>
      <c r="T95">
        <f>HYPERLINK("https://klasma.github.io/Logging_0136/kartor/A 13137-2022 karta.png", "A 13137-2022")</f>
        <v/>
      </c>
      <c r="U95">
        <f>HYPERLINK("https://klasma.github.io/Logging_0136/knärot/A 13137-2022 karta knärot.png", "A 13137-2022")</f>
        <v/>
      </c>
      <c r="V95">
        <f>HYPERLINK("https://klasma.github.io/Logging_0136/klagomål/A 13137-2022 FSC-klagomål.docx", "A 13137-2022")</f>
        <v/>
      </c>
      <c r="W95">
        <f>HYPERLINK("https://klasma.github.io/Logging_0136/klagomålsmail/A 13137-2022 FSC-klagomål mail.docx", "A 13137-2022")</f>
        <v/>
      </c>
      <c r="X95">
        <f>HYPERLINK("https://klasma.github.io/Logging_0136/tillsyn/A 13137-2022 tillsynsbegäran.docx", "A 13137-2022")</f>
        <v/>
      </c>
      <c r="Y95">
        <f>HYPERLINK("https://klasma.github.io/Logging_0136/tillsynsmail/A 13137-2022 tillsynsbegäran mail.docx", "A 13137-2022")</f>
        <v/>
      </c>
      <c r="Z95">
        <f>HYPERLINK("https://klasma.github.io/Logging_0136/fåglar/A 13137-2022 prioriterade fågelarter.docx", "A 13137-2022")</f>
        <v/>
      </c>
    </row>
    <row r="96" ht="15" customHeight="1">
      <c r="A96" t="inlineStr">
        <is>
          <t>A 22064-2022</t>
        </is>
      </c>
      <c r="B96" s="1" t="n">
        <v>44711</v>
      </c>
      <c r="C96" s="1" t="n">
        <v>45693</v>
      </c>
      <c r="D96" t="inlineStr">
        <is>
          <t>STOCKHOLMS LÄN</t>
        </is>
      </c>
      <c r="E96" t="inlineStr">
        <is>
          <t>VALLENTUNA</t>
        </is>
      </c>
      <c r="G96" t="n">
        <v>4.3</v>
      </c>
      <c r="H96" t="n">
        <v>2</v>
      </c>
      <c r="I96" t="n">
        <v>7</v>
      </c>
      <c r="J96" t="n">
        <v>1</v>
      </c>
      <c r="K96" t="n">
        <v>0</v>
      </c>
      <c r="L96" t="n">
        <v>0</v>
      </c>
      <c r="M96" t="n">
        <v>0</v>
      </c>
      <c r="N96" t="n">
        <v>0</v>
      </c>
      <c r="O96" t="n">
        <v>1</v>
      </c>
      <c r="P96" t="n">
        <v>0</v>
      </c>
      <c r="Q96" t="n">
        <v>9</v>
      </c>
      <c r="R96" s="2" t="inlineStr">
        <is>
          <t>Spillkråka
Björksplintborre
Blåmossa
Bronshjon
Fjällig taggsvamp s.str.
Granbarkgnagare
Stubbspretmossa
Vågbandad barkbock
Blåsippa</t>
        </is>
      </c>
      <c r="S96">
        <f>HYPERLINK("https://klasma.github.io/Logging_0115/artfynd/A 22064-2022 artfynd.xlsx", "A 22064-2022")</f>
        <v/>
      </c>
      <c r="T96">
        <f>HYPERLINK("https://klasma.github.io/Logging_0115/kartor/A 22064-2022 karta.png", "A 22064-2022")</f>
        <v/>
      </c>
      <c r="V96">
        <f>HYPERLINK("https://klasma.github.io/Logging_0115/klagomål/A 22064-2022 FSC-klagomål.docx", "A 22064-2022")</f>
        <v/>
      </c>
      <c r="W96">
        <f>HYPERLINK("https://klasma.github.io/Logging_0115/klagomålsmail/A 22064-2022 FSC-klagomål mail.docx", "A 22064-2022")</f>
        <v/>
      </c>
      <c r="X96">
        <f>HYPERLINK("https://klasma.github.io/Logging_0115/tillsyn/A 22064-2022 tillsynsbegäran.docx", "A 22064-2022")</f>
        <v/>
      </c>
      <c r="Y96">
        <f>HYPERLINK("https://klasma.github.io/Logging_0115/tillsynsmail/A 22064-2022 tillsynsbegäran mail.docx", "A 22064-2022")</f>
        <v/>
      </c>
      <c r="Z96">
        <f>HYPERLINK("https://klasma.github.io/Logging_0115/fåglar/A 22064-2022 prioriterade fågelarter.docx", "A 22064-2022")</f>
        <v/>
      </c>
    </row>
    <row r="97" ht="15" customHeight="1">
      <c r="A97" t="inlineStr">
        <is>
          <t>A 24264-2023</t>
        </is>
      </c>
      <c r="B97" s="1" t="n">
        <v>45076</v>
      </c>
      <c r="C97" s="1" t="n">
        <v>45693</v>
      </c>
      <c r="D97" t="inlineStr">
        <is>
          <t>STOCKHOLMS LÄN</t>
        </is>
      </c>
      <c r="E97" t="inlineStr">
        <is>
          <t>HUDDINGE</t>
        </is>
      </c>
      <c r="G97" t="n">
        <v>7.3</v>
      </c>
      <c r="H97" t="n">
        <v>1</v>
      </c>
      <c r="I97" t="n">
        <v>5</v>
      </c>
      <c r="J97" t="n">
        <v>3</v>
      </c>
      <c r="K97" t="n">
        <v>0</v>
      </c>
      <c r="L97" t="n">
        <v>0</v>
      </c>
      <c r="M97" t="n">
        <v>0</v>
      </c>
      <c r="N97" t="n">
        <v>0</v>
      </c>
      <c r="O97" t="n">
        <v>3</v>
      </c>
      <c r="P97" t="n">
        <v>0</v>
      </c>
      <c r="Q97" t="n">
        <v>9</v>
      </c>
      <c r="R97" s="2" t="inlineStr">
        <is>
          <t>Motaggsvamp
Tallticka
Ullticka
Björksplintborre
Bronshjon
Granbarkgnagare
Mindre märgborre
Vågbandad barkbock
Revlummer</t>
        </is>
      </c>
      <c r="S97">
        <f>HYPERLINK("https://klasma.github.io/Logging_0126/artfynd/A 24264-2023 artfynd.xlsx", "A 24264-2023")</f>
        <v/>
      </c>
      <c r="T97">
        <f>HYPERLINK("https://klasma.github.io/Logging_0126/kartor/A 24264-2023 karta.png", "A 24264-2023")</f>
        <v/>
      </c>
      <c r="V97">
        <f>HYPERLINK("https://klasma.github.io/Logging_0126/klagomål/A 24264-2023 FSC-klagomål.docx", "A 24264-2023")</f>
        <v/>
      </c>
      <c r="W97">
        <f>HYPERLINK("https://klasma.github.io/Logging_0126/klagomålsmail/A 24264-2023 FSC-klagomål mail.docx", "A 24264-2023")</f>
        <v/>
      </c>
      <c r="X97">
        <f>HYPERLINK("https://klasma.github.io/Logging_0126/tillsyn/A 24264-2023 tillsynsbegäran.docx", "A 24264-2023")</f>
        <v/>
      </c>
      <c r="Y97">
        <f>HYPERLINK("https://klasma.github.io/Logging_0126/tillsynsmail/A 24264-2023 tillsynsbegäran mail.docx", "A 24264-2023")</f>
        <v/>
      </c>
    </row>
    <row r="98" ht="15" customHeight="1">
      <c r="A98" t="inlineStr">
        <is>
          <t>A 58658-2023</t>
        </is>
      </c>
      <c r="B98" s="1" t="n">
        <v>45251</v>
      </c>
      <c r="C98" s="1" t="n">
        <v>45693</v>
      </c>
      <c r="D98" t="inlineStr">
        <is>
          <t>STOCKHOLMS LÄN</t>
        </is>
      </c>
      <c r="E98" t="inlineStr">
        <is>
          <t>SIGTUNA</t>
        </is>
      </c>
      <c r="F98" t="inlineStr">
        <is>
          <t>Kommuner</t>
        </is>
      </c>
      <c r="G98" t="n">
        <v>4.8</v>
      </c>
      <c r="H98" t="n">
        <v>5</v>
      </c>
      <c r="I98" t="n">
        <v>2</v>
      </c>
      <c r="J98" t="n">
        <v>4</v>
      </c>
      <c r="K98" t="n">
        <v>0</v>
      </c>
      <c r="L98" t="n">
        <v>0</v>
      </c>
      <c r="M98" t="n">
        <v>0</v>
      </c>
      <c r="N98" t="n">
        <v>0</v>
      </c>
      <c r="O98" t="n">
        <v>4</v>
      </c>
      <c r="P98" t="n">
        <v>0</v>
      </c>
      <c r="Q98" t="n">
        <v>9</v>
      </c>
      <c r="R98" s="2" t="inlineStr">
        <is>
          <t>Aspborre
Entita
Grön aspvedbock
Spillkråka
Granbarkgnagare
Myskbock
Skogsödla
Blåsippa
Gullviva</t>
        </is>
      </c>
      <c r="S98">
        <f>HYPERLINK("https://klasma.github.io/Logging_0191/artfynd/A 58658-2023 artfynd.xlsx", "A 58658-2023")</f>
        <v/>
      </c>
      <c r="T98">
        <f>HYPERLINK("https://klasma.github.io/Logging_0191/kartor/A 58658-2023 karta.png", "A 58658-2023")</f>
        <v/>
      </c>
      <c r="V98">
        <f>HYPERLINK("https://klasma.github.io/Logging_0191/klagomål/A 58658-2023 FSC-klagomål.docx", "A 58658-2023")</f>
        <v/>
      </c>
      <c r="W98">
        <f>HYPERLINK("https://klasma.github.io/Logging_0191/klagomålsmail/A 58658-2023 FSC-klagomål mail.docx", "A 58658-2023")</f>
        <v/>
      </c>
      <c r="X98">
        <f>HYPERLINK("https://klasma.github.io/Logging_0191/tillsyn/A 58658-2023 tillsynsbegäran.docx", "A 58658-2023")</f>
        <v/>
      </c>
      <c r="Y98">
        <f>HYPERLINK("https://klasma.github.io/Logging_0191/tillsynsmail/A 58658-2023 tillsynsbegäran mail.docx", "A 58658-2023")</f>
        <v/>
      </c>
      <c r="Z98">
        <f>HYPERLINK("https://klasma.github.io/Logging_0191/fåglar/A 58658-2023 prioriterade fågelarter.docx", "A 58658-2023")</f>
        <v/>
      </c>
    </row>
    <row r="99" ht="15" customHeight="1">
      <c r="A99" t="inlineStr">
        <is>
          <t>A 14469-2024</t>
        </is>
      </c>
      <c r="B99" s="1" t="n">
        <v>45394</v>
      </c>
      <c r="C99" s="1" t="n">
        <v>45693</v>
      </c>
      <c r="D99" t="inlineStr">
        <is>
          <t>STOCKHOLMS LÄN</t>
        </is>
      </c>
      <c r="E99" t="inlineStr">
        <is>
          <t>VALLENTUNA</t>
        </is>
      </c>
      <c r="G99" t="n">
        <v>17.6</v>
      </c>
      <c r="H99" t="n">
        <v>1</v>
      </c>
      <c r="I99" t="n">
        <v>6</v>
      </c>
      <c r="J99" t="n">
        <v>3</v>
      </c>
      <c r="K99" t="n">
        <v>0</v>
      </c>
      <c r="L99" t="n">
        <v>0</v>
      </c>
      <c r="M99" t="n">
        <v>0</v>
      </c>
      <c r="N99" t="n">
        <v>0</v>
      </c>
      <c r="O99" t="n">
        <v>3</v>
      </c>
      <c r="P99" t="n">
        <v>0</v>
      </c>
      <c r="Q99" t="n">
        <v>9</v>
      </c>
      <c r="R99" s="2" t="inlineStr">
        <is>
          <t>Spillkråka
Ullticka
Vedskivlav
Björksplintborre
Bronshjon
Grönpyrola
Mindre märgborre
Vedticka
Vågbandad barkbock</t>
        </is>
      </c>
      <c r="S99">
        <f>HYPERLINK("https://klasma.github.io/Logging_0115/artfynd/A 14469-2024 artfynd.xlsx", "A 14469-2024")</f>
        <v/>
      </c>
      <c r="T99">
        <f>HYPERLINK("https://klasma.github.io/Logging_0115/kartor/A 14469-2024 karta.png", "A 14469-2024")</f>
        <v/>
      </c>
      <c r="V99">
        <f>HYPERLINK("https://klasma.github.io/Logging_0115/klagomål/A 14469-2024 FSC-klagomål.docx", "A 14469-2024")</f>
        <v/>
      </c>
      <c r="W99">
        <f>HYPERLINK("https://klasma.github.io/Logging_0115/klagomålsmail/A 14469-2024 FSC-klagomål mail.docx", "A 14469-2024")</f>
        <v/>
      </c>
      <c r="X99">
        <f>HYPERLINK("https://klasma.github.io/Logging_0115/tillsyn/A 14469-2024 tillsynsbegäran.docx", "A 14469-2024")</f>
        <v/>
      </c>
      <c r="Y99">
        <f>HYPERLINK("https://klasma.github.io/Logging_0115/tillsynsmail/A 14469-2024 tillsynsbegäran mail.docx", "A 14469-2024")</f>
        <v/>
      </c>
      <c r="Z99">
        <f>HYPERLINK("https://klasma.github.io/Logging_0115/fåglar/A 14469-2024 prioriterade fågelarter.docx", "A 14469-2024")</f>
        <v/>
      </c>
    </row>
    <row r="100" ht="15" customHeight="1">
      <c r="A100" t="inlineStr">
        <is>
          <t>A 36440-2024</t>
        </is>
      </c>
      <c r="B100" s="1" t="n">
        <v>45535</v>
      </c>
      <c r="C100" s="1" t="n">
        <v>45693</v>
      </c>
      <c r="D100" t="inlineStr">
        <is>
          <t>STOCKHOLMS LÄN</t>
        </is>
      </c>
      <c r="E100" t="inlineStr">
        <is>
          <t>SIGTUNA</t>
        </is>
      </c>
      <c r="G100" t="n">
        <v>15.2</v>
      </c>
      <c r="H100" t="n">
        <v>7</v>
      </c>
      <c r="I100" t="n">
        <v>2</v>
      </c>
      <c r="J100" t="n">
        <v>3</v>
      </c>
      <c r="K100" t="n">
        <v>0</v>
      </c>
      <c r="L100" t="n">
        <v>0</v>
      </c>
      <c r="M100" t="n">
        <v>0</v>
      </c>
      <c r="N100" t="n">
        <v>0</v>
      </c>
      <c r="O100" t="n">
        <v>3</v>
      </c>
      <c r="P100" t="n">
        <v>0</v>
      </c>
      <c r="Q100" t="n">
        <v>9</v>
      </c>
      <c r="R100" s="2" t="inlineStr">
        <is>
          <t>Gulsparv
Talltita
Ärtsångare
Bronshjon
Granbarkgnagare
Grönsiska
Kungsfågel
Vanlig padda
Revlummer</t>
        </is>
      </c>
      <c r="S100">
        <f>HYPERLINK("https://klasma.github.io/Logging_0191/artfynd/A 36440-2024 artfynd.xlsx", "A 36440-2024")</f>
        <v/>
      </c>
      <c r="T100">
        <f>HYPERLINK("https://klasma.github.io/Logging_0191/kartor/A 36440-2024 karta.png", "A 36440-2024")</f>
        <v/>
      </c>
      <c r="V100">
        <f>HYPERLINK("https://klasma.github.io/Logging_0191/klagomål/A 36440-2024 FSC-klagomål.docx", "A 36440-2024")</f>
        <v/>
      </c>
      <c r="W100">
        <f>HYPERLINK("https://klasma.github.io/Logging_0191/klagomålsmail/A 36440-2024 FSC-klagomål mail.docx", "A 36440-2024")</f>
        <v/>
      </c>
      <c r="X100">
        <f>HYPERLINK("https://klasma.github.io/Logging_0191/tillsyn/A 36440-2024 tillsynsbegäran.docx", "A 36440-2024")</f>
        <v/>
      </c>
      <c r="Y100">
        <f>HYPERLINK("https://klasma.github.io/Logging_0191/tillsynsmail/A 36440-2024 tillsynsbegäran mail.docx", "A 36440-2024")</f>
        <v/>
      </c>
      <c r="Z100">
        <f>HYPERLINK("https://klasma.github.io/Logging_0191/fåglar/A 36440-2024 prioriterade fågelarter.docx", "A 36440-2024")</f>
        <v/>
      </c>
    </row>
    <row r="101" ht="15" customHeight="1">
      <c r="A101" t="inlineStr">
        <is>
          <t>A 47274-2024</t>
        </is>
      </c>
      <c r="B101" s="1" t="n">
        <v>45586</v>
      </c>
      <c r="C101" s="1" t="n">
        <v>45693</v>
      </c>
      <c r="D101" t="inlineStr">
        <is>
          <t>STOCKHOLMS LÄN</t>
        </is>
      </c>
      <c r="E101" t="inlineStr">
        <is>
          <t>NORRTÄLJE</t>
        </is>
      </c>
      <c r="G101" t="n">
        <v>20.1</v>
      </c>
      <c r="H101" t="n">
        <v>2</v>
      </c>
      <c r="I101" t="n">
        <v>3</v>
      </c>
      <c r="J101" t="n">
        <v>4</v>
      </c>
      <c r="K101" t="n">
        <v>1</v>
      </c>
      <c r="L101" t="n">
        <v>0</v>
      </c>
      <c r="M101" t="n">
        <v>0</v>
      </c>
      <c r="N101" t="n">
        <v>0</v>
      </c>
      <c r="O101" t="n">
        <v>5</v>
      </c>
      <c r="P101" t="n">
        <v>1</v>
      </c>
      <c r="Q101" t="n">
        <v>9</v>
      </c>
      <c r="R101" s="2" t="inlineStr">
        <is>
          <t>Knärot
Grönhjon
Motaggsvamp
Ullticka
Vedskivlav
Dropptaggsvamp
Grönpyrola
Svavelriska
Blåsippa</t>
        </is>
      </c>
      <c r="S101">
        <f>HYPERLINK("https://klasma.github.io/Logging_0188/artfynd/A 47274-2024 artfynd.xlsx", "A 47274-2024")</f>
        <v/>
      </c>
      <c r="T101">
        <f>HYPERLINK("https://klasma.github.io/Logging_0188/kartor/A 47274-2024 karta.png", "A 47274-2024")</f>
        <v/>
      </c>
      <c r="U101">
        <f>HYPERLINK("https://klasma.github.io/Logging_0188/knärot/A 47274-2024 karta knärot.png", "A 47274-2024")</f>
        <v/>
      </c>
      <c r="V101">
        <f>HYPERLINK("https://klasma.github.io/Logging_0188/klagomål/A 47274-2024 FSC-klagomål.docx", "A 47274-2024")</f>
        <v/>
      </c>
      <c r="W101">
        <f>HYPERLINK("https://klasma.github.io/Logging_0188/klagomålsmail/A 47274-2024 FSC-klagomål mail.docx", "A 47274-2024")</f>
        <v/>
      </c>
      <c r="X101">
        <f>HYPERLINK("https://klasma.github.io/Logging_0188/tillsyn/A 47274-2024 tillsynsbegäran.docx", "A 47274-2024")</f>
        <v/>
      </c>
      <c r="Y101">
        <f>HYPERLINK("https://klasma.github.io/Logging_0188/tillsynsmail/A 47274-2024 tillsynsbegäran mail.docx", "A 47274-2024")</f>
        <v/>
      </c>
    </row>
    <row r="102" ht="15" customHeight="1">
      <c r="A102" t="inlineStr">
        <is>
          <t>A 2228-2025</t>
        </is>
      </c>
      <c r="B102" s="1" t="n">
        <v>45672</v>
      </c>
      <c r="C102" s="1" t="n">
        <v>45693</v>
      </c>
      <c r="D102" t="inlineStr">
        <is>
          <t>STOCKHOLMS LÄN</t>
        </is>
      </c>
      <c r="E102" t="inlineStr">
        <is>
          <t>HANINGE</t>
        </is>
      </c>
      <c r="G102" t="n">
        <v>1.9</v>
      </c>
      <c r="H102" t="n">
        <v>4</v>
      </c>
      <c r="I102" t="n">
        <v>4</v>
      </c>
      <c r="J102" t="n">
        <v>2</v>
      </c>
      <c r="K102" t="n">
        <v>0</v>
      </c>
      <c r="L102" t="n">
        <v>0</v>
      </c>
      <c r="M102" t="n">
        <v>0</v>
      </c>
      <c r="N102" t="n">
        <v>0</v>
      </c>
      <c r="O102" t="n">
        <v>2</v>
      </c>
      <c r="P102" t="n">
        <v>0</v>
      </c>
      <c r="Q102" t="n">
        <v>9</v>
      </c>
      <c r="R102" s="2" t="inlineStr">
        <is>
          <t>Spillkråka
Tallticka
Blåmossa
Granbarkgnagare
Mindre märgborre
Sårläka
Vanlig padda
Blåsippa
Gullviva</t>
        </is>
      </c>
      <c r="S102">
        <f>HYPERLINK("https://klasma.github.io/Logging_0136/artfynd/A 2228-2025 artfynd.xlsx", "A 2228-2025")</f>
        <v/>
      </c>
      <c r="T102">
        <f>HYPERLINK("https://klasma.github.io/Logging_0136/kartor/A 2228-2025 karta.png", "A 2228-2025")</f>
        <v/>
      </c>
      <c r="V102">
        <f>HYPERLINK("https://klasma.github.io/Logging_0136/klagomål/A 2228-2025 FSC-klagomål.docx", "A 2228-2025")</f>
        <v/>
      </c>
      <c r="W102">
        <f>HYPERLINK("https://klasma.github.io/Logging_0136/klagomålsmail/A 2228-2025 FSC-klagomål mail.docx", "A 2228-2025")</f>
        <v/>
      </c>
      <c r="X102">
        <f>HYPERLINK("https://klasma.github.io/Logging_0136/tillsyn/A 2228-2025 tillsynsbegäran.docx", "A 2228-2025")</f>
        <v/>
      </c>
      <c r="Y102">
        <f>HYPERLINK("https://klasma.github.io/Logging_0136/tillsynsmail/A 2228-2025 tillsynsbegäran mail.docx", "A 2228-2025")</f>
        <v/>
      </c>
      <c r="Z102">
        <f>HYPERLINK("https://klasma.github.io/Logging_0136/fåglar/A 2228-2025 prioriterade fågelarter.docx", "A 2228-2025")</f>
        <v/>
      </c>
    </row>
    <row r="103" ht="15" customHeight="1">
      <c r="A103" t="inlineStr">
        <is>
          <t>A 27838-2021</t>
        </is>
      </c>
      <c r="B103" s="1" t="n">
        <v>44354</v>
      </c>
      <c r="C103" s="1" t="n">
        <v>45693</v>
      </c>
      <c r="D103" t="inlineStr">
        <is>
          <t>STOCKHOLMS LÄN</t>
        </is>
      </c>
      <c r="E103" t="inlineStr">
        <is>
          <t>SÖDERTÄLJE</t>
        </is>
      </c>
      <c r="F103" t="inlineStr">
        <is>
          <t>Sveaskog</t>
        </is>
      </c>
      <c r="G103" t="n">
        <v>3.8</v>
      </c>
      <c r="H103" t="n">
        <v>1</v>
      </c>
      <c r="I103" t="n">
        <v>5</v>
      </c>
      <c r="J103" t="n">
        <v>3</v>
      </c>
      <c r="K103" t="n">
        <v>0</v>
      </c>
      <c r="L103" t="n">
        <v>0</v>
      </c>
      <c r="M103" t="n">
        <v>0</v>
      </c>
      <c r="N103" t="n">
        <v>0</v>
      </c>
      <c r="O103" t="n">
        <v>3</v>
      </c>
      <c r="P103" t="n">
        <v>0</v>
      </c>
      <c r="Q103" t="n">
        <v>8</v>
      </c>
      <c r="R103" s="2" t="inlineStr">
        <is>
          <t>Ekticka
Kortskaftad ärgspik
Rödbrun blekspik
Grön sköldmossa
Guldlockmossa
Kornig nållav
Rostfläck
Vätteros</t>
        </is>
      </c>
      <c r="S103">
        <f>HYPERLINK("https://klasma.github.io/Logging_0181/artfynd/A 27838-2021 artfynd.xlsx", "A 27838-2021")</f>
        <v/>
      </c>
      <c r="T103">
        <f>HYPERLINK("https://klasma.github.io/Logging_0181/kartor/A 27838-2021 karta.png", "A 27838-2021")</f>
        <v/>
      </c>
      <c r="V103">
        <f>HYPERLINK("https://klasma.github.io/Logging_0181/klagomål/A 27838-2021 FSC-klagomål.docx", "A 27838-2021")</f>
        <v/>
      </c>
      <c r="W103">
        <f>HYPERLINK("https://klasma.github.io/Logging_0181/klagomålsmail/A 27838-2021 FSC-klagomål mail.docx", "A 27838-2021")</f>
        <v/>
      </c>
      <c r="X103">
        <f>HYPERLINK("https://klasma.github.io/Logging_0181/tillsyn/A 27838-2021 tillsynsbegäran.docx", "A 27838-2021")</f>
        <v/>
      </c>
      <c r="Y103">
        <f>HYPERLINK("https://klasma.github.io/Logging_0181/tillsynsmail/A 27838-2021 tillsynsbegäran mail.docx", "A 27838-2021")</f>
        <v/>
      </c>
    </row>
    <row r="104" ht="15" customHeight="1">
      <c r="A104" t="inlineStr">
        <is>
          <t>A 29817-2021</t>
        </is>
      </c>
      <c r="B104" s="1" t="n">
        <v>44362</v>
      </c>
      <c r="C104" s="1" t="n">
        <v>45693</v>
      </c>
      <c r="D104" t="inlineStr">
        <is>
          <t>STOCKHOLMS LÄN</t>
        </is>
      </c>
      <c r="E104" t="inlineStr">
        <is>
          <t>VÄRMDÖ</t>
        </is>
      </c>
      <c r="F104" t="inlineStr">
        <is>
          <t>Övriga Aktiebolag</t>
        </is>
      </c>
      <c r="G104" t="n">
        <v>5</v>
      </c>
      <c r="H104" t="n">
        <v>2</v>
      </c>
      <c r="I104" t="n">
        <v>4</v>
      </c>
      <c r="J104" t="n">
        <v>2</v>
      </c>
      <c r="K104" t="n">
        <v>0</v>
      </c>
      <c r="L104" t="n">
        <v>1</v>
      </c>
      <c r="M104" t="n">
        <v>0</v>
      </c>
      <c r="N104" t="n">
        <v>0</v>
      </c>
      <c r="O104" t="n">
        <v>3</v>
      </c>
      <c r="P104" t="n">
        <v>1</v>
      </c>
      <c r="Q104" t="n">
        <v>8</v>
      </c>
      <c r="R104" s="2" t="inlineStr">
        <is>
          <t>Ryl
Svartvit flugsnappare
Tallticka
Granbarkgnagare
Grovticka
Myskbock
Stubbspretmossa
Blåsippa</t>
        </is>
      </c>
      <c r="S104">
        <f>HYPERLINK("https://klasma.github.io/Logging_0120/artfynd/A 29817-2021 artfynd.xlsx", "A 29817-2021")</f>
        <v/>
      </c>
      <c r="T104">
        <f>HYPERLINK("https://klasma.github.io/Logging_0120/kartor/A 29817-2021 karta.png", "A 29817-2021")</f>
        <v/>
      </c>
      <c r="V104">
        <f>HYPERLINK("https://klasma.github.io/Logging_0120/klagomål/A 29817-2021 FSC-klagomål.docx", "A 29817-2021")</f>
        <v/>
      </c>
      <c r="W104">
        <f>HYPERLINK("https://klasma.github.io/Logging_0120/klagomålsmail/A 29817-2021 FSC-klagomål mail.docx", "A 29817-2021")</f>
        <v/>
      </c>
      <c r="X104">
        <f>HYPERLINK("https://klasma.github.io/Logging_0120/tillsyn/A 29817-2021 tillsynsbegäran.docx", "A 29817-2021")</f>
        <v/>
      </c>
      <c r="Y104">
        <f>HYPERLINK("https://klasma.github.io/Logging_0120/tillsynsmail/A 29817-2021 tillsynsbegäran mail.docx", "A 29817-2021")</f>
        <v/>
      </c>
      <c r="Z104">
        <f>HYPERLINK("https://klasma.github.io/Logging_0120/fåglar/A 29817-2021 prioriterade fågelarter.docx", "A 29817-2021")</f>
        <v/>
      </c>
    </row>
    <row r="105" ht="15" customHeight="1">
      <c r="A105" t="inlineStr">
        <is>
          <t>A 22061-2022</t>
        </is>
      </c>
      <c r="B105" s="1" t="n">
        <v>44711</v>
      </c>
      <c r="C105" s="1" t="n">
        <v>45693</v>
      </c>
      <c r="D105" t="inlineStr">
        <is>
          <t>STOCKHOLMS LÄN</t>
        </is>
      </c>
      <c r="E105" t="inlineStr">
        <is>
          <t>VALLENTUNA</t>
        </is>
      </c>
      <c r="G105" t="n">
        <v>6.2</v>
      </c>
      <c r="H105" t="n">
        <v>2</v>
      </c>
      <c r="I105" t="n">
        <v>4</v>
      </c>
      <c r="J105" t="n">
        <v>2</v>
      </c>
      <c r="K105" t="n">
        <v>1</v>
      </c>
      <c r="L105" t="n">
        <v>0</v>
      </c>
      <c r="M105" t="n">
        <v>0</v>
      </c>
      <c r="N105" t="n">
        <v>0</v>
      </c>
      <c r="O105" t="n">
        <v>3</v>
      </c>
      <c r="P105" t="n">
        <v>1</v>
      </c>
      <c r="Q105" t="n">
        <v>8</v>
      </c>
      <c r="R105" s="2" t="inlineStr">
        <is>
          <t>Knärot
Orange taggsvamp
Ullticka
Fjällig taggsvamp s.str.
Grönpyrola
Rostfläck
Stubbspretmossa
Blåsippa</t>
        </is>
      </c>
      <c r="S105">
        <f>HYPERLINK("https://klasma.github.io/Logging_0115/artfynd/A 22061-2022 artfynd.xlsx", "A 22061-2022")</f>
        <v/>
      </c>
      <c r="T105">
        <f>HYPERLINK("https://klasma.github.io/Logging_0115/kartor/A 22061-2022 karta.png", "A 22061-2022")</f>
        <v/>
      </c>
      <c r="U105">
        <f>HYPERLINK("https://klasma.github.io/Logging_0115/knärot/A 22061-2022 karta knärot.png", "A 22061-2022")</f>
        <v/>
      </c>
      <c r="V105">
        <f>HYPERLINK("https://klasma.github.io/Logging_0115/klagomål/A 22061-2022 FSC-klagomål.docx", "A 22061-2022")</f>
        <v/>
      </c>
      <c r="W105">
        <f>HYPERLINK("https://klasma.github.io/Logging_0115/klagomålsmail/A 22061-2022 FSC-klagomål mail.docx", "A 22061-2022")</f>
        <v/>
      </c>
      <c r="X105">
        <f>HYPERLINK("https://klasma.github.io/Logging_0115/tillsyn/A 22061-2022 tillsynsbegäran.docx", "A 22061-2022")</f>
        <v/>
      </c>
      <c r="Y105">
        <f>HYPERLINK("https://klasma.github.io/Logging_0115/tillsynsmail/A 22061-2022 tillsynsbegäran mail.docx", "A 22061-2022")</f>
        <v/>
      </c>
    </row>
    <row r="106" ht="15" customHeight="1">
      <c r="A106" t="inlineStr">
        <is>
          <t>A 24687-2022</t>
        </is>
      </c>
      <c r="B106" s="1" t="n">
        <v>44727</v>
      </c>
      <c r="C106" s="1" t="n">
        <v>45693</v>
      </c>
      <c r="D106" t="inlineStr">
        <is>
          <t>STOCKHOLMS LÄN</t>
        </is>
      </c>
      <c r="E106" t="inlineStr">
        <is>
          <t>NORRTÄLJE</t>
        </is>
      </c>
      <c r="G106" t="n">
        <v>5.8</v>
      </c>
      <c r="H106" t="n">
        <v>3</v>
      </c>
      <c r="I106" t="n">
        <v>4</v>
      </c>
      <c r="J106" t="n">
        <v>0</v>
      </c>
      <c r="K106" t="n">
        <v>1</v>
      </c>
      <c r="L106" t="n">
        <v>0</v>
      </c>
      <c r="M106" t="n">
        <v>0</v>
      </c>
      <c r="N106" t="n">
        <v>0</v>
      </c>
      <c r="O106" t="n">
        <v>1</v>
      </c>
      <c r="P106" t="n">
        <v>1</v>
      </c>
      <c r="Q106" t="n">
        <v>8</v>
      </c>
      <c r="R106" s="2" t="inlineStr">
        <is>
          <t>Gul lammticka
Anisspindling
Diskvaxskivling
Fjällig taggsvamp s.str.
Rödgul trumpetsvamp
Tjäder
Blåsippa
Revlummer</t>
        </is>
      </c>
      <c r="S106">
        <f>HYPERLINK("https://klasma.github.io/Logging_0188/artfynd/A 24687-2022 artfynd.xlsx", "A 24687-2022")</f>
        <v/>
      </c>
      <c r="T106">
        <f>HYPERLINK("https://klasma.github.io/Logging_0188/kartor/A 24687-2022 karta.png", "A 24687-2022")</f>
        <v/>
      </c>
      <c r="V106">
        <f>HYPERLINK("https://klasma.github.io/Logging_0188/klagomål/A 24687-2022 FSC-klagomål.docx", "A 24687-2022")</f>
        <v/>
      </c>
      <c r="W106">
        <f>HYPERLINK("https://klasma.github.io/Logging_0188/klagomålsmail/A 24687-2022 FSC-klagomål mail.docx", "A 24687-2022")</f>
        <v/>
      </c>
      <c r="X106">
        <f>HYPERLINK("https://klasma.github.io/Logging_0188/tillsyn/A 24687-2022 tillsynsbegäran.docx", "A 24687-2022")</f>
        <v/>
      </c>
      <c r="Y106">
        <f>HYPERLINK("https://klasma.github.io/Logging_0188/tillsynsmail/A 24687-2022 tillsynsbegäran mail.docx", "A 24687-2022")</f>
        <v/>
      </c>
      <c r="Z106">
        <f>HYPERLINK("https://klasma.github.io/Logging_0188/fåglar/A 24687-2022 prioriterade fågelarter.docx", "A 24687-2022")</f>
        <v/>
      </c>
    </row>
    <row r="107" ht="15" customHeight="1">
      <c r="A107" t="inlineStr">
        <is>
          <t>A 25512-2022</t>
        </is>
      </c>
      <c r="B107" s="1" t="n">
        <v>44732</v>
      </c>
      <c r="C107" s="1" t="n">
        <v>45693</v>
      </c>
      <c r="D107" t="inlineStr">
        <is>
          <t>STOCKHOLMS LÄN</t>
        </is>
      </c>
      <c r="E107" t="inlineStr">
        <is>
          <t>VALLENTUNA</t>
        </is>
      </c>
      <c r="G107" t="n">
        <v>13.8</v>
      </c>
      <c r="H107" t="n">
        <v>0</v>
      </c>
      <c r="I107" t="n">
        <v>5</v>
      </c>
      <c r="J107" t="n">
        <v>3</v>
      </c>
      <c r="K107" t="n">
        <v>0</v>
      </c>
      <c r="L107" t="n">
        <v>0</v>
      </c>
      <c r="M107" t="n">
        <v>0</v>
      </c>
      <c r="N107" t="n">
        <v>0</v>
      </c>
      <c r="O107" t="n">
        <v>3</v>
      </c>
      <c r="P107" t="n">
        <v>0</v>
      </c>
      <c r="Q107" t="n">
        <v>8</v>
      </c>
      <c r="R107" s="2" t="inlineStr">
        <is>
          <t>Granticka
Gränsticka
Orange taggsvamp
Fjällig taggsvamp s.str.
Gullgröppa
Rödgul trumpetsvamp
Skarp dropptaggsvamp
Vedticka</t>
        </is>
      </c>
      <c r="S107">
        <f>HYPERLINK("https://klasma.github.io/Logging_0115/artfynd/A 25512-2022 artfynd.xlsx", "A 25512-2022")</f>
        <v/>
      </c>
      <c r="T107">
        <f>HYPERLINK("https://klasma.github.io/Logging_0115/kartor/A 25512-2022 karta.png", "A 25512-2022")</f>
        <v/>
      </c>
      <c r="V107">
        <f>HYPERLINK("https://klasma.github.io/Logging_0115/klagomål/A 25512-2022 FSC-klagomål.docx", "A 25512-2022")</f>
        <v/>
      </c>
      <c r="W107">
        <f>HYPERLINK("https://klasma.github.io/Logging_0115/klagomålsmail/A 25512-2022 FSC-klagomål mail.docx", "A 25512-2022")</f>
        <v/>
      </c>
      <c r="X107">
        <f>HYPERLINK("https://klasma.github.io/Logging_0115/tillsyn/A 25512-2022 tillsynsbegäran.docx", "A 25512-2022")</f>
        <v/>
      </c>
      <c r="Y107">
        <f>HYPERLINK("https://klasma.github.io/Logging_0115/tillsynsmail/A 25512-2022 tillsynsbegäran mail.docx", "A 25512-2022")</f>
        <v/>
      </c>
    </row>
    <row r="108" ht="15" customHeight="1">
      <c r="A108" t="inlineStr">
        <is>
          <t>A 14020-2023</t>
        </is>
      </c>
      <c r="B108" s="1" t="n">
        <v>45008</v>
      </c>
      <c r="C108" s="1" t="n">
        <v>45693</v>
      </c>
      <c r="D108" t="inlineStr">
        <is>
          <t>STOCKHOLMS LÄN</t>
        </is>
      </c>
      <c r="E108" t="inlineStr">
        <is>
          <t>EKERÖ</t>
        </is>
      </c>
      <c r="G108" t="n">
        <v>9.300000000000001</v>
      </c>
      <c r="H108" t="n">
        <v>2</v>
      </c>
      <c r="I108" t="n">
        <v>2</v>
      </c>
      <c r="J108" t="n">
        <v>3</v>
      </c>
      <c r="K108" t="n">
        <v>1</v>
      </c>
      <c r="L108" t="n">
        <v>1</v>
      </c>
      <c r="M108" t="n">
        <v>0</v>
      </c>
      <c r="N108" t="n">
        <v>0</v>
      </c>
      <c r="O108" t="n">
        <v>5</v>
      </c>
      <c r="P108" t="n">
        <v>2</v>
      </c>
      <c r="Q108" t="n">
        <v>8</v>
      </c>
      <c r="R108" s="2" t="inlineStr">
        <is>
          <t>Ryl
Spricktaggsvamp
Backtimjan
Orange taggsvamp
Spillkråka
Dropptaggsvamp
Grönpyrola
Kopparödla</t>
        </is>
      </c>
      <c r="S108">
        <f>HYPERLINK("https://klasma.github.io/Logging_0125/artfynd/A 14020-2023 artfynd.xlsx", "A 14020-2023")</f>
        <v/>
      </c>
      <c r="T108">
        <f>HYPERLINK("https://klasma.github.io/Logging_0125/kartor/A 14020-2023 karta.png", "A 14020-2023")</f>
        <v/>
      </c>
      <c r="V108">
        <f>HYPERLINK("https://klasma.github.io/Logging_0125/klagomål/A 14020-2023 FSC-klagomål.docx", "A 14020-2023")</f>
        <v/>
      </c>
      <c r="W108">
        <f>HYPERLINK("https://klasma.github.io/Logging_0125/klagomålsmail/A 14020-2023 FSC-klagomål mail.docx", "A 14020-2023")</f>
        <v/>
      </c>
      <c r="X108">
        <f>HYPERLINK("https://klasma.github.io/Logging_0125/tillsyn/A 14020-2023 tillsynsbegäran.docx", "A 14020-2023")</f>
        <v/>
      </c>
      <c r="Y108">
        <f>HYPERLINK("https://klasma.github.io/Logging_0125/tillsynsmail/A 14020-2023 tillsynsbegäran mail.docx", "A 14020-2023")</f>
        <v/>
      </c>
      <c r="Z108">
        <f>HYPERLINK("https://klasma.github.io/Logging_0125/fåglar/A 14020-2023 prioriterade fågelarter.docx", "A 14020-2023")</f>
        <v/>
      </c>
    </row>
    <row r="109" ht="15" customHeight="1">
      <c r="A109" t="inlineStr">
        <is>
          <t>A 14499-2024</t>
        </is>
      </c>
      <c r="B109" s="1" t="n">
        <v>45394</v>
      </c>
      <c r="C109" s="1" t="n">
        <v>45693</v>
      </c>
      <c r="D109" t="inlineStr">
        <is>
          <t>STOCKHOLMS LÄN</t>
        </is>
      </c>
      <c r="E109" t="inlineStr">
        <is>
          <t>VALLENTUNA</t>
        </is>
      </c>
      <c r="G109" t="n">
        <v>13.1</v>
      </c>
      <c r="H109" t="n">
        <v>2</v>
      </c>
      <c r="I109" t="n">
        <v>5</v>
      </c>
      <c r="J109" t="n">
        <v>2</v>
      </c>
      <c r="K109" t="n">
        <v>1</v>
      </c>
      <c r="L109" t="n">
        <v>0</v>
      </c>
      <c r="M109" t="n">
        <v>0</v>
      </c>
      <c r="N109" t="n">
        <v>0</v>
      </c>
      <c r="O109" t="n">
        <v>3</v>
      </c>
      <c r="P109" t="n">
        <v>1</v>
      </c>
      <c r="Q109" t="n">
        <v>8</v>
      </c>
      <c r="R109" s="2" t="inlineStr">
        <is>
          <t>Knärot
Spillkråka
Tallticka
Björksplintborre
Bronshjon
Dropptaggsvamp
Mindre märgborre
Vågbandad barkbock</t>
        </is>
      </c>
      <c r="S109">
        <f>HYPERLINK("https://klasma.github.io/Logging_0115/artfynd/A 14499-2024 artfynd.xlsx", "A 14499-2024")</f>
        <v/>
      </c>
      <c r="T109">
        <f>HYPERLINK("https://klasma.github.io/Logging_0115/kartor/A 14499-2024 karta.png", "A 14499-2024")</f>
        <v/>
      </c>
      <c r="U109">
        <f>HYPERLINK("https://klasma.github.io/Logging_0115/knärot/A 14499-2024 karta knärot.png", "A 14499-2024")</f>
        <v/>
      </c>
      <c r="V109">
        <f>HYPERLINK("https://klasma.github.io/Logging_0115/klagomål/A 14499-2024 FSC-klagomål.docx", "A 14499-2024")</f>
        <v/>
      </c>
      <c r="W109">
        <f>HYPERLINK("https://klasma.github.io/Logging_0115/klagomålsmail/A 14499-2024 FSC-klagomål mail.docx", "A 14499-2024")</f>
        <v/>
      </c>
      <c r="X109">
        <f>HYPERLINK("https://klasma.github.io/Logging_0115/tillsyn/A 14499-2024 tillsynsbegäran.docx", "A 14499-2024")</f>
        <v/>
      </c>
      <c r="Y109">
        <f>HYPERLINK("https://klasma.github.io/Logging_0115/tillsynsmail/A 14499-2024 tillsynsbegäran mail.docx", "A 14499-2024")</f>
        <v/>
      </c>
      <c r="Z109">
        <f>HYPERLINK("https://klasma.github.io/Logging_0115/fåglar/A 14499-2024 prioriterade fågelarter.docx", "A 14499-2024")</f>
        <v/>
      </c>
    </row>
    <row r="110" ht="15" customHeight="1">
      <c r="A110" t="inlineStr">
        <is>
          <t>A 53877-2024</t>
        </is>
      </c>
      <c r="B110" s="1" t="n">
        <v>45614</v>
      </c>
      <c r="C110" s="1" t="n">
        <v>45693</v>
      </c>
      <c r="D110" t="inlineStr">
        <is>
          <t>STOCKHOLMS LÄN</t>
        </is>
      </c>
      <c r="E110" t="inlineStr">
        <is>
          <t>SÖDERTÄLJE</t>
        </is>
      </c>
      <c r="F110" t="inlineStr">
        <is>
          <t>Övriga statliga verk och myndigheter</t>
        </is>
      </c>
      <c r="G110" t="n">
        <v>3.9</v>
      </c>
      <c r="H110" t="n">
        <v>2</v>
      </c>
      <c r="I110" t="n">
        <v>4</v>
      </c>
      <c r="J110" t="n">
        <v>3</v>
      </c>
      <c r="K110" t="n">
        <v>0</v>
      </c>
      <c r="L110" t="n">
        <v>0</v>
      </c>
      <c r="M110" t="n">
        <v>0</v>
      </c>
      <c r="N110" t="n">
        <v>0</v>
      </c>
      <c r="O110" t="n">
        <v>3</v>
      </c>
      <c r="P110" t="n">
        <v>0</v>
      </c>
      <c r="Q110" t="n">
        <v>8</v>
      </c>
      <c r="R110" s="2" t="inlineStr">
        <is>
          <t>Majviva
Storgröe
Ängsstarr
Blåmossa
Flugblomster
Gräsull
Strutbräken
Revlummer</t>
        </is>
      </c>
      <c r="S110">
        <f>HYPERLINK("https://klasma.github.io/Logging_0181/artfynd/A 53877-2024 artfynd.xlsx", "A 53877-2024")</f>
        <v/>
      </c>
      <c r="T110">
        <f>HYPERLINK("https://klasma.github.io/Logging_0181/kartor/A 53877-2024 karta.png", "A 53877-2024")</f>
        <v/>
      </c>
      <c r="V110">
        <f>HYPERLINK("https://klasma.github.io/Logging_0181/klagomål/A 53877-2024 FSC-klagomål.docx", "A 53877-2024")</f>
        <v/>
      </c>
      <c r="W110">
        <f>HYPERLINK("https://klasma.github.io/Logging_0181/klagomålsmail/A 53877-2024 FSC-klagomål mail.docx", "A 53877-2024")</f>
        <v/>
      </c>
      <c r="X110">
        <f>HYPERLINK("https://klasma.github.io/Logging_0181/tillsyn/A 53877-2024 tillsynsbegäran.docx", "A 53877-2024")</f>
        <v/>
      </c>
      <c r="Y110">
        <f>HYPERLINK("https://klasma.github.io/Logging_0181/tillsynsmail/A 53877-2024 tillsynsbegäran mail.docx", "A 53877-2024")</f>
        <v/>
      </c>
    </row>
    <row r="111" ht="15" customHeight="1">
      <c r="A111" t="inlineStr">
        <is>
          <t>A 59582-2024</t>
        </is>
      </c>
      <c r="B111" s="1" t="n">
        <v>45638</v>
      </c>
      <c r="C111" s="1" t="n">
        <v>45693</v>
      </c>
      <c r="D111" t="inlineStr">
        <is>
          <t>STOCKHOLMS LÄN</t>
        </is>
      </c>
      <c r="E111" t="inlineStr">
        <is>
          <t>NORRTÄLJE</t>
        </is>
      </c>
      <c r="F111" t="inlineStr">
        <is>
          <t>Holmen skog AB</t>
        </is>
      </c>
      <c r="G111" t="n">
        <v>2.7</v>
      </c>
      <c r="H111" t="n">
        <v>3</v>
      </c>
      <c r="I111" t="n">
        <v>4</v>
      </c>
      <c r="J111" t="n">
        <v>3</v>
      </c>
      <c r="K111" t="n">
        <v>0</v>
      </c>
      <c r="L111" t="n">
        <v>0</v>
      </c>
      <c r="M111" t="n">
        <v>0</v>
      </c>
      <c r="N111" t="n">
        <v>0</v>
      </c>
      <c r="O111" t="n">
        <v>3</v>
      </c>
      <c r="P111" t="n">
        <v>0</v>
      </c>
      <c r="Q111" t="n">
        <v>8</v>
      </c>
      <c r="R111" s="2" t="inlineStr">
        <is>
          <t>Duvhök
Skogshare
Spillkråka
Bronshjon
Granbräken
Spädstarr
Vågbandad barkbock
Revlummer</t>
        </is>
      </c>
      <c r="S111">
        <f>HYPERLINK("https://klasma.github.io/Logging_0188/artfynd/A 59582-2024 artfynd.xlsx", "A 59582-2024")</f>
        <v/>
      </c>
      <c r="T111">
        <f>HYPERLINK("https://klasma.github.io/Logging_0188/kartor/A 59582-2024 karta.png", "A 59582-2024")</f>
        <v/>
      </c>
      <c r="V111">
        <f>HYPERLINK("https://klasma.github.io/Logging_0188/klagomål/A 59582-2024 FSC-klagomål.docx", "A 59582-2024")</f>
        <v/>
      </c>
      <c r="W111">
        <f>HYPERLINK("https://klasma.github.io/Logging_0188/klagomålsmail/A 59582-2024 FSC-klagomål mail.docx", "A 59582-2024")</f>
        <v/>
      </c>
      <c r="X111">
        <f>HYPERLINK("https://klasma.github.io/Logging_0188/tillsyn/A 59582-2024 tillsynsbegäran.docx", "A 59582-2024")</f>
        <v/>
      </c>
      <c r="Y111">
        <f>HYPERLINK("https://klasma.github.io/Logging_0188/tillsynsmail/A 59582-2024 tillsynsbegäran mail.docx", "A 59582-2024")</f>
        <v/>
      </c>
      <c r="Z111">
        <f>HYPERLINK("https://klasma.github.io/Logging_0188/fåglar/A 59582-2024 prioriterade fågelarter.docx", "A 59582-2024")</f>
        <v/>
      </c>
    </row>
    <row r="112" ht="15" customHeight="1">
      <c r="A112" t="inlineStr">
        <is>
          <t>A 3152-2025</t>
        </is>
      </c>
      <c r="B112" s="1" t="n">
        <v>45679</v>
      </c>
      <c r="C112" s="1" t="n">
        <v>45693</v>
      </c>
      <c r="D112" t="inlineStr">
        <is>
          <t>STOCKHOLMS LÄN</t>
        </is>
      </c>
      <c r="E112" t="inlineStr">
        <is>
          <t>HANINGE</t>
        </is>
      </c>
      <c r="G112" t="n">
        <v>2.2</v>
      </c>
      <c r="H112" t="n">
        <v>4</v>
      </c>
      <c r="I112" t="n">
        <v>4</v>
      </c>
      <c r="J112" t="n">
        <v>2</v>
      </c>
      <c r="K112" t="n">
        <v>0</v>
      </c>
      <c r="L112" t="n">
        <v>0</v>
      </c>
      <c r="M112" t="n">
        <v>0</v>
      </c>
      <c r="N112" t="n">
        <v>0</v>
      </c>
      <c r="O112" t="n">
        <v>2</v>
      </c>
      <c r="P112" t="n">
        <v>0</v>
      </c>
      <c r="Q112" t="n">
        <v>8</v>
      </c>
      <c r="R112" s="2" t="inlineStr">
        <is>
          <t>Blå taggsvamp
Vedtrappmossa
Grön sköldmossa
Grönpyrola
Mindre märgborre
Plattlummer
Mattlummer
Revlummer</t>
        </is>
      </c>
      <c r="S112">
        <f>HYPERLINK("https://klasma.github.io/Logging_0136/artfynd/A 3152-2025 artfynd.xlsx", "A 3152-2025")</f>
        <v/>
      </c>
      <c r="T112">
        <f>HYPERLINK("https://klasma.github.io/Logging_0136/kartor/A 3152-2025 karta.png", "A 3152-2025")</f>
        <v/>
      </c>
      <c r="V112">
        <f>HYPERLINK("https://klasma.github.io/Logging_0136/klagomål/A 3152-2025 FSC-klagomål.docx", "A 3152-2025")</f>
        <v/>
      </c>
      <c r="W112">
        <f>HYPERLINK("https://klasma.github.io/Logging_0136/klagomålsmail/A 3152-2025 FSC-klagomål mail.docx", "A 3152-2025")</f>
        <v/>
      </c>
      <c r="X112">
        <f>HYPERLINK("https://klasma.github.io/Logging_0136/tillsyn/A 3152-2025 tillsynsbegäran.docx", "A 3152-2025")</f>
        <v/>
      </c>
      <c r="Y112">
        <f>HYPERLINK("https://klasma.github.io/Logging_0136/tillsynsmail/A 3152-2025 tillsynsbegäran mail.docx", "A 3152-2025")</f>
        <v/>
      </c>
    </row>
    <row r="113" ht="15" customHeight="1">
      <c r="A113" t="inlineStr">
        <is>
          <t>A 4705-2025</t>
        </is>
      </c>
      <c r="B113" s="1" t="n">
        <v>45688</v>
      </c>
      <c r="C113" s="1" t="n">
        <v>45693</v>
      </c>
      <c r="D113" t="inlineStr">
        <is>
          <t>STOCKHOLMS LÄN</t>
        </is>
      </c>
      <c r="E113" t="inlineStr">
        <is>
          <t>NORRTÄLJE</t>
        </is>
      </c>
      <c r="G113" t="n">
        <v>5.7</v>
      </c>
      <c r="H113" t="n">
        <v>0</v>
      </c>
      <c r="I113" t="n">
        <v>5</v>
      </c>
      <c r="J113" t="n">
        <v>3</v>
      </c>
      <c r="K113" t="n">
        <v>0</v>
      </c>
      <c r="L113" t="n">
        <v>0</v>
      </c>
      <c r="M113" t="n">
        <v>0</v>
      </c>
      <c r="N113" t="n">
        <v>0</v>
      </c>
      <c r="O113" t="n">
        <v>3</v>
      </c>
      <c r="P113" t="n">
        <v>0</v>
      </c>
      <c r="Q113" t="n">
        <v>8</v>
      </c>
      <c r="R113" s="2" t="inlineStr">
        <is>
          <t>Dofttaggsvamp
Granticka
Ullticka
Fjällig taggsvamp s.str.
Skarp dropptaggsvamp
Sårläka
Thomsons trägnagare
Tibast</t>
        </is>
      </c>
      <c r="S113">
        <f>HYPERLINK("https://klasma.github.io/Logging_0188/artfynd/A 4705-2025 artfynd.xlsx", "A 4705-2025")</f>
        <v/>
      </c>
      <c r="T113">
        <f>HYPERLINK("https://klasma.github.io/Logging_0188/kartor/A 4705-2025 karta.png", "A 4705-2025")</f>
        <v/>
      </c>
      <c r="V113">
        <f>HYPERLINK("https://klasma.github.io/Logging_0188/klagomål/A 4705-2025 FSC-klagomål.docx", "A 4705-2025")</f>
        <v/>
      </c>
      <c r="W113">
        <f>HYPERLINK("https://klasma.github.io/Logging_0188/klagomålsmail/A 4705-2025 FSC-klagomål mail.docx", "A 4705-2025")</f>
        <v/>
      </c>
      <c r="X113">
        <f>HYPERLINK("https://klasma.github.io/Logging_0188/tillsyn/A 4705-2025 tillsynsbegäran.docx", "A 4705-2025")</f>
        <v/>
      </c>
      <c r="Y113">
        <f>HYPERLINK("https://klasma.github.io/Logging_0188/tillsynsmail/A 4705-2025 tillsynsbegäran mail.docx", "A 4705-2025")</f>
        <v/>
      </c>
    </row>
    <row r="114" ht="15" customHeight="1">
      <c r="A114" t="inlineStr">
        <is>
          <t>A 12772-2021</t>
        </is>
      </c>
      <c r="B114" s="1" t="n">
        <v>44270</v>
      </c>
      <c r="C114" s="1" t="n">
        <v>45693</v>
      </c>
      <c r="D114" t="inlineStr">
        <is>
          <t>STOCKHOLMS LÄN</t>
        </is>
      </c>
      <c r="E114" t="inlineStr">
        <is>
          <t>SÖDERTÄLJE</t>
        </is>
      </c>
      <c r="G114" t="n">
        <v>31.5</v>
      </c>
      <c r="H114" t="n">
        <v>0</v>
      </c>
      <c r="I114" t="n">
        <v>6</v>
      </c>
      <c r="J114" t="n">
        <v>1</v>
      </c>
      <c r="K114" t="n">
        <v>0</v>
      </c>
      <c r="L114" t="n">
        <v>0</v>
      </c>
      <c r="M114" t="n">
        <v>0</v>
      </c>
      <c r="N114" t="n">
        <v>0</v>
      </c>
      <c r="O114" t="n">
        <v>1</v>
      </c>
      <c r="P114" t="n">
        <v>0</v>
      </c>
      <c r="Q114" t="n">
        <v>7</v>
      </c>
      <c r="R114" s="2" t="inlineStr">
        <is>
          <t>Skogshare
Gul vaxskivling
Mönjevaxskivling
Spröd vaxskivling
Toppvaxskivling
Vit vaxskivling
Ängsvaxskivling</t>
        </is>
      </c>
      <c r="S114">
        <f>HYPERLINK("https://klasma.github.io/Logging_0181/artfynd/A 12772-2021 artfynd.xlsx", "A 12772-2021")</f>
        <v/>
      </c>
      <c r="T114">
        <f>HYPERLINK("https://klasma.github.io/Logging_0181/kartor/A 12772-2021 karta.png", "A 12772-2021")</f>
        <v/>
      </c>
      <c r="V114">
        <f>HYPERLINK("https://klasma.github.io/Logging_0181/klagomål/A 12772-2021 FSC-klagomål.docx", "A 12772-2021")</f>
        <v/>
      </c>
      <c r="W114">
        <f>HYPERLINK("https://klasma.github.io/Logging_0181/klagomålsmail/A 12772-2021 FSC-klagomål mail.docx", "A 12772-2021")</f>
        <v/>
      </c>
      <c r="X114">
        <f>HYPERLINK("https://klasma.github.io/Logging_0181/tillsyn/A 12772-2021 tillsynsbegäran.docx", "A 12772-2021")</f>
        <v/>
      </c>
      <c r="Y114">
        <f>HYPERLINK("https://klasma.github.io/Logging_0181/tillsynsmail/A 12772-2021 tillsynsbegäran mail.docx", "A 12772-2021")</f>
        <v/>
      </c>
    </row>
    <row r="115" ht="15" customHeight="1">
      <c r="A115" t="inlineStr">
        <is>
          <t>A 47346-2021</t>
        </is>
      </c>
      <c r="B115" s="1" t="n">
        <v>44447</v>
      </c>
      <c r="C115" s="1" t="n">
        <v>45693</v>
      </c>
      <c r="D115" t="inlineStr">
        <is>
          <t>STOCKHOLMS LÄN</t>
        </is>
      </c>
      <c r="E115" t="inlineStr">
        <is>
          <t>NORRTÄLJE</t>
        </is>
      </c>
      <c r="G115" t="n">
        <v>5.5</v>
      </c>
      <c r="H115" t="n">
        <v>1</v>
      </c>
      <c r="I115" t="n">
        <v>4</v>
      </c>
      <c r="J115" t="n">
        <v>0</v>
      </c>
      <c r="K115" t="n">
        <v>2</v>
      </c>
      <c r="L115" t="n">
        <v>0</v>
      </c>
      <c r="M115" t="n">
        <v>0</v>
      </c>
      <c r="N115" t="n">
        <v>0</v>
      </c>
      <c r="O115" t="n">
        <v>2</v>
      </c>
      <c r="P115" t="n">
        <v>2</v>
      </c>
      <c r="Q115" t="n">
        <v>7</v>
      </c>
      <c r="R115" s="2" t="inlineStr">
        <is>
          <t>Grangråticka
Violgubbe
Anisspindling
Fjällig taggsvamp s.str.
Skarp dropptaggsvamp
Toppvaxskivling
Revlummer</t>
        </is>
      </c>
      <c r="S115">
        <f>HYPERLINK("https://klasma.github.io/Logging_0188/artfynd/A 47346-2021 artfynd.xlsx", "A 47346-2021")</f>
        <v/>
      </c>
      <c r="T115">
        <f>HYPERLINK("https://klasma.github.io/Logging_0188/kartor/A 47346-2021 karta.png", "A 47346-2021")</f>
        <v/>
      </c>
      <c r="V115">
        <f>HYPERLINK("https://klasma.github.io/Logging_0188/klagomål/A 47346-2021 FSC-klagomål.docx", "A 47346-2021")</f>
        <v/>
      </c>
      <c r="W115">
        <f>HYPERLINK("https://klasma.github.io/Logging_0188/klagomålsmail/A 47346-2021 FSC-klagomål mail.docx", "A 47346-2021")</f>
        <v/>
      </c>
      <c r="X115">
        <f>HYPERLINK("https://klasma.github.io/Logging_0188/tillsyn/A 47346-2021 tillsynsbegäran.docx", "A 47346-2021")</f>
        <v/>
      </c>
      <c r="Y115">
        <f>HYPERLINK("https://klasma.github.io/Logging_0188/tillsynsmail/A 47346-2021 tillsynsbegäran mail.docx", "A 47346-2021")</f>
        <v/>
      </c>
    </row>
    <row r="116" ht="15" customHeight="1">
      <c r="A116" t="inlineStr">
        <is>
          <t>A 8644-2022</t>
        </is>
      </c>
      <c r="B116" s="1" t="n">
        <v>44613</v>
      </c>
      <c r="C116" s="1" t="n">
        <v>45693</v>
      </c>
      <c r="D116" t="inlineStr">
        <is>
          <t>STOCKHOLMS LÄN</t>
        </is>
      </c>
      <c r="E116" t="inlineStr">
        <is>
          <t>NORRTÄLJE</t>
        </is>
      </c>
      <c r="G116" t="n">
        <v>5.7</v>
      </c>
      <c r="H116" t="n">
        <v>1</v>
      </c>
      <c r="I116" t="n">
        <v>4</v>
      </c>
      <c r="J116" t="n">
        <v>1</v>
      </c>
      <c r="K116" t="n">
        <v>1</v>
      </c>
      <c r="L116" t="n">
        <v>0</v>
      </c>
      <c r="M116" t="n">
        <v>0</v>
      </c>
      <c r="N116" t="n">
        <v>0</v>
      </c>
      <c r="O116" t="n">
        <v>2</v>
      </c>
      <c r="P116" t="n">
        <v>1</v>
      </c>
      <c r="Q116" t="n">
        <v>7</v>
      </c>
      <c r="R116" s="2" t="inlineStr">
        <is>
          <t>Vågticka
Såpfingersvamp
Blomkålssvamp
Diskvaxskivling
Grönpyrola
Hasselticka
Blåsippa</t>
        </is>
      </c>
      <c r="S116">
        <f>HYPERLINK("https://klasma.github.io/Logging_0188/artfynd/A 8644-2022 artfynd.xlsx", "A 8644-2022")</f>
        <v/>
      </c>
      <c r="T116">
        <f>HYPERLINK("https://klasma.github.io/Logging_0188/kartor/A 8644-2022 karta.png", "A 8644-2022")</f>
        <v/>
      </c>
      <c r="V116">
        <f>HYPERLINK("https://klasma.github.io/Logging_0188/klagomål/A 8644-2022 FSC-klagomål.docx", "A 8644-2022")</f>
        <v/>
      </c>
      <c r="W116">
        <f>HYPERLINK("https://klasma.github.io/Logging_0188/klagomålsmail/A 8644-2022 FSC-klagomål mail.docx", "A 8644-2022")</f>
        <v/>
      </c>
      <c r="X116">
        <f>HYPERLINK("https://klasma.github.io/Logging_0188/tillsyn/A 8644-2022 tillsynsbegäran.docx", "A 8644-2022")</f>
        <v/>
      </c>
      <c r="Y116">
        <f>HYPERLINK("https://klasma.github.io/Logging_0188/tillsynsmail/A 8644-2022 tillsynsbegäran mail.docx", "A 8644-2022")</f>
        <v/>
      </c>
    </row>
    <row r="117" ht="15" customHeight="1">
      <c r="A117" t="inlineStr">
        <is>
          <t>A 9748-2022</t>
        </is>
      </c>
      <c r="B117" s="1" t="n">
        <v>44618</v>
      </c>
      <c r="C117" s="1" t="n">
        <v>45693</v>
      </c>
      <c r="D117" t="inlineStr">
        <is>
          <t>STOCKHOLMS LÄN</t>
        </is>
      </c>
      <c r="E117" t="inlineStr">
        <is>
          <t>VALLENTUNA</t>
        </is>
      </c>
      <c r="G117" t="n">
        <v>11.6</v>
      </c>
      <c r="H117" t="n">
        <v>1</v>
      </c>
      <c r="I117" t="n">
        <v>5</v>
      </c>
      <c r="J117" t="n">
        <v>1</v>
      </c>
      <c r="K117" t="n">
        <v>1</v>
      </c>
      <c r="L117" t="n">
        <v>0</v>
      </c>
      <c r="M117" t="n">
        <v>0</v>
      </c>
      <c r="N117" t="n">
        <v>0</v>
      </c>
      <c r="O117" t="n">
        <v>2</v>
      </c>
      <c r="P117" t="n">
        <v>1</v>
      </c>
      <c r="Q117" t="n">
        <v>7</v>
      </c>
      <c r="R117" s="2" t="inlineStr">
        <is>
          <t>Knärot
Tallticka
Björksplintborre
Bronshjon
Dropptaggsvamp
Mindre märgborre
Vågbandad barkbock</t>
        </is>
      </c>
      <c r="S117">
        <f>HYPERLINK("https://klasma.github.io/Logging_0115/artfynd/A 9748-2022 artfynd.xlsx", "A 9748-2022")</f>
        <v/>
      </c>
      <c r="T117">
        <f>HYPERLINK("https://klasma.github.io/Logging_0115/kartor/A 9748-2022 karta.png", "A 9748-2022")</f>
        <v/>
      </c>
      <c r="U117">
        <f>HYPERLINK("https://klasma.github.io/Logging_0115/knärot/A 9748-2022 karta knärot.png", "A 9748-2022")</f>
        <v/>
      </c>
      <c r="V117">
        <f>HYPERLINK("https://klasma.github.io/Logging_0115/klagomål/A 9748-2022 FSC-klagomål.docx", "A 9748-2022")</f>
        <v/>
      </c>
      <c r="W117">
        <f>HYPERLINK("https://klasma.github.io/Logging_0115/klagomålsmail/A 9748-2022 FSC-klagomål mail.docx", "A 9748-2022")</f>
        <v/>
      </c>
      <c r="X117">
        <f>HYPERLINK("https://klasma.github.io/Logging_0115/tillsyn/A 9748-2022 tillsynsbegäran.docx", "A 9748-2022")</f>
        <v/>
      </c>
      <c r="Y117">
        <f>HYPERLINK("https://klasma.github.io/Logging_0115/tillsynsmail/A 9748-2022 tillsynsbegäran mail.docx", "A 9748-2022")</f>
        <v/>
      </c>
    </row>
    <row r="118" ht="15" customHeight="1">
      <c r="A118" t="inlineStr">
        <is>
          <t>A 10000-2022</t>
        </is>
      </c>
      <c r="B118" s="1" t="n">
        <v>44621</v>
      </c>
      <c r="C118" s="1" t="n">
        <v>45693</v>
      </c>
      <c r="D118" t="inlineStr">
        <is>
          <t>STOCKHOLMS LÄN</t>
        </is>
      </c>
      <c r="E118" t="inlineStr">
        <is>
          <t>SIGTUNA</t>
        </is>
      </c>
      <c r="G118" t="n">
        <v>15.3</v>
      </c>
      <c r="H118" t="n">
        <v>7</v>
      </c>
      <c r="I118" t="n">
        <v>0</v>
      </c>
      <c r="J118" t="n">
        <v>3</v>
      </c>
      <c r="K118" t="n">
        <v>2</v>
      </c>
      <c r="L118" t="n">
        <v>1</v>
      </c>
      <c r="M118" t="n">
        <v>0</v>
      </c>
      <c r="N118" t="n">
        <v>0</v>
      </c>
      <c r="O118" t="n">
        <v>6</v>
      </c>
      <c r="P118" t="n">
        <v>3</v>
      </c>
      <c r="Q118" t="n">
        <v>7</v>
      </c>
      <c r="R118" s="2" t="inlineStr">
        <is>
          <t>Tornseglare
Hussvala
Vinterhämpling
Fiskmås
Gulsparv
Ärtsångare
Grönsiska</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13933-2022</t>
        </is>
      </c>
      <c r="B119" s="1" t="n">
        <v>44650</v>
      </c>
      <c r="C119" s="1" t="n">
        <v>45693</v>
      </c>
      <c r="D119" t="inlineStr">
        <is>
          <t>STOCKHOLMS LÄN</t>
        </is>
      </c>
      <c r="E119" t="inlineStr">
        <is>
          <t>NORRTÄLJE</t>
        </is>
      </c>
      <c r="G119" t="n">
        <v>4.4</v>
      </c>
      <c r="H119" t="n">
        <v>3</v>
      </c>
      <c r="I119" t="n">
        <v>5</v>
      </c>
      <c r="J119" t="n">
        <v>1</v>
      </c>
      <c r="K119" t="n">
        <v>0</v>
      </c>
      <c r="L119" t="n">
        <v>0</v>
      </c>
      <c r="M119" t="n">
        <v>0</v>
      </c>
      <c r="N119" t="n">
        <v>0</v>
      </c>
      <c r="O119" t="n">
        <v>1</v>
      </c>
      <c r="P119" t="n">
        <v>0</v>
      </c>
      <c r="Q119" t="n">
        <v>7</v>
      </c>
      <c r="R119" s="2" t="inlineStr">
        <is>
          <t>Ullticka
Grön sköldmossa
Nästrot
Skogshakmossa
Tibast
Ögonpyrola
Blåsippa</t>
        </is>
      </c>
      <c r="S119">
        <f>HYPERLINK("https://klasma.github.io/Logging_0188/artfynd/A 13933-2022 artfynd.xlsx", "A 13933-2022")</f>
        <v/>
      </c>
      <c r="T119">
        <f>HYPERLINK("https://klasma.github.io/Logging_0188/kartor/A 13933-2022 karta.png", "A 13933-2022")</f>
        <v/>
      </c>
      <c r="V119">
        <f>HYPERLINK("https://klasma.github.io/Logging_0188/klagomål/A 13933-2022 FSC-klagomål.docx", "A 13933-2022")</f>
        <v/>
      </c>
      <c r="W119">
        <f>HYPERLINK("https://klasma.github.io/Logging_0188/klagomålsmail/A 13933-2022 FSC-klagomål mail.docx", "A 13933-2022")</f>
        <v/>
      </c>
      <c r="X119">
        <f>HYPERLINK("https://klasma.github.io/Logging_0188/tillsyn/A 13933-2022 tillsynsbegäran.docx", "A 13933-2022")</f>
        <v/>
      </c>
      <c r="Y119">
        <f>HYPERLINK("https://klasma.github.io/Logging_0188/tillsynsmail/A 13933-2022 tillsynsbegäran mail.docx", "A 13933-2022")</f>
        <v/>
      </c>
    </row>
    <row r="120" ht="15" customHeight="1">
      <c r="A120" t="inlineStr">
        <is>
          <t>A 24150-2022</t>
        </is>
      </c>
      <c r="B120" s="1" t="n">
        <v>44725</v>
      </c>
      <c r="C120" s="1" t="n">
        <v>45693</v>
      </c>
      <c r="D120" t="inlineStr">
        <is>
          <t>STOCKHOLMS LÄN</t>
        </is>
      </c>
      <c r="E120" t="inlineStr">
        <is>
          <t>NORRTÄLJE</t>
        </is>
      </c>
      <c r="G120" t="n">
        <v>7</v>
      </c>
      <c r="H120" t="n">
        <v>7</v>
      </c>
      <c r="I120" t="n">
        <v>0</v>
      </c>
      <c r="J120" t="n">
        <v>2</v>
      </c>
      <c r="K120" t="n">
        <v>0</v>
      </c>
      <c r="L120" t="n">
        <v>0</v>
      </c>
      <c r="M120" t="n">
        <v>0</v>
      </c>
      <c r="N120" t="n">
        <v>0</v>
      </c>
      <c r="O120" t="n">
        <v>2</v>
      </c>
      <c r="P120" t="n">
        <v>0</v>
      </c>
      <c r="Q120" t="n">
        <v>7</v>
      </c>
      <c r="R120" s="2" t="inlineStr">
        <is>
          <t>Brunlångöra
Nordfladdermus
Dvärgpipistrell
Gråskimlig fladdermus
Större brunfladdermus
Trollpipistrell
Vattenfladdermus</t>
        </is>
      </c>
      <c r="S120">
        <f>HYPERLINK("https://klasma.github.io/Logging_0188/artfynd/A 24150-2022 artfynd.xlsx", "A 24150-2022")</f>
        <v/>
      </c>
      <c r="T120">
        <f>HYPERLINK("https://klasma.github.io/Logging_0188/kartor/A 24150-2022 karta.png", "A 24150-2022")</f>
        <v/>
      </c>
      <c r="V120">
        <f>HYPERLINK("https://klasma.github.io/Logging_0188/klagomål/A 24150-2022 FSC-klagomål.docx", "A 24150-2022")</f>
        <v/>
      </c>
      <c r="W120">
        <f>HYPERLINK("https://klasma.github.io/Logging_0188/klagomålsmail/A 24150-2022 FSC-klagomål mail.docx", "A 24150-2022")</f>
        <v/>
      </c>
      <c r="X120">
        <f>HYPERLINK("https://klasma.github.io/Logging_0188/tillsyn/A 24150-2022 tillsynsbegäran.docx", "A 24150-2022")</f>
        <v/>
      </c>
      <c r="Y120">
        <f>HYPERLINK("https://klasma.github.io/Logging_0188/tillsynsmail/A 24150-2022 tillsynsbegäran mail.docx", "A 24150-2022")</f>
        <v/>
      </c>
    </row>
    <row r="121" ht="15" customHeight="1">
      <c r="A121" t="inlineStr">
        <is>
          <t>A 45811-2022</t>
        </is>
      </c>
      <c r="B121" s="1" t="n">
        <v>44846</v>
      </c>
      <c r="C121" s="1" t="n">
        <v>45693</v>
      </c>
      <c r="D121" t="inlineStr">
        <is>
          <t>STOCKHOLMS LÄN</t>
        </is>
      </c>
      <c r="E121" t="inlineStr">
        <is>
          <t>NORRTÄLJE</t>
        </is>
      </c>
      <c r="G121" t="n">
        <v>0.8</v>
      </c>
      <c r="H121" t="n">
        <v>0</v>
      </c>
      <c r="I121" t="n">
        <v>5</v>
      </c>
      <c r="J121" t="n">
        <v>0</v>
      </c>
      <c r="K121" t="n">
        <v>0</v>
      </c>
      <c r="L121" t="n">
        <v>1</v>
      </c>
      <c r="M121" t="n">
        <v>1</v>
      </c>
      <c r="N121" t="n">
        <v>0</v>
      </c>
      <c r="O121" t="n">
        <v>2</v>
      </c>
      <c r="P121" t="n">
        <v>2</v>
      </c>
      <c r="Q121" t="n">
        <v>7</v>
      </c>
      <c r="R121" s="2" t="inlineStr">
        <is>
          <t>Skogsalm
Ask
Hässleklocka
Myskmadra
Strävlosta
Tibast
Underviol</t>
        </is>
      </c>
      <c r="S121">
        <f>HYPERLINK("https://klasma.github.io/Logging_0188/artfynd/A 45811-2022 artfynd.xlsx", "A 45811-2022")</f>
        <v/>
      </c>
      <c r="T121">
        <f>HYPERLINK("https://klasma.github.io/Logging_0188/kartor/A 45811-2022 karta.png", "A 45811-2022")</f>
        <v/>
      </c>
      <c r="V121">
        <f>HYPERLINK("https://klasma.github.io/Logging_0188/klagomål/A 45811-2022 FSC-klagomål.docx", "A 45811-2022")</f>
        <v/>
      </c>
      <c r="W121">
        <f>HYPERLINK("https://klasma.github.io/Logging_0188/klagomålsmail/A 45811-2022 FSC-klagomål mail.docx", "A 45811-2022")</f>
        <v/>
      </c>
      <c r="X121">
        <f>HYPERLINK("https://klasma.github.io/Logging_0188/tillsyn/A 45811-2022 tillsynsbegäran.docx", "A 45811-2022")</f>
        <v/>
      </c>
      <c r="Y121">
        <f>HYPERLINK("https://klasma.github.io/Logging_0188/tillsynsmail/A 45811-2022 tillsynsbegäran mail.docx", "A 45811-2022")</f>
        <v/>
      </c>
    </row>
    <row r="122" ht="15" customHeight="1">
      <c r="A122" t="inlineStr">
        <is>
          <t>A 48490-2022</t>
        </is>
      </c>
      <c r="B122" s="1" t="n">
        <v>44858</v>
      </c>
      <c r="C122" s="1" t="n">
        <v>45693</v>
      </c>
      <c r="D122" t="inlineStr">
        <is>
          <t>STOCKHOLMS LÄN</t>
        </is>
      </c>
      <c r="E122" t="inlineStr">
        <is>
          <t>NORRTÄLJE</t>
        </is>
      </c>
      <c r="G122" t="n">
        <v>15.8</v>
      </c>
      <c r="H122" t="n">
        <v>2</v>
      </c>
      <c r="I122" t="n">
        <v>6</v>
      </c>
      <c r="J122" t="n">
        <v>0</v>
      </c>
      <c r="K122" t="n">
        <v>0</v>
      </c>
      <c r="L122" t="n">
        <v>0</v>
      </c>
      <c r="M122" t="n">
        <v>0</v>
      </c>
      <c r="N122" t="n">
        <v>0</v>
      </c>
      <c r="O122" t="n">
        <v>0</v>
      </c>
      <c r="P122" t="n">
        <v>0</v>
      </c>
      <c r="Q122" t="n">
        <v>7</v>
      </c>
      <c r="R122" s="2" t="inlineStr">
        <is>
          <t>Kragjordstjärna
Skogsknipprot
Svart trolldruva
Svavelriska
Tibast
Vårärt
Blåsippa</t>
        </is>
      </c>
      <c r="S122">
        <f>HYPERLINK("https://klasma.github.io/Logging_0188/artfynd/A 48490-2022 artfynd.xlsx", "A 48490-2022")</f>
        <v/>
      </c>
      <c r="T122">
        <f>HYPERLINK("https://klasma.github.io/Logging_0188/kartor/A 48490-2022 karta.png", "A 48490-2022")</f>
        <v/>
      </c>
      <c r="V122">
        <f>HYPERLINK("https://klasma.github.io/Logging_0188/klagomål/A 48490-2022 FSC-klagomål.docx", "A 48490-2022")</f>
        <v/>
      </c>
      <c r="W122">
        <f>HYPERLINK("https://klasma.github.io/Logging_0188/klagomålsmail/A 48490-2022 FSC-klagomål mail.docx", "A 48490-2022")</f>
        <v/>
      </c>
      <c r="X122">
        <f>HYPERLINK("https://klasma.github.io/Logging_0188/tillsyn/A 48490-2022 tillsynsbegäran.docx", "A 48490-2022")</f>
        <v/>
      </c>
      <c r="Y122">
        <f>HYPERLINK("https://klasma.github.io/Logging_0188/tillsynsmail/A 48490-2022 tillsynsbegäran mail.docx", "A 48490-2022")</f>
        <v/>
      </c>
    </row>
    <row r="123" ht="15" customHeight="1">
      <c r="A123" t="inlineStr">
        <is>
          <t>A 5527-2023</t>
        </is>
      </c>
      <c r="B123" s="1" t="n">
        <v>44960</v>
      </c>
      <c r="C123" s="1" t="n">
        <v>45693</v>
      </c>
      <c r="D123" t="inlineStr">
        <is>
          <t>STOCKHOLMS LÄN</t>
        </is>
      </c>
      <c r="E123" t="inlineStr">
        <is>
          <t>NYNÄSHAMN</t>
        </is>
      </c>
      <c r="G123" t="n">
        <v>7.3</v>
      </c>
      <c r="H123" t="n">
        <v>2</v>
      </c>
      <c r="I123" t="n">
        <v>4</v>
      </c>
      <c r="J123" t="n">
        <v>2</v>
      </c>
      <c r="K123" t="n">
        <v>0</v>
      </c>
      <c r="L123" t="n">
        <v>0</v>
      </c>
      <c r="M123" t="n">
        <v>0</v>
      </c>
      <c r="N123" t="n">
        <v>0</v>
      </c>
      <c r="O123" t="n">
        <v>2</v>
      </c>
      <c r="P123" t="n">
        <v>0</v>
      </c>
      <c r="Q123" t="n">
        <v>7</v>
      </c>
      <c r="R123" s="2" t="inlineStr">
        <is>
          <t>Granticka
Tallticka
Blåmossa
Granbarkgnagare
Grön sköldmossa
Stor aspticka
Blåsippa</t>
        </is>
      </c>
      <c r="S123">
        <f>HYPERLINK("https://klasma.github.io/Logging_0192/artfynd/A 5527-2023 artfynd.xlsx", "A 5527-2023")</f>
        <v/>
      </c>
      <c r="T123">
        <f>HYPERLINK("https://klasma.github.io/Logging_0192/kartor/A 5527-2023 karta.png", "A 5527-2023")</f>
        <v/>
      </c>
      <c r="V123">
        <f>HYPERLINK("https://klasma.github.io/Logging_0192/klagomål/A 5527-2023 FSC-klagomål.docx", "A 5527-2023")</f>
        <v/>
      </c>
      <c r="W123">
        <f>HYPERLINK("https://klasma.github.io/Logging_0192/klagomålsmail/A 5527-2023 FSC-klagomål mail.docx", "A 5527-2023")</f>
        <v/>
      </c>
      <c r="X123">
        <f>HYPERLINK("https://klasma.github.io/Logging_0192/tillsyn/A 5527-2023 tillsynsbegäran.docx", "A 5527-2023")</f>
        <v/>
      </c>
      <c r="Y123">
        <f>HYPERLINK("https://klasma.github.io/Logging_0192/tillsynsmail/A 5527-2023 tillsynsbegäran mail.docx", "A 5527-2023")</f>
        <v/>
      </c>
    </row>
    <row r="124" ht="15" customHeight="1">
      <c r="A124" t="inlineStr">
        <is>
          <t>A 15278-2024</t>
        </is>
      </c>
      <c r="B124" s="1" t="n">
        <v>45400</v>
      </c>
      <c r="C124" s="1" t="n">
        <v>45693</v>
      </c>
      <c r="D124" t="inlineStr">
        <is>
          <t>STOCKHOLMS LÄN</t>
        </is>
      </c>
      <c r="E124" t="inlineStr">
        <is>
          <t>NORRTÄLJE</t>
        </is>
      </c>
      <c r="G124" t="n">
        <v>7.4</v>
      </c>
      <c r="H124" t="n">
        <v>2</v>
      </c>
      <c r="I124" t="n">
        <v>4</v>
      </c>
      <c r="J124" t="n">
        <v>1</v>
      </c>
      <c r="K124" t="n">
        <v>1</v>
      </c>
      <c r="L124" t="n">
        <v>0</v>
      </c>
      <c r="M124" t="n">
        <v>0</v>
      </c>
      <c r="N124" t="n">
        <v>0</v>
      </c>
      <c r="O124" t="n">
        <v>2</v>
      </c>
      <c r="P124" t="n">
        <v>1</v>
      </c>
      <c r="Q124" t="n">
        <v>7</v>
      </c>
      <c r="R124" s="2" t="inlineStr">
        <is>
          <t>Knärot
Ullticka
Fjällig taggsvamp s.str.
Grönpyrola
Kattfotslav
Vedticka
Blåsippa</t>
        </is>
      </c>
      <c r="S124">
        <f>HYPERLINK("https://klasma.github.io/Logging_0188/artfynd/A 15278-2024 artfynd.xlsx", "A 15278-2024")</f>
        <v/>
      </c>
      <c r="T124">
        <f>HYPERLINK("https://klasma.github.io/Logging_0188/kartor/A 15278-2024 karta.png", "A 15278-2024")</f>
        <v/>
      </c>
      <c r="U124">
        <f>HYPERLINK("https://klasma.github.io/Logging_0188/knärot/A 15278-2024 karta knärot.png", "A 15278-2024")</f>
        <v/>
      </c>
      <c r="V124">
        <f>HYPERLINK("https://klasma.github.io/Logging_0188/klagomål/A 15278-2024 FSC-klagomål.docx", "A 15278-2024")</f>
        <v/>
      </c>
      <c r="W124">
        <f>HYPERLINK("https://klasma.github.io/Logging_0188/klagomålsmail/A 15278-2024 FSC-klagomål mail.docx", "A 15278-2024")</f>
        <v/>
      </c>
      <c r="X124">
        <f>HYPERLINK("https://klasma.github.io/Logging_0188/tillsyn/A 15278-2024 tillsynsbegäran.docx", "A 15278-2024")</f>
        <v/>
      </c>
      <c r="Y124">
        <f>HYPERLINK("https://klasma.github.io/Logging_0188/tillsynsmail/A 15278-2024 tillsynsbegäran mail.docx", "A 15278-2024")</f>
        <v/>
      </c>
    </row>
    <row r="125" ht="15" customHeight="1">
      <c r="A125" t="inlineStr">
        <is>
          <t>A 28820-2024</t>
        </is>
      </c>
      <c r="B125" s="1" t="n">
        <v>45478</v>
      </c>
      <c r="C125" s="1" t="n">
        <v>45693</v>
      </c>
      <c r="D125" t="inlineStr">
        <is>
          <t>STOCKHOLMS LÄN</t>
        </is>
      </c>
      <c r="E125" t="inlineStr">
        <is>
          <t>UPPLANDS-BRO</t>
        </is>
      </c>
      <c r="G125" t="n">
        <v>5.1</v>
      </c>
      <c r="H125" t="n">
        <v>1</v>
      </c>
      <c r="I125" t="n">
        <v>2</v>
      </c>
      <c r="J125" t="n">
        <v>4</v>
      </c>
      <c r="K125" t="n">
        <v>1</v>
      </c>
      <c r="L125" t="n">
        <v>0</v>
      </c>
      <c r="M125" t="n">
        <v>0</v>
      </c>
      <c r="N125" t="n">
        <v>0</v>
      </c>
      <c r="O125" t="n">
        <v>5</v>
      </c>
      <c r="P125" t="n">
        <v>1</v>
      </c>
      <c r="Q125" t="n">
        <v>7</v>
      </c>
      <c r="R125" s="2" t="inlineStr">
        <is>
          <t>Rynkskinn
Motaggsvamp
Såpfingersvamp
Talltita
Ullticka
Granbarkgnagare
Tallfingersvamp</t>
        </is>
      </c>
      <c r="S125">
        <f>HYPERLINK("https://klasma.github.io/Logging_0139/artfynd/A 28820-2024 artfynd.xlsx", "A 28820-2024")</f>
        <v/>
      </c>
      <c r="T125">
        <f>HYPERLINK("https://klasma.github.io/Logging_0139/kartor/A 28820-2024 karta.png", "A 28820-2024")</f>
        <v/>
      </c>
      <c r="V125">
        <f>HYPERLINK("https://klasma.github.io/Logging_0139/klagomål/A 28820-2024 FSC-klagomål.docx", "A 28820-2024")</f>
        <v/>
      </c>
      <c r="W125">
        <f>HYPERLINK("https://klasma.github.io/Logging_0139/klagomålsmail/A 28820-2024 FSC-klagomål mail.docx", "A 28820-2024")</f>
        <v/>
      </c>
      <c r="X125">
        <f>HYPERLINK("https://klasma.github.io/Logging_0139/tillsyn/A 28820-2024 tillsynsbegäran.docx", "A 28820-2024")</f>
        <v/>
      </c>
      <c r="Y125">
        <f>HYPERLINK("https://klasma.github.io/Logging_0139/tillsynsmail/A 28820-2024 tillsynsbegäran mail.docx", "A 28820-2024")</f>
        <v/>
      </c>
      <c r="Z125">
        <f>HYPERLINK("https://klasma.github.io/Logging_0139/fåglar/A 28820-2024 prioriterade fågelarter.docx", "A 28820-2024")</f>
        <v/>
      </c>
    </row>
    <row r="126" ht="15" customHeight="1">
      <c r="A126" t="inlineStr">
        <is>
          <t>A 35012-2024</t>
        </is>
      </c>
      <c r="B126" s="1" t="n">
        <v>45527</v>
      </c>
      <c r="C126" s="1" t="n">
        <v>45693</v>
      </c>
      <c r="D126" t="inlineStr">
        <is>
          <t>STOCKHOLMS LÄN</t>
        </is>
      </c>
      <c r="E126" t="inlineStr">
        <is>
          <t>SÖDERTÄLJE</t>
        </is>
      </c>
      <c r="F126" t="inlineStr">
        <is>
          <t>Sveaskog</t>
        </is>
      </c>
      <c r="G126" t="n">
        <v>3.8</v>
      </c>
      <c r="H126" t="n">
        <v>1</v>
      </c>
      <c r="I126" t="n">
        <v>3</v>
      </c>
      <c r="J126" t="n">
        <v>3</v>
      </c>
      <c r="K126" t="n">
        <v>0</v>
      </c>
      <c r="L126" t="n">
        <v>0</v>
      </c>
      <c r="M126" t="n">
        <v>0</v>
      </c>
      <c r="N126" t="n">
        <v>0</v>
      </c>
      <c r="O126" t="n">
        <v>3</v>
      </c>
      <c r="P126" t="n">
        <v>0</v>
      </c>
      <c r="Q126" t="n">
        <v>7</v>
      </c>
      <c r="R126" s="2" t="inlineStr">
        <is>
          <t>Kortskaftad ärgspik
Vedskivlav
Vedtrappmossa
Blodticka
Flagellkvastmossa
Fällmossa
Blåsippa</t>
        </is>
      </c>
      <c r="S126">
        <f>HYPERLINK("https://klasma.github.io/Logging_0181/artfynd/A 35012-2024 artfynd.xlsx", "A 35012-2024")</f>
        <v/>
      </c>
      <c r="T126">
        <f>HYPERLINK("https://klasma.github.io/Logging_0181/kartor/A 35012-2024 karta.png", "A 35012-2024")</f>
        <v/>
      </c>
      <c r="V126">
        <f>HYPERLINK("https://klasma.github.io/Logging_0181/klagomål/A 35012-2024 FSC-klagomål.docx", "A 35012-2024")</f>
        <v/>
      </c>
      <c r="W126">
        <f>HYPERLINK("https://klasma.github.io/Logging_0181/klagomålsmail/A 35012-2024 FSC-klagomål mail.docx", "A 35012-2024")</f>
        <v/>
      </c>
      <c r="X126">
        <f>HYPERLINK("https://klasma.github.io/Logging_0181/tillsyn/A 35012-2024 tillsynsbegäran.docx", "A 35012-2024")</f>
        <v/>
      </c>
      <c r="Y126">
        <f>HYPERLINK("https://klasma.github.io/Logging_0181/tillsynsmail/A 35012-2024 tillsynsbegäran mail.docx", "A 35012-2024")</f>
        <v/>
      </c>
    </row>
    <row r="127" ht="15" customHeight="1">
      <c r="A127" t="inlineStr">
        <is>
          <t>A 36955-2024</t>
        </is>
      </c>
      <c r="B127" s="1" t="n">
        <v>45538</v>
      </c>
      <c r="C127" s="1" t="n">
        <v>45693</v>
      </c>
      <c r="D127" t="inlineStr">
        <is>
          <t>STOCKHOLMS LÄN</t>
        </is>
      </c>
      <c r="E127" t="inlineStr">
        <is>
          <t>SÖDERTÄLJE</t>
        </is>
      </c>
      <c r="G127" t="n">
        <v>7.2</v>
      </c>
      <c r="H127" t="n">
        <v>4</v>
      </c>
      <c r="I127" t="n">
        <v>2</v>
      </c>
      <c r="J127" t="n">
        <v>3</v>
      </c>
      <c r="K127" t="n">
        <v>1</v>
      </c>
      <c r="L127" t="n">
        <v>0</v>
      </c>
      <c r="M127" t="n">
        <v>0</v>
      </c>
      <c r="N127" t="n">
        <v>0</v>
      </c>
      <c r="O127" t="n">
        <v>4</v>
      </c>
      <c r="P127" t="n">
        <v>1</v>
      </c>
      <c r="Q127" t="n">
        <v>7</v>
      </c>
      <c r="R127" s="2" t="inlineStr">
        <is>
          <t>Knärot
Spillkråka
Svart taggsvamp
Talltita
Björksplintborre
Dropptaggsvamp
Revlummer</t>
        </is>
      </c>
      <c r="S127">
        <f>HYPERLINK("https://klasma.github.io/Logging_0181/artfynd/A 36955-2024 artfynd.xlsx", "A 36955-2024")</f>
        <v/>
      </c>
      <c r="T127">
        <f>HYPERLINK("https://klasma.github.io/Logging_0181/kartor/A 36955-2024 karta.png", "A 36955-2024")</f>
        <v/>
      </c>
      <c r="U127">
        <f>HYPERLINK("https://klasma.github.io/Logging_0181/knärot/A 36955-2024 karta knärot.png", "A 36955-2024")</f>
        <v/>
      </c>
      <c r="V127">
        <f>HYPERLINK("https://klasma.github.io/Logging_0181/klagomål/A 36955-2024 FSC-klagomål.docx", "A 36955-2024")</f>
        <v/>
      </c>
      <c r="W127">
        <f>HYPERLINK("https://klasma.github.io/Logging_0181/klagomålsmail/A 36955-2024 FSC-klagomål mail.docx", "A 36955-2024")</f>
        <v/>
      </c>
      <c r="X127">
        <f>HYPERLINK("https://klasma.github.io/Logging_0181/tillsyn/A 36955-2024 tillsynsbegäran.docx", "A 36955-2024")</f>
        <v/>
      </c>
      <c r="Y127">
        <f>HYPERLINK("https://klasma.github.io/Logging_0181/tillsynsmail/A 36955-2024 tillsynsbegäran mail.docx", "A 36955-2024")</f>
        <v/>
      </c>
      <c r="Z127">
        <f>HYPERLINK("https://klasma.github.io/Logging_0181/fåglar/A 36955-2024 prioriterade fågelarter.docx", "A 36955-2024")</f>
        <v/>
      </c>
    </row>
    <row r="128" ht="15" customHeight="1">
      <c r="A128" t="inlineStr">
        <is>
          <t>A 28-2025</t>
        </is>
      </c>
      <c r="B128" s="1" t="n">
        <v>45659</v>
      </c>
      <c r="C128" s="1" t="n">
        <v>45693</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45693</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45693</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45693</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45693</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45693</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45693</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45693</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45693</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45693</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45693</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45693</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45693</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45693</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45693</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45693</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45693</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45693</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45693</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45693</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45693</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45693</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45693</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45693</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45693</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45693</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45693</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45693</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45693</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45693</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45693</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45693</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45693</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45693</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45693</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45693</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45693</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45693</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45693</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45693</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45693</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45693</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45693</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45693</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45693</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45693</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45693</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45693</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45693</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45693</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45693</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45693</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45693</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45693</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45693</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45693</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45693</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45693</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45693</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45693</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45693</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45693</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45693</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45693</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45693</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45693</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45693</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45693</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45693</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45693</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45693</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45693</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45693</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45693</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45693</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45693</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45693</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45693</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45693</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45693</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45693</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45693</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45693</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45693</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45693</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45693</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45693</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45693</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45693</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45693</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45693</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45693</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45693</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45693</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45693</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45693</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45693</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45693</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45693</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45693</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45693</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45693</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45693</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45693</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45693</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45693</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45693</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45693</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45693</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45693</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45693</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45693</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45693</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45693</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45693</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23830-2019</t>
        </is>
      </c>
      <c r="B243" s="1" t="n">
        <v>43595</v>
      </c>
      <c r="C243" s="1" t="n">
        <v>45693</v>
      </c>
      <c r="D243" t="inlineStr">
        <is>
          <t>STOCKHOLMS LÄN</t>
        </is>
      </c>
      <c r="E243" t="inlineStr">
        <is>
          <t>NORRTÄLJE</t>
        </is>
      </c>
      <c r="G243" t="n">
        <v>3</v>
      </c>
      <c r="H243" t="n">
        <v>2</v>
      </c>
      <c r="I243" t="n">
        <v>1</v>
      </c>
      <c r="J243" t="n">
        <v>0</v>
      </c>
      <c r="K243" t="n">
        <v>0</v>
      </c>
      <c r="L243" t="n">
        <v>0</v>
      </c>
      <c r="M243" t="n">
        <v>0</v>
      </c>
      <c r="N243" t="n">
        <v>0</v>
      </c>
      <c r="O243" t="n">
        <v>0</v>
      </c>
      <c r="P243" t="n">
        <v>0</v>
      </c>
      <c r="Q243" t="n">
        <v>2</v>
      </c>
      <c r="R243" s="2" t="inlineStr">
        <is>
          <t>Guckusko
Grönvit nattviol</t>
        </is>
      </c>
      <c r="S243">
        <f>HYPERLINK("https://klasma.github.io/Logging_0188/artfynd/A 23830-2019 artfynd.xlsx", "A 23830-2019")</f>
        <v/>
      </c>
      <c r="T243">
        <f>HYPERLINK("https://klasma.github.io/Logging_0188/kartor/A 23830-2019 karta.png", "A 23830-2019")</f>
        <v/>
      </c>
      <c r="V243">
        <f>HYPERLINK("https://klasma.github.io/Logging_0188/klagomål/A 23830-2019 FSC-klagomål.docx", "A 23830-2019")</f>
        <v/>
      </c>
      <c r="W243">
        <f>HYPERLINK("https://klasma.github.io/Logging_0188/klagomålsmail/A 23830-2019 FSC-klagomål mail.docx", "A 23830-2019")</f>
        <v/>
      </c>
      <c r="X243">
        <f>HYPERLINK("https://klasma.github.io/Logging_0188/tillsyn/A 23830-2019 tillsynsbegäran.docx", "A 23830-2019")</f>
        <v/>
      </c>
      <c r="Y243">
        <f>HYPERLINK("https://klasma.github.io/Logging_0188/tillsynsmail/A 23830-2019 tillsynsbegäran mail.docx", "A 23830-2019")</f>
        <v/>
      </c>
    </row>
    <row r="244" ht="15" customHeight="1">
      <c r="A244" t="inlineStr">
        <is>
          <t>A 31893-2019</t>
        </is>
      </c>
      <c r="B244" s="1" t="n">
        <v>43642</v>
      </c>
      <c r="C244" s="1" t="n">
        <v>45693</v>
      </c>
      <c r="D244" t="inlineStr">
        <is>
          <t>STOCKHOLMS LÄN</t>
        </is>
      </c>
      <c r="E244" t="inlineStr">
        <is>
          <t>NYNÄSHAMN</t>
        </is>
      </c>
      <c r="F244" t="inlineStr">
        <is>
          <t>Kommuner</t>
        </is>
      </c>
      <c r="G244" t="n">
        <v>3.4</v>
      </c>
      <c r="H244" t="n">
        <v>1</v>
      </c>
      <c r="I244" t="n">
        <v>1</v>
      </c>
      <c r="J244" t="n">
        <v>0</v>
      </c>
      <c r="K244" t="n">
        <v>0</v>
      </c>
      <c r="L244" t="n">
        <v>0</v>
      </c>
      <c r="M244" t="n">
        <v>0</v>
      </c>
      <c r="N244" t="n">
        <v>0</v>
      </c>
      <c r="O244" t="n">
        <v>0</v>
      </c>
      <c r="P244" t="n">
        <v>0</v>
      </c>
      <c r="Q244" t="n">
        <v>2</v>
      </c>
      <c r="R244" s="2" t="inlineStr">
        <is>
          <t>Stubbspretmossa
Revlummer</t>
        </is>
      </c>
      <c r="S244">
        <f>HYPERLINK("https://klasma.github.io/Logging_0192/artfynd/A 31893-2019 artfynd.xlsx", "A 31893-2019")</f>
        <v/>
      </c>
      <c r="T244">
        <f>HYPERLINK("https://klasma.github.io/Logging_0192/kartor/A 31893-2019 karta.png", "A 31893-2019")</f>
        <v/>
      </c>
      <c r="V244">
        <f>HYPERLINK("https://klasma.github.io/Logging_0192/klagomål/A 31893-2019 FSC-klagomål.docx", "A 31893-2019")</f>
        <v/>
      </c>
      <c r="W244">
        <f>HYPERLINK("https://klasma.github.io/Logging_0192/klagomålsmail/A 31893-2019 FSC-klagomål mail.docx", "A 31893-2019")</f>
        <v/>
      </c>
      <c r="X244">
        <f>HYPERLINK("https://klasma.github.io/Logging_0192/tillsyn/A 31893-2019 tillsynsbegäran.docx", "A 31893-2019")</f>
        <v/>
      </c>
      <c r="Y244">
        <f>HYPERLINK("https://klasma.github.io/Logging_0192/tillsynsmail/A 31893-2019 tillsynsbegäran mail.docx", "A 31893-2019")</f>
        <v/>
      </c>
    </row>
    <row r="245" ht="15" customHeight="1">
      <c r="A245" t="inlineStr">
        <is>
          <t>A 37730-2019</t>
        </is>
      </c>
      <c r="B245" s="1" t="n">
        <v>43682</v>
      </c>
      <c r="C245" s="1" t="n">
        <v>45693</v>
      </c>
      <c r="D245" t="inlineStr">
        <is>
          <t>STOCKHOLMS LÄN</t>
        </is>
      </c>
      <c r="E245" t="inlineStr">
        <is>
          <t>VÄRMDÖ</t>
        </is>
      </c>
      <c r="G245" t="n">
        <v>1.4</v>
      </c>
      <c r="H245" t="n">
        <v>0</v>
      </c>
      <c r="I245" t="n">
        <v>2</v>
      </c>
      <c r="J245" t="n">
        <v>0</v>
      </c>
      <c r="K245" t="n">
        <v>0</v>
      </c>
      <c r="L245" t="n">
        <v>0</v>
      </c>
      <c r="M245" t="n">
        <v>0</v>
      </c>
      <c r="N245" t="n">
        <v>0</v>
      </c>
      <c r="O245" t="n">
        <v>0</v>
      </c>
      <c r="P245" t="n">
        <v>0</v>
      </c>
      <c r="Q245" t="n">
        <v>2</v>
      </c>
      <c r="R245" s="2" t="inlineStr">
        <is>
          <t>Kornknutmossa
Stubbspretmossa</t>
        </is>
      </c>
      <c r="S245">
        <f>HYPERLINK("https://klasma.github.io/Logging_0120/artfynd/A 37730-2019 artfynd.xlsx", "A 37730-2019")</f>
        <v/>
      </c>
      <c r="T245">
        <f>HYPERLINK("https://klasma.github.io/Logging_0120/kartor/A 37730-2019 karta.png", "A 37730-2019")</f>
        <v/>
      </c>
      <c r="V245">
        <f>HYPERLINK("https://klasma.github.io/Logging_0120/klagomål/A 37730-2019 FSC-klagomål.docx", "A 37730-2019")</f>
        <v/>
      </c>
      <c r="W245">
        <f>HYPERLINK("https://klasma.github.io/Logging_0120/klagomålsmail/A 37730-2019 FSC-klagomål mail.docx", "A 37730-2019")</f>
        <v/>
      </c>
      <c r="X245">
        <f>HYPERLINK("https://klasma.github.io/Logging_0120/tillsyn/A 37730-2019 tillsynsbegäran.docx", "A 37730-2019")</f>
        <v/>
      </c>
      <c r="Y245">
        <f>HYPERLINK("https://klasma.github.io/Logging_0120/tillsynsmail/A 37730-2019 tillsynsbegäran mail.docx", "A 37730-2019")</f>
        <v/>
      </c>
    </row>
    <row r="246" ht="15" customHeight="1">
      <c r="A246" t="inlineStr">
        <is>
          <t>A 47875-2019</t>
        </is>
      </c>
      <c r="B246" s="1" t="n">
        <v>43725</v>
      </c>
      <c r="C246" s="1" t="n">
        <v>45693</v>
      </c>
      <c r="D246" t="inlineStr">
        <is>
          <t>STOCKHOLMS LÄN</t>
        </is>
      </c>
      <c r="E246" t="inlineStr">
        <is>
          <t>NORRTÄLJE</t>
        </is>
      </c>
      <c r="G246" t="n">
        <v>10.9</v>
      </c>
      <c r="H246" t="n">
        <v>1</v>
      </c>
      <c r="I246" t="n">
        <v>0</v>
      </c>
      <c r="J246" t="n">
        <v>1</v>
      </c>
      <c r="K246" t="n">
        <v>0</v>
      </c>
      <c r="L246" t="n">
        <v>0</v>
      </c>
      <c r="M246" t="n">
        <v>0</v>
      </c>
      <c r="N246" t="n">
        <v>0</v>
      </c>
      <c r="O246" t="n">
        <v>1</v>
      </c>
      <c r="P246" t="n">
        <v>0</v>
      </c>
      <c r="Q246" t="n">
        <v>2</v>
      </c>
      <c r="R246" s="2" t="inlineStr">
        <is>
          <t>Vippärt
Mattlummer</t>
        </is>
      </c>
      <c r="S246">
        <f>HYPERLINK("https://klasma.github.io/Logging_0188/artfynd/A 47875-2019 artfynd.xlsx", "A 47875-2019")</f>
        <v/>
      </c>
      <c r="T246">
        <f>HYPERLINK("https://klasma.github.io/Logging_0188/kartor/A 47875-2019 karta.png", "A 47875-2019")</f>
        <v/>
      </c>
      <c r="V246">
        <f>HYPERLINK("https://klasma.github.io/Logging_0188/klagomål/A 47875-2019 FSC-klagomål.docx", "A 47875-2019")</f>
        <v/>
      </c>
      <c r="W246">
        <f>HYPERLINK("https://klasma.github.io/Logging_0188/klagomålsmail/A 47875-2019 FSC-klagomål mail.docx", "A 47875-2019")</f>
        <v/>
      </c>
      <c r="X246">
        <f>HYPERLINK("https://klasma.github.io/Logging_0188/tillsyn/A 47875-2019 tillsynsbegäran.docx", "A 47875-2019")</f>
        <v/>
      </c>
      <c r="Y246">
        <f>HYPERLINK("https://klasma.github.io/Logging_0188/tillsynsmail/A 47875-2019 tillsynsbegäran mail.docx", "A 47875-2019")</f>
        <v/>
      </c>
    </row>
    <row r="247" ht="15" customHeight="1">
      <c r="A247" t="inlineStr">
        <is>
          <t>A 1335-2020</t>
        </is>
      </c>
      <c r="B247" s="1" t="n">
        <v>43843</v>
      </c>
      <c r="C247" s="1" t="n">
        <v>45693</v>
      </c>
      <c r="D247" t="inlineStr">
        <is>
          <t>STOCKHOLMS LÄN</t>
        </is>
      </c>
      <c r="E247" t="inlineStr">
        <is>
          <t>BOTKYRKA</t>
        </is>
      </c>
      <c r="G247" t="n">
        <v>13.4</v>
      </c>
      <c r="H247" t="n">
        <v>0</v>
      </c>
      <c r="I247" t="n">
        <v>1</v>
      </c>
      <c r="J247" t="n">
        <v>0</v>
      </c>
      <c r="K247" t="n">
        <v>1</v>
      </c>
      <c r="L247" t="n">
        <v>0</v>
      </c>
      <c r="M247" t="n">
        <v>0</v>
      </c>
      <c r="N247" t="n">
        <v>0</v>
      </c>
      <c r="O247" t="n">
        <v>1</v>
      </c>
      <c r="P247" t="n">
        <v>1</v>
      </c>
      <c r="Q247" t="n">
        <v>2</v>
      </c>
      <c r="R247" s="2" t="inlineStr">
        <is>
          <t>Vedspik
Blodticka</t>
        </is>
      </c>
      <c r="S247">
        <f>HYPERLINK("https://klasma.github.io/Logging_0127/artfynd/A 1335-2020 artfynd.xlsx", "A 1335-2020")</f>
        <v/>
      </c>
      <c r="T247">
        <f>HYPERLINK("https://klasma.github.io/Logging_0127/kartor/A 1335-2020 karta.png", "A 1335-2020")</f>
        <v/>
      </c>
      <c r="V247">
        <f>HYPERLINK("https://klasma.github.io/Logging_0127/klagomål/A 1335-2020 FSC-klagomål.docx", "A 1335-2020")</f>
        <v/>
      </c>
      <c r="W247">
        <f>HYPERLINK("https://klasma.github.io/Logging_0127/klagomålsmail/A 1335-2020 FSC-klagomål mail.docx", "A 1335-2020")</f>
        <v/>
      </c>
      <c r="X247">
        <f>HYPERLINK("https://klasma.github.io/Logging_0127/tillsyn/A 1335-2020 tillsynsbegäran.docx", "A 1335-2020")</f>
        <v/>
      </c>
      <c r="Y247">
        <f>HYPERLINK("https://klasma.github.io/Logging_0127/tillsynsmail/A 1335-2020 tillsynsbegäran mail.docx", "A 1335-2020")</f>
        <v/>
      </c>
    </row>
    <row r="248" ht="15" customHeight="1">
      <c r="A248" t="inlineStr">
        <is>
          <t>A 2810-2020</t>
        </is>
      </c>
      <c r="B248" s="1" t="n">
        <v>43850</v>
      </c>
      <c r="C248" s="1" t="n">
        <v>45693</v>
      </c>
      <c r="D248" t="inlineStr">
        <is>
          <t>STOCKHOLMS LÄN</t>
        </is>
      </c>
      <c r="E248" t="inlineStr">
        <is>
          <t>NORRTÄLJE</t>
        </is>
      </c>
      <c r="G248" t="n">
        <v>0.9</v>
      </c>
      <c r="H248" t="n">
        <v>1</v>
      </c>
      <c r="I248" t="n">
        <v>1</v>
      </c>
      <c r="J248" t="n">
        <v>0</v>
      </c>
      <c r="K248" t="n">
        <v>1</v>
      </c>
      <c r="L248" t="n">
        <v>0</v>
      </c>
      <c r="M248" t="n">
        <v>0</v>
      </c>
      <c r="N248" t="n">
        <v>0</v>
      </c>
      <c r="O248" t="n">
        <v>1</v>
      </c>
      <c r="P248" t="n">
        <v>1</v>
      </c>
      <c r="Q248" t="n">
        <v>2</v>
      </c>
      <c r="R248" s="2" t="inlineStr">
        <is>
          <t>Knärot
Grönpyrola</t>
        </is>
      </c>
      <c r="S248">
        <f>HYPERLINK("https://klasma.github.io/Logging_0188/artfynd/A 2810-2020 artfynd.xlsx", "A 2810-2020")</f>
        <v/>
      </c>
      <c r="T248">
        <f>HYPERLINK("https://klasma.github.io/Logging_0188/kartor/A 2810-2020 karta.png", "A 2810-2020")</f>
        <v/>
      </c>
      <c r="U248">
        <f>HYPERLINK("https://klasma.github.io/Logging_0188/knärot/A 2810-2020 karta knärot.png", "A 2810-2020")</f>
        <v/>
      </c>
      <c r="V248">
        <f>HYPERLINK("https://klasma.github.io/Logging_0188/klagomål/A 2810-2020 FSC-klagomål.docx", "A 2810-2020")</f>
        <v/>
      </c>
      <c r="W248">
        <f>HYPERLINK("https://klasma.github.io/Logging_0188/klagomålsmail/A 2810-2020 FSC-klagomål mail.docx", "A 2810-2020")</f>
        <v/>
      </c>
      <c r="X248">
        <f>HYPERLINK("https://klasma.github.io/Logging_0188/tillsyn/A 2810-2020 tillsynsbegäran.docx", "A 2810-2020")</f>
        <v/>
      </c>
      <c r="Y248">
        <f>HYPERLINK("https://klasma.github.io/Logging_0188/tillsynsmail/A 2810-2020 tillsynsbegäran mail.docx", "A 2810-2020")</f>
        <v/>
      </c>
    </row>
    <row r="249" ht="15" customHeight="1">
      <c r="A249" t="inlineStr">
        <is>
          <t>A 3215-2020</t>
        </is>
      </c>
      <c r="B249" s="1" t="n">
        <v>43851</v>
      </c>
      <c r="C249" s="1" t="n">
        <v>45693</v>
      </c>
      <c r="D249" t="inlineStr">
        <is>
          <t>STOCKHOLMS LÄN</t>
        </is>
      </c>
      <c r="E249" t="inlineStr">
        <is>
          <t>NYNÄSHAMN</t>
        </is>
      </c>
      <c r="G249" t="n">
        <v>2.5</v>
      </c>
      <c r="H249" t="n">
        <v>0</v>
      </c>
      <c r="I249" t="n">
        <v>2</v>
      </c>
      <c r="J249" t="n">
        <v>0</v>
      </c>
      <c r="K249" t="n">
        <v>0</v>
      </c>
      <c r="L249" t="n">
        <v>0</v>
      </c>
      <c r="M249" t="n">
        <v>0</v>
      </c>
      <c r="N249" t="n">
        <v>0</v>
      </c>
      <c r="O249" t="n">
        <v>0</v>
      </c>
      <c r="P249" t="n">
        <v>0</v>
      </c>
      <c r="Q249" t="n">
        <v>2</v>
      </c>
      <c r="R249" s="2" t="inlineStr">
        <is>
          <t>Sårläka
Thomsons trägnagare</t>
        </is>
      </c>
      <c r="S249">
        <f>HYPERLINK("https://klasma.github.io/Logging_0192/artfynd/A 3215-2020 artfynd.xlsx", "A 3215-2020")</f>
        <v/>
      </c>
      <c r="T249">
        <f>HYPERLINK("https://klasma.github.io/Logging_0192/kartor/A 3215-2020 karta.png", "A 3215-2020")</f>
        <v/>
      </c>
      <c r="V249">
        <f>HYPERLINK("https://klasma.github.io/Logging_0192/klagomål/A 3215-2020 FSC-klagomål.docx", "A 3215-2020")</f>
        <v/>
      </c>
      <c r="W249">
        <f>HYPERLINK("https://klasma.github.io/Logging_0192/klagomålsmail/A 3215-2020 FSC-klagomål mail.docx", "A 3215-2020")</f>
        <v/>
      </c>
      <c r="X249">
        <f>HYPERLINK("https://klasma.github.io/Logging_0192/tillsyn/A 3215-2020 tillsynsbegäran.docx", "A 3215-2020")</f>
        <v/>
      </c>
      <c r="Y249">
        <f>HYPERLINK("https://klasma.github.io/Logging_0192/tillsynsmail/A 3215-2020 tillsynsbegäran mail.docx", "A 3215-2020")</f>
        <v/>
      </c>
    </row>
    <row r="250" ht="15" customHeight="1">
      <c r="A250" t="inlineStr">
        <is>
          <t>A 4124-2020</t>
        </is>
      </c>
      <c r="B250" s="1" t="n">
        <v>43857</v>
      </c>
      <c r="C250" s="1" t="n">
        <v>45693</v>
      </c>
      <c r="D250" t="inlineStr">
        <is>
          <t>STOCKHOLMS LÄN</t>
        </is>
      </c>
      <c r="E250" t="inlineStr">
        <is>
          <t>VALLENTUNA</t>
        </is>
      </c>
      <c r="G250" t="n">
        <v>1.2</v>
      </c>
      <c r="H250" t="n">
        <v>0</v>
      </c>
      <c r="I250" t="n">
        <v>1</v>
      </c>
      <c r="J250" t="n">
        <v>1</v>
      </c>
      <c r="K250" t="n">
        <v>0</v>
      </c>
      <c r="L250" t="n">
        <v>0</v>
      </c>
      <c r="M250" t="n">
        <v>0</v>
      </c>
      <c r="N250" t="n">
        <v>0</v>
      </c>
      <c r="O250" t="n">
        <v>1</v>
      </c>
      <c r="P250" t="n">
        <v>0</v>
      </c>
      <c r="Q250" t="n">
        <v>2</v>
      </c>
      <c r="R250" s="2" t="inlineStr">
        <is>
          <t>Barrpraktbagge
Blompraktbagge</t>
        </is>
      </c>
      <c r="S250">
        <f>HYPERLINK("https://klasma.github.io/Logging_0115/artfynd/A 4124-2020 artfynd.xlsx", "A 4124-2020")</f>
        <v/>
      </c>
      <c r="T250">
        <f>HYPERLINK("https://klasma.github.io/Logging_0115/kartor/A 4124-2020 karta.png", "A 4124-2020")</f>
        <v/>
      </c>
      <c r="V250">
        <f>HYPERLINK("https://klasma.github.io/Logging_0115/klagomål/A 4124-2020 FSC-klagomål.docx", "A 4124-2020")</f>
        <v/>
      </c>
      <c r="W250">
        <f>HYPERLINK("https://klasma.github.io/Logging_0115/klagomålsmail/A 4124-2020 FSC-klagomål mail.docx", "A 4124-2020")</f>
        <v/>
      </c>
      <c r="X250">
        <f>HYPERLINK("https://klasma.github.io/Logging_0115/tillsyn/A 4124-2020 tillsynsbegäran.docx", "A 4124-2020")</f>
        <v/>
      </c>
      <c r="Y250">
        <f>HYPERLINK("https://klasma.github.io/Logging_0115/tillsynsmail/A 4124-2020 tillsynsbegäran mail.docx", "A 4124-2020")</f>
        <v/>
      </c>
    </row>
    <row r="251" ht="15" customHeight="1">
      <c r="A251" t="inlineStr">
        <is>
          <t>A 4058-2020</t>
        </is>
      </c>
      <c r="B251" s="1" t="n">
        <v>43857</v>
      </c>
      <c r="C251" s="1" t="n">
        <v>45693</v>
      </c>
      <c r="D251" t="inlineStr">
        <is>
          <t>STOCKHOLMS LÄN</t>
        </is>
      </c>
      <c r="E251" t="inlineStr">
        <is>
          <t>BOTKYRKA</t>
        </is>
      </c>
      <c r="G251" t="n">
        <v>17.9</v>
      </c>
      <c r="H251" t="n">
        <v>0</v>
      </c>
      <c r="I251" t="n">
        <v>1</v>
      </c>
      <c r="J251" t="n">
        <v>1</v>
      </c>
      <c r="K251" t="n">
        <v>0</v>
      </c>
      <c r="L251" t="n">
        <v>0</v>
      </c>
      <c r="M251" t="n">
        <v>0</v>
      </c>
      <c r="N251" t="n">
        <v>0</v>
      </c>
      <c r="O251" t="n">
        <v>1</v>
      </c>
      <c r="P251" t="n">
        <v>0</v>
      </c>
      <c r="Q251" t="n">
        <v>2</v>
      </c>
      <c r="R251" s="2" t="inlineStr">
        <is>
          <t>Ekticka
Springkorn</t>
        </is>
      </c>
      <c r="S251">
        <f>HYPERLINK("https://klasma.github.io/Logging_0127/artfynd/A 4058-2020 artfynd.xlsx", "A 4058-2020")</f>
        <v/>
      </c>
      <c r="T251">
        <f>HYPERLINK("https://klasma.github.io/Logging_0127/kartor/A 4058-2020 karta.png", "A 4058-2020")</f>
        <v/>
      </c>
      <c r="V251">
        <f>HYPERLINK("https://klasma.github.io/Logging_0127/klagomål/A 4058-2020 FSC-klagomål.docx", "A 4058-2020")</f>
        <v/>
      </c>
      <c r="W251">
        <f>HYPERLINK("https://klasma.github.io/Logging_0127/klagomålsmail/A 4058-2020 FSC-klagomål mail.docx", "A 4058-2020")</f>
        <v/>
      </c>
      <c r="X251">
        <f>HYPERLINK("https://klasma.github.io/Logging_0127/tillsyn/A 4058-2020 tillsynsbegäran.docx", "A 4058-2020")</f>
        <v/>
      </c>
      <c r="Y251">
        <f>HYPERLINK("https://klasma.github.io/Logging_0127/tillsynsmail/A 4058-2020 tillsynsbegäran mail.docx", "A 4058-2020")</f>
        <v/>
      </c>
    </row>
    <row r="252" ht="15" customHeight="1">
      <c r="A252" t="inlineStr">
        <is>
          <t>A 4266-2020</t>
        </is>
      </c>
      <c r="B252" s="1" t="n">
        <v>43857</v>
      </c>
      <c r="C252" s="1" t="n">
        <v>45693</v>
      </c>
      <c r="D252" t="inlineStr">
        <is>
          <t>STOCKHOLMS LÄN</t>
        </is>
      </c>
      <c r="E252" t="inlineStr">
        <is>
          <t>VALLENTUNA</t>
        </is>
      </c>
      <c r="G252" t="n">
        <v>4.5</v>
      </c>
      <c r="H252" t="n">
        <v>0</v>
      </c>
      <c r="I252" t="n">
        <v>1</v>
      </c>
      <c r="J252" t="n">
        <v>1</v>
      </c>
      <c r="K252" t="n">
        <v>0</v>
      </c>
      <c r="L252" t="n">
        <v>0</v>
      </c>
      <c r="M252" t="n">
        <v>0</v>
      </c>
      <c r="N252" t="n">
        <v>0</v>
      </c>
      <c r="O252" t="n">
        <v>1</v>
      </c>
      <c r="P252" t="n">
        <v>0</v>
      </c>
      <c r="Q252" t="n">
        <v>2</v>
      </c>
      <c r="R252" s="2" t="inlineStr">
        <is>
          <t>Slåtterfibbla
Korthornad vedstekel</t>
        </is>
      </c>
      <c r="S252">
        <f>HYPERLINK("https://klasma.github.io/Logging_0115/artfynd/A 4266-2020 artfynd.xlsx", "A 4266-2020")</f>
        <v/>
      </c>
      <c r="T252">
        <f>HYPERLINK("https://klasma.github.io/Logging_0115/kartor/A 4266-2020 karta.png", "A 4266-2020")</f>
        <v/>
      </c>
      <c r="V252">
        <f>HYPERLINK("https://klasma.github.io/Logging_0115/klagomål/A 4266-2020 FSC-klagomål.docx", "A 4266-2020")</f>
        <v/>
      </c>
      <c r="W252">
        <f>HYPERLINK("https://klasma.github.io/Logging_0115/klagomålsmail/A 4266-2020 FSC-klagomål mail.docx", "A 4266-2020")</f>
        <v/>
      </c>
      <c r="X252">
        <f>HYPERLINK("https://klasma.github.io/Logging_0115/tillsyn/A 4266-2020 tillsynsbegäran.docx", "A 4266-2020")</f>
        <v/>
      </c>
      <c r="Y252">
        <f>HYPERLINK("https://klasma.github.io/Logging_0115/tillsynsmail/A 4266-2020 tillsynsbegäran mail.docx", "A 4266-2020")</f>
        <v/>
      </c>
    </row>
    <row r="253" ht="15" customHeight="1">
      <c r="A253" t="inlineStr">
        <is>
          <t>A 6272-2020</t>
        </is>
      </c>
      <c r="B253" s="1" t="n">
        <v>43866</v>
      </c>
      <c r="C253" s="1" t="n">
        <v>45693</v>
      </c>
      <c r="D253" t="inlineStr">
        <is>
          <t>STOCKHOLMS LÄN</t>
        </is>
      </c>
      <c r="E253" t="inlineStr">
        <is>
          <t>NORRTÄLJE</t>
        </is>
      </c>
      <c r="F253" t="inlineStr">
        <is>
          <t>Övriga statliga verk och myndigheter</t>
        </is>
      </c>
      <c r="G253" t="n">
        <v>1.9</v>
      </c>
      <c r="H253" t="n">
        <v>1</v>
      </c>
      <c r="I253" t="n">
        <v>1</v>
      </c>
      <c r="J253" t="n">
        <v>1</v>
      </c>
      <c r="K253" t="n">
        <v>0</v>
      </c>
      <c r="L253" t="n">
        <v>0</v>
      </c>
      <c r="M253" t="n">
        <v>0</v>
      </c>
      <c r="N253" t="n">
        <v>0</v>
      </c>
      <c r="O253" t="n">
        <v>1</v>
      </c>
      <c r="P253" t="n">
        <v>0</v>
      </c>
      <c r="Q253" t="n">
        <v>2</v>
      </c>
      <c r="R253" s="2" t="inlineStr">
        <is>
          <t>Silversmygare
Nästrot</t>
        </is>
      </c>
      <c r="S253">
        <f>HYPERLINK("https://klasma.github.io/Logging_0188/artfynd/A 6272-2020 artfynd.xlsx", "A 6272-2020")</f>
        <v/>
      </c>
      <c r="T253">
        <f>HYPERLINK("https://klasma.github.io/Logging_0188/kartor/A 6272-2020 karta.png", "A 6272-2020")</f>
        <v/>
      </c>
      <c r="V253">
        <f>HYPERLINK("https://klasma.github.io/Logging_0188/klagomål/A 6272-2020 FSC-klagomål.docx", "A 6272-2020")</f>
        <v/>
      </c>
      <c r="W253">
        <f>HYPERLINK("https://klasma.github.io/Logging_0188/klagomålsmail/A 6272-2020 FSC-klagomål mail.docx", "A 6272-2020")</f>
        <v/>
      </c>
      <c r="X253">
        <f>HYPERLINK("https://klasma.github.io/Logging_0188/tillsyn/A 6272-2020 tillsynsbegäran.docx", "A 6272-2020")</f>
        <v/>
      </c>
      <c r="Y253">
        <f>HYPERLINK("https://klasma.github.io/Logging_0188/tillsynsmail/A 6272-2020 tillsynsbegäran mail.docx", "A 6272-2020")</f>
        <v/>
      </c>
    </row>
    <row r="254" ht="15" customHeight="1">
      <c r="A254" t="inlineStr">
        <is>
          <t>A 7152-2020</t>
        </is>
      </c>
      <c r="B254" s="1" t="n">
        <v>43869</v>
      </c>
      <c r="C254" s="1" t="n">
        <v>45693</v>
      </c>
      <c r="D254" t="inlineStr">
        <is>
          <t>STOCKHOLMS LÄN</t>
        </is>
      </c>
      <c r="E254" t="inlineStr">
        <is>
          <t>NYNÄSHAMN</t>
        </is>
      </c>
      <c r="F254" t="inlineStr">
        <is>
          <t>Kommuner</t>
        </is>
      </c>
      <c r="G254" t="n">
        <v>5.8</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7152-2020 artfynd.xlsx", "A 7152-2020")</f>
        <v/>
      </c>
      <c r="T254">
        <f>HYPERLINK("https://klasma.github.io/Logging_0192/kartor/A 7152-2020 karta.png", "A 7152-2020")</f>
        <v/>
      </c>
      <c r="V254">
        <f>HYPERLINK("https://klasma.github.io/Logging_0192/klagomål/A 7152-2020 FSC-klagomål.docx", "A 7152-2020")</f>
        <v/>
      </c>
      <c r="W254">
        <f>HYPERLINK("https://klasma.github.io/Logging_0192/klagomålsmail/A 7152-2020 FSC-klagomål mail.docx", "A 7152-2020")</f>
        <v/>
      </c>
      <c r="X254">
        <f>HYPERLINK("https://klasma.github.io/Logging_0192/tillsyn/A 7152-2020 tillsynsbegäran.docx", "A 7152-2020")</f>
        <v/>
      </c>
      <c r="Y254">
        <f>HYPERLINK("https://klasma.github.io/Logging_0192/tillsynsmail/A 7152-2020 tillsynsbegäran mail.docx", "A 7152-2020")</f>
        <v/>
      </c>
    </row>
    <row r="255" ht="15" customHeight="1">
      <c r="A255" t="inlineStr">
        <is>
          <t>A 14565-2020</t>
        </is>
      </c>
      <c r="B255" s="1" t="n">
        <v>43908</v>
      </c>
      <c r="C255" s="1" t="n">
        <v>45693</v>
      </c>
      <c r="D255" t="inlineStr">
        <is>
          <t>STOCKHOLMS LÄN</t>
        </is>
      </c>
      <c r="E255" t="inlineStr">
        <is>
          <t>NORRTÄLJE</t>
        </is>
      </c>
      <c r="G255" t="n">
        <v>3.4</v>
      </c>
      <c r="H255" t="n">
        <v>2</v>
      </c>
      <c r="I255" t="n">
        <v>0</v>
      </c>
      <c r="J255" t="n">
        <v>0</v>
      </c>
      <c r="K255" t="n">
        <v>0</v>
      </c>
      <c r="L255" t="n">
        <v>0</v>
      </c>
      <c r="M255" t="n">
        <v>0</v>
      </c>
      <c r="N255" t="n">
        <v>0</v>
      </c>
      <c r="O255" t="n">
        <v>0</v>
      </c>
      <c r="P255" t="n">
        <v>0</v>
      </c>
      <c r="Q255" t="n">
        <v>2</v>
      </c>
      <c r="R255" s="2" t="inlineStr">
        <is>
          <t>Mindre vattensalamander
Vanlig groda</t>
        </is>
      </c>
      <c r="S255">
        <f>HYPERLINK("https://klasma.github.io/Logging_0188/artfynd/A 14565-2020 artfynd.xlsx", "A 14565-2020")</f>
        <v/>
      </c>
      <c r="T255">
        <f>HYPERLINK("https://klasma.github.io/Logging_0188/kartor/A 14565-2020 karta.png", "A 14565-2020")</f>
        <v/>
      </c>
      <c r="V255">
        <f>HYPERLINK("https://klasma.github.io/Logging_0188/klagomål/A 14565-2020 FSC-klagomål.docx", "A 14565-2020")</f>
        <v/>
      </c>
      <c r="W255">
        <f>HYPERLINK("https://klasma.github.io/Logging_0188/klagomålsmail/A 14565-2020 FSC-klagomål mail.docx", "A 14565-2020")</f>
        <v/>
      </c>
      <c r="X255">
        <f>HYPERLINK("https://klasma.github.io/Logging_0188/tillsyn/A 14565-2020 tillsynsbegäran.docx", "A 14565-2020")</f>
        <v/>
      </c>
      <c r="Y255">
        <f>HYPERLINK("https://klasma.github.io/Logging_0188/tillsynsmail/A 14565-2020 tillsynsbegäran mail.docx", "A 14565-2020")</f>
        <v/>
      </c>
    </row>
    <row r="256" ht="15" customHeight="1">
      <c r="A256" t="inlineStr">
        <is>
          <t>A 19565-2020</t>
        </is>
      </c>
      <c r="B256" s="1" t="n">
        <v>43936</v>
      </c>
      <c r="C256" s="1" t="n">
        <v>45693</v>
      </c>
      <c r="D256" t="inlineStr">
        <is>
          <t>STOCKHOLMS LÄN</t>
        </is>
      </c>
      <c r="E256" t="inlineStr">
        <is>
          <t>NORRTÄLJE</t>
        </is>
      </c>
      <c r="G256" t="n">
        <v>2.4</v>
      </c>
      <c r="H256" t="n">
        <v>0</v>
      </c>
      <c r="I256" t="n">
        <v>2</v>
      </c>
      <c r="J256" t="n">
        <v>0</v>
      </c>
      <c r="K256" t="n">
        <v>0</v>
      </c>
      <c r="L256" t="n">
        <v>0</v>
      </c>
      <c r="M256" t="n">
        <v>0</v>
      </c>
      <c r="N256" t="n">
        <v>0</v>
      </c>
      <c r="O256" t="n">
        <v>0</v>
      </c>
      <c r="P256" t="n">
        <v>0</v>
      </c>
      <c r="Q256" t="n">
        <v>2</v>
      </c>
      <c r="R256" s="2" t="inlineStr">
        <is>
          <t>Mörk husmossa
Rödgul trumpetsvamp</t>
        </is>
      </c>
      <c r="S256">
        <f>HYPERLINK("https://klasma.github.io/Logging_0188/artfynd/A 19565-2020 artfynd.xlsx", "A 19565-2020")</f>
        <v/>
      </c>
      <c r="T256">
        <f>HYPERLINK("https://klasma.github.io/Logging_0188/kartor/A 19565-2020 karta.png", "A 19565-2020")</f>
        <v/>
      </c>
      <c r="V256">
        <f>HYPERLINK("https://klasma.github.io/Logging_0188/klagomål/A 19565-2020 FSC-klagomål.docx", "A 19565-2020")</f>
        <v/>
      </c>
      <c r="W256">
        <f>HYPERLINK("https://klasma.github.io/Logging_0188/klagomålsmail/A 19565-2020 FSC-klagomål mail.docx", "A 19565-2020")</f>
        <v/>
      </c>
      <c r="X256">
        <f>HYPERLINK("https://klasma.github.io/Logging_0188/tillsyn/A 19565-2020 tillsynsbegäran.docx", "A 19565-2020")</f>
        <v/>
      </c>
      <c r="Y256">
        <f>HYPERLINK("https://klasma.github.io/Logging_0188/tillsynsmail/A 19565-2020 tillsynsbegäran mail.docx", "A 19565-2020")</f>
        <v/>
      </c>
    </row>
    <row r="257" ht="15" customHeight="1">
      <c r="A257" t="inlineStr">
        <is>
          <t>A 21187-2020</t>
        </is>
      </c>
      <c r="B257" s="1" t="n">
        <v>43951</v>
      </c>
      <c r="C257" s="1" t="n">
        <v>45693</v>
      </c>
      <c r="D257" t="inlineStr">
        <is>
          <t>STOCKHOLMS LÄN</t>
        </is>
      </c>
      <c r="E257" t="inlineStr">
        <is>
          <t>HANINGE</t>
        </is>
      </c>
      <c r="G257" t="n">
        <v>1.2</v>
      </c>
      <c r="H257" t="n">
        <v>0</v>
      </c>
      <c r="I257" t="n">
        <v>1</v>
      </c>
      <c r="J257" t="n">
        <v>0</v>
      </c>
      <c r="K257" t="n">
        <v>1</v>
      </c>
      <c r="L257" t="n">
        <v>0</v>
      </c>
      <c r="M257" t="n">
        <v>0</v>
      </c>
      <c r="N257" t="n">
        <v>0</v>
      </c>
      <c r="O257" t="n">
        <v>1</v>
      </c>
      <c r="P257" t="n">
        <v>1</v>
      </c>
      <c r="Q257" t="n">
        <v>2</v>
      </c>
      <c r="R257" s="2" t="inlineStr">
        <is>
          <t>Fläckfingersvamp
Granbarkgnagare</t>
        </is>
      </c>
      <c r="S257">
        <f>HYPERLINK("https://klasma.github.io/Logging_0136/artfynd/A 21187-2020 artfynd.xlsx", "A 21187-2020")</f>
        <v/>
      </c>
      <c r="T257">
        <f>HYPERLINK("https://klasma.github.io/Logging_0136/kartor/A 21187-2020 karta.png", "A 21187-2020")</f>
        <v/>
      </c>
      <c r="V257">
        <f>HYPERLINK("https://klasma.github.io/Logging_0136/klagomål/A 21187-2020 FSC-klagomål.docx", "A 21187-2020")</f>
        <v/>
      </c>
      <c r="W257">
        <f>HYPERLINK("https://klasma.github.io/Logging_0136/klagomålsmail/A 21187-2020 FSC-klagomål mail.docx", "A 21187-2020")</f>
        <v/>
      </c>
      <c r="X257">
        <f>HYPERLINK("https://klasma.github.io/Logging_0136/tillsyn/A 21187-2020 tillsynsbegäran.docx", "A 21187-2020")</f>
        <v/>
      </c>
      <c r="Y257">
        <f>HYPERLINK("https://klasma.github.io/Logging_0136/tillsynsmail/A 21187-2020 tillsynsbegäran mail.docx", "A 21187-2020")</f>
        <v/>
      </c>
    </row>
    <row r="258" ht="15" customHeight="1">
      <c r="A258" t="inlineStr">
        <is>
          <t>A 24751-2020</t>
        </is>
      </c>
      <c r="B258" s="1" t="n">
        <v>43978</v>
      </c>
      <c r="C258" s="1" t="n">
        <v>45693</v>
      </c>
      <c r="D258" t="inlineStr">
        <is>
          <t>STOCKHOLMS LÄN</t>
        </is>
      </c>
      <c r="E258" t="inlineStr">
        <is>
          <t>VALLENTUNA</t>
        </is>
      </c>
      <c r="G258" t="n">
        <v>5.3</v>
      </c>
      <c r="H258" t="n">
        <v>0</v>
      </c>
      <c r="I258" t="n">
        <v>2</v>
      </c>
      <c r="J258" t="n">
        <v>0</v>
      </c>
      <c r="K258" t="n">
        <v>0</v>
      </c>
      <c r="L258" t="n">
        <v>0</v>
      </c>
      <c r="M258" t="n">
        <v>0</v>
      </c>
      <c r="N258" t="n">
        <v>0</v>
      </c>
      <c r="O258" t="n">
        <v>0</v>
      </c>
      <c r="P258" t="n">
        <v>0</v>
      </c>
      <c r="Q258" t="n">
        <v>2</v>
      </c>
      <c r="R258" s="2" t="inlineStr">
        <is>
          <t>Lönnlav
Stor aspticka</t>
        </is>
      </c>
      <c r="S258">
        <f>HYPERLINK("https://klasma.github.io/Logging_0115/artfynd/A 24751-2020 artfynd.xlsx", "A 24751-2020")</f>
        <v/>
      </c>
      <c r="T258">
        <f>HYPERLINK("https://klasma.github.io/Logging_0115/kartor/A 24751-2020 karta.png", "A 24751-2020")</f>
        <v/>
      </c>
      <c r="V258">
        <f>HYPERLINK("https://klasma.github.io/Logging_0115/klagomål/A 24751-2020 FSC-klagomål.docx", "A 24751-2020")</f>
        <v/>
      </c>
      <c r="W258">
        <f>HYPERLINK("https://klasma.github.io/Logging_0115/klagomålsmail/A 24751-2020 FSC-klagomål mail.docx", "A 24751-2020")</f>
        <v/>
      </c>
      <c r="X258">
        <f>HYPERLINK("https://klasma.github.io/Logging_0115/tillsyn/A 24751-2020 tillsynsbegäran.docx", "A 24751-2020")</f>
        <v/>
      </c>
      <c r="Y258">
        <f>HYPERLINK("https://klasma.github.io/Logging_0115/tillsynsmail/A 24751-2020 tillsynsbegäran mail.docx", "A 24751-2020")</f>
        <v/>
      </c>
    </row>
    <row r="259" ht="15" customHeight="1">
      <c r="A259" t="inlineStr">
        <is>
          <t>A 46237-2020</t>
        </is>
      </c>
      <c r="B259" s="1" t="n">
        <v>44092</v>
      </c>
      <c r="C259" s="1" t="n">
        <v>45693</v>
      </c>
      <c r="D259" t="inlineStr">
        <is>
          <t>STOCKHOLMS LÄN</t>
        </is>
      </c>
      <c r="E259" t="inlineStr">
        <is>
          <t>SÖDERTÄLJE</t>
        </is>
      </c>
      <c r="G259" t="n">
        <v>1.1</v>
      </c>
      <c r="H259" t="n">
        <v>1</v>
      </c>
      <c r="I259" t="n">
        <v>1</v>
      </c>
      <c r="J259" t="n">
        <v>0</v>
      </c>
      <c r="K259" t="n">
        <v>1</v>
      </c>
      <c r="L259" t="n">
        <v>0</v>
      </c>
      <c r="M259" t="n">
        <v>0</v>
      </c>
      <c r="N259" t="n">
        <v>0</v>
      </c>
      <c r="O259" t="n">
        <v>1</v>
      </c>
      <c r="P259" t="n">
        <v>1</v>
      </c>
      <c r="Q259" t="n">
        <v>2</v>
      </c>
      <c r="R259" s="2" t="inlineStr">
        <is>
          <t>Knärot
Rödbrun jordstjärna</t>
        </is>
      </c>
      <c r="S259">
        <f>HYPERLINK("https://klasma.github.io/Logging_0181/artfynd/A 46237-2020 artfynd.xlsx", "A 46237-2020")</f>
        <v/>
      </c>
      <c r="T259">
        <f>HYPERLINK("https://klasma.github.io/Logging_0181/kartor/A 46237-2020 karta.png", "A 46237-2020")</f>
        <v/>
      </c>
      <c r="U259">
        <f>HYPERLINK("https://klasma.github.io/Logging_0181/knärot/A 46237-2020 karta knärot.png", "A 46237-2020")</f>
        <v/>
      </c>
      <c r="V259">
        <f>HYPERLINK("https://klasma.github.io/Logging_0181/klagomål/A 46237-2020 FSC-klagomål.docx", "A 46237-2020")</f>
        <v/>
      </c>
      <c r="W259">
        <f>HYPERLINK("https://klasma.github.io/Logging_0181/klagomålsmail/A 46237-2020 FSC-klagomål mail.docx", "A 46237-2020")</f>
        <v/>
      </c>
      <c r="X259">
        <f>HYPERLINK("https://klasma.github.io/Logging_0181/tillsyn/A 46237-2020 tillsynsbegäran.docx", "A 46237-2020")</f>
        <v/>
      </c>
      <c r="Y259">
        <f>HYPERLINK("https://klasma.github.io/Logging_0181/tillsynsmail/A 46237-2020 tillsynsbegäran mail.docx", "A 46237-2020")</f>
        <v/>
      </c>
    </row>
    <row r="260" ht="15" customHeight="1">
      <c r="A260" t="inlineStr">
        <is>
          <t>A 53858-2020</t>
        </is>
      </c>
      <c r="B260" s="1" t="n">
        <v>44125</v>
      </c>
      <c r="C260" s="1" t="n">
        <v>45693</v>
      </c>
      <c r="D260" t="inlineStr">
        <is>
          <t>STOCKHOLMS LÄN</t>
        </is>
      </c>
      <c r="E260" t="inlineStr">
        <is>
          <t>HANINGE</t>
        </is>
      </c>
      <c r="G260" t="n">
        <v>18.5</v>
      </c>
      <c r="H260" t="n">
        <v>2</v>
      </c>
      <c r="I260" t="n">
        <v>1</v>
      </c>
      <c r="J260" t="n">
        <v>0</v>
      </c>
      <c r="K260" t="n">
        <v>0</v>
      </c>
      <c r="L260" t="n">
        <v>0</v>
      </c>
      <c r="M260" t="n">
        <v>0</v>
      </c>
      <c r="N260" t="n">
        <v>0</v>
      </c>
      <c r="O260" t="n">
        <v>0</v>
      </c>
      <c r="P260" t="n">
        <v>0</v>
      </c>
      <c r="Q260" t="n">
        <v>2</v>
      </c>
      <c r="R260" s="2" t="inlineStr">
        <is>
          <t>Korallrot
Fläcknycklar</t>
        </is>
      </c>
      <c r="S260">
        <f>HYPERLINK("https://klasma.github.io/Logging_0136/artfynd/A 53858-2020 artfynd.xlsx", "A 53858-2020")</f>
        <v/>
      </c>
      <c r="T260">
        <f>HYPERLINK("https://klasma.github.io/Logging_0136/kartor/A 53858-2020 karta.png", "A 53858-2020")</f>
        <v/>
      </c>
      <c r="V260">
        <f>HYPERLINK("https://klasma.github.io/Logging_0136/klagomål/A 53858-2020 FSC-klagomål.docx", "A 53858-2020")</f>
        <v/>
      </c>
      <c r="W260">
        <f>HYPERLINK("https://klasma.github.io/Logging_0136/klagomålsmail/A 53858-2020 FSC-klagomål mail.docx", "A 53858-2020")</f>
        <v/>
      </c>
      <c r="X260">
        <f>HYPERLINK("https://klasma.github.io/Logging_0136/tillsyn/A 53858-2020 tillsynsbegäran.docx", "A 53858-2020")</f>
        <v/>
      </c>
      <c r="Y260">
        <f>HYPERLINK("https://klasma.github.io/Logging_0136/tillsynsmail/A 53858-2020 tillsynsbegäran mail.docx", "A 53858-2020")</f>
        <v/>
      </c>
    </row>
    <row r="261" ht="15" customHeight="1">
      <c r="A261" t="inlineStr">
        <is>
          <t>A 559-2021</t>
        </is>
      </c>
      <c r="B261" s="1" t="n">
        <v>44203</v>
      </c>
      <c r="C261" s="1" t="n">
        <v>45693</v>
      </c>
      <c r="D261" t="inlineStr">
        <is>
          <t>STOCKHOLMS LÄN</t>
        </is>
      </c>
      <c r="E261" t="inlineStr">
        <is>
          <t>NYNÄSHAMN</t>
        </is>
      </c>
      <c r="G261" t="n">
        <v>19.5</v>
      </c>
      <c r="H261" t="n">
        <v>0</v>
      </c>
      <c r="I261" t="n">
        <v>0</v>
      </c>
      <c r="J261" t="n">
        <v>2</v>
      </c>
      <c r="K261" t="n">
        <v>0</v>
      </c>
      <c r="L261" t="n">
        <v>0</v>
      </c>
      <c r="M261" t="n">
        <v>0</v>
      </c>
      <c r="N261" t="n">
        <v>0</v>
      </c>
      <c r="O261" t="n">
        <v>2</v>
      </c>
      <c r="P261" t="n">
        <v>0</v>
      </c>
      <c r="Q261" t="n">
        <v>2</v>
      </c>
      <c r="R261" s="2" t="inlineStr">
        <is>
          <t>Garnlav
Ullticka</t>
        </is>
      </c>
      <c r="S261">
        <f>HYPERLINK("https://klasma.github.io/Logging_0192/artfynd/A 559-2021 artfynd.xlsx", "A 559-2021")</f>
        <v/>
      </c>
      <c r="T261">
        <f>HYPERLINK("https://klasma.github.io/Logging_0192/kartor/A 559-2021 karta.png", "A 559-2021")</f>
        <v/>
      </c>
      <c r="V261">
        <f>HYPERLINK("https://klasma.github.io/Logging_0192/klagomål/A 559-2021 FSC-klagomål.docx", "A 559-2021")</f>
        <v/>
      </c>
      <c r="W261">
        <f>HYPERLINK("https://klasma.github.io/Logging_0192/klagomålsmail/A 559-2021 FSC-klagomål mail.docx", "A 559-2021")</f>
        <v/>
      </c>
      <c r="X261">
        <f>HYPERLINK("https://klasma.github.io/Logging_0192/tillsyn/A 559-2021 tillsynsbegäran.docx", "A 559-2021")</f>
        <v/>
      </c>
      <c r="Y261">
        <f>HYPERLINK("https://klasma.github.io/Logging_0192/tillsynsmail/A 559-2021 tillsynsbegäran mail.docx", "A 559-2021")</f>
        <v/>
      </c>
    </row>
    <row r="262" ht="15" customHeight="1">
      <c r="A262" t="inlineStr">
        <is>
          <t>A 2294-2021</t>
        </is>
      </c>
      <c r="B262" s="1" t="n">
        <v>44212</v>
      </c>
      <c r="C262" s="1" t="n">
        <v>45693</v>
      </c>
      <c r="D262" t="inlineStr">
        <is>
          <t>STOCKHOLMS LÄN</t>
        </is>
      </c>
      <c r="E262" t="inlineStr">
        <is>
          <t>NYNÄSHAMN</t>
        </is>
      </c>
      <c r="G262" t="n">
        <v>22.1</v>
      </c>
      <c r="H262" t="n">
        <v>0</v>
      </c>
      <c r="I262" t="n">
        <v>0</v>
      </c>
      <c r="J262" t="n">
        <v>2</v>
      </c>
      <c r="K262" t="n">
        <v>0</v>
      </c>
      <c r="L262" t="n">
        <v>0</v>
      </c>
      <c r="M262" t="n">
        <v>0</v>
      </c>
      <c r="N262" t="n">
        <v>0</v>
      </c>
      <c r="O262" t="n">
        <v>2</v>
      </c>
      <c r="P262" t="n">
        <v>0</v>
      </c>
      <c r="Q262" t="n">
        <v>2</v>
      </c>
      <c r="R262" s="2" t="inlineStr">
        <is>
          <t>Solvända
Ängsskära</t>
        </is>
      </c>
      <c r="S262">
        <f>HYPERLINK("https://klasma.github.io/Logging_0192/artfynd/A 2294-2021 artfynd.xlsx", "A 2294-2021")</f>
        <v/>
      </c>
      <c r="T262">
        <f>HYPERLINK("https://klasma.github.io/Logging_0192/kartor/A 2294-2021 karta.png", "A 2294-2021")</f>
        <v/>
      </c>
      <c r="V262">
        <f>HYPERLINK("https://klasma.github.io/Logging_0192/klagomål/A 2294-2021 FSC-klagomål.docx", "A 2294-2021")</f>
        <v/>
      </c>
      <c r="W262">
        <f>HYPERLINK("https://klasma.github.io/Logging_0192/klagomålsmail/A 2294-2021 FSC-klagomål mail.docx", "A 2294-2021")</f>
        <v/>
      </c>
      <c r="X262">
        <f>HYPERLINK("https://klasma.github.io/Logging_0192/tillsyn/A 2294-2021 tillsynsbegäran.docx", "A 2294-2021")</f>
        <v/>
      </c>
      <c r="Y262">
        <f>HYPERLINK("https://klasma.github.io/Logging_0192/tillsynsmail/A 2294-2021 tillsynsbegäran mail.docx", "A 2294-2021")</f>
        <v/>
      </c>
    </row>
    <row r="263" ht="15" customHeight="1">
      <c r="A263" t="inlineStr">
        <is>
          <t>A 9956-2021</t>
        </is>
      </c>
      <c r="B263" s="1" t="n">
        <v>44252</v>
      </c>
      <c r="C263" s="1" t="n">
        <v>45693</v>
      </c>
      <c r="D263" t="inlineStr">
        <is>
          <t>STOCKHOLMS LÄN</t>
        </is>
      </c>
      <c r="E263" t="inlineStr">
        <is>
          <t>UPPLANDS-BRO</t>
        </is>
      </c>
      <c r="F263" t="inlineStr">
        <is>
          <t>Kyrkan</t>
        </is>
      </c>
      <c r="G263" t="n">
        <v>3.4</v>
      </c>
      <c r="H263" t="n">
        <v>0</v>
      </c>
      <c r="I263" t="n">
        <v>1</v>
      </c>
      <c r="J263" t="n">
        <v>1</v>
      </c>
      <c r="K263" t="n">
        <v>0</v>
      </c>
      <c r="L263" t="n">
        <v>0</v>
      </c>
      <c r="M263" t="n">
        <v>0</v>
      </c>
      <c r="N263" t="n">
        <v>0</v>
      </c>
      <c r="O263" t="n">
        <v>1</v>
      </c>
      <c r="P263" t="n">
        <v>0</v>
      </c>
      <c r="Q263" t="n">
        <v>2</v>
      </c>
      <c r="R263" s="2" t="inlineStr">
        <is>
          <t>Dofttaggsvamp
Svavelriska</t>
        </is>
      </c>
      <c r="S263">
        <f>HYPERLINK("https://klasma.github.io/Logging_0139/artfynd/A 9956-2021 artfynd.xlsx", "A 9956-2021")</f>
        <v/>
      </c>
      <c r="T263">
        <f>HYPERLINK("https://klasma.github.io/Logging_0139/kartor/A 9956-2021 karta.png", "A 9956-2021")</f>
        <v/>
      </c>
      <c r="V263">
        <f>HYPERLINK("https://klasma.github.io/Logging_0139/klagomål/A 9956-2021 FSC-klagomål.docx", "A 9956-2021")</f>
        <v/>
      </c>
      <c r="W263">
        <f>HYPERLINK("https://klasma.github.io/Logging_0139/klagomålsmail/A 9956-2021 FSC-klagomål mail.docx", "A 9956-2021")</f>
        <v/>
      </c>
      <c r="X263">
        <f>HYPERLINK("https://klasma.github.io/Logging_0139/tillsyn/A 9956-2021 tillsynsbegäran.docx", "A 9956-2021")</f>
        <v/>
      </c>
      <c r="Y263">
        <f>HYPERLINK("https://klasma.github.io/Logging_0139/tillsynsmail/A 9956-2021 tillsynsbegäran mail.docx", "A 9956-2021")</f>
        <v/>
      </c>
    </row>
    <row r="264" ht="15" customHeight="1">
      <c r="A264" t="inlineStr">
        <is>
          <t>A 15314-2021</t>
        </is>
      </c>
      <c r="B264" s="1" t="n">
        <v>44284</v>
      </c>
      <c r="C264" s="1" t="n">
        <v>45693</v>
      </c>
      <c r="D264" t="inlineStr">
        <is>
          <t>STOCKHOLMS LÄN</t>
        </is>
      </c>
      <c r="E264" t="inlineStr">
        <is>
          <t>NYNÄSHAMN</t>
        </is>
      </c>
      <c r="F264" t="inlineStr">
        <is>
          <t>Kommuner</t>
        </is>
      </c>
      <c r="G264" t="n">
        <v>9</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15314-2021 artfynd.xlsx", "A 15314-2021")</f>
        <v/>
      </c>
      <c r="T264">
        <f>HYPERLINK("https://klasma.github.io/Logging_0192/kartor/A 15314-2021 karta.png", "A 15314-2021")</f>
        <v/>
      </c>
      <c r="V264">
        <f>HYPERLINK("https://klasma.github.io/Logging_0192/klagomål/A 15314-2021 FSC-klagomål.docx", "A 15314-2021")</f>
        <v/>
      </c>
      <c r="W264">
        <f>HYPERLINK("https://klasma.github.io/Logging_0192/klagomålsmail/A 15314-2021 FSC-klagomål mail.docx", "A 15314-2021")</f>
        <v/>
      </c>
      <c r="X264">
        <f>HYPERLINK("https://klasma.github.io/Logging_0192/tillsyn/A 15314-2021 tillsynsbegäran.docx", "A 15314-2021")</f>
        <v/>
      </c>
      <c r="Y264">
        <f>HYPERLINK("https://klasma.github.io/Logging_0192/tillsynsmail/A 15314-2021 tillsynsbegäran mail.docx", "A 15314-2021")</f>
        <v/>
      </c>
    </row>
    <row r="265" ht="15" customHeight="1">
      <c r="A265" t="inlineStr">
        <is>
          <t>A 16084-2021</t>
        </is>
      </c>
      <c r="B265" s="1" t="n">
        <v>44288</v>
      </c>
      <c r="C265" s="1" t="n">
        <v>45693</v>
      </c>
      <c r="D265" t="inlineStr">
        <is>
          <t>STOCKHOLMS LÄN</t>
        </is>
      </c>
      <c r="E265" t="inlineStr">
        <is>
          <t>VÄRMDÖ</t>
        </is>
      </c>
      <c r="G265" t="n">
        <v>1.2</v>
      </c>
      <c r="H265" t="n">
        <v>0</v>
      </c>
      <c r="I265" t="n">
        <v>1</v>
      </c>
      <c r="J265" t="n">
        <v>1</v>
      </c>
      <c r="K265" t="n">
        <v>0</v>
      </c>
      <c r="L265" t="n">
        <v>0</v>
      </c>
      <c r="M265" t="n">
        <v>0</v>
      </c>
      <c r="N265" t="n">
        <v>0</v>
      </c>
      <c r="O265" t="n">
        <v>1</v>
      </c>
      <c r="P265" t="n">
        <v>0</v>
      </c>
      <c r="Q265" t="n">
        <v>2</v>
      </c>
      <c r="R265" s="2" t="inlineStr">
        <is>
          <t>Reliktbock
Grovticka</t>
        </is>
      </c>
      <c r="S265">
        <f>HYPERLINK("https://klasma.github.io/Logging_0120/artfynd/A 16084-2021 artfynd.xlsx", "A 16084-2021")</f>
        <v/>
      </c>
      <c r="T265">
        <f>HYPERLINK("https://klasma.github.io/Logging_0120/kartor/A 16084-2021 karta.png", "A 16084-2021")</f>
        <v/>
      </c>
      <c r="V265">
        <f>HYPERLINK("https://klasma.github.io/Logging_0120/klagomål/A 16084-2021 FSC-klagomål.docx", "A 16084-2021")</f>
        <v/>
      </c>
      <c r="W265">
        <f>HYPERLINK("https://klasma.github.io/Logging_0120/klagomålsmail/A 16084-2021 FSC-klagomål mail.docx", "A 16084-2021")</f>
        <v/>
      </c>
      <c r="X265">
        <f>HYPERLINK("https://klasma.github.io/Logging_0120/tillsyn/A 16084-2021 tillsynsbegäran.docx", "A 16084-2021")</f>
        <v/>
      </c>
      <c r="Y265">
        <f>HYPERLINK("https://klasma.github.io/Logging_0120/tillsynsmail/A 16084-2021 tillsynsbegäran mail.docx", "A 16084-2021")</f>
        <v/>
      </c>
    </row>
    <row r="266" ht="15" customHeight="1">
      <c r="A266" t="inlineStr">
        <is>
          <t>A 16869-2021</t>
        </is>
      </c>
      <c r="B266" s="1" t="n">
        <v>44295</v>
      </c>
      <c r="C266" s="1" t="n">
        <v>45693</v>
      </c>
      <c r="D266" t="inlineStr">
        <is>
          <t>STOCKHOLMS LÄN</t>
        </is>
      </c>
      <c r="E266" t="inlineStr">
        <is>
          <t>NYNÄSHAMN</t>
        </is>
      </c>
      <c r="F266" t="inlineStr">
        <is>
          <t>Kommuner</t>
        </is>
      </c>
      <c r="G266" t="n">
        <v>6.5</v>
      </c>
      <c r="H266" t="n">
        <v>1</v>
      </c>
      <c r="I266" t="n">
        <v>2</v>
      </c>
      <c r="J266" t="n">
        <v>0</v>
      </c>
      <c r="K266" t="n">
        <v>0</v>
      </c>
      <c r="L266" t="n">
        <v>0</v>
      </c>
      <c r="M266" t="n">
        <v>0</v>
      </c>
      <c r="N266" t="n">
        <v>0</v>
      </c>
      <c r="O266" t="n">
        <v>0</v>
      </c>
      <c r="P266" t="n">
        <v>0</v>
      </c>
      <c r="Q266" t="n">
        <v>2</v>
      </c>
      <c r="R266" s="2" t="inlineStr">
        <is>
          <t>Grön sköldmossa
Kattfotslav</t>
        </is>
      </c>
      <c r="S266">
        <f>HYPERLINK("https://klasma.github.io/Logging_0192/artfynd/A 16869-2021 artfynd.xlsx", "A 16869-2021")</f>
        <v/>
      </c>
      <c r="T266">
        <f>HYPERLINK("https://klasma.github.io/Logging_0192/kartor/A 16869-2021 karta.png", "A 16869-2021")</f>
        <v/>
      </c>
      <c r="V266">
        <f>HYPERLINK("https://klasma.github.io/Logging_0192/klagomål/A 16869-2021 FSC-klagomål.docx", "A 16869-2021")</f>
        <v/>
      </c>
      <c r="W266">
        <f>HYPERLINK("https://klasma.github.io/Logging_0192/klagomålsmail/A 16869-2021 FSC-klagomål mail.docx", "A 16869-2021")</f>
        <v/>
      </c>
      <c r="X266">
        <f>HYPERLINK("https://klasma.github.io/Logging_0192/tillsyn/A 16869-2021 tillsynsbegäran.docx", "A 16869-2021")</f>
        <v/>
      </c>
      <c r="Y266">
        <f>HYPERLINK("https://klasma.github.io/Logging_0192/tillsynsmail/A 16869-2021 tillsynsbegäran mail.docx", "A 16869-2021")</f>
        <v/>
      </c>
    </row>
    <row r="267" ht="15" customHeight="1">
      <c r="A267" t="inlineStr">
        <is>
          <t>A 17648-2021</t>
        </is>
      </c>
      <c r="B267" s="1" t="n">
        <v>44300</v>
      </c>
      <c r="C267" s="1" t="n">
        <v>45693</v>
      </c>
      <c r="D267" t="inlineStr">
        <is>
          <t>STOCKHOLMS LÄN</t>
        </is>
      </c>
      <c r="E267" t="inlineStr">
        <is>
          <t>SÖDERTÄLJE</t>
        </is>
      </c>
      <c r="G267" t="n">
        <v>11.8</v>
      </c>
      <c r="H267" t="n">
        <v>0</v>
      </c>
      <c r="I267" t="n">
        <v>0</v>
      </c>
      <c r="J267" t="n">
        <v>1</v>
      </c>
      <c r="K267" t="n">
        <v>1</v>
      </c>
      <c r="L267" t="n">
        <v>0</v>
      </c>
      <c r="M267" t="n">
        <v>0</v>
      </c>
      <c r="N267" t="n">
        <v>0</v>
      </c>
      <c r="O267" t="n">
        <v>2</v>
      </c>
      <c r="P267" t="n">
        <v>1</v>
      </c>
      <c r="Q267" t="n">
        <v>2</v>
      </c>
      <c r="R267" s="2" t="inlineStr">
        <is>
          <t>Hedpärlemorfjäril
Sexfläckig bastardsvärmare</t>
        </is>
      </c>
      <c r="S267">
        <f>HYPERLINK("https://klasma.github.io/Logging_0181/artfynd/A 17648-2021 artfynd.xlsx", "A 17648-2021")</f>
        <v/>
      </c>
      <c r="T267">
        <f>HYPERLINK("https://klasma.github.io/Logging_0181/kartor/A 17648-2021 karta.png", "A 17648-2021")</f>
        <v/>
      </c>
      <c r="V267">
        <f>HYPERLINK("https://klasma.github.io/Logging_0181/klagomål/A 17648-2021 FSC-klagomål.docx", "A 17648-2021")</f>
        <v/>
      </c>
      <c r="W267">
        <f>HYPERLINK("https://klasma.github.io/Logging_0181/klagomålsmail/A 17648-2021 FSC-klagomål mail.docx", "A 17648-2021")</f>
        <v/>
      </c>
      <c r="X267">
        <f>HYPERLINK("https://klasma.github.io/Logging_0181/tillsyn/A 17648-2021 tillsynsbegäran.docx", "A 17648-2021")</f>
        <v/>
      </c>
      <c r="Y267">
        <f>HYPERLINK("https://klasma.github.io/Logging_0181/tillsynsmail/A 17648-2021 tillsynsbegäran mail.docx", "A 17648-2021")</f>
        <v/>
      </c>
    </row>
    <row r="268" ht="15" customHeight="1">
      <c r="A268" t="inlineStr">
        <is>
          <t>A 31803-2021</t>
        </is>
      </c>
      <c r="B268" s="1" t="n">
        <v>44370</v>
      </c>
      <c r="C268" s="1" t="n">
        <v>45693</v>
      </c>
      <c r="D268" t="inlineStr">
        <is>
          <t>STOCKHOLMS LÄN</t>
        </is>
      </c>
      <c r="E268" t="inlineStr">
        <is>
          <t>NORRTÄLJE</t>
        </is>
      </c>
      <c r="G268" t="n">
        <v>4.6</v>
      </c>
      <c r="H268" t="n">
        <v>0</v>
      </c>
      <c r="I268" t="n">
        <v>1</v>
      </c>
      <c r="J268" t="n">
        <v>1</v>
      </c>
      <c r="K268" t="n">
        <v>0</v>
      </c>
      <c r="L268" t="n">
        <v>0</v>
      </c>
      <c r="M268" t="n">
        <v>0</v>
      </c>
      <c r="N268" t="n">
        <v>0</v>
      </c>
      <c r="O268" t="n">
        <v>1</v>
      </c>
      <c r="P268" t="n">
        <v>0</v>
      </c>
      <c r="Q268" t="n">
        <v>2</v>
      </c>
      <c r="R268" s="2" t="inlineStr">
        <is>
          <t>Slåtterfibbla
Vårärt</t>
        </is>
      </c>
      <c r="S268">
        <f>HYPERLINK("https://klasma.github.io/Logging_0188/artfynd/A 31803-2021 artfynd.xlsx", "A 31803-2021")</f>
        <v/>
      </c>
      <c r="T268">
        <f>HYPERLINK("https://klasma.github.io/Logging_0188/kartor/A 31803-2021 karta.png", "A 31803-2021")</f>
        <v/>
      </c>
      <c r="V268">
        <f>HYPERLINK("https://klasma.github.io/Logging_0188/klagomål/A 31803-2021 FSC-klagomål.docx", "A 31803-2021")</f>
        <v/>
      </c>
      <c r="W268">
        <f>HYPERLINK("https://klasma.github.io/Logging_0188/klagomålsmail/A 31803-2021 FSC-klagomål mail.docx", "A 31803-2021")</f>
        <v/>
      </c>
      <c r="X268">
        <f>HYPERLINK("https://klasma.github.io/Logging_0188/tillsyn/A 31803-2021 tillsynsbegäran.docx", "A 31803-2021")</f>
        <v/>
      </c>
      <c r="Y268">
        <f>HYPERLINK("https://klasma.github.io/Logging_0188/tillsynsmail/A 31803-2021 tillsynsbegäran mail.docx", "A 31803-2021")</f>
        <v/>
      </c>
    </row>
    <row r="269" ht="15" customHeight="1">
      <c r="A269" t="inlineStr">
        <is>
          <t>A 40072-2021</t>
        </is>
      </c>
      <c r="B269" s="1" t="n">
        <v>44418</v>
      </c>
      <c r="C269" s="1" t="n">
        <v>45693</v>
      </c>
      <c r="D269" t="inlineStr">
        <is>
          <t>STOCKHOLMS LÄN</t>
        </is>
      </c>
      <c r="E269" t="inlineStr">
        <is>
          <t>NORRTÄLJE</t>
        </is>
      </c>
      <c r="G269" t="n">
        <v>1.1</v>
      </c>
      <c r="H269" t="n">
        <v>2</v>
      </c>
      <c r="I269" t="n">
        <v>0</v>
      </c>
      <c r="J269" t="n">
        <v>2</v>
      </c>
      <c r="K269" t="n">
        <v>0</v>
      </c>
      <c r="L269" t="n">
        <v>0</v>
      </c>
      <c r="M269" t="n">
        <v>0</v>
      </c>
      <c r="N269" t="n">
        <v>0</v>
      </c>
      <c r="O269" t="n">
        <v>2</v>
      </c>
      <c r="P269" t="n">
        <v>0</v>
      </c>
      <c r="Q269" t="n">
        <v>2</v>
      </c>
      <c r="R269" s="2" t="inlineStr">
        <is>
          <t>Rördrom
Slaguggla</t>
        </is>
      </c>
      <c r="S269">
        <f>HYPERLINK("https://klasma.github.io/Logging_0188/artfynd/A 40072-2021 artfynd.xlsx", "A 40072-2021")</f>
        <v/>
      </c>
      <c r="T269">
        <f>HYPERLINK("https://klasma.github.io/Logging_0188/kartor/A 40072-2021 karta.png", "A 40072-2021")</f>
        <v/>
      </c>
      <c r="V269">
        <f>HYPERLINK("https://klasma.github.io/Logging_0188/klagomål/A 40072-2021 FSC-klagomål.docx", "A 40072-2021")</f>
        <v/>
      </c>
      <c r="W269">
        <f>HYPERLINK("https://klasma.github.io/Logging_0188/klagomålsmail/A 40072-2021 FSC-klagomål mail.docx", "A 40072-2021")</f>
        <v/>
      </c>
      <c r="X269">
        <f>HYPERLINK("https://klasma.github.io/Logging_0188/tillsyn/A 40072-2021 tillsynsbegäran.docx", "A 40072-2021")</f>
        <v/>
      </c>
      <c r="Y269">
        <f>HYPERLINK("https://klasma.github.io/Logging_0188/tillsynsmail/A 40072-2021 tillsynsbegäran mail.docx", "A 40072-2021")</f>
        <v/>
      </c>
      <c r="Z269">
        <f>HYPERLINK("https://klasma.github.io/Logging_0188/fåglar/A 40072-2021 prioriterade fågelarter.docx", "A 40072-2021")</f>
        <v/>
      </c>
    </row>
    <row r="270" ht="15" customHeight="1">
      <c r="A270" t="inlineStr">
        <is>
          <t>A 58676-2021</t>
        </is>
      </c>
      <c r="B270" s="1" t="n">
        <v>44489</v>
      </c>
      <c r="C270" s="1" t="n">
        <v>45693</v>
      </c>
      <c r="D270" t="inlineStr">
        <is>
          <t>STOCKHOLMS LÄN</t>
        </is>
      </c>
      <c r="E270" t="inlineStr">
        <is>
          <t>NORRTÄLJE</t>
        </is>
      </c>
      <c r="G270" t="n">
        <v>0.6</v>
      </c>
      <c r="H270" t="n">
        <v>2</v>
      </c>
      <c r="I270" t="n">
        <v>0</v>
      </c>
      <c r="J270" t="n">
        <v>0</v>
      </c>
      <c r="K270" t="n">
        <v>0</v>
      </c>
      <c r="L270" t="n">
        <v>0</v>
      </c>
      <c r="M270" t="n">
        <v>0</v>
      </c>
      <c r="N270" t="n">
        <v>0</v>
      </c>
      <c r="O270" t="n">
        <v>0</v>
      </c>
      <c r="P270" t="n">
        <v>0</v>
      </c>
      <c r="Q270" t="n">
        <v>2</v>
      </c>
      <c r="R270" s="2" t="inlineStr">
        <is>
          <t>Nattviol
Blåsippa</t>
        </is>
      </c>
      <c r="S270">
        <f>HYPERLINK("https://klasma.github.io/Logging_0188/artfynd/A 58676-2021 artfynd.xlsx", "A 58676-2021")</f>
        <v/>
      </c>
      <c r="T270">
        <f>HYPERLINK("https://klasma.github.io/Logging_0188/kartor/A 58676-2021 karta.png", "A 58676-2021")</f>
        <v/>
      </c>
      <c r="V270">
        <f>HYPERLINK("https://klasma.github.io/Logging_0188/klagomål/A 58676-2021 FSC-klagomål.docx", "A 58676-2021")</f>
        <v/>
      </c>
      <c r="W270">
        <f>HYPERLINK("https://klasma.github.io/Logging_0188/klagomålsmail/A 58676-2021 FSC-klagomål mail.docx", "A 58676-2021")</f>
        <v/>
      </c>
      <c r="X270">
        <f>HYPERLINK("https://klasma.github.io/Logging_0188/tillsyn/A 58676-2021 tillsynsbegäran.docx", "A 58676-2021")</f>
        <v/>
      </c>
      <c r="Y270">
        <f>HYPERLINK("https://klasma.github.io/Logging_0188/tillsynsmail/A 58676-2021 tillsynsbegäran mail.docx", "A 58676-2021")</f>
        <v/>
      </c>
    </row>
    <row r="271" ht="15" customHeight="1">
      <c r="A271" t="inlineStr">
        <is>
          <t>A 59732-2021</t>
        </is>
      </c>
      <c r="B271" s="1" t="n">
        <v>44494</v>
      </c>
      <c r="C271" s="1" t="n">
        <v>45693</v>
      </c>
      <c r="D271" t="inlineStr">
        <is>
          <t>STOCKHOLMS LÄN</t>
        </is>
      </c>
      <c r="E271" t="inlineStr">
        <is>
          <t>UPPLANDS-BRO</t>
        </is>
      </c>
      <c r="F271" t="inlineStr">
        <is>
          <t>Övriga statliga verk och myndigheter</t>
        </is>
      </c>
      <c r="G271" t="n">
        <v>17.2</v>
      </c>
      <c r="H271" t="n">
        <v>1</v>
      </c>
      <c r="I271" t="n">
        <v>0</v>
      </c>
      <c r="J271" t="n">
        <v>1</v>
      </c>
      <c r="K271" t="n">
        <v>0</v>
      </c>
      <c r="L271" t="n">
        <v>0</v>
      </c>
      <c r="M271" t="n">
        <v>0</v>
      </c>
      <c r="N271" t="n">
        <v>0</v>
      </c>
      <c r="O271" t="n">
        <v>1</v>
      </c>
      <c r="P271" t="n">
        <v>0</v>
      </c>
      <c r="Q271" t="n">
        <v>2</v>
      </c>
      <c r="R271" s="2" t="inlineStr">
        <is>
          <t>Ängsskära
Gullviva</t>
        </is>
      </c>
      <c r="S271">
        <f>HYPERLINK("https://klasma.github.io/Logging_0139/artfynd/A 59732-2021 artfynd.xlsx", "A 59732-2021")</f>
        <v/>
      </c>
      <c r="T271">
        <f>HYPERLINK("https://klasma.github.io/Logging_0139/kartor/A 59732-2021 karta.png", "A 59732-2021")</f>
        <v/>
      </c>
      <c r="V271">
        <f>HYPERLINK("https://klasma.github.io/Logging_0139/klagomål/A 59732-2021 FSC-klagomål.docx", "A 59732-2021")</f>
        <v/>
      </c>
      <c r="W271">
        <f>HYPERLINK("https://klasma.github.io/Logging_0139/klagomålsmail/A 59732-2021 FSC-klagomål mail.docx", "A 59732-2021")</f>
        <v/>
      </c>
      <c r="X271">
        <f>HYPERLINK("https://klasma.github.io/Logging_0139/tillsyn/A 59732-2021 tillsynsbegäran.docx", "A 59732-2021")</f>
        <v/>
      </c>
      <c r="Y271">
        <f>HYPERLINK("https://klasma.github.io/Logging_0139/tillsynsmail/A 59732-2021 tillsynsbegäran mail.docx", "A 59732-2021")</f>
        <v/>
      </c>
    </row>
    <row r="272" ht="15" customHeight="1">
      <c r="A272" t="inlineStr">
        <is>
          <t>A 61275-2021</t>
        </is>
      </c>
      <c r="B272" s="1" t="n">
        <v>44498</v>
      </c>
      <c r="C272" s="1" t="n">
        <v>45693</v>
      </c>
      <c r="D272" t="inlineStr">
        <is>
          <t>STOCKHOLMS LÄN</t>
        </is>
      </c>
      <c r="E272" t="inlineStr">
        <is>
          <t>ÖSTERÅKER</t>
        </is>
      </c>
      <c r="G272" t="n">
        <v>2.1</v>
      </c>
      <c r="H272" t="n">
        <v>2</v>
      </c>
      <c r="I272" t="n">
        <v>0</v>
      </c>
      <c r="J272" t="n">
        <v>0</v>
      </c>
      <c r="K272" t="n">
        <v>0</v>
      </c>
      <c r="L272" t="n">
        <v>0</v>
      </c>
      <c r="M272" t="n">
        <v>0</v>
      </c>
      <c r="N272" t="n">
        <v>0</v>
      </c>
      <c r="O272" t="n">
        <v>0</v>
      </c>
      <c r="P272" t="n">
        <v>0</v>
      </c>
      <c r="Q272" t="n">
        <v>2</v>
      </c>
      <c r="R272" s="2" t="inlineStr">
        <is>
          <t>Fläcknycklar
Nattviol</t>
        </is>
      </c>
      <c r="S272">
        <f>HYPERLINK("https://klasma.github.io/Logging_0117/artfynd/A 61275-2021 artfynd.xlsx", "A 61275-2021")</f>
        <v/>
      </c>
      <c r="T272">
        <f>HYPERLINK("https://klasma.github.io/Logging_0117/kartor/A 61275-2021 karta.png", "A 61275-2021")</f>
        <v/>
      </c>
      <c r="V272">
        <f>HYPERLINK("https://klasma.github.io/Logging_0117/klagomål/A 61275-2021 FSC-klagomål.docx", "A 61275-2021")</f>
        <v/>
      </c>
      <c r="W272">
        <f>HYPERLINK("https://klasma.github.io/Logging_0117/klagomålsmail/A 61275-2021 FSC-klagomål mail.docx", "A 61275-2021")</f>
        <v/>
      </c>
      <c r="X272">
        <f>HYPERLINK("https://klasma.github.io/Logging_0117/tillsyn/A 61275-2021 tillsynsbegäran.docx", "A 61275-2021")</f>
        <v/>
      </c>
      <c r="Y272">
        <f>HYPERLINK("https://klasma.github.io/Logging_0117/tillsynsmail/A 61275-2021 tillsynsbegäran mail.docx", "A 61275-2021")</f>
        <v/>
      </c>
    </row>
    <row r="273" ht="15" customHeight="1">
      <c r="A273" t="inlineStr">
        <is>
          <t>A 60-2022</t>
        </is>
      </c>
      <c r="B273" s="1" t="n">
        <v>44560</v>
      </c>
      <c r="C273" s="1" t="n">
        <v>45693</v>
      </c>
      <c r="D273" t="inlineStr">
        <is>
          <t>STOCKHOLMS LÄN</t>
        </is>
      </c>
      <c r="E273" t="inlineStr">
        <is>
          <t>VALLENTUNA</t>
        </is>
      </c>
      <c r="F273" t="inlineStr">
        <is>
          <t>Övriga Aktiebolag</t>
        </is>
      </c>
      <c r="G273" t="n">
        <v>14.3</v>
      </c>
      <c r="H273" t="n">
        <v>0</v>
      </c>
      <c r="I273" t="n">
        <v>2</v>
      </c>
      <c r="J273" t="n">
        <v>0</v>
      </c>
      <c r="K273" t="n">
        <v>0</v>
      </c>
      <c r="L273" t="n">
        <v>0</v>
      </c>
      <c r="M273" t="n">
        <v>0</v>
      </c>
      <c r="N273" t="n">
        <v>0</v>
      </c>
      <c r="O273" t="n">
        <v>0</v>
      </c>
      <c r="P273" t="n">
        <v>0</v>
      </c>
      <c r="Q273" t="n">
        <v>2</v>
      </c>
      <c r="R273" s="2" t="inlineStr">
        <is>
          <t>Vätteros
Vårärt</t>
        </is>
      </c>
      <c r="S273">
        <f>HYPERLINK("https://klasma.github.io/Logging_0115/artfynd/A 60-2022 artfynd.xlsx", "A 60-2022")</f>
        <v/>
      </c>
      <c r="T273">
        <f>HYPERLINK("https://klasma.github.io/Logging_0115/kartor/A 60-2022 karta.png", "A 60-2022")</f>
        <v/>
      </c>
      <c r="V273">
        <f>HYPERLINK("https://klasma.github.io/Logging_0115/klagomål/A 60-2022 FSC-klagomål.docx", "A 60-2022")</f>
        <v/>
      </c>
      <c r="W273">
        <f>HYPERLINK("https://klasma.github.io/Logging_0115/klagomålsmail/A 60-2022 FSC-klagomål mail.docx", "A 60-2022")</f>
        <v/>
      </c>
      <c r="X273">
        <f>HYPERLINK("https://klasma.github.io/Logging_0115/tillsyn/A 60-2022 tillsynsbegäran.docx", "A 60-2022")</f>
        <v/>
      </c>
      <c r="Y273">
        <f>HYPERLINK("https://klasma.github.io/Logging_0115/tillsynsmail/A 60-2022 tillsynsbegäran mail.docx", "A 60-2022")</f>
        <v/>
      </c>
    </row>
    <row r="274" ht="15" customHeight="1">
      <c r="A274" t="inlineStr">
        <is>
          <t>A 46-2022</t>
        </is>
      </c>
      <c r="B274" s="1" t="n">
        <v>44560</v>
      </c>
      <c r="C274" s="1" t="n">
        <v>45693</v>
      </c>
      <c r="D274" t="inlineStr">
        <is>
          <t>STOCKHOLMS LÄN</t>
        </is>
      </c>
      <c r="E274" t="inlineStr">
        <is>
          <t>VALLENTUNA</t>
        </is>
      </c>
      <c r="F274" t="inlineStr">
        <is>
          <t>Övriga Aktiebolag</t>
        </is>
      </c>
      <c r="G274" t="n">
        <v>7.9</v>
      </c>
      <c r="H274" t="n">
        <v>1</v>
      </c>
      <c r="I274" t="n">
        <v>1</v>
      </c>
      <c r="J274" t="n">
        <v>0</v>
      </c>
      <c r="K274" t="n">
        <v>0</v>
      </c>
      <c r="L274" t="n">
        <v>0</v>
      </c>
      <c r="M274" t="n">
        <v>0</v>
      </c>
      <c r="N274" t="n">
        <v>0</v>
      </c>
      <c r="O274" t="n">
        <v>0</v>
      </c>
      <c r="P274" t="n">
        <v>0</v>
      </c>
      <c r="Q274" t="n">
        <v>2</v>
      </c>
      <c r="R274" s="2" t="inlineStr">
        <is>
          <t>Fällmossa
Blåsippa</t>
        </is>
      </c>
      <c r="S274">
        <f>HYPERLINK("https://klasma.github.io/Logging_0115/artfynd/A 46-2022 artfynd.xlsx", "A 46-2022")</f>
        <v/>
      </c>
      <c r="T274">
        <f>HYPERLINK("https://klasma.github.io/Logging_0115/kartor/A 46-2022 karta.png", "A 46-2022")</f>
        <v/>
      </c>
      <c r="V274">
        <f>HYPERLINK("https://klasma.github.io/Logging_0115/klagomål/A 46-2022 FSC-klagomål.docx", "A 46-2022")</f>
        <v/>
      </c>
      <c r="W274">
        <f>HYPERLINK("https://klasma.github.io/Logging_0115/klagomålsmail/A 46-2022 FSC-klagomål mail.docx", "A 46-2022")</f>
        <v/>
      </c>
      <c r="X274">
        <f>HYPERLINK("https://klasma.github.io/Logging_0115/tillsyn/A 46-2022 tillsynsbegäran.docx", "A 46-2022")</f>
        <v/>
      </c>
      <c r="Y274">
        <f>HYPERLINK("https://klasma.github.io/Logging_0115/tillsynsmail/A 46-2022 tillsynsbegäran mail.docx", "A 46-2022")</f>
        <v/>
      </c>
    </row>
    <row r="275" ht="15" customHeight="1">
      <c r="A275" t="inlineStr">
        <is>
          <t>A 459-2022</t>
        </is>
      </c>
      <c r="B275" s="1" t="n">
        <v>44565</v>
      </c>
      <c r="C275" s="1" t="n">
        <v>45693</v>
      </c>
      <c r="D275" t="inlineStr">
        <is>
          <t>STOCKHOLMS LÄN</t>
        </is>
      </c>
      <c r="E275" t="inlineStr">
        <is>
          <t>NORRTÄLJE</t>
        </is>
      </c>
      <c r="F275" t="inlineStr">
        <is>
          <t>Övriga Aktiebolag</t>
        </is>
      </c>
      <c r="G275" t="n">
        <v>17.3</v>
      </c>
      <c r="H275" t="n">
        <v>0</v>
      </c>
      <c r="I275" t="n">
        <v>1</v>
      </c>
      <c r="J275" t="n">
        <v>1</v>
      </c>
      <c r="K275" t="n">
        <v>0</v>
      </c>
      <c r="L275" t="n">
        <v>0</v>
      </c>
      <c r="M275" t="n">
        <v>0</v>
      </c>
      <c r="N275" t="n">
        <v>0</v>
      </c>
      <c r="O275" t="n">
        <v>1</v>
      </c>
      <c r="P275" t="n">
        <v>0</v>
      </c>
      <c r="Q275" t="n">
        <v>2</v>
      </c>
      <c r="R275" s="2" t="inlineStr">
        <is>
          <t>Brunpudrad nållav
Björksplintborre</t>
        </is>
      </c>
      <c r="S275">
        <f>HYPERLINK("https://klasma.github.io/Logging_0188/artfynd/A 459-2022 artfynd.xlsx", "A 459-2022")</f>
        <v/>
      </c>
      <c r="T275">
        <f>HYPERLINK("https://klasma.github.io/Logging_0188/kartor/A 459-2022 karta.png", "A 459-2022")</f>
        <v/>
      </c>
      <c r="V275">
        <f>HYPERLINK("https://klasma.github.io/Logging_0188/klagomål/A 459-2022 FSC-klagomål.docx", "A 459-2022")</f>
        <v/>
      </c>
      <c r="W275">
        <f>HYPERLINK("https://klasma.github.io/Logging_0188/klagomålsmail/A 459-2022 FSC-klagomål mail.docx", "A 459-2022")</f>
        <v/>
      </c>
      <c r="X275">
        <f>HYPERLINK("https://klasma.github.io/Logging_0188/tillsyn/A 459-2022 tillsynsbegäran.docx", "A 459-2022")</f>
        <v/>
      </c>
      <c r="Y275">
        <f>HYPERLINK("https://klasma.github.io/Logging_0188/tillsynsmail/A 459-2022 tillsynsbegäran mail.docx", "A 459-2022")</f>
        <v/>
      </c>
    </row>
    <row r="276" ht="15" customHeight="1">
      <c r="A276" t="inlineStr">
        <is>
          <t>A 1061-2022</t>
        </is>
      </c>
      <c r="B276" s="1" t="n">
        <v>44571</v>
      </c>
      <c r="C276" s="1" t="n">
        <v>45693</v>
      </c>
      <c r="D276" t="inlineStr">
        <is>
          <t>STOCKHOLMS LÄN</t>
        </is>
      </c>
      <c r="E276" t="inlineStr">
        <is>
          <t>UPPLANDS VÄSBY</t>
        </is>
      </c>
      <c r="G276" t="n">
        <v>5.3</v>
      </c>
      <c r="H276" t="n">
        <v>1</v>
      </c>
      <c r="I276" t="n">
        <v>1</v>
      </c>
      <c r="J276" t="n">
        <v>0</v>
      </c>
      <c r="K276" t="n">
        <v>0</v>
      </c>
      <c r="L276" t="n">
        <v>0</v>
      </c>
      <c r="M276" t="n">
        <v>0</v>
      </c>
      <c r="N276" t="n">
        <v>0</v>
      </c>
      <c r="O276" t="n">
        <v>0</v>
      </c>
      <c r="P276" t="n">
        <v>0</v>
      </c>
      <c r="Q276" t="n">
        <v>2</v>
      </c>
      <c r="R276" s="2" t="inlineStr">
        <is>
          <t>Blomkålssvamp
Blåsippa</t>
        </is>
      </c>
      <c r="S276">
        <f>HYPERLINK("https://klasma.github.io/Logging_0114/artfynd/A 1061-2022 artfynd.xlsx", "A 1061-2022")</f>
        <v/>
      </c>
      <c r="T276">
        <f>HYPERLINK("https://klasma.github.io/Logging_0114/kartor/A 1061-2022 karta.png", "A 1061-2022")</f>
        <v/>
      </c>
      <c r="V276">
        <f>HYPERLINK("https://klasma.github.io/Logging_0114/klagomål/A 1061-2022 FSC-klagomål.docx", "A 1061-2022")</f>
        <v/>
      </c>
      <c r="W276">
        <f>HYPERLINK("https://klasma.github.io/Logging_0114/klagomålsmail/A 1061-2022 FSC-klagomål mail.docx", "A 1061-2022")</f>
        <v/>
      </c>
      <c r="X276">
        <f>HYPERLINK("https://klasma.github.io/Logging_0114/tillsyn/A 1061-2022 tillsynsbegäran.docx", "A 1061-2022")</f>
        <v/>
      </c>
      <c r="Y276">
        <f>HYPERLINK("https://klasma.github.io/Logging_0114/tillsynsmail/A 1061-2022 tillsynsbegäran mail.docx", "A 1061-2022")</f>
        <v/>
      </c>
    </row>
    <row r="277" ht="15" customHeight="1">
      <c r="A277" t="inlineStr">
        <is>
          <t>A 6852-2022</t>
        </is>
      </c>
      <c r="B277" s="1" t="n">
        <v>44602</v>
      </c>
      <c r="C277" s="1" t="n">
        <v>45693</v>
      </c>
      <c r="D277" t="inlineStr">
        <is>
          <t>STOCKHOLMS LÄN</t>
        </is>
      </c>
      <c r="E277" t="inlineStr">
        <is>
          <t>NYKVARN</t>
        </is>
      </c>
      <c r="F277" t="inlineStr">
        <is>
          <t>Kommuner</t>
        </is>
      </c>
      <c r="G277" t="n">
        <v>5</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HYPERLINK("https://klasma.github.io/Logging_0140/artfynd/A 6852-2022 artfynd.xlsx", "A 6852-2022")</f>
        <v/>
      </c>
      <c r="T277">
        <f>HYPERLINK("https://klasma.github.io/Logging_0140/kartor/A 6852-2022 karta.png", "A 6852-2022")</f>
        <v/>
      </c>
      <c r="V277">
        <f>HYPERLINK("https://klasma.github.io/Logging_0140/klagomål/A 6852-2022 FSC-klagomål.docx", "A 6852-2022")</f>
        <v/>
      </c>
      <c r="W277">
        <f>HYPERLINK("https://klasma.github.io/Logging_0140/klagomålsmail/A 6852-2022 FSC-klagomål mail.docx", "A 6852-2022")</f>
        <v/>
      </c>
      <c r="X277">
        <f>HYPERLINK("https://klasma.github.io/Logging_0140/tillsyn/A 6852-2022 tillsynsbegäran.docx", "A 6852-2022")</f>
        <v/>
      </c>
      <c r="Y277">
        <f>HYPERLINK("https://klasma.github.io/Logging_0140/tillsynsmail/A 6852-2022 tillsynsbegäran mail.docx", "A 6852-2022")</f>
        <v/>
      </c>
    </row>
    <row r="278" ht="15" customHeight="1">
      <c r="A278" t="inlineStr">
        <is>
          <t>A 9745-2022</t>
        </is>
      </c>
      <c r="B278" s="1" t="n">
        <v>44618</v>
      </c>
      <c r="C278" s="1" t="n">
        <v>45693</v>
      </c>
      <c r="D278" t="inlineStr">
        <is>
          <t>STOCKHOLMS LÄN</t>
        </is>
      </c>
      <c r="E278" t="inlineStr">
        <is>
          <t>VALLENTUNA</t>
        </is>
      </c>
      <c r="G278" t="n">
        <v>5.9</v>
      </c>
      <c r="H278" t="n">
        <v>1</v>
      </c>
      <c r="I278" t="n">
        <v>1</v>
      </c>
      <c r="J278" t="n">
        <v>1</v>
      </c>
      <c r="K278" t="n">
        <v>0</v>
      </c>
      <c r="L278" t="n">
        <v>0</v>
      </c>
      <c r="M278" t="n">
        <v>0</v>
      </c>
      <c r="N278" t="n">
        <v>0</v>
      </c>
      <c r="O278" t="n">
        <v>1</v>
      </c>
      <c r="P278" t="n">
        <v>0</v>
      </c>
      <c r="Q278" t="n">
        <v>2</v>
      </c>
      <c r="R278" s="2" t="inlineStr">
        <is>
          <t>Spillkråka
Björksplintborre</t>
        </is>
      </c>
      <c r="S278">
        <f>HYPERLINK("https://klasma.github.io/Logging_0115/artfynd/A 9745-2022 artfynd.xlsx", "A 9745-2022")</f>
        <v/>
      </c>
      <c r="T278">
        <f>HYPERLINK("https://klasma.github.io/Logging_0115/kartor/A 9745-2022 karta.png", "A 9745-2022")</f>
        <v/>
      </c>
      <c r="V278">
        <f>HYPERLINK("https://klasma.github.io/Logging_0115/klagomål/A 9745-2022 FSC-klagomål.docx", "A 9745-2022")</f>
        <v/>
      </c>
      <c r="W278">
        <f>HYPERLINK("https://klasma.github.io/Logging_0115/klagomålsmail/A 9745-2022 FSC-klagomål mail.docx", "A 9745-2022")</f>
        <v/>
      </c>
      <c r="X278">
        <f>HYPERLINK("https://klasma.github.io/Logging_0115/tillsyn/A 9745-2022 tillsynsbegäran.docx", "A 9745-2022")</f>
        <v/>
      </c>
      <c r="Y278">
        <f>HYPERLINK("https://klasma.github.io/Logging_0115/tillsynsmail/A 9745-2022 tillsynsbegäran mail.docx", "A 9745-2022")</f>
        <v/>
      </c>
      <c r="Z278">
        <f>HYPERLINK("https://klasma.github.io/Logging_0115/fåglar/A 9745-2022 prioriterade fågelarter.docx", "A 9745-2022")</f>
        <v/>
      </c>
    </row>
    <row r="279" ht="15" customHeight="1">
      <c r="A279" t="inlineStr">
        <is>
          <t>A 16260-2022</t>
        </is>
      </c>
      <c r="B279" s="1" t="n">
        <v>44670</v>
      </c>
      <c r="C279" s="1" t="n">
        <v>45693</v>
      </c>
      <c r="D279" t="inlineStr">
        <is>
          <t>STOCKHOLMS LÄN</t>
        </is>
      </c>
      <c r="E279" t="inlineStr">
        <is>
          <t>NORRTÄLJE</t>
        </is>
      </c>
      <c r="G279" t="n">
        <v>6.6</v>
      </c>
      <c r="H279" t="n">
        <v>1</v>
      </c>
      <c r="I279" t="n">
        <v>2</v>
      </c>
      <c r="J279" t="n">
        <v>0</v>
      </c>
      <c r="K279" t="n">
        <v>0</v>
      </c>
      <c r="L279" t="n">
        <v>0</v>
      </c>
      <c r="M279" t="n">
        <v>0</v>
      </c>
      <c r="N279" t="n">
        <v>0</v>
      </c>
      <c r="O279" t="n">
        <v>0</v>
      </c>
      <c r="P279" t="n">
        <v>0</v>
      </c>
      <c r="Q279" t="n">
        <v>2</v>
      </c>
      <c r="R279" s="2" t="inlineStr">
        <is>
          <t>Nästrot
Vårärt</t>
        </is>
      </c>
      <c r="S279">
        <f>HYPERLINK("https://klasma.github.io/Logging_0188/artfynd/A 16260-2022 artfynd.xlsx", "A 16260-2022")</f>
        <v/>
      </c>
      <c r="T279">
        <f>HYPERLINK("https://klasma.github.io/Logging_0188/kartor/A 16260-2022 karta.png", "A 16260-2022")</f>
        <v/>
      </c>
      <c r="V279">
        <f>HYPERLINK("https://klasma.github.io/Logging_0188/klagomål/A 16260-2022 FSC-klagomål.docx", "A 16260-2022")</f>
        <v/>
      </c>
      <c r="W279">
        <f>HYPERLINK("https://klasma.github.io/Logging_0188/klagomålsmail/A 16260-2022 FSC-klagomål mail.docx", "A 16260-2022")</f>
        <v/>
      </c>
      <c r="X279">
        <f>HYPERLINK("https://klasma.github.io/Logging_0188/tillsyn/A 16260-2022 tillsynsbegäran.docx", "A 16260-2022")</f>
        <v/>
      </c>
      <c r="Y279">
        <f>HYPERLINK("https://klasma.github.io/Logging_0188/tillsynsmail/A 16260-2022 tillsynsbegäran mail.docx", "A 16260-2022")</f>
        <v/>
      </c>
    </row>
    <row r="280" ht="15" customHeight="1">
      <c r="A280" t="inlineStr">
        <is>
          <t>A 17244-2022</t>
        </is>
      </c>
      <c r="B280" s="1" t="n">
        <v>44678</v>
      </c>
      <c r="C280" s="1" t="n">
        <v>45693</v>
      </c>
      <c r="D280" t="inlineStr">
        <is>
          <t>STOCKHOLMS LÄN</t>
        </is>
      </c>
      <c r="E280" t="inlineStr">
        <is>
          <t>ÖSTERÅKER</t>
        </is>
      </c>
      <c r="G280" t="n">
        <v>1.4</v>
      </c>
      <c r="H280" t="n">
        <v>1</v>
      </c>
      <c r="I280" t="n">
        <v>2</v>
      </c>
      <c r="J280" t="n">
        <v>0</v>
      </c>
      <c r="K280" t="n">
        <v>0</v>
      </c>
      <c r="L280" t="n">
        <v>0</v>
      </c>
      <c r="M280" t="n">
        <v>0</v>
      </c>
      <c r="N280" t="n">
        <v>0</v>
      </c>
      <c r="O280" t="n">
        <v>0</v>
      </c>
      <c r="P280" t="n">
        <v>0</v>
      </c>
      <c r="Q280" t="n">
        <v>2</v>
      </c>
      <c r="R280" s="2" t="inlineStr">
        <is>
          <t>Bronshjon
Grön sköldmossa</t>
        </is>
      </c>
      <c r="S280">
        <f>HYPERLINK("https://klasma.github.io/Logging_0117/artfynd/A 17244-2022 artfynd.xlsx", "A 17244-2022")</f>
        <v/>
      </c>
      <c r="T280">
        <f>HYPERLINK("https://klasma.github.io/Logging_0117/kartor/A 17244-2022 karta.png", "A 17244-2022")</f>
        <v/>
      </c>
      <c r="V280">
        <f>HYPERLINK("https://klasma.github.io/Logging_0117/klagomål/A 17244-2022 FSC-klagomål.docx", "A 17244-2022")</f>
        <v/>
      </c>
      <c r="W280">
        <f>HYPERLINK("https://klasma.github.io/Logging_0117/klagomålsmail/A 17244-2022 FSC-klagomål mail.docx", "A 17244-2022")</f>
        <v/>
      </c>
      <c r="X280">
        <f>HYPERLINK("https://klasma.github.io/Logging_0117/tillsyn/A 17244-2022 tillsynsbegäran.docx", "A 17244-2022")</f>
        <v/>
      </c>
      <c r="Y280">
        <f>HYPERLINK("https://klasma.github.io/Logging_0117/tillsynsmail/A 17244-2022 tillsynsbegäran mail.docx", "A 17244-2022")</f>
        <v/>
      </c>
    </row>
    <row r="281" ht="15" customHeight="1">
      <c r="A281" t="inlineStr">
        <is>
          <t>A 19862-2022</t>
        </is>
      </c>
      <c r="B281" s="1" t="n">
        <v>44696</v>
      </c>
      <c r="C281" s="1" t="n">
        <v>45693</v>
      </c>
      <c r="D281" t="inlineStr">
        <is>
          <t>STOCKHOLMS LÄN</t>
        </is>
      </c>
      <c r="E281" t="inlineStr">
        <is>
          <t>NORRTÄLJE</t>
        </is>
      </c>
      <c r="G281" t="n">
        <v>6</v>
      </c>
      <c r="H281" t="n">
        <v>1</v>
      </c>
      <c r="I281" t="n">
        <v>0</v>
      </c>
      <c r="J281" t="n">
        <v>1</v>
      </c>
      <c r="K281" t="n">
        <v>0</v>
      </c>
      <c r="L281" t="n">
        <v>0</v>
      </c>
      <c r="M281" t="n">
        <v>0</v>
      </c>
      <c r="N281" t="n">
        <v>0</v>
      </c>
      <c r="O281" t="n">
        <v>1</v>
      </c>
      <c r="P281" t="n">
        <v>0</v>
      </c>
      <c r="Q281" t="n">
        <v>2</v>
      </c>
      <c r="R281" s="2" t="inlineStr">
        <is>
          <t>Granticka
Blåsippa</t>
        </is>
      </c>
      <c r="S281">
        <f>HYPERLINK("https://klasma.github.io/Logging_0188/artfynd/A 19862-2022 artfynd.xlsx", "A 19862-2022")</f>
        <v/>
      </c>
      <c r="T281">
        <f>HYPERLINK("https://klasma.github.io/Logging_0188/kartor/A 19862-2022 karta.png", "A 19862-2022")</f>
        <v/>
      </c>
      <c r="V281">
        <f>HYPERLINK("https://klasma.github.io/Logging_0188/klagomål/A 19862-2022 FSC-klagomål.docx", "A 19862-2022")</f>
        <v/>
      </c>
      <c r="W281">
        <f>HYPERLINK("https://klasma.github.io/Logging_0188/klagomålsmail/A 19862-2022 FSC-klagomål mail.docx", "A 19862-2022")</f>
        <v/>
      </c>
      <c r="X281">
        <f>HYPERLINK("https://klasma.github.io/Logging_0188/tillsyn/A 19862-2022 tillsynsbegäran.docx", "A 19862-2022")</f>
        <v/>
      </c>
      <c r="Y281">
        <f>HYPERLINK("https://klasma.github.io/Logging_0188/tillsynsmail/A 19862-2022 tillsynsbegäran mail.docx", "A 19862-2022")</f>
        <v/>
      </c>
    </row>
    <row r="282" ht="15" customHeight="1">
      <c r="A282" t="inlineStr">
        <is>
          <t>A 27742-2022</t>
        </is>
      </c>
      <c r="B282" s="1" t="n">
        <v>44743</v>
      </c>
      <c r="C282" s="1" t="n">
        <v>45693</v>
      </c>
      <c r="D282" t="inlineStr">
        <is>
          <t>STOCKHOLMS LÄN</t>
        </is>
      </c>
      <c r="E282" t="inlineStr">
        <is>
          <t>NORRTÄLJE</t>
        </is>
      </c>
      <c r="G282" t="n">
        <v>3.9</v>
      </c>
      <c r="H282" t="n">
        <v>1</v>
      </c>
      <c r="I282" t="n">
        <v>1</v>
      </c>
      <c r="J282" t="n">
        <v>0</v>
      </c>
      <c r="K282" t="n">
        <v>0</v>
      </c>
      <c r="L282" t="n">
        <v>0</v>
      </c>
      <c r="M282" t="n">
        <v>0</v>
      </c>
      <c r="N282" t="n">
        <v>0</v>
      </c>
      <c r="O282" t="n">
        <v>0</v>
      </c>
      <c r="P282" t="n">
        <v>0</v>
      </c>
      <c r="Q282" t="n">
        <v>2</v>
      </c>
      <c r="R282" s="2" t="inlineStr">
        <is>
          <t>Svavelriska
Blåsippa</t>
        </is>
      </c>
      <c r="S282">
        <f>HYPERLINK("https://klasma.github.io/Logging_0188/artfynd/A 27742-2022 artfynd.xlsx", "A 27742-2022")</f>
        <v/>
      </c>
      <c r="T282">
        <f>HYPERLINK("https://klasma.github.io/Logging_0188/kartor/A 27742-2022 karta.png", "A 27742-2022")</f>
        <v/>
      </c>
      <c r="V282">
        <f>HYPERLINK("https://klasma.github.io/Logging_0188/klagomål/A 27742-2022 FSC-klagomål.docx", "A 27742-2022")</f>
        <v/>
      </c>
      <c r="W282">
        <f>HYPERLINK("https://klasma.github.io/Logging_0188/klagomålsmail/A 27742-2022 FSC-klagomål mail.docx", "A 27742-2022")</f>
        <v/>
      </c>
      <c r="X282">
        <f>HYPERLINK("https://klasma.github.io/Logging_0188/tillsyn/A 27742-2022 tillsynsbegäran.docx", "A 27742-2022")</f>
        <v/>
      </c>
      <c r="Y282">
        <f>HYPERLINK("https://klasma.github.io/Logging_0188/tillsynsmail/A 27742-2022 tillsynsbegäran mail.docx", "A 27742-2022")</f>
        <v/>
      </c>
    </row>
    <row r="283" ht="15" customHeight="1">
      <c r="A283" t="inlineStr">
        <is>
          <t>A 30693-2022</t>
        </is>
      </c>
      <c r="B283" s="1" t="n">
        <v>44763</v>
      </c>
      <c r="C283" s="1" t="n">
        <v>45693</v>
      </c>
      <c r="D283" t="inlineStr">
        <is>
          <t>STOCKHOLMS LÄN</t>
        </is>
      </c>
      <c r="E283" t="inlineStr">
        <is>
          <t>NORRTÄLJE</t>
        </is>
      </c>
      <c r="F283" t="inlineStr">
        <is>
          <t>Sveaskog</t>
        </is>
      </c>
      <c r="G283" t="n">
        <v>3.4</v>
      </c>
      <c r="H283" t="n">
        <v>2</v>
      </c>
      <c r="I283" t="n">
        <v>0</v>
      </c>
      <c r="J283" t="n">
        <v>1</v>
      </c>
      <c r="K283" t="n">
        <v>0</v>
      </c>
      <c r="L283" t="n">
        <v>0</v>
      </c>
      <c r="M283" t="n">
        <v>0</v>
      </c>
      <c r="N283" t="n">
        <v>0</v>
      </c>
      <c r="O283" t="n">
        <v>1</v>
      </c>
      <c r="P283" t="n">
        <v>0</v>
      </c>
      <c r="Q283" t="n">
        <v>2</v>
      </c>
      <c r="R283" s="2" t="inlineStr">
        <is>
          <t>Gulsparv
Gullviva</t>
        </is>
      </c>
      <c r="S283">
        <f>HYPERLINK("https://klasma.github.io/Logging_0188/artfynd/A 30693-2022 artfynd.xlsx", "A 30693-2022")</f>
        <v/>
      </c>
      <c r="T283">
        <f>HYPERLINK("https://klasma.github.io/Logging_0188/kartor/A 30693-2022 karta.png", "A 30693-2022")</f>
        <v/>
      </c>
      <c r="V283">
        <f>HYPERLINK("https://klasma.github.io/Logging_0188/klagomål/A 30693-2022 FSC-klagomål.docx", "A 30693-2022")</f>
        <v/>
      </c>
      <c r="W283">
        <f>HYPERLINK("https://klasma.github.io/Logging_0188/klagomålsmail/A 30693-2022 FSC-klagomål mail.docx", "A 30693-2022")</f>
        <v/>
      </c>
      <c r="X283">
        <f>HYPERLINK("https://klasma.github.io/Logging_0188/tillsyn/A 30693-2022 tillsynsbegäran.docx", "A 30693-2022")</f>
        <v/>
      </c>
      <c r="Y283">
        <f>HYPERLINK("https://klasma.github.io/Logging_0188/tillsynsmail/A 30693-2022 tillsynsbegäran mail.docx", "A 30693-2022")</f>
        <v/>
      </c>
      <c r="Z283">
        <f>HYPERLINK("https://klasma.github.io/Logging_0188/fåglar/A 30693-2022 prioriterade fågelarter.docx", "A 30693-2022")</f>
        <v/>
      </c>
    </row>
    <row r="284" ht="15" customHeight="1">
      <c r="A284" t="inlineStr">
        <is>
          <t>A 31523-2022</t>
        </is>
      </c>
      <c r="B284" s="1" t="n">
        <v>44775</v>
      </c>
      <c r="C284" s="1" t="n">
        <v>45693</v>
      </c>
      <c r="D284" t="inlineStr">
        <is>
          <t>STOCKHOLMS LÄN</t>
        </is>
      </c>
      <c r="E284" t="inlineStr">
        <is>
          <t>ÖSTERÅKER</t>
        </is>
      </c>
      <c r="G284" t="n">
        <v>9</v>
      </c>
      <c r="H284" t="n">
        <v>0</v>
      </c>
      <c r="I284" t="n">
        <v>0</v>
      </c>
      <c r="J284" t="n">
        <v>2</v>
      </c>
      <c r="K284" t="n">
        <v>0</v>
      </c>
      <c r="L284" t="n">
        <v>0</v>
      </c>
      <c r="M284" t="n">
        <v>0</v>
      </c>
      <c r="N284" t="n">
        <v>0</v>
      </c>
      <c r="O284" t="n">
        <v>2</v>
      </c>
      <c r="P284" t="n">
        <v>0</v>
      </c>
      <c r="Q284" t="n">
        <v>2</v>
      </c>
      <c r="R284" s="2" t="inlineStr">
        <is>
          <t>Garnlav
Tallticka</t>
        </is>
      </c>
      <c r="S284">
        <f>HYPERLINK("https://klasma.github.io/Logging_0117/artfynd/A 31523-2022 artfynd.xlsx", "A 31523-2022")</f>
        <v/>
      </c>
      <c r="T284">
        <f>HYPERLINK("https://klasma.github.io/Logging_0117/kartor/A 31523-2022 karta.png", "A 31523-2022")</f>
        <v/>
      </c>
      <c r="V284">
        <f>HYPERLINK("https://klasma.github.io/Logging_0117/klagomål/A 31523-2022 FSC-klagomål.docx", "A 31523-2022")</f>
        <v/>
      </c>
      <c r="W284">
        <f>HYPERLINK("https://klasma.github.io/Logging_0117/klagomålsmail/A 31523-2022 FSC-klagomål mail.docx", "A 31523-2022")</f>
        <v/>
      </c>
      <c r="X284">
        <f>HYPERLINK("https://klasma.github.io/Logging_0117/tillsyn/A 31523-2022 tillsynsbegäran.docx", "A 31523-2022")</f>
        <v/>
      </c>
      <c r="Y284">
        <f>HYPERLINK("https://klasma.github.io/Logging_0117/tillsynsmail/A 31523-2022 tillsynsbegäran mail.docx", "A 31523-2022")</f>
        <v/>
      </c>
    </row>
    <row r="285" ht="15" customHeight="1">
      <c r="A285" t="inlineStr">
        <is>
          <t>A 34068-2022</t>
        </is>
      </c>
      <c r="B285" s="1" t="n">
        <v>44791</v>
      </c>
      <c r="C285" s="1" t="n">
        <v>45693</v>
      </c>
      <c r="D285" t="inlineStr">
        <is>
          <t>STOCKHOLMS LÄN</t>
        </is>
      </c>
      <c r="E285" t="inlineStr">
        <is>
          <t>SIGTUNA</t>
        </is>
      </c>
      <c r="G285" t="n">
        <v>5.8</v>
      </c>
      <c r="H285" t="n">
        <v>1</v>
      </c>
      <c r="I285" t="n">
        <v>0</v>
      </c>
      <c r="J285" t="n">
        <v>0</v>
      </c>
      <c r="K285" t="n">
        <v>0</v>
      </c>
      <c r="L285" t="n">
        <v>1</v>
      </c>
      <c r="M285" t="n">
        <v>0</v>
      </c>
      <c r="N285" t="n">
        <v>0</v>
      </c>
      <c r="O285" t="n">
        <v>1</v>
      </c>
      <c r="P285" t="n">
        <v>1</v>
      </c>
      <c r="Q285" t="n">
        <v>2</v>
      </c>
      <c r="R285" s="2" t="inlineStr">
        <is>
          <t>Ask
Gullviva</t>
        </is>
      </c>
      <c r="S285">
        <f>HYPERLINK("https://klasma.github.io/Logging_0191/artfynd/A 34068-2022 artfynd.xlsx", "A 34068-2022")</f>
        <v/>
      </c>
      <c r="T285">
        <f>HYPERLINK("https://klasma.github.io/Logging_0191/kartor/A 34068-2022 karta.png", "A 34068-2022")</f>
        <v/>
      </c>
      <c r="V285">
        <f>HYPERLINK("https://klasma.github.io/Logging_0191/klagomål/A 34068-2022 FSC-klagomål.docx", "A 34068-2022")</f>
        <v/>
      </c>
      <c r="W285">
        <f>HYPERLINK("https://klasma.github.io/Logging_0191/klagomålsmail/A 34068-2022 FSC-klagomål mail.docx", "A 34068-2022")</f>
        <v/>
      </c>
      <c r="X285">
        <f>HYPERLINK("https://klasma.github.io/Logging_0191/tillsyn/A 34068-2022 tillsynsbegäran.docx", "A 34068-2022")</f>
        <v/>
      </c>
      <c r="Y285">
        <f>HYPERLINK("https://klasma.github.io/Logging_0191/tillsynsmail/A 34068-2022 tillsynsbegäran mail.docx", "A 34068-2022")</f>
        <v/>
      </c>
    </row>
    <row r="286" ht="15" customHeight="1">
      <c r="A286" t="inlineStr">
        <is>
          <t>A 38597-2022</t>
        </is>
      </c>
      <c r="B286" s="1" t="n">
        <v>44813</v>
      </c>
      <c r="C286" s="1" t="n">
        <v>45693</v>
      </c>
      <c r="D286" t="inlineStr">
        <is>
          <t>STOCKHOLMS LÄN</t>
        </is>
      </c>
      <c r="E286" t="inlineStr">
        <is>
          <t>NORRTÄLJE</t>
        </is>
      </c>
      <c r="G286" t="n">
        <v>13.2</v>
      </c>
      <c r="H286" t="n">
        <v>1</v>
      </c>
      <c r="I286" t="n">
        <v>1</v>
      </c>
      <c r="J286" t="n">
        <v>0</v>
      </c>
      <c r="K286" t="n">
        <v>0</v>
      </c>
      <c r="L286" t="n">
        <v>1</v>
      </c>
      <c r="M286" t="n">
        <v>0</v>
      </c>
      <c r="N286" t="n">
        <v>0</v>
      </c>
      <c r="O286" t="n">
        <v>1</v>
      </c>
      <c r="P286" t="n">
        <v>1</v>
      </c>
      <c r="Q286" t="n">
        <v>2</v>
      </c>
      <c r="R286" s="2" t="inlineStr">
        <is>
          <t>Asknätfjäril
Scharlakansvårskål agg.</t>
        </is>
      </c>
      <c r="S286">
        <f>HYPERLINK("https://klasma.github.io/Logging_0188/artfynd/A 38597-2022 artfynd.xlsx", "A 38597-2022")</f>
        <v/>
      </c>
      <c r="T286">
        <f>HYPERLINK("https://klasma.github.io/Logging_0188/kartor/A 38597-2022 karta.png", "A 38597-2022")</f>
        <v/>
      </c>
      <c r="V286">
        <f>HYPERLINK("https://klasma.github.io/Logging_0188/klagomål/A 38597-2022 FSC-klagomål.docx", "A 38597-2022")</f>
        <v/>
      </c>
      <c r="W286">
        <f>HYPERLINK("https://klasma.github.io/Logging_0188/klagomålsmail/A 38597-2022 FSC-klagomål mail.docx", "A 38597-2022")</f>
        <v/>
      </c>
      <c r="X286">
        <f>HYPERLINK("https://klasma.github.io/Logging_0188/tillsyn/A 38597-2022 tillsynsbegäran.docx", "A 38597-2022")</f>
        <v/>
      </c>
      <c r="Y286">
        <f>HYPERLINK("https://klasma.github.io/Logging_0188/tillsynsmail/A 38597-2022 tillsynsbegäran mail.docx", "A 38597-2022")</f>
        <v/>
      </c>
    </row>
    <row r="287" ht="15" customHeight="1">
      <c r="A287" t="inlineStr">
        <is>
          <t>A 52046-2022</t>
        </is>
      </c>
      <c r="B287" s="1" t="n">
        <v>44868</v>
      </c>
      <c r="C287" s="1" t="n">
        <v>45693</v>
      </c>
      <c r="D287" t="inlineStr">
        <is>
          <t>STOCKHOLMS LÄN</t>
        </is>
      </c>
      <c r="E287" t="inlineStr">
        <is>
          <t>SÖDERTÄLJE</t>
        </is>
      </c>
      <c r="F287" t="inlineStr">
        <is>
          <t>Kommuner</t>
        </is>
      </c>
      <c r="G287" t="n">
        <v>22.9</v>
      </c>
      <c r="H287" t="n">
        <v>1</v>
      </c>
      <c r="I287" t="n">
        <v>1</v>
      </c>
      <c r="J287" t="n">
        <v>0</v>
      </c>
      <c r="K287" t="n">
        <v>0</v>
      </c>
      <c r="L287" t="n">
        <v>0</v>
      </c>
      <c r="M287" t="n">
        <v>0</v>
      </c>
      <c r="N287" t="n">
        <v>0</v>
      </c>
      <c r="O287" t="n">
        <v>0</v>
      </c>
      <c r="P287" t="n">
        <v>0</v>
      </c>
      <c r="Q287" t="n">
        <v>2</v>
      </c>
      <c r="R287" s="2" t="inlineStr">
        <is>
          <t>Tjockfotad fingersvamp
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52124-2022</t>
        </is>
      </c>
      <c r="B288" s="1" t="n">
        <v>44868</v>
      </c>
      <c r="C288" s="1" t="n">
        <v>45693</v>
      </c>
      <c r="D288" t="inlineStr">
        <is>
          <t>STOCKHOLMS LÄN</t>
        </is>
      </c>
      <c r="E288" t="inlineStr">
        <is>
          <t>NORRTÄLJE</t>
        </is>
      </c>
      <c r="G288" t="n">
        <v>4.8</v>
      </c>
      <c r="H288" t="n">
        <v>1</v>
      </c>
      <c r="I288" t="n">
        <v>0</v>
      </c>
      <c r="J288" t="n">
        <v>1</v>
      </c>
      <c r="K288" t="n">
        <v>0</v>
      </c>
      <c r="L288" t="n">
        <v>0</v>
      </c>
      <c r="M288" t="n">
        <v>0</v>
      </c>
      <c r="N288" t="n">
        <v>0</v>
      </c>
      <c r="O288" t="n">
        <v>1</v>
      </c>
      <c r="P288" t="n">
        <v>0</v>
      </c>
      <c r="Q288" t="n">
        <v>2</v>
      </c>
      <c r="R288" s="2" t="inlineStr">
        <is>
          <t>Kandelabersvamp
Blåsippa</t>
        </is>
      </c>
      <c r="S288">
        <f>HYPERLINK("https://klasma.github.io/Logging_0188/artfynd/A 52124-2022 artfynd.xlsx", "A 52124-2022")</f>
        <v/>
      </c>
      <c r="T288">
        <f>HYPERLINK("https://klasma.github.io/Logging_0188/kartor/A 52124-2022 karta.png", "A 52124-2022")</f>
        <v/>
      </c>
      <c r="V288">
        <f>HYPERLINK("https://klasma.github.io/Logging_0188/klagomål/A 52124-2022 FSC-klagomål.docx", "A 52124-2022")</f>
        <v/>
      </c>
      <c r="W288">
        <f>HYPERLINK("https://klasma.github.io/Logging_0188/klagomålsmail/A 52124-2022 FSC-klagomål mail.docx", "A 52124-2022")</f>
        <v/>
      </c>
      <c r="X288">
        <f>HYPERLINK("https://klasma.github.io/Logging_0188/tillsyn/A 52124-2022 tillsynsbegäran.docx", "A 52124-2022")</f>
        <v/>
      </c>
      <c r="Y288">
        <f>HYPERLINK("https://klasma.github.io/Logging_0188/tillsynsmail/A 52124-2022 tillsynsbegäran mail.docx", "A 52124-2022")</f>
        <v/>
      </c>
    </row>
    <row r="289" ht="15" customHeight="1">
      <c r="A289" t="inlineStr">
        <is>
          <t>A 51980-2022</t>
        </is>
      </c>
      <c r="B289" s="1" t="n">
        <v>44872</v>
      </c>
      <c r="C289" s="1" t="n">
        <v>45693</v>
      </c>
      <c r="D289" t="inlineStr">
        <is>
          <t>STOCKHOLMS LÄN</t>
        </is>
      </c>
      <c r="E289" t="inlineStr">
        <is>
          <t>NORRTÄLJE</t>
        </is>
      </c>
      <c r="G289" t="n">
        <v>7.9</v>
      </c>
      <c r="H289" t="n">
        <v>1</v>
      </c>
      <c r="I289" t="n">
        <v>2</v>
      </c>
      <c r="J289" t="n">
        <v>0</v>
      </c>
      <c r="K289" t="n">
        <v>0</v>
      </c>
      <c r="L289" t="n">
        <v>0</v>
      </c>
      <c r="M289" t="n">
        <v>0</v>
      </c>
      <c r="N289" t="n">
        <v>0</v>
      </c>
      <c r="O289" t="n">
        <v>0</v>
      </c>
      <c r="P289" t="n">
        <v>0</v>
      </c>
      <c r="Q289" t="n">
        <v>2</v>
      </c>
      <c r="R289" s="2" t="inlineStr">
        <is>
          <t>Rödgul trumpetsvamp
Skogsknipprot</t>
        </is>
      </c>
      <c r="S289">
        <f>HYPERLINK("https://klasma.github.io/Logging_0188/artfynd/A 51980-2022 artfynd.xlsx", "A 51980-2022")</f>
        <v/>
      </c>
      <c r="T289">
        <f>HYPERLINK("https://klasma.github.io/Logging_0188/kartor/A 51980-2022 karta.png", "A 51980-2022")</f>
        <v/>
      </c>
      <c r="V289">
        <f>HYPERLINK("https://klasma.github.io/Logging_0188/klagomål/A 51980-2022 FSC-klagomål.docx", "A 51980-2022")</f>
        <v/>
      </c>
      <c r="W289">
        <f>HYPERLINK("https://klasma.github.io/Logging_0188/klagomålsmail/A 51980-2022 FSC-klagomål mail.docx", "A 51980-2022")</f>
        <v/>
      </c>
      <c r="X289">
        <f>HYPERLINK("https://klasma.github.io/Logging_0188/tillsyn/A 51980-2022 tillsynsbegäran.docx", "A 51980-2022")</f>
        <v/>
      </c>
      <c r="Y289">
        <f>HYPERLINK("https://klasma.github.io/Logging_0188/tillsynsmail/A 51980-2022 tillsynsbegäran mail.docx", "A 51980-2022")</f>
        <v/>
      </c>
    </row>
    <row r="290" ht="15" customHeight="1">
      <c r="A290" t="inlineStr">
        <is>
          <t>A 61302-2022</t>
        </is>
      </c>
      <c r="B290" s="1" t="n">
        <v>44915</v>
      </c>
      <c r="C290" s="1" t="n">
        <v>45693</v>
      </c>
      <c r="D290" t="inlineStr">
        <is>
          <t>STOCKHOLMS LÄN</t>
        </is>
      </c>
      <c r="E290" t="inlineStr">
        <is>
          <t>SALEM</t>
        </is>
      </c>
      <c r="F290" t="inlineStr">
        <is>
          <t>Kommuner</t>
        </is>
      </c>
      <c r="G290" t="n">
        <v>14.8</v>
      </c>
      <c r="H290" t="n">
        <v>0</v>
      </c>
      <c r="I290" t="n">
        <v>2</v>
      </c>
      <c r="J290" t="n">
        <v>0</v>
      </c>
      <c r="K290" t="n">
        <v>0</v>
      </c>
      <c r="L290" t="n">
        <v>0</v>
      </c>
      <c r="M290" t="n">
        <v>0</v>
      </c>
      <c r="N290" t="n">
        <v>0</v>
      </c>
      <c r="O290" t="n">
        <v>0</v>
      </c>
      <c r="P290" t="n">
        <v>0</v>
      </c>
      <c r="Q290" t="n">
        <v>2</v>
      </c>
      <c r="R290" s="2" t="inlineStr">
        <is>
          <t>Trådticka
Zontaggsvamp</t>
        </is>
      </c>
      <c r="S290">
        <f>HYPERLINK("https://klasma.github.io/Logging_0128/artfynd/A 61302-2022 artfynd.xlsx", "A 61302-2022")</f>
        <v/>
      </c>
      <c r="T290">
        <f>HYPERLINK("https://klasma.github.io/Logging_0128/kartor/A 61302-2022 karta.png", "A 61302-2022")</f>
        <v/>
      </c>
      <c r="V290">
        <f>HYPERLINK("https://klasma.github.io/Logging_0128/klagomål/A 61302-2022 FSC-klagomål.docx", "A 61302-2022")</f>
        <v/>
      </c>
      <c r="W290">
        <f>HYPERLINK("https://klasma.github.io/Logging_0128/klagomålsmail/A 61302-2022 FSC-klagomål mail.docx", "A 61302-2022")</f>
        <v/>
      </c>
      <c r="X290">
        <f>HYPERLINK("https://klasma.github.io/Logging_0128/tillsyn/A 61302-2022 tillsynsbegäran.docx", "A 61302-2022")</f>
        <v/>
      </c>
      <c r="Y290">
        <f>HYPERLINK("https://klasma.github.io/Logging_0128/tillsynsmail/A 61302-2022 tillsynsbegäran mail.docx", "A 61302-2022")</f>
        <v/>
      </c>
    </row>
    <row r="291" ht="15" customHeight="1">
      <c r="A291" t="inlineStr">
        <is>
          <t>A 61357-2022</t>
        </is>
      </c>
      <c r="B291" s="1" t="n">
        <v>44915</v>
      </c>
      <c r="C291" s="1" t="n">
        <v>45693</v>
      </c>
      <c r="D291" t="inlineStr">
        <is>
          <t>STOCKHOLMS LÄN</t>
        </is>
      </c>
      <c r="E291" t="inlineStr">
        <is>
          <t>ÖSTERÅKER</t>
        </is>
      </c>
      <c r="G291" t="n">
        <v>3.5</v>
      </c>
      <c r="H291" t="n">
        <v>0</v>
      </c>
      <c r="I291" t="n">
        <v>2</v>
      </c>
      <c r="J291" t="n">
        <v>0</v>
      </c>
      <c r="K291" t="n">
        <v>0</v>
      </c>
      <c r="L291" t="n">
        <v>0</v>
      </c>
      <c r="M291" t="n">
        <v>0</v>
      </c>
      <c r="N291" t="n">
        <v>0</v>
      </c>
      <c r="O291" t="n">
        <v>0</v>
      </c>
      <c r="P291" t="n">
        <v>0</v>
      </c>
      <c r="Q291" t="n">
        <v>2</v>
      </c>
      <c r="R291" s="2" t="inlineStr">
        <is>
          <t>Dvärgtufs
Slanklav</t>
        </is>
      </c>
      <c r="S291">
        <f>HYPERLINK("https://klasma.github.io/Logging_0117/artfynd/A 61357-2022 artfynd.xlsx", "A 61357-2022")</f>
        <v/>
      </c>
      <c r="T291">
        <f>HYPERLINK("https://klasma.github.io/Logging_0117/kartor/A 61357-2022 karta.png", "A 61357-2022")</f>
        <v/>
      </c>
      <c r="U291">
        <f>HYPERLINK("https://klasma.github.io/Logging_0117/knärot/A 61357-2022 karta knärot.png", "A 61357-2022")</f>
        <v/>
      </c>
      <c r="V291">
        <f>HYPERLINK("https://klasma.github.io/Logging_0117/klagomål/A 61357-2022 FSC-klagomål.docx", "A 61357-2022")</f>
        <v/>
      </c>
      <c r="W291">
        <f>HYPERLINK("https://klasma.github.io/Logging_0117/klagomålsmail/A 61357-2022 FSC-klagomål mail.docx", "A 61357-2022")</f>
        <v/>
      </c>
      <c r="X291">
        <f>HYPERLINK("https://klasma.github.io/Logging_0117/tillsyn/A 61357-2022 tillsynsbegäran.docx", "A 61357-2022")</f>
        <v/>
      </c>
      <c r="Y291">
        <f>HYPERLINK("https://klasma.github.io/Logging_0117/tillsynsmail/A 61357-2022 tillsynsbegäran mail.docx", "A 61357-2022")</f>
        <v/>
      </c>
    </row>
    <row r="292" ht="15" customHeight="1">
      <c r="A292" t="inlineStr">
        <is>
          <t>A 61363-2022</t>
        </is>
      </c>
      <c r="B292" s="1" t="n">
        <v>44915</v>
      </c>
      <c r="C292" s="1" t="n">
        <v>45693</v>
      </c>
      <c r="D292" t="inlineStr">
        <is>
          <t>STOCKHOLMS LÄN</t>
        </is>
      </c>
      <c r="E292" t="inlineStr">
        <is>
          <t>ÖSTERÅKER</t>
        </is>
      </c>
      <c r="G292" t="n">
        <v>5.3</v>
      </c>
      <c r="H292" t="n">
        <v>0</v>
      </c>
      <c r="I292" t="n">
        <v>1</v>
      </c>
      <c r="J292" t="n">
        <v>1</v>
      </c>
      <c r="K292" t="n">
        <v>0</v>
      </c>
      <c r="L292" t="n">
        <v>0</v>
      </c>
      <c r="M292" t="n">
        <v>0</v>
      </c>
      <c r="N292" t="n">
        <v>0</v>
      </c>
      <c r="O292" t="n">
        <v>1</v>
      </c>
      <c r="P292" t="n">
        <v>0</v>
      </c>
      <c r="Q292" t="n">
        <v>2</v>
      </c>
      <c r="R292" s="2" t="inlineStr">
        <is>
          <t>Motaggsvamp
Skuggblåslav</t>
        </is>
      </c>
      <c r="S292">
        <f>HYPERLINK("https://klasma.github.io/Logging_0117/artfynd/A 61363-2022 artfynd.xlsx", "A 61363-2022")</f>
        <v/>
      </c>
      <c r="T292">
        <f>HYPERLINK("https://klasma.github.io/Logging_0117/kartor/A 61363-2022 karta.png", "A 61363-2022")</f>
        <v/>
      </c>
      <c r="V292">
        <f>HYPERLINK("https://klasma.github.io/Logging_0117/klagomål/A 61363-2022 FSC-klagomål.docx", "A 61363-2022")</f>
        <v/>
      </c>
      <c r="W292">
        <f>HYPERLINK("https://klasma.github.io/Logging_0117/klagomålsmail/A 61363-2022 FSC-klagomål mail.docx", "A 61363-2022")</f>
        <v/>
      </c>
      <c r="X292">
        <f>HYPERLINK("https://klasma.github.io/Logging_0117/tillsyn/A 61363-2022 tillsynsbegäran.docx", "A 61363-2022")</f>
        <v/>
      </c>
      <c r="Y292">
        <f>HYPERLINK("https://klasma.github.io/Logging_0117/tillsynsmail/A 61363-2022 tillsynsbegäran mail.docx", "A 61363-2022")</f>
        <v/>
      </c>
    </row>
    <row r="293" ht="15" customHeight="1">
      <c r="A293" t="inlineStr">
        <is>
          <t>A 1561-2023</t>
        </is>
      </c>
      <c r="B293" s="1" t="n">
        <v>44937</v>
      </c>
      <c r="C293" s="1" t="n">
        <v>45693</v>
      </c>
      <c r="D293" t="inlineStr">
        <is>
          <t>STOCKHOLMS LÄN</t>
        </is>
      </c>
      <c r="E293" t="inlineStr">
        <is>
          <t>NYNÄSHAMN</t>
        </is>
      </c>
      <c r="G293" t="n">
        <v>1.3</v>
      </c>
      <c r="H293" t="n">
        <v>1</v>
      </c>
      <c r="I293" t="n">
        <v>0</v>
      </c>
      <c r="J293" t="n">
        <v>1</v>
      </c>
      <c r="K293" t="n">
        <v>0</v>
      </c>
      <c r="L293" t="n">
        <v>0</v>
      </c>
      <c r="M293" t="n">
        <v>0</v>
      </c>
      <c r="N293" t="n">
        <v>0</v>
      </c>
      <c r="O293" t="n">
        <v>1</v>
      </c>
      <c r="P293" t="n">
        <v>0</v>
      </c>
      <c r="Q293" t="n">
        <v>2</v>
      </c>
      <c r="R293" s="2" t="inlineStr">
        <is>
          <t>Tallticka
Blåsippa</t>
        </is>
      </c>
      <c r="S293">
        <f>HYPERLINK("https://klasma.github.io/Logging_0192/artfynd/A 1561-2023 artfynd.xlsx", "A 1561-2023")</f>
        <v/>
      </c>
      <c r="T293">
        <f>HYPERLINK("https://klasma.github.io/Logging_0192/kartor/A 1561-2023 karta.png", "A 1561-2023")</f>
        <v/>
      </c>
      <c r="V293">
        <f>HYPERLINK("https://klasma.github.io/Logging_0192/klagomål/A 1561-2023 FSC-klagomål.docx", "A 1561-2023")</f>
        <v/>
      </c>
      <c r="W293">
        <f>HYPERLINK("https://klasma.github.io/Logging_0192/klagomålsmail/A 1561-2023 FSC-klagomål mail.docx", "A 1561-2023")</f>
        <v/>
      </c>
      <c r="X293">
        <f>HYPERLINK("https://klasma.github.io/Logging_0192/tillsyn/A 1561-2023 tillsynsbegäran.docx", "A 1561-2023")</f>
        <v/>
      </c>
      <c r="Y293">
        <f>HYPERLINK("https://klasma.github.io/Logging_0192/tillsynsmail/A 1561-2023 tillsynsbegäran mail.docx", "A 1561-2023")</f>
        <v/>
      </c>
    </row>
    <row r="294" ht="15" customHeight="1">
      <c r="A294" t="inlineStr">
        <is>
          <t>A 1697-2023</t>
        </is>
      </c>
      <c r="B294" s="1" t="n">
        <v>44938</v>
      </c>
      <c r="C294" s="1" t="n">
        <v>45693</v>
      </c>
      <c r="D294" t="inlineStr">
        <is>
          <t>STOCKHOLMS LÄN</t>
        </is>
      </c>
      <c r="E294" t="inlineStr">
        <is>
          <t>BOTKYRKA</t>
        </is>
      </c>
      <c r="G294" t="n">
        <v>1.1</v>
      </c>
      <c r="H294" t="n">
        <v>0</v>
      </c>
      <c r="I294" t="n">
        <v>1</v>
      </c>
      <c r="J294" t="n">
        <v>1</v>
      </c>
      <c r="K294" t="n">
        <v>0</v>
      </c>
      <c r="L294" t="n">
        <v>0</v>
      </c>
      <c r="M294" t="n">
        <v>0</v>
      </c>
      <c r="N294" t="n">
        <v>0</v>
      </c>
      <c r="O294" t="n">
        <v>1</v>
      </c>
      <c r="P294" t="n">
        <v>0</v>
      </c>
      <c r="Q294" t="n">
        <v>2</v>
      </c>
      <c r="R294" s="2" t="inlineStr">
        <is>
          <t>Lunglav
Bårdlav</t>
        </is>
      </c>
      <c r="S294">
        <f>HYPERLINK("https://klasma.github.io/Logging_0127/artfynd/A 1697-2023 artfynd.xlsx", "A 1697-2023")</f>
        <v/>
      </c>
      <c r="T294">
        <f>HYPERLINK("https://klasma.github.io/Logging_0127/kartor/A 1697-2023 karta.png", "A 1697-2023")</f>
        <v/>
      </c>
      <c r="V294">
        <f>HYPERLINK("https://klasma.github.io/Logging_0127/klagomål/A 1697-2023 FSC-klagomål.docx", "A 1697-2023")</f>
        <v/>
      </c>
      <c r="W294">
        <f>HYPERLINK("https://klasma.github.io/Logging_0127/klagomålsmail/A 1697-2023 FSC-klagomål mail.docx", "A 1697-2023")</f>
        <v/>
      </c>
      <c r="X294">
        <f>HYPERLINK("https://klasma.github.io/Logging_0127/tillsyn/A 1697-2023 tillsynsbegäran.docx", "A 1697-2023")</f>
        <v/>
      </c>
      <c r="Y294">
        <f>HYPERLINK("https://klasma.github.io/Logging_0127/tillsynsmail/A 1697-2023 tillsynsbegäran mail.docx", "A 1697-2023")</f>
        <v/>
      </c>
    </row>
    <row r="295" ht="15" customHeight="1">
      <c r="A295" t="inlineStr">
        <is>
          <t>A 2992-2023</t>
        </is>
      </c>
      <c r="B295" s="1" t="n">
        <v>44945</v>
      </c>
      <c r="C295" s="1" t="n">
        <v>45693</v>
      </c>
      <c r="D295" t="inlineStr">
        <is>
          <t>STOCKHOLMS LÄN</t>
        </is>
      </c>
      <c r="E295" t="inlineStr">
        <is>
          <t>SALEM</t>
        </is>
      </c>
      <c r="F295" t="inlineStr">
        <is>
          <t>Kommuner</t>
        </is>
      </c>
      <c r="G295" t="n">
        <v>1.7</v>
      </c>
      <c r="H295" t="n">
        <v>0</v>
      </c>
      <c r="I295" t="n">
        <v>1</v>
      </c>
      <c r="J295" t="n">
        <v>0</v>
      </c>
      <c r="K295" t="n">
        <v>1</v>
      </c>
      <c r="L295" t="n">
        <v>0</v>
      </c>
      <c r="M295" t="n">
        <v>0</v>
      </c>
      <c r="N295" t="n">
        <v>0</v>
      </c>
      <c r="O295" t="n">
        <v>1</v>
      </c>
      <c r="P295" t="n">
        <v>1</v>
      </c>
      <c r="Q295" t="n">
        <v>2</v>
      </c>
      <c r="R295" s="2" t="inlineStr">
        <is>
          <t>Rynkskinn
Blåmossa</t>
        </is>
      </c>
      <c r="S295">
        <f>HYPERLINK("https://klasma.github.io/Logging_0128/artfynd/A 2992-2023 artfynd.xlsx", "A 2992-2023")</f>
        <v/>
      </c>
      <c r="T295">
        <f>HYPERLINK("https://klasma.github.io/Logging_0128/kartor/A 2992-2023 karta.png", "A 2992-2023")</f>
        <v/>
      </c>
      <c r="V295">
        <f>HYPERLINK("https://klasma.github.io/Logging_0128/klagomål/A 2992-2023 FSC-klagomål.docx", "A 2992-2023")</f>
        <v/>
      </c>
      <c r="W295">
        <f>HYPERLINK("https://klasma.github.io/Logging_0128/klagomålsmail/A 2992-2023 FSC-klagomål mail.docx", "A 2992-2023")</f>
        <v/>
      </c>
      <c r="X295">
        <f>HYPERLINK("https://klasma.github.io/Logging_0128/tillsyn/A 2992-2023 tillsynsbegäran.docx", "A 2992-2023")</f>
        <v/>
      </c>
      <c r="Y295">
        <f>HYPERLINK("https://klasma.github.io/Logging_0128/tillsynsmail/A 2992-2023 tillsynsbegäran mail.docx", "A 2992-2023")</f>
        <v/>
      </c>
    </row>
    <row r="296" ht="15" customHeight="1">
      <c r="A296" t="inlineStr">
        <is>
          <t>A 5567-2023</t>
        </is>
      </c>
      <c r="B296" s="1" t="n">
        <v>44960</v>
      </c>
      <c r="C296" s="1" t="n">
        <v>45693</v>
      </c>
      <c r="D296" t="inlineStr">
        <is>
          <t>STOCKHOLMS LÄN</t>
        </is>
      </c>
      <c r="E296" t="inlineStr">
        <is>
          <t>NYNÄSHAMN</t>
        </is>
      </c>
      <c r="G296" t="n">
        <v>10.1</v>
      </c>
      <c r="H296" t="n">
        <v>1</v>
      </c>
      <c r="I296" t="n">
        <v>1</v>
      </c>
      <c r="J296" t="n">
        <v>0</v>
      </c>
      <c r="K296" t="n">
        <v>0</v>
      </c>
      <c r="L296" t="n">
        <v>0</v>
      </c>
      <c r="M296" t="n">
        <v>0</v>
      </c>
      <c r="N296" t="n">
        <v>0</v>
      </c>
      <c r="O296" t="n">
        <v>0</v>
      </c>
      <c r="P296" t="n">
        <v>0</v>
      </c>
      <c r="Q296" t="n">
        <v>2</v>
      </c>
      <c r="R296" s="2" t="inlineStr">
        <is>
          <t>Sårläka
Blåsippa</t>
        </is>
      </c>
      <c r="S296">
        <f>HYPERLINK("https://klasma.github.io/Logging_0192/artfynd/A 5567-2023 artfynd.xlsx", "A 5567-2023")</f>
        <v/>
      </c>
      <c r="T296">
        <f>HYPERLINK("https://klasma.github.io/Logging_0192/kartor/A 5567-2023 karta.png", "A 5567-2023")</f>
        <v/>
      </c>
      <c r="V296">
        <f>HYPERLINK("https://klasma.github.io/Logging_0192/klagomål/A 5567-2023 FSC-klagomål.docx", "A 5567-2023")</f>
        <v/>
      </c>
      <c r="W296">
        <f>HYPERLINK("https://klasma.github.io/Logging_0192/klagomålsmail/A 5567-2023 FSC-klagomål mail.docx", "A 5567-2023")</f>
        <v/>
      </c>
      <c r="X296">
        <f>HYPERLINK("https://klasma.github.io/Logging_0192/tillsyn/A 5567-2023 tillsynsbegäran.docx", "A 5567-2023")</f>
        <v/>
      </c>
      <c r="Y296">
        <f>HYPERLINK("https://klasma.github.io/Logging_0192/tillsynsmail/A 5567-2023 tillsynsbegäran mail.docx", "A 5567-2023")</f>
        <v/>
      </c>
    </row>
    <row r="297" ht="15" customHeight="1">
      <c r="A297" t="inlineStr">
        <is>
          <t>A 7341-2023</t>
        </is>
      </c>
      <c r="B297" s="1" t="n">
        <v>44971</v>
      </c>
      <c r="C297" s="1" t="n">
        <v>45693</v>
      </c>
      <c r="D297" t="inlineStr">
        <is>
          <t>STOCKHOLMS LÄN</t>
        </is>
      </c>
      <c r="E297" t="inlineStr">
        <is>
          <t>NORRTÄLJE</t>
        </is>
      </c>
      <c r="F297" t="inlineStr">
        <is>
          <t>Holmen skog AB</t>
        </is>
      </c>
      <c r="G297" t="n">
        <v>10.7</v>
      </c>
      <c r="H297" t="n">
        <v>0</v>
      </c>
      <c r="I297" t="n">
        <v>0</v>
      </c>
      <c r="J297" t="n">
        <v>2</v>
      </c>
      <c r="K297" t="n">
        <v>0</v>
      </c>
      <c r="L297" t="n">
        <v>0</v>
      </c>
      <c r="M297" t="n">
        <v>0</v>
      </c>
      <c r="N297" t="n">
        <v>0</v>
      </c>
      <c r="O297" t="n">
        <v>2</v>
      </c>
      <c r="P297" t="n">
        <v>0</v>
      </c>
      <c r="Q297" t="n">
        <v>2</v>
      </c>
      <c r="R297" s="2" t="inlineStr">
        <is>
          <t>Mindre bastardsvärmare
Smalsprötad bastardsvärmare</t>
        </is>
      </c>
      <c r="S297">
        <f>HYPERLINK("https://klasma.github.io/Logging_0188/artfynd/A 7341-2023 artfynd.xlsx", "A 7341-2023")</f>
        <v/>
      </c>
      <c r="T297">
        <f>HYPERLINK("https://klasma.github.io/Logging_0188/kartor/A 7341-2023 karta.png", "A 7341-2023")</f>
        <v/>
      </c>
      <c r="V297">
        <f>HYPERLINK("https://klasma.github.io/Logging_0188/klagomål/A 7341-2023 FSC-klagomål.docx", "A 7341-2023")</f>
        <v/>
      </c>
      <c r="W297">
        <f>HYPERLINK("https://klasma.github.io/Logging_0188/klagomålsmail/A 7341-2023 FSC-klagomål mail.docx", "A 7341-2023")</f>
        <v/>
      </c>
      <c r="X297">
        <f>HYPERLINK("https://klasma.github.io/Logging_0188/tillsyn/A 7341-2023 tillsynsbegäran.docx", "A 7341-2023")</f>
        <v/>
      </c>
      <c r="Y297">
        <f>HYPERLINK("https://klasma.github.io/Logging_0188/tillsynsmail/A 7341-2023 tillsynsbegäran mail.docx", "A 7341-2023")</f>
        <v/>
      </c>
    </row>
    <row r="298" ht="15" customHeight="1">
      <c r="A298" t="inlineStr">
        <is>
          <t>A 10136-2023</t>
        </is>
      </c>
      <c r="B298" s="1" t="n">
        <v>44986</v>
      </c>
      <c r="C298" s="1" t="n">
        <v>45693</v>
      </c>
      <c r="D298" t="inlineStr">
        <is>
          <t>STOCKHOLMS LÄN</t>
        </is>
      </c>
      <c r="E298" t="inlineStr">
        <is>
          <t>NORRTÄLJE</t>
        </is>
      </c>
      <c r="F298" t="inlineStr">
        <is>
          <t>Övriga statliga verk och myndigheter</t>
        </is>
      </c>
      <c r="G298" t="n">
        <v>3.6</v>
      </c>
      <c r="H298" t="n">
        <v>0</v>
      </c>
      <c r="I298" t="n">
        <v>0</v>
      </c>
      <c r="J298" t="n">
        <v>1</v>
      </c>
      <c r="K298" t="n">
        <v>1</v>
      </c>
      <c r="L298" t="n">
        <v>0</v>
      </c>
      <c r="M298" t="n">
        <v>0</v>
      </c>
      <c r="N298" t="n">
        <v>0</v>
      </c>
      <c r="O298" t="n">
        <v>2</v>
      </c>
      <c r="P298" t="n">
        <v>1</v>
      </c>
      <c r="Q298" t="n">
        <v>2</v>
      </c>
      <c r="R298" s="2" t="inlineStr">
        <is>
          <t>Svartfjällig musseron
Persiljespindling</t>
        </is>
      </c>
      <c r="S298">
        <f>HYPERLINK("https://klasma.github.io/Logging_0188/artfynd/A 10136-2023 artfynd.xlsx", "A 10136-2023")</f>
        <v/>
      </c>
      <c r="T298">
        <f>HYPERLINK("https://klasma.github.io/Logging_0188/kartor/A 10136-2023 karta.png", "A 10136-2023")</f>
        <v/>
      </c>
      <c r="V298">
        <f>HYPERLINK("https://klasma.github.io/Logging_0188/klagomål/A 10136-2023 FSC-klagomål.docx", "A 10136-2023")</f>
        <v/>
      </c>
      <c r="W298">
        <f>HYPERLINK("https://klasma.github.io/Logging_0188/klagomålsmail/A 10136-2023 FSC-klagomål mail.docx", "A 10136-2023")</f>
        <v/>
      </c>
      <c r="X298">
        <f>HYPERLINK("https://klasma.github.io/Logging_0188/tillsyn/A 10136-2023 tillsynsbegäran.docx", "A 10136-2023")</f>
        <v/>
      </c>
      <c r="Y298">
        <f>HYPERLINK("https://klasma.github.io/Logging_0188/tillsynsmail/A 10136-2023 tillsynsbegäran mail.docx", "A 10136-2023")</f>
        <v/>
      </c>
    </row>
    <row r="299" ht="15" customHeight="1">
      <c r="A299" t="inlineStr">
        <is>
          <t>A 14729-2023</t>
        </is>
      </c>
      <c r="B299" s="1" t="n">
        <v>45014</v>
      </c>
      <c r="C299" s="1" t="n">
        <v>45693</v>
      </c>
      <c r="D299" t="inlineStr">
        <is>
          <t>STOCKHOLMS LÄN</t>
        </is>
      </c>
      <c r="E299" t="inlineStr">
        <is>
          <t>HANINGE</t>
        </is>
      </c>
      <c r="G299" t="n">
        <v>0.2</v>
      </c>
      <c r="H299" t="n">
        <v>0</v>
      </c>
      <c r="I299" t="n">
        <v>1</v>
      </c>
      <c r="J299" t="n">
        <v>1</v>
      </c>
      <c r="K299" t="n">
        <v>0</v>
      </c>
      <c r="L299" t="n">
        <v>0</v>
      </c>
      <c r="M299" t="n">
        <v>0</v>
      </c>
      <c r="N299" t="n">
        <v>0</v>
      </c>
      <c r="O299" t="n">
        <v>1</v>
      </c>
      <c r="P299" t="n">
        <v>0</v>
      </c>
      <c r="Q299" t="n">
        <v>2</v>
      </c>
      <c r="R299" s="2" t="inlineStr">
        <is>
          <t>Ullticka
Mindre märgborre</t>
        </is>
      </c>
      <c r="S299">
        <f>HYPERLINK("https://klasma.github.io/Logging_0136/artfynd/A 14729-2023 artfynd.xlsx", "A 14729-2023")</f>
        <v/>
      </c>
      <c r="T299">
        <f>HYPERLINK("https://klasma.github.io/Logging_0136/kartor/A 14729-2023 karta.png", "A 14729-2023")</f>
        <v/>
      </c>
      <c r="V299">
        <f>HYPERLINK("https://klasma.github.io/Logging_0136/klagomål/A 14729-2023 FSC-klagomål.docx", "A 14729-2023")</f>
        <v/>
      </c>
      <c r="W299">
        <f>HYPERLINK("https://klasma.github.io/Logging_0136/klagomålsmail/A 14729-2023 FSC-klagomål mail.docx", "A 14729-2023")</f>
        <v/>
      </c>
      <c r="X299">
        <f>HYPERLINK("https://klasma.github.io/Logging_0136/tillsyn/A 14729-2023 tillsynsbegäran.docx", "A 14729-2023")</f>
        <v/>
      </c>
      <c r="Y299">
        <f>HYPERLINK("https://klasma.github.io/Logging_0136/tillsynsmail/A 14729-2023 tillsynsbegäran mail.docx", "A 14729-2023")</f>
        <v/>
      </c>
    </row>
    <row r="300" ht="15" customHeight="1">
      <c r="A300" t="inlineStr">
        <is>
          <t>A 15574-2023</t>
        </is>
      </c>
      <c r="B300" s="1" t="n">
        <v>45020</v>
      </c>
      <c r="C300" s="1" t="n">
        <v>45693</v>
      </c>
      <c r="D300" t="inlineStr">
        <is>
          <t>STOCKHOLMS LÄN</t>
        </is>
      </c>
      <c r="E300" t="inlineStr">
        <is>
          <t>NYKVARN</t>
        </is>
      </c>
      <c r="F300" t="inlineStr">
        <is>
          <t>Sveaskog</t>
        </is>
      </c>
      <c r="G300" t="n">
        <v>17.7</v>
      </c>
      <c r="H300" t="n">
        <v>0</v>
      </c>
      <c r="I300" t="n">
        <v>1</v>
      </c>
      <c r="J300" t="n">
        <v>1</v>
      </c>
      <c r="K300" t="n">
        <v>0</v>
      </c>
      <c r="L300" t="n">
        <v>0</v>
      </c>
      <c r="M300" t="n">
        <v>0</v>
      </c>
      <c r="N300" t="n">
        <v>0</v>
      </c>
      <c r="O300" t="n">
        <v>1</v>
      </c>
      <c r="P300" t="n">
        <v>0</v>
      </c>
      <c r="Q300" t="n">
        <v>2</v>
      </c>
      <c r="R300" s="2" t="inlineStr">
        <is>
          <t>Rödbrun blekspik
Gulpudrad spiklav</t>
        </is>
      </c>
      <c r="S300">
        <f>HYPERLINK("https://klasma.github.io/Logging_0140/artfynd/A 15574-2023 artfynd.xlsx", "A 15574-2023")</f>
        <v/>
      </c>
      <c r="T300">
        <f>HYPERLINK("https://klasma.github.io/Logging_0140/kartor/A 15574-2023 karta.png", "A 15574-2023")</f>
        <v/>
      </c>
      <c r="V300">
        <f>HYPERLINK("https://klasma.github.io/Logging_0140/klagomål/A 15574-2023 FSC-klagomål.docx", "A 15574-2023")</f>
        <v/>
      </c>
      <c r="W300">
        <f>HYPERLINK("https://klasma.github.io/Logging_0140/klagomålsmail/A 15574-2023 FSC-klagomål mail.docx", "A 15574-2023")</f>
        <v/>
      </c>
      <c r="X300">
        <f>HYPERLINK("https://klasma.github.io/Logging_0140/tillsyn/A 15574-2023 tillsynsbegäran.docx", "A 15574-2023")</f>
        <v/>
      </c>
      <c r="Y300">
        <f>HYPERLINK("https://klasma.github.io/Logging_0140/tillsynsmail/A 15574-2023 tillsynsbegäran mail.docx", "A 15574-2023")</f>
        <v/>
      </c>
    </row>
    <row r="301" ht="15" customHeight="1">
      <c r="A301" t="inlineStr">
        <is>
          <t>A 21748-2023</t>
        </is>
      </c>
      <c r="B301" s="1" t="n">
        <v>45065</v>
      </c>
      <c r="C301" s="1" t="n">
        <v>45693</v>
      </c>
      <c r="D301" t="inlineStr">
        <is>
          <t>STOCKHOLMS LÄN</t>
        </is>
      </c>
      <c r="E301" t="inlineStr">
        <is>
          <t>NORRTÄLJE</t>
        </is>
      </c>
      <c r="F301" t="inlineStr">
        <is>
          <t>Holmen skog AB</t>
        </is>
      </c>
      <c r="G301" t="n">
        <v>2.4</v>
      </c>
      <c r="H301" t="n">
        <v>0</v>
      </c>
      <c r="I301" t="n">
        <v>2</v>
      </c>
      <c r="J301" t="n">
        <v>0</v>
      </c>
      <c r="K301" t="n">
        <v>0</v>
      </c>
      <c r="L301" t="n">
        <v>0</v>
      </c>
      <c r="M301" t="n">
        <v>0</v>
      </c>
      <c r="N301" t="n">
        <v>0</v>
      </c>
      <c r="O301" t="n">
        <v>0</v>
      </c>
      <c r="P301" t="n">
        <v>0</v>
      </c>
      <c r="Q301" t="n">
        <v>2</v>
      </c>
      <c r="R301" s="2" t="inlineStr">
        <is>
          <t>Aspvedgnagare
Tibast</t>
        </is>
      </c>
      <c r="S301">
        <f>HYPERLINK("https://klasma.github.io/Logging_0188/artfynd/A 21748-2023 artfynd.xlsx", "A 21748-2023")</f>
        <v/>
      </c>
      <c r="T301">
        <f>HYPERLINK("https://klasma.github.io/Logging_0188/kartor/A 21748-2023 karta.png", "A 21748-2023")</f>
        <v/>
      </c>
      <c r="V301">
        <f>HYPERLINK("https://klasma.github.io/Logging_0188/klagomål/A 21748-2023 FSC-klagomål.docx", "A 21748-2023")</f>
        <v/>
      </c>
      <c r="W301">
        <f>HYPERLINK("https://klasma.github.io/Logging_0188/klagomålsmail/A 21748-2023 FSC-klagomål mail.docx", "A 21748-2023")</f>
        <v/>
      </c>
      <c r="X301">
        <f>HYPERLINK("https://klasma.github.io/Logging_0188/tillsyn/A 21748-2023 tillsynsbegäran.docx", "A 21748-2023")</f>
        <v/>
      </c>
      <c r="Y301">
        <f>HYPERLINK("https://klasma.github.io/Logging_0188/tillsynsmail/A 21748-2023 tillsynsbegäran mail.docx", "A 21748-2023")</f>
        <v/>
      </c>
    </row>
    <row r="302" ht="15" customHeight="1">
      <c r="A302" t="inlineStr">
        <is>
          <t>A 23861-2023</t>
        </is>
      </c>
      <c r="B302" s="1" t="n">
        <v>45078</v>
      </c>
      <c r="C302" s="1" t="n">
        <v>45693</v>
      </c>
      <c r="D302" t="inlineStr">
        <is>
          <t>STOCKHOLMS LÄN</t>
        </is>
      </c>
      <c r="E302" t="inlineStr">
        <is>
          <t>NORRTÄLJE</t>
        </is>
      </c>
      <c r="G302" t="n">
        <v>3.3</v>
      </c>
      <c r="H302" t="n">
        <v>1</v>
      </c>
      <c r="I302" t="n">
        <v>1</v>
      </c>
      <c r="J302" t="n">
        <v>0</v>
      </c>
      <c r="K302" t="n">
        <v>0</v>
      </c>
      <c r="L302" t="n">
        <v>0</v>
      </c>
      <c r="M302" t="n">
        <v>0</v>
      </c>
      <c r="N302" t="n">
        <v>0</v>
      </c>
      <c r="O302" t="n">
        <v>0</v>
      </c>
      <c r="P302" t="n">
        <v>0</v>
      </c>
      <c r="Q302" t="n">
        <v>2</v>
      </c>
      <c r="R302" s="2" t="inlineStr">
        <is>
          <t>Tibast
Blåsippa</t>
        </is>
      </c>
      <c r="S302">
        <f>HYPERLINK("https://klasma.github.io/Logging_0188/artfynd/A 23861-2023 artfynd.xlsx", "A 23861-2023")</f>
        <v/>
      </c>
      <c r="T302">
        <f>HYPERLINK("https://klasma.github.io/Logging_0188/kartor/A 23861-2023 karta.png", "A 23861-2023")</f>
        <v/>
      </c>
      <c r="V302">
        <f>HYPERLINK("https://klasma.github.io/Logging_0188/klagomål/A 23861-2023 FSC-klagomål.docx", "A 23861-2023")</f>
        <v/>
      </c>
      <c r="W302">
        <f>HYPERLINK("https://klasma.github.io/Logging_0188/klagomålsmail/A 23861-2023 FSC-klagomål mail.docx", "A 23861-2023")</f>
        <v/>
      </c>
      <c r="X302">
        <f>HYPERLINK("https://klasma.github.io/Logging_0188/tillsyn/A 23861-2023 tillsynsbegäran.docx", "A 23861-2023")</f>
        <v/>
      </c>
      <c r="Y302">
        <f>HYPERLINK("https://klasma.github.io/Logging_0188/tillsynsmail/A 23861-2023 tillsynsbegäran mail.docx", "A 23861-2023")</f>
        <v/>
      </c>
    </row>
    <row r="303" ht="15" customHeight="1">
      <c r="A303" t="inlineStr">
        <is>
          <t>A 32317-2023</t>
        </is>
      </c>
      <c r="B303" s="1" t="n">
        <v>45120</v>
      </c>
      <c r="C303" s="1" t="n">
        <v>45693</v>
      </c>
      <c r="D303" t="inlineStr">
        <is>
          <t>STOCKHOLMS LÄN</t>
        </is>
      </c>
      <c r="E303" t="inlineStr">
        <is>
          <t>VÄRMDÖ</t>
        </is>
      </c>
      <c r="G303" t="n">
        <v>21.2</v>
      </c>
      <c r="H303" t="n">
        <v>2</v>
      </c>
      <c r="I303" t="n">
        <v>0</v>
      </c>
      <c r="J303" t="n">
        <v>0</v>
      </c>
      <c r="K303" t="n">
        <v>0</v>
      </c>
      <c r="L303" t="n">
        <v>0</v>
      </c>
      <c r="M303" t="n">
        <v>0</v>
      </c>
      <c r="N303" t="n">
        <v>0</v>
      </c>
      <c r="O303" t="n">
        <v>0</v>
      </c>
      <c r="P303" t="n">
        <v>0</v>
      </c>
      <c r="Q303" t="n">
        <v>2</v>
      </c>
      <c r="R303" s="2" t="inlineStr">
        <is>
          <t>Adam och eva
Gullviva</t>
        </is>
      </c>
      <c r="S303">
        <f>HYPERLINK("https://klasma.github.io/Logging_0120/artfynd/A 32317-2023 artfynd.xlsx", "A 32317-2023")</f>
        <v/>
      </c>
      <c r="T303">
        <f>HYPERLINK("https://klasma.github.io/Logging_0120/kartor/A 32317-2023 karta.png", "A 32317-2023")</f>
        <v/>
      </c>
      <c r="V303">
        <f>HYPERLINK("https://klasma.github.io/Logging_0120/klagomål/A 32317-2023 FSC-klagomål.docx", "A 32317-2023")</f>
        <v/>
      </c>
      <c r="W303">
        <f>HYPERLINK("https://klasma.github.io/Logging_0120/klagomålsmail/A 32317-2023 FSC-klagomål mail.docx", "A 32317-2023")</f>
        <v/>
      </c>
      <c r="X303">
        <f>HYPERLINK("https://klasma.github.io/Logging_0120/tillsyn/A 32317-2023 tillsynsbegäran.docx", "A 32317-2023")</f>
        <v/>
      </c>
      <c r="Y303">
        <f>HYPERLINK("https://klasma.github.io/Logging_0120/tillsynsmail/A 32317-2023 tillsynsbegäran mail.docx", "A 32317-2023")</f>
        <v/>
      </c>
    </row>
    <row r="304" ht="15" customHeight="1">
      <c r="A304" t="inlineStr">
        <is>
          <t>A 33165-2023</t>
        </is>
      </c>
      <c r="B304" s="1" t="n">
        <v>45126</v>
      </c>
      <c r="C304" s="1" t="n">
        <v>45693</v>
      </c>
      <c r="D304" t="inlineStr">
        <is>
          <t>STOCKHOLMS LÄN</t>
        </is>
      </c>
      <c r="E304" t="inlineStr">
        <is>
          <t>VÄRMDÖ</t>
        </is>
      </c>
      <c r="G304" t="n">
        <v>9.1</v>
      </c>
      <c r="H304" t="n">
        <v>0</v>
      </c>
      <c r="I304" t="n">
        <v>0</v>
      </c>
      <c r="J304" t="n">
        <v>0</v>
      </c>
      <c r="K304" t="n">
        <v>1</v>
      </c>
      <c r="L304" t="n">
        <v>1</v>
      </c>
      <c r="M304" t="n">
        <v>0</v>
      </c>
      <c r="N304" t="n">
        <v>0</v>
      </c>
      <c r="O304" t="n">
        <v>2</v>
      </c>
      <c r="P304" t="n">
        <v>2</v>
      </c>
      <c r="Q304" t="n">
        <v>2</v>
      </c>
      <c r="R304" s="2" t="inlineStr">
        <is>
          <t>Ask
Mörk kraterlav</t>
        </is>
      </c>
      <c r="S304">
        <f>HYPERLINK("https://klasma.github.io/Logging_0120/artfynd/A 33165-2023 artfynd.xlsx", "A 33165-2023")</f>
        <v/>
      </c>
      <c r="T304">
        <f>HYPERLINK("https://klasma.github.io/Logging_0120/kartor/A 33165-2023 karta.png", "A 33165-2023")</f>
        <v/>
      </c>
      <c r="V304">
        <f>HYPERLINK("https://klasma.github.io/Logging_0120/klagomål/A 33165-2023 FSC-klagomål.docx", "A 33165-2023")</f>
        <v/>
      </c>
      <c r="W304">
        <f>HYPERLINK("https://klasma.github.io/Logging_0120/klagomålsmail/A 33165-2023 FSC-klagomål mail.docx", "A 33165-2023")</f>
        <v/>
      </c>
      <c r="X304">
        <f>HYPERLINK("https://klasma.github.io/Logging_0120/tillsyn/A 33165-2023 tillsynsbegäran.docx", "A 33165-2023")</f>
        <v/>
      </c>
      <c r="Y304">
        <f>HYPERLINK("https://klasma.github.io/Logging_0120/tillsynsmail/A 33165-2023 tillsynsbegäran mail.docx", "A 33165-2023")</f>
        <v/>
      </c>
    </row>
    <row r="305" ht="15" customHeight="1">
      <c r="A305" t="inlineStr">
        <is>
          <t>A 33287-2023</t>
        </is>
      </c>
      <c r="B305" s="1" t="n">
        <v>45127</v>
      </c>
      <c r="C305" s="1" t="n">
        <v>45693</v>
      </c>
      <c r="D305" t="inlineStr">
        <is>
          <t>STOCKHOLMS LÄN</t>
        </is>
      </c>
      <c r="E305" t="inlineStr">
        <is>
          <t>NORRTÄLJE</t>
        </is>
      </c>
      <c r="F305" t="inlineStr">
        <is>
          <t>Holmen skog AB</t>
        </is>
      </c>
      <c r="G305" t="n">
        <v>3.3</v>
      </c>
      <c r="H305" t="n">
        <v>0</v>
      </c>
      <c r="I305" t="n">
        <v>0</v>
      </c>
      <c r="J305" t="n">
        <v>2</v>
      </c>
      <c r="K305" t="n">
        <v>0</v>
      </c>
      <c r="L305" t="n">
        <v>0</v>
      </c>
      <c r="M305" t="n">
        <v>0</v>
      </c>
      <c r="N305" t="n">
        <v>0</v>
      </c>
      <c r="O305" t="n">
        <v>2</v>
      </c>
      <c r="P305" t="n">
        <v>0</v>
      </c>
      <c r="Q305" t="n">
        <v>2</v>
      </c>
      <c r="R305" s="2" t="inlineStr">
        <is>
          <t>Smalsprötad bastardsvärmare
Violettkantad guldvinge</t>
        </is>
      </c>
      <c r="S305">
        <f>HYPERLINK("https://klasma.github.io/Logging_0188/artfynd/A 33287-2023 artfynd.xlsx", "A 33287-2023")</f>
        <v/>
      </c>
      <c r="T305">
        <f>HYPERLINK("https://klasma.github.io/Logging_0188/kartor/A 33287-2023 karta.png", "A 33287-2023")</f>
        <v/>
      </c>
      <c r="V305">
        <f>HYPERLINK("https://klasma.github.io/Logging_0188/klagomål/A 33287-2023 FSC-klagomål.docx", "A 33287-2023")</f>
        <v/>
      </c>
      <c r="W305">
        <f>HYPERLINK("https://klasma.github.io/Logging_0188/klagomålsmail/A 33287-2023 FSC-klagomål mail.docx", "A 33287-2023")</f>
        <v/>
      </c>
      <c r="X305">
        <f>HYPERLINK("https://klasma.github.io/Logging_0188/tillsyn/A 33287-2023 tillsynsbegäran.docx", "A 33287-2023")</f>
        <v/>
      </c>
      <c r="Y305">
        <f>HYPERLINK("https://klasma.github.io/Logging_0188/tillsynsmail/A 33287-2023 tillsynsbegäran mail.docx", "A 33287-2023")</f>
        <v/>
      </c>
    </row>
    <row r="306" ht="15" customHeight="1">
      <c r="A306" t="inlineStr">
        <is>
          <t>A 35937-2023</t>
        </is>
      </c>
      <c r="B306" s="1" t="n">
        <v>45148</v>
      </c>
      <c r="C306" s="1" t="n">
        <v>45693</v>
      </c>
      <c r="D306" t="inlineStr">
        <is>
          <t>STOCKHOLMS LÄN</t>
        </is>
      </c>
      <c r="E306" t="inlineStr">
        <is>
          <t>SÖDERTÄLJE</t>
        </is>
      </c>
      <c r="G306" t="n">
        <v>3</v>
      </c>
      <c r="H306" t="n">
        <v>0</v>
      </c>
      <c r="I306" t="n">
        <v>0</v>
      </c>
      <c r="J306" t="n">
        <v>0</v>
      </c>
      <c r="K306" t="n">
        <v>0</v>
      </c>
      <c r="L306" t="n">
        <v>1</v>
      </c>
      <c r="M306" t="n">
        <v>1</v>
      </c>
      <c r="N306" t="n">
        <v>0</v>
      </c>
      <c r="O306" t="n">
        <v>2</v>
      </c>
      <c r="P306" t="n">
        <v>2</v>
      </c>
      <c r="Q306" t="n">
        <v>2</v>
      </c>
      <c r="R306" s="2" t="inlineStr">
        <is>
          <t>Skogsalm
Ask</t>
        </is>
      </c>
      <c r="S306">
        <f>HYPERLINK("https://klasma.github.io/Logging_0181/artfynd/A 35937-2023 artfynd.xlsx", "A 35937-2023")</f>
        <v/>
      </c>
      <c r="T306">
        <f>HYPERLINK("https://klasma.github.io/Logging_0181/kartor/A 35937-2023 karta.png", "A 35937-2023")</f>
        <v/>
      </c>
      <c r="V306">
        <f>HYPERLINK("https://klasma.github.io/Logging_0181/klagomål/A 35937-2023 FSC-klagomål.docx", "A 35937-2023")</f>
        <v/>
      </c>
      <c r="W306">
        <f>HYPERLINK("https://klasma.github.io/Logging_0181/klagomålsmail/A 35937-2023 FSC-klagomål mail.docx", "A 35937-2023")</f>
        <v/>
      </c>
      <c r="X306">
        <f>HYPERLINK("https://klasma.github.io/Logging_0181/tillsyn/A 35937-2023 tillsynsbegäran.docx", "A 35937-2023")</f>
        <v/>
      </c>
      <c r="Y306">
        <f>HYPERLINK("https://klasma.github.io/Logging_0181/tillsynsmail/A 35937-2023 tillsynsbegäran mail.docx", "A 35937-2023")</f>
        <v/>
      </c>
    </row>
    <row r="307" ht="15" customHeight="1">
      <c r="A307" t="inlineStr">
        <is>
          <t>A 40444-2023</t>
        </is>
      </c>
      <c r="B307" s="1" t="n">
        <v>45170</v>
      </c>
      <c r="C307" s="1" t="n">
        <v>45693</v>
      </c>
      <c r="D307" t="inlineStr">
        <is>
          <t>STOCKHOLMS LÄN</t>
        </is>
      </c>
      <c r="E307" t="inlineStr">
        <is>
          <t>BOTKYRKA</t>
        </is>
      </c>
      <c r="F307" t="inlineStr">
        <is>
          <t>Övriga Aktiebolag</t>
        </is>
      </c>
      <c r="G307" t="n">
        <v>0.6</v>
      </c>
      <c r="H307" t="n">
        <v>2</v>
      </c>
      <c r="I307" t="n">
        <v>0</v>
      </c>
      <c r="J307" t="n">
        <v>1</v>
      </c>
      <c r="K307" t="n">
        <v>0</v>
      </c>
      <c r="L307" t="n">
        <v>0</v>
      </c>
      <c r="M307" t="n">
        <v>0</v>
      </c>
      <c r="N307" t="n">
        <v>0</v>
      </c>
      <c r="O307" t="n">
        <v>1</v>
      </c>
      <c r="P307" t="n">
        <v>0</v>
      </c>
      <c r="Q307" t="n">
        <v>2</v>
      </c>
      <c r="R307" s="2" t="inlineStr">
        <is>
          <t>Gulsparv
Kopparödla</t>
        </is>
      </c>
      <c r="S307">
        <f>HYPERLINK("https://klasma.github.io/Logging_0127/artfynd/A 40444-2023 artfynd.xlsx", "A 40444-2023")</f>
        <v/>
      </c>
      <c r="T307">
        <f>HYPERLINK("https://klasma.github.io/Logging_0127/kartor/A 40444-2023 karta.png", "A 40444-2023")</f>
        <v/>
      </c>
      <c r="V307">
        <f>HYPERLINK("https://klasma.github.io/Logging_0127/klagomål/A 40444-2023 FSC-klagomål.docx", "A 40444-2023")</f>
        <v/>
      </c>
      <c r="W307">
        <f>HYPERLINK("https://klasma.github.io/Logging_0127/klagomålsmail/A 40444-2023 FSC-klagomål mail.docx", "A 40444-2023")</f>
        <v/>
      </c>
      <c r="X307">
        <f>HYPERLINK("https://klasma.github.io/Logging_0127/tillsyn/A 40444-2023 tillsynsbegäran.docx", "A 40444-2023")</f>
        <v/>
      </c>
      <c r="Y307">
        <f>HYPERLINK("https://klasma.github.io/Logging_0127/tillsynsmail/A 40444-2023 tillsynsbegäran mail.docx", "A 40444-2023")</f>
        <v/>
      </c>
      <c r="Z307">
        <f>HYPERLINK("https://klasma.github.io/Logging_0127/fåglar/A 40444-2023 prioriterade fågelarter.docx", "A 40444-2023")</f>
        <v/>
      </c>
    </row>
    <row r="308" ht="15" customHeight="1">
      <c r="A308" t="inlineStr">
        <is>
          <t>A 41021-2023</t>
        </is>
      </c>
      <c r="B308" s="1" t="n">
        <v>45173</v>
      </c>
      <c r="C308" s="1" t="n">
        <v>45693</v>
      </c>
      <c r="D308" t="inlineStr">
        <is>
          <t>STOCKHOLMS LÄN</t>
        </is>
      </c>
      <c r="E308" t="inlineStr">
        <is>
          <t>VALLENTUNA</t>
        </is>
      </c>
      <c r="G308" t="n">
        <v>3</v>
      </c>
      <c r="H308" t="n">
        <v>0</v>
      </c>
      <c r="I308" t="n">
        <v>1</v>
      </c>
      <c r="J308" t="n">
        <v>1</v>
      </c>
      <c r="K308" t="n">
        <v>0</v>
      </c>
      <c r="L308" t="n">
        <v>0</v>
      </c>
      <c r="M308" t="n">
        <v>0</v>
      </c>
      <c r="N308" t="n">
        <v>0</v>
      </c>
      <c r="O308" t="n">
        <v>1</v>
      </c>
      <c r="P308" t="n">
        <v>0</v>
      </c>
      <c r="Q308" t="n">
        <v>2</v>
      </c>
      <c r="R308" s="2" t="inlineStr">
        <is>
          <t>Orange taggsvamp
Fjällig taggsvamp s.str.</t>
        </is>
      </c>
      <c r="S308">
        <f>HYPERLINK("https://klasma.github.io/Logging_0115/artfynd/A 41021-2023 artfynd.xlsx", "A 41021-2023")</f>
        <v/>
      </c>
      <c r="T308">
        <f>HYPERLINK("https://klasma.github.io/Logging_0115/kartor/A 41021-2023 karta.png", "A 41021-2023")</f>
        <v/>
      </c>
      <c r="V308">
        <f>HYPERLINK("https://klasma.github.io/Logging_0115/klagomål/A 41021-2023 FSC-klagomål.docx", "A 41021-2023")</f>
        <v/>
      </c>
      <c r="W308">
        <f>HYPERLINK("https://klasma.github.io/Logging_0115/klagomålsmail/A 41021-2023 FSC-klagomål mail.docx", "A 41021-2023")</f>
        <v/>
      </c>
      <c r="X308">
        <f>HYPERLINK("https://klasma.github.io/Logging_0115/tillsyn/A 41021-2023 tillsynsbegäran.docx", "A 41021-2023")</f>
        <v/>
      </c>
      <c r="Y308">
        <f>HYPERLINK("https://klasma.github.io/Logging_0115/tillsynsmail/A 41021-2023 tillsynsbegäran mail.docx", "A 41021-2023")</f>
        <v/>
      </c>
    </row>
    <row r="309" ht="15" customHeight="1">
      <c r="A309" t="inlineStr">
        <is>
          <t>A 43525-2023</t>
        </is>
      </c>
      <c r="B309" s="1" t="n">
        <v>45184</v>
      </c>
      <c r="C309" s="1" t="n">
        <v>45693</v>
      </c>
      <c r="D309" t="inlineStr">
        <is>
          <t>STOCKHOLMS LÄN</t>
        </is>
      </c>
      <c r="E309" t="inlineStr">
        <is>
          <t>SÖDERTÄLJE</t>
        </is>
      </c>
      <c r="F309" t="inlineStr">
        <is>
          <t>Sveaskog</t>
        </is>
      </c>
      <c r="G309" t="n">
        <v>3.7</v>
      </c>
      <c r="H309" t="n">
        <v>1</v>
      </c>
      <c r="I309" t="n">
        <v>0</v>
      </c>
      <c r="J309" t="n">
        <v>1</v>
      </c>
      <c r="K309" t="n">
        <v>0</v>
      </c>
      <c r="L309" t="n">
        <v>0</v>
      </c>
      <c r="M309" t="n">
        <v>0</v>
      </c>
      <c r="N309" t="n">
        <v>0</v>
      </c>
      <c r="O309" t="n">
        <v>1</v>
      </c>
      <c r="P309" t="n">
        <v>0</v>
      </c>
      <c r="Q309" t="n">
        <v>2</v>
      </c>
      <c r="R309" s="2" t="inlineStr">
        <is>
          <t>Slåtterfibbla
Fläcknycklar</t>
        </is>
      </c>
      <c r="S309">
        <f>HYPERLINK("https://klasma.github.io/Logging_0181/artfynd/A 43525-2023 artfynd.xlsx", "A 43525-2023")</f>
        <v/>
      </c>
      <c r="T309">
        <f>HYPERLINK("https://klasma.github.io/Logging_0181/kartor/A 43525-2023 karta.png", "A 43525-2023")</f>
        <v/>
      </c>
      <c r="V309">
        <f>HYPERLINK("https://klasma.github.io/Logging_0181/klagomål/A 43525-2023 FSC-klagomål.docx", "A 43525-2023")</f>
        <v/>
      </c>
      <c r="W309">
        <f>HYPERLINK("https://klasma.github.io/Logging_0181/klagomålsmail/A 43525-2023 FSC-klagomål mail.docx", "A 43525-2023")</f>
        <v/>
      </c>
      <c r="X309">
        <f>HYPERLINK("https://klasma.github.io/Logging_0181/tillsyn/A 43525-2023 tillsynsbegäran.docx", "A 43525-2023")</f>
        <v/>
      </c>
      <c r="Y309">
        <f>HYPERLINK("https://klasma.github.io/Logging_0181/tillsynsmail/A 43525-2023 tillsynsbegäran mail.docx", "A 43525-2023")</f>
        <v/>
      </c>
    </row>
    <row r="310" ht="15" customHeight="1">
      <c r="A310" t="inlineStr">
        <is>
          <t>A 46953-2023</t>
        </is>
      </c>
      <c r="B310" s="1" t="n">
        <v>45195</v>
      </c>
      <c r="C310" s="1" t="n">
        <v>45693</v>
      </c>
      <c r="D310" t="inlineStr">
        <is>
          <t>STOCKHOLMS LÄN</t>
        </is>
      </c>
      <c r="E310" t="inlineStr">
        <is>
          <t>BOTKYRKA</t>
        </is>
      </c>
      <c r="G310" t="n">
        <v>4.6</v>
      </c>
      <c r="H310" t="n">
        <v>0</v>
      </c>
      <c r="I310" t="n">
        <v>2</v>
      </c>
      <c r="J310" t="n">
        <v>0</v>
      </c>
      <c r="K310" t="n">
        <v>0</v>
      </c>
      <c r="L310" t="n">
        <v>0</v>
      </c>
      <c r="M310" t="n">
        <v>0</v>
      </c>
      <c r="N310" t="n">
        <v>0</v>
      </c>
      <c r="O310" t="n">
        <v>0</v>
      </c>
      <c r="P310" t="n">
        <v>0</v>
      </c>
      <c r="Q310" t="n">
        <v>2</v>
      </c>
      <c r="R310" s="2" t="inlineStr">
        <is>
          <t>Rödgul trumpetsvamp
Sotriska</t>
        </is>
      </c>
      <c r="S310">
        <f>HYPERLINK("https://klasma.github.io/Logging_0127/artfynd/A 46953-2023 artfynd.xlsx", "A 46953-2023")</f>
        <v/>
      </c>
      <c r="T310">
        <f>HYPERLINK("https://klasma.github.io/Logging_0127/kartor/A 46953-2023 karta.png", "A 46953-2023")</f>
        <v/>
      </c>
      <c r="V310">
        <f>HYPERLINK("https://klasma.github.io/Logging_0127/klagomål/A 46953-2023 FSC-klagomål.docx", "A 46953-2023")</f>
        <v/>
      </c>
      <c r="W310">
        <f>HYPERLINK("https://klasma.github.io/Logging_0127/klagomålsmail/A 46953-2023 FSC-klagomål mail.docx", "A 46953-2023")</f>
        <v/>
      </c>
      <c r="X310">
        <f>HYPERLINK("https://klasma.github.io/Logging_0127/tillsyn/A 46953-2023 tillsynsbegäran.docx", "A 46953-2023")</f>
        <v/>
      </c>
      <c r="Y310">
        <f>HYPERLINK("https://klasma.github.io/Logging_0127/tillsynsmail/A 46953-2023 tillsynsbegäran mail.docx", "A 46953-2023")</f>
        <v/>
      </c>
    </row>
    <row r="311" ht="15" customHeight="1">
      <c r="A311" t="inlineStr">
        <is>
          <t>A 47098-2023</t>
        </is>
      </c>
      <c r="B311" s="1" t="n">
        <v>45196</v>
      </c>
      <c r="C311" s="1" t="n">
        <v>45693</v>
      </c>
      <c r="D311" t="inlineStr">
        <is>
          <t>STOCKHOLMS LÄN</t>
        </is>
      </c>
      <c r="E311" t="inlineStr">
        <is>
          <t>NYNÄSHAMN</t>
        </is>
      </c>
      <c r="G311" t="n">
        <v>8</v>
      </c>
      <c r="H311" t="n">
        <v>0</v>
      </c>
      <c r="I311" t="n">
        <v>2</v>
      </c>
      <c r="J311" t="n">
        <v>0</v>
      </c>
      <c r="K311" t="n">
        <v>0</v>
      </c>
      <c r="L311" t="n">
        <v>0</v>
      </c>
      <c r="M311" t="n">
        <v>0</v>
      </c>
      <c r="N311" t="n">
        <v>0</v>
      </c>
      <c r="O311" t="n">
        <v>0</v>
      </c>
      <c r="P311" t="n">
        <v>0</v>
      </c>
      <c r="Q311" t="n">
        <v>2</v>
      </c>
      <c r="R311" s="2" t="inlineStr">
        <is>
          <t>Hasselticka
Myskmadra</t>
        </is>
      </c>
      <c r="S311">
        <f>HYPERLINK("https://klasma.github.io/Logging_0192/artfynd/A 47098-2023 artfynd.xlsx", "A 47098-2023")</f>
        <v/>
      </c>
      <c r="T311">
        <f>HYPERLINK("https://klasma.github.io/Logging_0192/kartor/A 47098-2023 karta.png", "A 47098-2023")</f>
        <v/>
      </c>
      <c r="V311">
        <f>HYPERLINK("https://klasma.github.io/Logging_0192/klagomål/A 47098-2023 FSC-klagomål.docx", "A 47098-2023")</f>
        <v/>
      </c>
      <c r="W311">
        <f>HYPERLINK("https://klasma.github.io/Logging_0192/klagomålsmail/A 47098-2023 FSC-klagomål mail.docx", "A 47098-2023")</f>
        <v/>
      </c>
      <c r="X311">
        <f>HYPERLINK("https://klasma.github.io/Logging_0192/tillsyn/A 47098-2023 tillsynsbegäran.docx", "A 47098-2023")</f>
        <v/>
      </c>
      <c r="Y311">
        <f>HYPERLINK("https://klasma.github.io/Logging_0192/tillsynsmail/A 47098-2023 tillsynsbegäran mail.docx", "A 47098-2023")</f>
        <v/>
      </c>
    </row>
    <row r="312" ht="15" customHeight="1">
      <c r="A312" t="inlineStr">
        <is>
          <t>A 49419-2023</t>
        </is>
      </c>
      <c r="B312" s="1" t="n">
        <v>45211</v>
      </c>
      <c r="C312" s="1" t="n">
        <v>45693</v>
      </c>
      <c r="D312" t="inlineStr">
        <is>
          <t>STOCKHOLMS LÄN</t>
        </is>
      </c>
      <c r="E312" t="inlineStr">
        <is>
          <t>HUDDINGE</t>
        </is>
      </c>
      <c r="F312" t="inlineStr">
        <is>
          <t>Kommuner</t>
        </is>
      </c>
      <c r="G312" t="n">
        <v>1.9</v>
      </c>
      <c r="H312" t="n">
        <v>2</v>
      </c>
      <c r="I312" t="n">
        <v>0</v>
      </c>
      <c r="J312" t="n">
        <v>1</v>
      </c>
      <c r="K312" t="n">
        <v>0</v>
      </c>
      <c r="L312" t="n">
        <v>1</v>
      </c>
      <c r="M312" t="n">
        <v>0</v>
      </c>
      <c r="N312" t="n">
        <v>0</v>
      </c>
      <c r="O312" t="n">
        <v>2</v>
      </c>
      <c r="P312" t="n">
        <v>1</v>
      </c>
      <c r="Q312" t="n">
        <v>2</v>
      </c>
      <c r="R312" s="2" t="inlineStr">
        <is>
          <t>Grönfink
Ärtsångare</t>
        </is>
      </c>
      <c r="S312">
        <f>HYPERLINK("https://klasma.github.io/Logging_0126/artfynd/A 49419-2023 artfynd.xlsx", "A 49419-2023")</f>
        <v/>
      </c>
      <c r="T312">
        <f>HYPERLINK("https://klasma.github.io/Logging_0126/kartor/A 49419-2023 karta.png", "A 49419-2023")</f>
        <v/>
      </c>
      <c r="V312">
        <f>HYPERLINK("https://klasma.github.io/Logging_0126/klagomål/A 49419-2023 FSC-klagomål.docx", "A 49419-2023")</f>
        <v/>
      </c>
      <c r="W312">
        <f>HYPERLINK("https://klasma.github.io/Logging_0126/klagomålsmail/A 49419-2023 FSC-klagomål mail.docx", "A 49419-2023")</f>
        <v/>
      </c>
      <c r="X312">
        <f>HYPERLINK("https://klasma.github.io/Logging_0126/tillsyn/A 49419-2023 tillsynsbegäran.docx", "A 49419-2023")</f>
        <v/>
      </c>
      <c r="Y312">
        <f>HYPERLINK("https://klasma.github.io/Logging_0126/tillsynsmail/A 49419-2023 tillsynsbegäran mail.docx", "A 49419-2023")</f>
        <v/>
      </c>
      <c r="Z312">
        <f>HYPERLINK("https://klasma.github.io/Logging_0126/fåglar/A 49419-2023 prioriterade fågelarter.docx", "A 49419-2023")</f>
        <v/>
      </c>
    </row>
    <row r="313" ht="15" customHeight="1">
      <c r="A313" t="inlineStr">
        <is>
          <t>A 49523-2023</t>
        </is>
      </c>
      <c r="B313" s="1" t="n">
        <v>45211</v>
      </c>
      <c r="C313" s="1" t="n">
        <v>45693</v>
      </c>
      <c r="D313" t="inlineStr">
        <is>
          <t>STOCKHOLMS LÄN</t>
        </is>
      </c>
      <c r="E313" t="inlineStr">
        <is>
          <t>NYNÄSHAMN</t>
        </is>
      </c>
      <c r="G313" t="n">
        <v>2.2</v>
      </c>
      <c r="H313" t="n">
        <v>0</v>
      </c>
      <c r="I313" t="n">
        <v>2</v>
      </c>
      <c r="J313" t="n">
        <v>0</v>
      </c>
      <c r="K313" t="n">
        <v>0</v>
      </c>
      <c r="L313" t="n">
        <v>0</v>
      </c>
      <c r="M313" t="n">
        <v>0</v>
      </c>
      <c r="N313" t="n">
        <v>0</v>
      </c>
      <c r="O313" t="n">
        <v>0</v>
      </c>
      <c r="P313" t="n">
        <v>0</v>
      </c>
      <c r="Q313" t="n">
        <v>2</v>
      </c>
      <c r="R313" s="2" t="inlineStr">
        <is>
          <t>Grönpyrola
Västlig hakmossa</t>
        </is>
      </c>
      <c r="S313">
        <f>HYPERLINK("https://klasma.github.io/Logging_0192/artfynd/A 49523-2023 artfynd.xlsx", "A 49523-2023")</f>
        <v/>
      </c>
      <c r="T313">
        <f>HYPERLINK("https://klasma.github.io/Logging_0192/kartor/A 49523-2023 karta.png", "A 49523-2023")</f>
        <v/>
      </c>
      <c r="V313">
        <f>HYPERLINK("https://klasma.github.io/Logging_0192/klagomål/A 49523-2023 FSC-klagomål.docx", "A 49523-2023")</f>
        <v/>
      </c>
      <c r="W313">
        <f>HYPERLINK("https://klasma.github.io/Logging_0192/klagomålsmail/A 49523-2023 FSC-klagomål mail.docx", "A 49523-2023")</f>
        <v/>
      </c>
      <c r="X313">
        <f>HYPERLINK("https://klasma.github.io/Logging_0192/tillsyn/A 49523-2023 tillsynsbegäran.docx", "A 49523-2023")</f>
        <v/>
      </c>
      <c r="Y313">
        <f>HYPERLINK("https://klasma.github.io/Logging_0192/tillsynsmail/A 49523-2023 tillsynsbegäran mail.docx", "A 49523-2023")</f>
        <v/>
      </c>
    </row>
    <row r="314" ht="15" customHeight="1">
      <c r="A314" t="inlineStr">
        <is>
          <t>A 51220-2023</t>
        </is>
      </c>
      <c r="B314" s="1" t="n">
        <v>45219</v>
      </c>
      <c r="C314" s="1" t="n">
        <v>45693</v>
      </c>
      <c r="D314" t="inlineStr">
        <is>
          <t>STOCKHOLMS LÄN</t>
        </is>
      </c>
      <c r="E314" t="inlineStr">
        <is>
          <t>NORRTÄLJE</t>
        </is>
      </c>
      <c r="G314" t="n">
        <v>7.7</v>
      </c>
      <c r="H314" t="n">
        <v>1</v>
      </c>
      <c r="I314" t="n">
        <v>0</v>
      </c>
      <c r="J314" t="n">
        <v>1</v>
      </c>
      <c r="K314" t="n">
        <v>0</v>
      </c>
      <c r="L314" t="n">
        <v>0</v>
      </c>
      <c r="M314" t="n">
        <v>0</v>
      </c>
      <c r="N314" t="n">
        <v>0</v>
      </c>
      <c r="O314" t="n">
        <v>1</v>
      </c>
      <c r="P314" t="n">
        <v>0</v>
      </c>
      <c r="Q314" t="n">
        <v>2</v>
      </c>
      <c r="R314" s="2" t="inlineStr">
        <is>
          <t>Ullticka
Blåsippa</t>
        </is>
      </c>
      <c r="S314">
        <f>HYPERLINK("https://klasma.github.io/Logging_0188/artfynd/A 51220-2023 artfynd.xlsx", "A 51220-2023")</f>
        <v/>
      </c>
      <c r="T314">
        <f>HYPERLINK("https://klasma.github.io/Logging_0188/kartor/A 51220-2023 karta.png", "A 51220-2023")</f>
        <v/>
      </c>
      <c r="V314">
        <f>HYPERLINK("https://klasma.github.io/Logging_0188/klagomål/A 51220-2023 FSC-klagomål.docx", "A 51220-2023")</f>
        <v/>
      </c>
      <c r="W314">
        <f>HYPERLINK("https://klasma.github.io/Logging_0188/klagomålsmail/A 51220-2023 FSC-klagomål mail.docx", "A 51220-2023")</f>
        <v/>
      </c>
      <c r="X314">
        <f>HYPERLINK("https://klasma.github.io/Logging_0188/tillsyn/A 51220-2023 tillsynsbegäran.docx", "A 51220-2023")</f>
        <v/>
      </c>
      <c r="Y314">
        <f>HYPERLINK("https://klasma.github.io/Logging_0188/tillsynsmail/A 51220-2023 tillsynsbegäran mail.docx", "A 51220-2023")</f>
        <v/>
      </c>
    </row>
    <row r="315" ht="15" customHeight="1">
      <c r="A315" t="inlineStr">
        <is>
          <t>A 52825-2023</t>
        </is>
      </c>
      <c r="B315" s="1" t="n">
        <v>45226</v>
      </c>
      <c r="C315" s="1" t="n">
        <v>45693</v>
      </c>
      <c r="D315" t="inlineStr">
        <is>
          <t>STOCKHOLMS LÄN</t>
        </is>
      </c>
      <c r="E315" t="inlineStr">
        <is>
          <t>NORRTÄLJE</t>
        </is>
      </c>
      <c r="G315" t="n">
        <v>1</v>
      </c>
      <c r="H315" t="n">
        <v>0</v>
      </c>
      <c r="I315" t="n">
        <v>2</v>
      </c>
      <c r="J315" t="n">
        <v>0</v>
      </c>
      <c r="K315" t="n">
        <v>0</v>
      </c>
      <c r="L315" t="n">
        <v>0</v>
      </c>
      <c r="M315" t="n">
        <v>0</v>
      </c>
      <c r="N315" t="n">
        <v>0</v>
      </c>
      <c r="O315" t="n">
        <v>0</v>
      </c>
      <c r="P315" t="n">
        <v>0</v>
      </c>
      <c r="Q315" t="n">
        <v>2</v>
      </c>
      <c r="R315" s="2" t="inlineStr">
        <is>
          <t>Fjällig taggsvamp s.str.
Strimspindling</t>
        </is>
      </c>
      <c r="S315">
        <f>HYPERLINK("https://klasma.github.io/Logging_0188/artfynd/A 52825-2023 artfynd.xlsx", "A 52825-2023")</f>
        <v/>
      </c>
      <c r="T315">
        <f>HYPERLINK("https://klasma.github.io/Logging_0188/kartor/A 52825-2023 karta.png", "A 52825-2023")</f>
        <v/>
      </c>
      <c r="V315">
        <f>HYPERLINK("https://klasma.github.io/Logging_0188/klagomål/A 52825-2023 FSC-klagomål.docx", "A 52825-2023")</f>
        <v/>
      </c>
      <c r="W315">
        <f>HYPERLINK("https://klasma.github.io/Logging_0188/klagomålsmail/A 52825-2023 FSC-klagomål mail.docx", "A 52825-2023")</f>
        <v/>
      </c>
      <c r="X315">
        <f>HYPERLINK("https://klasma.github.io/Logging_0188/tillsyn/A 52825-2023 tillsynsbegäran.docx", "A 52825-2023")</f>
        <v/>
      </c>
      <c r="Y315">
        <f>HYPERLINK("https://klasma.github.io/Logging_0188/tillsynsmail/A 52825-2023 tillsynsbegäran mail.docx", "A 52825-2023")</f>
        <v/>
      </c>
    </row>
    <row r="316" ht="15" customHeight="1">
      <c r="A316" t="inlineStr">
        <is>
          <t>A 60213-2023</t>
        </is>
      </c>
      <c r="B316" s="1" t="n">
        <v>45258</v>
      </c>
      <c r="C316" s="1" t="n">
        <v>45693</v>
      </c>
      <c r="D316" t="inlineStr">
        <is>
          <t>STOCKHOLMS LÄN</t>
        </is>
      </c>
      <c r="E316" t="inlineStr">
        <is>
          <t>HANINGE</t>
        </is>
      </c>
      <c r="G316" t="n">
        <v>3.4</v>
      </c>
      <c r="H316" t="n">
        <v>1</v>
      </c>
      <c r="I316" t="n">
        <v>1</v>
      </c>
      <c r="J316" t="n">
        <v>1</v>
      </c>
      <c r="K316" t="n">
        <v>0</v>
      </c>
      <c r="L316" t="n">
        <v>0</v>
      </c>
      <c r="M316" t="n">
        <v>0</v>
      </c>
      <c r="N316" t="n">
        <v>0</v>
      </c>
      <c r="O316" t="n">
        <v>1</v>
      </c>
      <c r="P316" t="n">
        <v>0</v>
      </c>
      <c r="Q316" t="n">
        <v>2</v>
      </c>
      <c r="R316" s="2" t="inlineStr">
        <is>
          <t>Granticka
Grön sköldmossa</t>
        </is>
      </c>
      <c r="S316">
        <f>HYPERLINK("https://klasma.github.io/Logging_0136/artfynd/A 60213-2023 artfynd.xlsx", "A 60213-2023")</f>
        <v/>
      </c>
      <c r="T316">
        <f>HYPERLINK("https://klasma.github.io/Logging_0136/kartor/A 60213-2023 karta.png", "A 60213-2023")</f>
        <v/>
      </c>
      <c r="V316">
        <f>HYPERLINK("https://klasma.github.io/Logging_0136/klagomål/A 60213-2023 FSC-klagomål.docx", "A 60213-2023")</f>
        <v/>
      </c>
      <c r="W316">
        <f>HYPERLINK("https://klasma.github.io/Logging_0136/klagomålsmail/A 60213-2023 FSC-klagomål mail.docx", "A 60213-2023")</f>
        <v/>
      </c>
      <c r="X316">
        <f>HYPERLINK("https://klasma.github.io/Logging_0136/tillsyn/A 60213-2023 tillsynsbegäran.docx", "A 60213-2023")</f>
        <v/>
      </c>
      <c r="Y316">
        <f>HYPERLINK("https://klasma.github.io/Logging_0136/tillsynsmail/A 60213-2023 tillsynsbegäran mail.docx", "A 60213-2023")</f>
        <v/>
      </c>
    </row>
    <row r="317" ht="15" customHeight="1">
      <c r="A317" t="inlineStr">
        <is>
          <t>A 60375-2023</t>
        </is>
      </c>
      <c r="B317" s="1" t="n">
        <v>45259</v>
      </c>
      <c r="C317" s="1" t="n">
        <v>45693</v>
      </c>
      <c r="D317" t="inlineStr">
        <is>
          <t>STOCKHOLMS LÄN</t>
        </is>
      </c>
      <c r="E317" t="inlineStr">
        <is>
          <t>HANINGE</t>
        </is>
      </c>
      <c r="G317" t="n">
        <v>2.1</v>
      </c>
      <c r="H317" t="n">
        <v>0</v>
      </c>
      <c r="I317" t="n">
        <v>1</v>
      </c>
      <c r="J317" t="n">
        <v>1</v>
      </c>
      <c r="K317" t="n">
        <v>0</v>
      </c>
      <c r="L317" t="n">
        <v>0</v>
      </c>
      <c r="M317" t="n">
        <v>0</v>
      </c>
      <c r="N317" t="n">
        <v>0</v>
      </c>
      <c r="O317" t="n">
        <v>1</v>
      </c>
      <c r="P317" t="n">
        <v>0</v>
      </c>
      <c r="Q317" t="n">
        <v>2</v>
      </c>
      <c r="R317" s="2" t="inlineStr">
        <is>
          <t>Granticka
Granbarkgnagare</t>
        </is>
      </c>
      <c r="S317">
        <f>HYPERLINK("https://klasma.github.io/Logging_0136/artfynd/A 60375-2023 artfynd.xlsx", "A 60375-2023")</f>
        <v/>
      </c>
      <c r="T317">
        <f>HYPERLINK("https://klasma.github.io/Logging_0136/kartor/A 60375-2023 karta.png", "A 60375-2023")</f>
        <v/>
      </c>
      <c r="V317">
        <f>HYPERLINK("https://klasma.github.io/Logging_0136/klagomål/A 60375-2023 FSC-klagomål.docx", "A 60375-2023")</f>
        <v/>
      </c>
      <c r="W317">
        <f>HYPERLINK("https://klasma.github.io/Logging_0136/klagomålsmail/A 60375-2023 FSC-klagomål mail.docx", "A 60375-2023")</f>
        <v/>
      </c>
      <c r="X317">
        <f>HYPERLINK("https://klasma.github.io/Logging_0136/tillsyn/A 60375-2023 tillsynsbegäran.docx", "A 60375-2023")</f>
        <v/>
      </c>
      <c r="Y317">
        <f>HYPERLINK("https://klasma.github.io/Logging_0136/tillsynsmail/A 60375-2023 tillsynsbegäran mail.docx", "A 60375-2023")</f>
        <v/>
      </c>
    </row>
    <row r="318" ht="15" customHeight="1">
      <c r="A318" t="inlineStr">
        <is>
          <t>A 64189-2023</t>
        </is>
      </c>
      <c r="B318" s="1" t="n">
        <v>45279</v>
      </c>
      <c r="C318" s="1" t="n">
        <v>45693</v>
      </c>
      <c r="D318" t="inlineStr">
        <is>
          <t>STOCKHOLMS LÄN</t>
        </is>
      </c>
      <c r="E318" t="inlineStr">
        <is>
          <t>NYNÄSHAMN</t>
        </is>
      </c>
      <c r="G318" t="n">
        <v>1.5</v>
      </c>
      <c r="H318" t="n">
        <v>2</v>
      </c>
      <c r="I318" t="n">
        <v>0</v>
      </c>
      <c r="J318" t="n">
        <v>0</v>
      </c>
      <c r="K318" t="n">
        <v>0</v>
      </c>
      <c r="L318" t="n">
        <v>0</v>
      </c>
      <c r="M318" t="n">
        <v>0</v>
      </c>
      <c r="N318" t="n">
        <v>0</v>
      </c>
      <c r="O318" t="n">
        <v>0</v>
      </c>
      <c r="P318" t="n">
        <v>0</v>
      </c>
      <c r="Q318" t="n">
        <v>2</v>
      </c>
      <c r="R318" s="2" t="inlineStr">
        <is>
          <t>Blåsippa
Gullviva</t>
        </is>
      </c>
      <c r="S318">
        <f>HYPERLINK("https://klasma.github.io/Logging_0192/artfynd/A 64189-2023 artfynd.xlsx", "A 64189-2023")</f>
        <v/>
      </c>
      <c r="T318">
        <f>HYPERLINK("https://klasma.github.io/Logging_0192/kartor/A 64189-2023 karta.png", "A 64189-2023")</f>
        <v/>
      </c>
      <c r="V318">
        <f>HYPERLINK("https://klasma.github.io/Logging_0192/klagomål/A 64189-2023 FSC-klagomål.docx", "A 64189-2023")</f>
        <v/>
      </c>
      <c r="W318">
        <f>HYPERLINK("https://klasma.github.io/Logging_0192/klagomålsmail/A 64189-2023 FSC-klagomål mail.docx", "A 64189-2023")</f>
        <v/>
      </c>
      <c r="X318">
        <f>HYPERLINK("https://klasma.github.io/Logging_0192/tillsyn/A 64189-2023 tillsynsbegäran.docx", "A 64189-2023")</f>
        <v/>
      </c>
      <c r="Y318">
        <f>HYPERLINK("https://klasma.github.io/Logging_0192/tillsynsmail/A 64189-2023 tillsynsbegäran mail.docx", "A 64189-2023")</f>
        <v/>
      </c>
    </row>
    <row r="319" ht="15" customHeight="1">
      <c r="A319" t="inlineStr">
        <is>
          <t>A 64357-2023</t>
        </is>
      </c>
      <c r="B319" s="1" t="n">
        <v>45280</v>
      </c>
      <c r="C319" s="1" t="n">
        <v>45693</v>
      </c>
      <c r="D319" t="inlineStr">
        <is>
          <t>STOCKHOLMS LÄN</t>
        </is>
      </c>
      <c r="E319" t="inlineStr">
        <is>
          <t>SIGTUNA</t>
        </is>
      </c>
      <c r="F319" t="inlineStr">
        <is>
          <t>Allmännings- och besparingsskogar</t>
        </is>
      </c>
      <c r="G319" t="n">
        <v>6.7</v>
      </c>
      <c r="H319" t="n">
        <v>2</v>
      </c>
      <c r="I319" t="n">
        <v>0</v>
      </c>
      <c r="J319" t="n">
        <v>0</v>
      </c>
      <c r="K319" t="n">
        <v>0</v>
      </c>
      <c r="L319" t="n">
        <v>0</v>
      </c>
      <c r="M319" t="n">
        <v>0</v>
      </c>
      <c r="N319" t="n">
        <v>0</v>
      </c>
      <c r="O319" t="n">
        <v>0</v>
      </c>
      <c r="P319" t="n">
        <v>0</v>
      </c>
      <c r="Q319" t="n">
        <v>2</v>
      </c>
      <c r="R319" s="2" t="inlineStr">
        <is>
          <t>Grönsiska
Pudrad kärrtrollslända</t>
        </is>
      </c>
      <c r="S319">
        <f>HYPERLINK("https://klasma.github.io/Logging_0191/artfynd/A 64357-2023 artfynd.xlsx", "A 64357-2023")</f>
        <v/>
      </c>
      <c r="T319">
        <f>HYPERLINK("https://klasma.github.io/Logging_0191/kartor/A 64357-2023 karta.png", "A 64357-2023")</f>
        <v/>
      </c>
      <c r="V319">
        <f>HYPERLINK("https://klasma.github.io/Logging_0191/klagomål/A 64357-2023 FSC-klagomål.docx", "A 64357-2023")</f>
        <v/>
      </c>
      <c r="W319">
        <f>HYPERLINK("https://klasma.github.io/Logging_0191/klagomålsmail/A 64357-2023 FSC-klagomål mail.docx", "A 64357-2023")</f>
        <v/>
      </c>
      <c r="X319">
        <f>HYPERLINK("https://klasma.github.io/Logging_0191/tillsyn/A 64357-2023 tillsynsbegäran.docx", "A 64357-2023")</f>
        <v/>
      </c>
      <c r="Y319">
        <f>HYPERLINK("https://klasma.github.io/Logging_0191/tillsynsmail/A 64357-2023 tillsynsbegäran mail.docx", "A 64357-2023")</f>
        <v/>
      </c>
      <c r="Z319">
        <f>HYPERLINK("https://klasma.github.io/Logging_0191/fåglar/A 64357-2023 prioriterade fågelarter.docx", "A 64357-2023")</f>
        <v/>
      </c>
    </row>
    <row r="320" ht="15" customHeight="1">
      <c r="A320" t="inlineStr">
        <is>
          <t>A 754-2024</t>
        </is>
      </c>
      <c r="B320" s="1" t="n">
        <v>45300</v>
      </c>
      <c r="C320" s="1" t="n">
        <v>45693</v>
      </c>
      <c r="D320" t="inlineStr">
        <is>
          <t>STOCKHOLMS LÄN</t>
        </is>
      </c>
      <c r="E320" t="inlineStr">
        <is>
          <t>VALLENTUNA</t>
        </is>
      </c>
      <c r="G320" t="n">
        <v>2.5</v>
      </c>
      <c r="H320" t="n">
        <v>1</v>
      </c>
      <c r="I320" t="n">
        <v>1</v>
      </c>
      <c r="J320" t="n">
        <v>0</v>
      </c>
      <c r="K320" t="n">
        <v>0</v>
      </c>
      <c r="L320" t="n">
        <v>0</v>
      </c>
      <c r="M320" t="n">
        <v>0</v>
      </c>
      <c r="N320" t="n">
        <v>0</v>
      </c>
      <c r="O320" t="n">
        <v>0</v>
      </c>
      <c r="P320" t="n">
        <v>0</v>
      </c>
      <c r="Q320" t="n">
        <v>2</v>
      </c>
      <c r="R320" s="2" t="inlineStr">
        <is>
          <t>Vågbandad barkbock
Grönsiska</t>
        </is>
      </c>
      <c r="S320">
        <f>HYPERLINK("https://klasma.github.io/Logging_0115/artfynd/A 754-2024 artfynd.xlsx", "A 754-2024")</f>
        <v/>
      </c>
      <c r="T320">
        <f>HYPERLINK("https://klasma.github.io/Logging_0115/kartor/A 754-2024 karta.png", "A 754-2024")</f>
        <v/>
      </c>
      <c r="V320">
        <f>HYPERLINK("https://klasma.github.io/Logging_0115/klagomål/A 754-2024 FSC-klagomål.docx", "A 754-2024")</f>
        <v/>
      </c>
      <c r="W320">
        <f>HYPERLINK("https://klasma.github.io/Logging_0115/klagomålsmail/A 754-2024 FSC-klagomål mail.docx", "A 754-2024")</f>
        <v/>
      </c>
      <c r="X320">
        <f>HYPERLINK("https://klasma.github.io/Logging_0115/tillsyn/A 754-2024 tillsynsbegäran.docx", "A 754-2024")</f>
        <v/>
      </c>
      <c r="Y320">
        <f>HYPERLINK("https://klasma.github.io/Logging_0115/tillsynsmail/A 754-2024 tillsynsbegäran mail.docx", "A 754-2024")</f>
        <v/>
      </c>
      <c r="Z320">
        <f>HYPERLINK("https://klasma.github.io/Logging_0115/fåglar/A 754-2024 prioriterade fågelarter.docx", "A 754-2024")</f>
        <v/>
      </c>
    </row>
    <row r="321" ht="15" customHeight="1">
      <c r="A321" t="inlineStr">
        <is>
          <t>A 1036-2024</t>
        </is>
      </c>
      <c r="B321" s="1" t="n">
        <v>45301</v>
      </c>
      <c r="C321" s="1" t="n">
        <v>45693</v>
      </c>
      <c r="D321" t="inlineStr">
        <is>
          <t>STOCKHOLMS LÄN</t>
        </is>
      </c>
      <c r="E321" t="inlineStr">
        <is>
          <t>UPPLANDS VÄSBY</t>
        </is>
      </c>
      <c r="G321" t="n">
        <v>5</v>
      </c>
      <c r="H321" t="n">
        <v>1</v>
      </c>
      <c r="I321" t="n">
        <v>1</v>
      </c>
      <c r="J321" t="n">
        <v>0</v>
      </c>
      <c r="K321" t="n">
        <v>0</v>
      </c>
      <c r="L321" t="n">
        <v>0</v>
      </c>
      <c r="M321" t="n">
        <v>0</v>
      </c>
      <c r="N321" t="n">
        <v>0</v>
      </c>
      <c r="O321" t="n">
        <v>0</v>
      </c>
      <c r="P321" t="n">
        <v>0</v>
      </c>
      <c r="Q321" t="n">
        <v>2</v>
      </c>
      <c r="R321" s="2" t="inlineStr">
        <is>
          <t>Vedticka
Revlummer</t>
        </is>
      </c>
      <c r="S321">
        <f>HYPERLINK("https://klasma.github.io/Logging_0114/artfynd/A 1036-2024 artfynd.xlsx", "A 1036-2024")</f>
        <v/>
      </c>
      <c r="T321">
        <f>HYPERLINK("https://klasma.github.io/Logging_0114/kartor/A 1036-2024 karta.png", "A 1036-2024")</f>
        <v/>
      </c>
      <c r="V321">
        <f>HYPERLINK("https://klasma.github.io/Logging_0114/klagomål/A 1036-2024 FSC-klagomål.docx", "A 1036-2024")</f>
        <v/>
      </c>
      <c r="W321">
        <f>HYPERLINK("https://klasma.github.io/Logging_0114/klagomålsmail/A 1036-2024 FSC-klagomål mail.docx", "A 1036-2024")</f>
        <v/>
      </c>
      <c r="X321">
        <f>HYPERLINK("https://klasma.github.io/Logging_0114/tillsyn/A 1036-2024 tillsynsbegäran.docx", "A 1036-2024")</f>
        <v/>
      </c>
      <c r="Y321">
        <f>HYPERLINK("https://klasma.github.io/Logging_0114/tillsynsmail/A 1036-2024 tillsynsbegäran mail.docx", "A 1036-2024")</f>
        <v/>
      </c>
    </row>
    <row r="322" ht="15" customHeight="1">
      <c r="A322" t="inlineStr">
        <is>
          <t>A 4909-2024</t>
        </is>
      </c>
      <c r="B322" s="1" t="n">
        <v>45329</v>
      </c>
      <c r="C322" s="1" t="n">
        <v>45693</v>
      </c>
      <c r="D322" t="inlineStr">
        <is>
          <t>STOCKHOLMS LÄN</t>
        </is>
      </c>
      <c r="E322" t="inlineStr">
        <is>
          <t>NORRTÄLJE</t>
        </is>
      </c>
      <c r="G322" t="n">
        <v>4.1</v>
      </c>
      <c r="H322" t="n">
        <v>0</v>
      </c>
      <c r="I322" t="n">
        <v>2</v>
      </c>
      <c r="J322" t="n">
        <v>0</v>
      </c>
      <c r="K322" t="n">
        <v>0</v>
      </c>
      <c r="L322" t="n">
        <v>0</v>
      </c>
      <c r="M322" t="n">
        <v>0</v>
      </c>
      <c r="N322" t="n">
        <v>0</v>
      </c>
      <c r="O322" t="n">
        <v>0</v>
      </c>
      <c r="P322" t="n">
        <v>0</v>
      </c>
      <c r="Q322" t="n">
        <v>2</v>
      </c>
      <c r="R322" s="2" t="inlineStr">
        <is>
          <t>Fjällig taggsvamp s.str.
Rödgul trumpetsvamp</t>
        </is>
      </c>
      <c r="S322">
        <f>HYPERLINK("https://klasma.github.io/Logging_0188/artfynd/A 4909-2024 artfynd.xlsx", "A 4909-2024")</f>
        <v/>
      </c>
      <c r="T322">
        <f>HYPERLINK("https://klasma.github.io/Logging_0188/kartor/A 4909-2024 karta.png", "A 4909-2024")</f>
        <v/>
      </c>
      <c r="V322">
        <f>HYPERLINK("https://klasma.github.io/Logging_0188/klagomål/A 4909-2024 FSC-klagomål.docx", "A 4909-2024")</f>
        <v/>
      </c>
      <c r="W322">
        <f>HYPERLINK("https://klasma.github.io/Logging_0188/klagomålsmail/A 4909-2024 FSC-klagomål mail.docx", "A 4909-2024")</f>
        <v/>
      </c>
      <c r="X322">
        <f>HYPERLINK("https://klasma.github.io/Logging_0188/tillsyn/A 4909-2024 tillsynsbegäran.docx", "A 4909-2024")</f>
        <v/>
      </c>
      <c r="Y322">
        <f>HYPERLINK("https://klasma.github.io/Logging_0188/tillsynsmail/A 4909-2024 tillsynsbegäran mail.docx", "A 4909-2024")</f>
        <v/>
      </c>
    </row>
    <row r="323" ht="15" customHeight="1">
      <c r="A323" t="inlineStr">
        <is>
          <t>A 8622-2024</t>
        </is>
      </c>
      <c r="B323" s="1" t="n">
        <v>45355</v>
      </c>
      <c r="C323" s="1" t="n">
        <v>45693</v>
      </c>
      <c r="D323" t="inlineStr">
        <is>
          <t>STOCKHOLMS LÄN</t>
        </is>
      </c>
      <c r="E323" t="inlineStr">
        <is>
          <t>ÖSTERÅKER</t>
        </is>
      </c>
      <c r="G323" t="n">
        <v>5.3</v>
      </c>
      <c r="H323" t="n">
        <v>2</v>
      </c>
      <c r="I323" t="n">
        <v>0</v>
      </c>
      <c r="J323" t="n">
        <v>1</v>
      </c>
      <c r="K323" t="n">
        <v>0</v>
      </c>
      <c r="L323" t="n">
        <v>0</v>
      </c>
      <c r="M323" t="n">
        <v>0</v>
      </c>
      <c r="N323" t="n">
        <v>0</v>
      </c>
      <c r="O323" t="n">
        <v>1</v>
      </c>
      <c r="P323" t="n">
        <v>0</v>
      </c>
      <c r="Q323" t="n">
        <v>2</v>
      </c>
      <c r="R323" s="2" t="inlineStr">
        <is>
          <t>Svartvit flugsnappare
Blåsippa</t>
        </is>
      </c>
      <c r="S323">
        <f>HYPERLINK("https://klasma.github.io/Logging_0117/artfynd/A 8622-2024 artfynd.xlsx", "A 8622-2024")</f>
        <v/>
      </c>
      <c r="T323">
        <f>HYPERLINK("https://klasma.github.io/Logging_0117/kartor/A 8622-2024 karta.png", "A 8622-2024")</f>
        <v/>
      </c>
      <c r="V323">
        <f>HYPERLINK("https://klasma.github.io/Logging_0117/klagomål/A 8622-2024 FSC-klagomål.docx", "A 8622-2024")</f>
        <v/>
      </c>
      <c r="W323">
        <f>HYPERLINK("https://klasma.github.io/Logging_0117/klagomålsmail/A 8622-2024 FSC-klagomål mail.docx", "A 8622-2024")</f>
        <v/>
      </c>
      <c r="X323">
        <f>HYPERLINK("https://klasma.github.io/Logging_0117/tillsyn/A 8622-2024 tillsynsbegäran.docx", "A 8622-2024")</f>
        <v/>
      </c>
      <c r="Y323">
        <f>HYPERLINK("https://klasma.github.io/Logging_0117/tillsynsmail/A 8622-2024 tillsynsbegäran mail.docx", "A 8622-2024")</f>
        <v/>
      </c>
      <c r="Z323">
        <f>HYPERLINK("https://klasma.github.io/Logging_0117/fåglar/A 8622-2024 prioriterade fågelarter.docx", "A 8622-2024")</f>
        <v/>
      </c>
    </row>
    <row r="324" ht="15" customHeight="1">
      <c r="A324" t="inlineStr">
        <is>
          <t>A 11995-2024</t>
        </is>
      </c>
      <c r="B324" s="1" t="n">
        <v>45377</v>
      </c>
      <c r="C324" s="1" t="n">
        <v>45693</v>
      </c>
      <c r="D324" t="inlineStr">
        <is>
          <t>STOCKHOLMS LÄN</t>
        </is>
      </c>
      <c r="E324" t="inlineStr">
        <is>
          <t>NORRTÄLJE</t>
        </is>
      </c>
      <c r="G324" t="n">
        <v>4.7</v>
      </c>
      <c r="H324" t="n">
        <v>0</v>
      </c>
      <c r="I324" t="n">
        <v>1</v>
      </c>
      <c r="J324" t="n">
        <v>1</v>
      </c>
      <c r="K324" t="n">
        <v>0</v>
      </c>
      <c r="L324" t="n">
        <v>0</v>
      </c>
      <c r="M324" t="n">
        <v>0</v>
      </c>
      <c r="N324" t="n">
        <v>0</v>
      </c>
      <c r="O324" t="n">
        <v>1</v>
      </c>
      <c r="P324" t="n">
        <v>0</v>
      </c>
      <c r="Q324" t="n">
        <v>2</v>
      </c>
      <c r="R324" s="2" t="inlineStr">
        <is>
          <t>Tallticka
Svavelriska</t>
        </is>
      </c>
      <c r="S324">
        <f>HYPERLINK("https://klasma.github.io/Logging_0188/artfynd/A 11995-2024 artfynd.xlsx", "A 11995-2024")</f>
        <v/>
      </c>
      <c r="T324">
        <f>HYPERLINK("https://klasma.github.io/Logging_0188/kartor/A 11995-2024 karta.png", "A 11995-2024")</f>
        <v/>
      </c>
      <c r="V324">
        <f>HYPERLINK("https://klasma.github.io/Logging_0188/klagomål/A 11995-2024 FSC-klagomål.docx", "A 11995-2024")</f>
        <v/>
      </c>
      <c r="W324">
        <f>HYPERLINK("https://klasma.github.io/Logging_0188/klagomålsmail/A 11995-2024 FSC-klagomål mail.docx", "A 11995-2024")</f>
        <v/>
      </c>
      <c r="X324">
        <f>HYPERLINK("https://klasma.github.io/Logging_0188/tillsyn/A 11995-2024 tillsynsbegäran.docx", "A 11995-2024")</f>
        <v/>
      </c>
      <c r="Y324">
        <f>HYPERLINK("https://klasma.github.io/Logging_0188/tillsynsmail/A 11995-2024 tillsynsbegäran mail.docx", "A 11995-2024")</f>
        <v/>
      </c>
    </row>
    <row r="325" ht="15" customHeight="1">
      <c r="A325" t="inlineStr">
        <is>
          <t>A 12662-2024</t>
        </is>
      </c>
      <c r="B325" s="1" t="n">
        <v>45384</v>
      </c>
      <c r="C325" s="1" t="n">
        <v>45693</v>
      </c>
      <c r="D325" t="inlineStr">
        <is>
          <t>STOCKHOLMS LÄN</t>
        </is>
      </c>
      <c r="E325" t="inlineStr">
        <is>
          <t>HANINGE</t>
        </is>
      </c>
      <c r="G325" t="n">
        <v>1.8</v>
      </c>
      <c r="H325" t="n">
        <v>1</v>
      </c>
      <c r="I325" t="n">
        <v>1</v>
      </c>
      <c r="J325" t="n">
        <v>0</v>
      </c>
      <c r="K325" t="n">
        <v>0</v>
      </c>
      <c r="L325" t="n">
        <v>0</v>
      </c>
      <c r="M325" t="n">
        <v>0</v>
      </c>
      <c r="N325" t="n">
        <v>0</v>
      </c>
      <c r="O325" t="n">
        <v>0</v>
      </c>
      <c r="P325" t="n">
        <v>0</v>
      </c>
      <c r="Q325" t="n">
        <v>2</v>
      </c>
      <c r="R325" s="2" t="inlineStr">
        <is>
          <t>Skogshakmossa
Blåsippa</t>
        </is>
      </c>
      <c r="S325">
        <f>HYPERLINK("https://klasma.github.io/Logging_0136/artfynd/A 12662-2024 artfynd.xlsx", "A 12662-2024")</f>
        <v/>
      </c>
      <c r="T325">
        <f>HYPERLINK("https://klasma.github.io/Logging_0136/kartor/A 12662-2024 karta.png", "A 12662-2024")</f>
        <v/>
      </c>
      <c r="V325">
        <f>HYPERLINK("https://klasma.github.io/Logging_0136/klagomål/A 12662-2024 FSC-klagomål.docx", "A 12662-2024")</f>
        <v/>
      </c>
      <c r="W325">
        <f>HYPERLINK("https://klasma.github.io/Logging_0136/klagomålsmail/A 12662-2024 FSC-klagomål mail.docx", "A 12662-2024")</f>
        <v/>
      </c>
      <c r="X325">
        <f>HYPERLINK("https://klasma.github.io/Logging_0136/tillsyn/A 12662-2024 tillsynsbegäran.docx", "A 12662-2024")</f>
        <v/>
      </c>
      <c r="Y325">
        <f>HYPERLINK("https://klasma.github.io/Logging_0136/tillsynsmail/A 12662-2024 tillsynsbegäran mail.docx", "A 12662-2024")</f>
        <v/>
      </c>
    </row>
    <row r="326" ht="15" customHeight="1">
      <c r="A326" t="inlineStr">
        <is>
          <t>A 13150-2024</t>
        </is>
      </c>
      <c r="B326" s="1" t="n">
        <v>45386</v>
      </c>
      <c r="C326" s="1" t="n">
        <v>45693</v>
      </c>
      <c r="D326" t="inlineStr">
        <is>
          <t>STOCKHOLMS LÄN</t>
        </is>
      </c>
      <c r="E326" t="inlineStr">
        <is>
          <t>NORRTÄLJE</t>
        </is>
      </c>
      <c r="G326" t="n">
        <v>7.4</v>
      </c>
      <c r="H326" t="n">
        <v>0</v>
      </c>
      <c r="I326" t="n">
        <v>1</v>
      </c>
      <c r="J326" t="n">
        <v>1</v>
      </c>
      <c r="K326" t="n">
        <v>0</v>
      </c>
      <c r="L326" t="n">
        <v>0</v>
      </c>
      <c r="M326" t="n">
        <v>0</v>
      </c>
      <c r="N326" t="n">
        <v>0</v>
      </c>
      <c r="O326" t="n">
        <v>1</v>
      </c>
      <c r="P326" t="n">
        <v>0</v>
      </c>
      <c r="Q326" t="n">
        <v>2</v>
      </c>
      <c r="R326" s="2" t="inlineStr">
        <is>
          <t>Orange taggsvamp
Mönjevaxskivling</t>
        </is>
      </c>
      <c r="S326">
        <f>HYPERLINK("https://klasma.github.io/Logging_0188/artfynd/A 13150-2024 artfynd.xlsx", "A 13150-2024")</f>
        <v/>
      </c>
      <c r="T326">
        <f>HYPERLINK("https://klasma.github.io/Logging_0188/kartor/A 13150-2024 karta.png", "A 13150-2024")</f>
        <v/>
      </c>
      <c r="V326">
        <f>HYPERLINK("https://klasma.github.io/Logging_0188/klagomål/A 13150-2024 FSC-klagomål.docx", "A 13150-2024")</f>
        <v/>
      </c>
      <c r="W326">
        <f>HYPERLINK("https://klasma.github.io/Logging_0188/klagomålsmail/A 13150-2024 FSC-klagomål mail.docx", "A 13150-2024")</f>
        <v/>
      </c>
      <c r="X326">
        <f>HYPERLINK("https://klasma.github.io/Logging_0188/tillsyn/A 13150-2024 tillsynsbegäran.docx", "A 13150-2024")</f>
        <v/>
      </c>
      <c r="Y326">
        <f>HYPERLINK("https://klasma.github.io/Logging_0188/tillsynsmail/A 13150-2024 tillsynsbegäran mail.docx", "A 13150-2024")</f>
        <v/>
      </c>
    </row>
    <row r="327" ht="15" customHeight="1">
      <c r="A327" t="inlineStr">
        <is>
          <t>A 23583-2024</t>
        </is>
      </c>
      <c r="B327" s="1" t="n">
        <v>45454</v>
      </c>
      <c r="C327" s="1" t="n">
        <v>45693</v>
      </c>
      <c r="D327" t="inlineStr">
        <is>
          <t>STOCKHOLMS LÄN</t>
        </is>
      </c>
      <c r="E327" t="inlineStr">
        <is>
          <t>NORRTÄLJE</t>
        </is>
      </c>
      <c r="G327" t="n">
        <v>7.7</v>
      </c>
      <c r="H327" t="n">
        <v>0</v>
      </c>
      <c r="I327" t="n">
        <v>2</v>
      </c>
      <c r="J327" t="n">
        <v>0</v>
      </c>
      <c r="K327" t="n">
        <v>0</v>
      </c>
      <c r="L327" t="n">
        <v>0</v>
      </c>
      <c r="M327" t="n">
        <v>0</v>
      </c>
      <c r="N327" t="n">
        <v>0</v>
      </c>
      <c r="O327" t="n">
        <v>0</v>
      </c>
      <c r="P327" t="n">
        <v>0</v>
      </c>
      <c r="Q327" t="n">
        <v>2</v>
      </c>
      <c r="R327" s="2" t="inlineStr">
        <is>
          <t>Gulnål
Kattfotslav</t>
        </is>
      </c>
      <c r="S327">
        <f>HYPERLINK("https://klasma.github.io/Logging_0188/artfynd/A 23583-2024 artfynd.xlsx", "A 23583-2024")</f>
        <v/>
      </c>
      <c r="T327">
        <f>HYPERLINK("https://klasma.github.io/Logging_0188/kartor/A 23583-2024 karta.png", "A 23583-2024")</f>
        <v/>
      </c>
      <c r="V327">
        <f>HYPERLINK("https://klasma.github.io/Logging_0188/klagomål/A 23583-2024 FSC-klagomål.docx", "A 23583-2024")</f>
        <v/>
      </c>
      <c r="W327">
        <f>HYPERLINK("https://klasma.github.io/Logging_0188/klagomålsmail/A 23583-2024 FSC-klagomål mail.docx", "A 23583-2024")</f>
        <v/>
      </c>
      <c r="X327">
        <f>HYPERLINK("https://klasma.github.io/Logging_0188/tillsyn/A 23583-2024 tillsynsbegäran.docx", "A 23583-2024")</f>
        <v/>
      </c>
      <c r="Y327">
        <f>HYPERLINK("https://klasma.github.io/Logging_0188/tillsynsmail/A 23583-2024 tillsynsbegäran mail.docx", "A 23583-2024")</f>
        <v/>
      </c>
    </row>
    <row r="328" ht="15" customHeight="1">
      <c r="A328" t="inlineStr">
        <is>
          <t>A 24025-2024</t>
        </is>
      </c>
      <c r="B328" s="1" t="n">
        <v>45456</v>
      </c>
      <c r="C328" s="1" t="n">
        <v>45693</v>
      </c>
      <c r="D328" t="inlineStr">
        <is>
          <t>STOCKHOLMS LÄN</t>
        </is>
      </c>
      <c r="E328" t="inlineStr">
        <is>
          <t>NORRTÄLJE</t>
        </is>
      </c>
      <c r="G328" t="n">
        <v>6</v>
      </c>
      <c r="H328" t="n">
        <v>0</v>
      </c>
      <c r="I328" t="n">
        <v>2</v>
      </c>
      <c r="J328" t="n">
        <v>0</v>
      </c>
      <c r="K328" t="n">
        <v>0</v>
      </c>
      <c r="L328" t="n">
        <v>0</v>
      </c>
      <c r="M328" t="n">
        <v>0</v>
      </c>
      <c r="N328" t="n">
        <v>0</v>
      </c>
      <c r="O328" t="n">
        <v>0</v>
      </c>
      <c r="P328" t="n">
        <v>0</v>
      </c>
      <c r="Q328" t="n">
        <v>2</v>
      </c>
      <c r="R328" s="2" t="inlineStr">
        <is>
          <t>Guldlockmossa
Platt fjädermossa</t>
        </is>
      </c>
      <c r="S328">
        <f>HYPERLINK("https://klasma.github.io/Logging_0188/artfynd/A 24025-2024 artfynd.xlsx", "A 24025-2024")</f>
        <v/>
      </c>
      <c r="T328">
        <f>HYPERLINK("https://klasma.github.io/Logging_0188/kartor/A 24025-2024 karta.png", "A 24025-2024")</f>
        <v/>
      </c>
      <c r="V328">
        <f>HYPERLINK("https://klasma.github.io/Logging_0188/klagomål/A 24025-2024 FSC-klagomål.docx", "A 24025-2024")</f>
        <v/>
      </c>
      <c r="W328">
        <f>HYPERLINK("https://klasma.github.io/Logging_0188/klagomålsmail/A 24025-2024 FSC-klagomål mail.docx", "A 24025-2024")</f>
        <v/>
      </c>
      <c r="X328">
        <f>HYPERLINK("https://klasma.github.io/Logging_0188/tillsyn/A 24025-2024 tillsynsbegäran.docx", "A 24025-2024")</f>
        <v/>
      </c>
      <c r="Y328">
        <f>HYPERLINK("https://klasma.github.io/Logging_0188/tillsynsmail/A 24025-2024 tillsynsbegäran mail.docx", "A 24025-2024")</f>
        <v/>
      </c>
    </row>
    <row r="329" ht="15" customHeight="1">
      <c r="A329" t="inlineStr">
        <is>
          <t>A 29376-2024</t>
        </is>
      </c>
      <c r="B329" s="1" t="n">
        <v>45483</v>
      </c>
      <c r="C329" s="1" t="n">
        <v>45693</v>
      </c>
      <c r="D329" t="inlineStr">
        <is>
          <t>STOCKHOLMS LÄN</t>
        </is>
      </c>
      <c r="E329" t="inlineStr">
        <is>
          <t>VALLENTUNA</t>
        </is>
      </c>
      <c r="F329" t="inlineStr">
        <is>
          <t>Övriga Aktiebolag</t>
        </is>
      </c>
      <c r="G329" t="n">
        <v>11.9</v>
      </c>
      <c r="H329" t="n">
        <v>0</v>
      </c>
      <c r="I329" t="n">
        <v>0</v>
      </c>
      <c r="J329" t="n">
        <v>1</v>
      </c>
      <c r="K329" t="n">
        <v>1</v>
      </c>
      <c r="L329" t="n">
        <v>0</v>
      </c>
      <c r="M329" t="n">
        <v>0</v>
      </c>
      <c r="N329" t="n">
        <v>0</v>
      </c>
      <c r="O329" t="n">
        <v>2</v>
      </c>
      <c r="P329" t="n">
        <v>1</v>
      </c>
      <c r="Q329" t="n">
        <v>2</v>
      </c>
      <c r="R329" s="2" t="inlineStr">
        <is>
          <t>Bandnate
Vedtrappmossa</t>
        </is>
      </c>
      <c r="S329">
        <f>HYPERLINK("https://klasma.github.io/Logging_0115/artfynd/A 29376-2024 artfynd.xlsx", "A 29376-2024")</f>
        <v/>
      </c>
      <c r="T329">
        <f>HYPERLINK("https://klasma.github.io/Logging_0115/kartor/A 29376-2024 karta.png", "A 29376-2024")</f>
        <v/>
      </c>
      <c r="V329">
        <f>HYPERLINK("https://klasma.github.io/Logging_0115/klagomål/A 29376-2024 FSC-klagomål.docx", "A 29376-2024")</f>
        <v/>
      </c>
      <c r="W329">
        <f>HYPERLINK("https://klasma.github.io/Logging_0115/klagomålsmail/A 29376-2024 FSC-klagomål mail.docx", "A 29376-2024")</f>
        <v/>
      </c>
      <c r="X329">
        <f>HYPERLINK("https://klasma.github.io/Logging_0115/tillsyn/A 29376-2024 tillsynsbegäran.docx", "A 29376-2024")</f>
        <v/>
      </c>
      <c r="Y329">
        <f>HYPERLINK("https://klasma.github.io/Logging_0115/tillsynsmail/A 29376-2024 tillsynsbegäran mail.docx", "A 29376-2024")</f>
        <v/>
      </c>
    </row>
    <row r="330" ht="15" customHeight="1">
      <c r="A330" t="inlineStr">
        <is>
          <t>A 36813-2024</t>
        </is>
      </c>
      <c r="B330" s="1" t="n">
        <v>45538</v>
      </c>
      <c r="C330" s="1" t="n">
        <v>45693</v>
      </c>
      <c r="D330" t="inlineStr">
        <is>
          <t>STOCKHOLMS LÄN</t>
        </is>
      </c>
      <c r="E330" t="inlineStr">
        <is>
          <t>NYKVARN</t>
        </is>
      </c>
      <c r="G330" t="n">
        <v>5.9</v>
      </c>
      <c r="H330" t="n">
        <v>1</v>
      </c>
      <c r="I330" t="n">
        <v>1</v>
      </c>
      <c r="J330" t="n">
        <v>0</v>
      </c>
      <c r="K330" t="n">
        <v>0</v>
      </c>
      <c r="L330" t="n">
        <v>0</v>
      </c>
      <c r="M330" t="n">
        <v>0</v>
      </c>
      <c r="N330" t="n">
        <v>0</v>
      </c>
      <c r="O330" t="n">
        <v>0</v>
      </c>
      <c r="P330" t="n">
        <v>0</v>
      </c>
      <c r="Q330" t="n">
        <v>2</v>
      </c>
      <c r="R330" s="2" t="inlineStr">
        <is>
          <t>Vårärt
Blåsippa</t>
        </is>
      </c>
      <c r="S330">
        <f>HYPERLINK("https://klasma.github.io/Logging_0140/artfynd/A 36813-2024 artfynd.xlsx", "A 36813-2024")</f>
        <v/>
      </c>
      <c r="T330">
        <f>HYPERLINK("https://klasma.github.io/Logging_0140/kartor/A 36813-2024 karta.png", "A 36813-2024")</f>
        <v/>
      </c>
      <c r="V330">
        <f>HYPERLINK("https://klasma.github.io/Logging_0140/klagomål/A 36813-2024 FSC-klagomål.docx", "A 36813-2024")</f>
        <v/>
      </c>
      <c r="W330">
        <f>HYPERLINK("https://klasma.github.io/Logging_0140/klagomålsmail/A 36813-2024 FSC-klagomål mail.docx", "A 36813-2024")</f>
        <v/>
      </c>
      <c r="X330">
        <f>HYPERLINK("https://klasma.github.io/Logging_0140/tillsyn/A 36813-2024 tillsynsbegäran.docx", "A 36813-2024")</f>
        <v/>
      </c>
      <c r="Y330">
        <f>HYPERLINK("https://klasma.github.io/Logging_0140/tillsynsmail/A 36813-2024 tillsynsbegäran mail.docx", "A 36813-2024")</f>
        <v/>
      </c>
    </row>
    <row r="331" ht="15" customHeight="1">
      <c r="A331" t="inlineStr">
        <is>
          <t>A 43308-2024</t>
        </is>
      </c>
      <c r="B331" s="1" t="n">
        <v>45568</v>
      </c>
      <c r="C331" s="1" t="n">
        <v>45693</v>
      </c>
      <c r="D331" t="inlineStr">
        <is>
          <t>STOCKHOLMS LÄN</t>
        </is>
      </c>
      <c r="E331" t="inlineStr">
        <is>
          <t>ÖSTERÅKER</t>
        </is>
      </c>
      <c r="F331" t="inlineStr">
        <is>
          <t>Kyrkan</t>
        </is>
      </c>
      <c r="G331" t="n">
        <v>3.2</v>
      </c>
      <c r="H331" t="n">
        <v>0</v>
      </c>
      <c r="I331" t="n">
        <v>1</v>
      </c>
      <c r="J331" t="n">
        <v>1</v>
      </c>
      <c r="K331" t="n">
        <v>0</v>
      </c>
      <c r="L331" t="n">
        <v>0</v>
      </c>
      <c r="M331" t="n">
        <v>0</v>
      </c>
      <c r="N331" t="n">
        <v>0</v>
      </c>
      <c r="O331" t="n">
        <v>1</v>
      </c>
      <c r="P331" t="n">
        <v>0</v>
      </c>
      <c r="Q331" t="n">
        <v>2</v>
      </c>
      <c r="R331" s="2" t="inlineStr">
        <is>
          <t>Tallticka
Dropptaggsvamp</t>
        </is>
      </c>
      <c r="S331">
        <f>HYPERLINK("https://klasma.github.io/Logging_0117/artfynd/A 43308-2024 artfynd.xlsx", "A 43308-2024")</f>
        <v/>
      </c>
      <c r="T331">
        <f>HYPERLINK("https://klasma.github.io/Logging_0117/kartor/A 43308-2024 karta.png", "A 43308-2024")</f>
        <v/>
      </c>
      <c r="V331">
        <f>HYPERLINK("https://klasma.github.io/Logging_0117/klagomål/A 43308-2024 FSC-klagomål.docx", "A 43308-2024")</f>
        <v/>
      </c>
      <c r="W331">
        <f>HYPERLINK("https://klasma.github.io/Logging_0117/klagomålsmail/A 43308-2024 FSC-klagomål mail.docx", "A 43308-2024")</f>
        <v/>
      </c>
      <c r="X331">
        <f>HYPERLINK("https://klasma.github.io/Logging_0117/tillsyn/A 43308-2024 tillsynsbegäran.docx", "A 43308-2024")</f>
        <v/>
      </c>
      <c r="Y331">
        <f>HYPERLINK("https://klasma.github.io/Logging_0117/tillsynsmail/A 43308-2024 tillsynsbegäran mail.docx", "A 43308-2024")</f>
        <v/>
      </c>
    </row>
    <row r="332" ht="15" customHeight="1">
      <c r="A332" t="inlineStr">
        <is>
          <t>A 50326-2024</t>
        </is>
      </c>
      <c r="B332" s="1" t="n">
        <v>45600</v>
      </c>
      <c r="C332" s="1" t="n">
        <v>45693</v>
      </c>
      <c r="D332" t="inlineStr">
        <is>
          <t>STOCKHOLMS LÄN</t>
        </is>
      </c>
      <c r="E332" t="inlineStr">
        <is>
          <t>NORRTÄLJE</t>
        </is>
      </c>
      <c r="G332" t="n">
        <v>23.9</v>
      </c>
      <c r="H332" t="n">
        <v>1</v>
      </c>
      <c r="I332" t="n">
        <v>1</v>
      </c>
      <c r="J332" t="n">
        <v>1</v>
      </c>
      <c r="K332" t="n">
        <v>0</v>
      </c>
      <c r="L332" t="n">
        <v>0</v>
      </c>
      <c r="M332" t="n">
        <v>0</v>
      </c>
      <c r="N332" t="n">
        <v>0</v>
      </c>
      <c r="O332" t="n">
        <v>1</v>
      </c>
      <c r="P332" t="n">
        <v>0</v>
      </c>
      <c r="Q332" t="n">
        <v>2</v>
      </c>
      <c r="R332" s="2" t="inlineStr">
        <is>
          <t>Sommarfibbla
Nästrot</t>
        </is>
      </c>
      <c r="S332">
        <f>HYPERLINK("https://klasma.github.io/Logging_0188/artfynd/A 50326-2024 artfynd.xlsx", "A 50326-2024")</f>
        <v/>
      </c>
      <c r="T332">
        <f>HYPERLINK("https://klasma.github.io/Logging_0188/kartor/A 50326-2024 karta.png", "A 50326-2024")</f>
        <v/>
      </c>
      <c r="V332">
        <f>HYPERLINK("https://klasma.github.io/Logging_0188/klagomål/A 50326-2024 FSC-klagomål.docx", "A 50326-2024")</f>
        <v/>
      </c>
      <c r="W332">
        <f>HYPERLINK("https://klasma.github.io/Logging_0188/klagomålsmail/A 50326-2024 FSC-klagomål mail.docx", "A 50326-2024")</f>
        <v/>
      </c>
      <c r="X332">
        <f>HYPERLINK("https://klasma.github.io/Logging_0188/tillsyn/A 50326-2024 tillsynsbegäran.docx", "A 50326-2024")</f>
        <v/>
      </c>
      <c r="Y332">
        <f>HYPERLINK("https://klasma.github.io/Logging_0188/tillsynsmail/A 50326-2024 tillsynsbegäran mail.docx", "A 50326-2024")</f>
        <v/>
      </c>
    </row>
    <row r="333" ht="15" customHeight="1">
      <c r="A333" t="inlineStr">
        <is>
          <t>A 52360-2024</t>
        </is>
      </c>
      <c r="B333" s="1" t="n">
        <v>45609</v>
      </c>
      <c r="C333" s="1" t="n">
        <v>45693</v>
      </c>
      <c r="D333" t="inlineStr">
        <is>
          <t>STOCKHOLMS LÄN</t>
        </is>
      </c>
      <c r="E333" t="inlineStr">
        <is>
          <t>NORRTÄLJE</t>
        </is>
      </c>
      <c r="G333" t="n">
        <v>2.2</v>
      </c>
      <c r="H333" t="n">
        <v>1</v>
      </c>
      <c r="I333" t="n">
        <v>1</v>
      </c>
      <c r="J333" t="n">
        <v>0</v>
      </c>
      <c r="K333" t="n">
        <v>0</v>
      </c>
      <c r="L333" t="n">
        <v>0</v>
      </c>
      <c r="M333" t="n">
        <v>0</v>
      </c>
      <c r="N333" t="n">
        <v>0</v>
      </c>
      <c r="O333" t="n">
        <v>0</v>
      </c>
      <c r="P333" t="n">
        <v>0</v>
      </c>
      <c r="Q333" t="n">
        <v>2</v>
      </c>
      <c r="R333" s="2" t="inlineStr">
        <is>
          <t>Brandticka
Blåsippa</t>
        </is>
      </c>
      <c r="S333">
        <f>HYPERLINK("https://klasma.github.io/Logging_0188/artfynd/A 52360-2024 artfynd.xlsx", "A 52360-2024")</f>
        <v/>
      </c>
      <c r="T333">
        <f>HYPERLINK("https://klasma.github.io/Logging_0188/kartor/A 52360-2024 karta.png", "A 52360-2024")</f>
        <v/>
      </c>
      <c r="V333">
        <f>HYPERLINK("https://klasma.github.io/Logging_0188/klagomål/A 52360-2024 FSC-klagomål.docx", "A 52360-2024")</f>
        <v/>
      </c>
      <c r="W333">
        <f>HYPERLINK("https://klasma.github.io/Logging_0188/klagomålsmail/A 52360-2024 FSC-klagomål mail.docx", "A 52360-2024")</f>
        <v/>
      </c>
      <c r="X333">
        <f>HYPERLINK("https://klasma.github.io/Logging_0188/tillsyn/A 52360-2024 tillsynsbegäran.docx", "A 52360-2024")</f>
        <v/>
      </c>
      <c r="Y333">
        <f>HYPERLINK("https://klasma.github.io/Logging_0188/tillsynsmail/A 52360-2024 tillsynsbegäran mail.docx", "A 52360-2024")</f>
        <v/>
      </c>
    </row>
    <row r="334" ht="15" customHeight="1">
      <c r="A334" t="inlineStr">
        <is>
          <t>A 54703-2024</t>
        </is>
      </c>
      <c r="B334" s="1" t="n">
        <v>45618</v>
      </c>
      <c r="C334" s="1" t="n">
        <v>45693</v>
      </c>
      <c r="D334" t="inlineStr">
        <is>
          <t>STOCKHOLMS LÄN</t>
        </is>
      </c>
      <c r="E334" t="inlineStr">
        <is>
          <t>ÖSTERÅKER</t>
        </is>
      </c>
      <c r="G334" t="n">
        <v>7.7</v>
      </c>
      <c r="H334" t="n">
        <v>1</v>
      </c>
      <c r="I334" t="n">
        <v>0</v>
      </c>
      <c r="J334" t="n">
        <v>2</v>
      </c>
      <c r="K334" t="n">
        <v>0</v>
      </c>
      <c r="L334" t="n">
        <v>0</v>
      </c>
      <c r="M334" t="n">
        <v>0</v>
      </c>
      <c r="N334" t="n">
        <v>0</v>
      </c>
      <c r="O334" t="n">
        <v>2</v>
      </c>
      <c r="P334" t="n">
        <v>0</v>
      </c>
      <c r="Q334" t="n">
        <v>2</v>
      </c>
      <c r="R334" s="2" t="inlineStr">
        <is>
          <t>Spillkråka
Tallticka</t>
        </is>
      </c>
      <c r="S334">
        <f>HYPERLINK("https://klasma.github.io/Logging_0117/artfynd/A 54703-2024 artfynd.xlsx", "A 54703-2024")</f>
        <v/>
      </c>
      <c r="T334">
        <f>HYPERLINK("https://klasma.github.io/Logging_0117/kartor/A 54703-2024 karta.png", "A 54703-2024")</f>
        <v/>
      </c>
      <c r="V334">
        <f>HYPERLINK("https://klasma.github.io/Logging_0117/klagomål/A 54703-2024 FSC-klagomål.docx", "A 54703-2024")</f>
        <v/>
      </c>
      <c r="W334">
        <f>HYPERLINK("https://klasma.github.io/Logging_0117/klagomålsmail/A 54703-2024 FSC-klagomål mail.docx", "A 54703-2024")</f>
        <v/>
      </c>
      <c r="X334">
        <f>HYPERLINK("https://klasma.github.io/Logging_0117/tillsyn/A 54703-2024 tillsynsbegäran.docx", "A 54703-2024")</f>
        <v/>
      </c>
      <c r="Y334">
        <f>HYPERLINK("https://klasma.github.io/Logging_0117/tillsynsmail/A 54703-2024 tillsynsbegäran mail.docx", "A 54703-2024")</f>
        <v/>
      </c>
      <c r="Z334">
        <f>HYPERLINK("https://klasma.github.io/Logging_0117/fåglar/A 54703-2024 prioriterade fågelarter.docx", "A 54703-2024")</f>
        <v/>
      </c>
    </row>
    <row r="335" ht="15" customHeight="1">
      <c r="A335" t="inlineStr">
        <is>
          <t>A 26-2025</t>
        </is>
      </c>
      <c r="B335" s="1" t="n">
        <v>45659</v>
      </c>
      <c r="C335" s="1" t="n">
        <v>45693</v>
      </c>
      <c r="D335" t="inlineStr">
        <is>
          <t>STOCKHOLMS LÄN</t>
        </is>
      </c>
      <c r="E335" t="inlineStr">
        <is>
          <t>BOTKYRKA</t>
        </is>
      </c>
      <c r="G335" t="n">
        <v>1.7</v>
      </c>
      <c r="H335" t="n">
        <v>1</v>
      </c>
      <c r="I335" t="n">
        <v>0</v>
      </c>
      <c r="J335" t="n">
        <v>2</v>
      </c>
      <c r="K335" t="n">
        <v>0</v>
      </c>
      <c r="L335" t="n">
        <v>0</v>
      </c>
      <c r="M335" t="n">
        <v>0</v>
      </c>
      <c r="N335" t="n">
        <v>0</v>
      </c>
      <c r="O335" t="n">
        <v>2</v>
      </c>
      <c r="P335" t="n">
        <v>0</v>
      </c>
      <c r="Q335" t="n">
        <v>2</v>
      </c>
      <c r="R335" s="2" t="inlineStr">
        <is>
          <t>Granticka
Spillkråka</t>
        </is>
      </c>
      <c r="S335">
        <f>HYPERLINK("https://klasma.github.io/Logging_0127/artfynd/A 26-2025 artfynd.xlsx", "A 26-2025")</f>
        <v/>
      </c>
      <c r="T335">
        <f>HYPERLINK("https://klasma.github.io/Logging_0127/kartor/A 26-2025 karta.png", "A 26-2025")</f>
        <v/>
      </c>
      <c r="V335">
        <f>HYPERLINK("https://klasma.github.io/Logging_0127/klagomål/A 26-2025 FSC-klagomål.docx", "A 26-2025")</f>
        <v/>
      </c>
      <c r="W335">
        <f>HYPERLINK("https://klasma.github.io/Logging_0127/klagomålsmail/A 26-2025 FSC-klagomål mail.docx", "A 26-2025")</f>
        <v/>
      </c>
      <c r="X335">
        <f>HYPERLINK("https://klasma.github.io/Logging_0127/tillsyn/A 26-2025 tillsynsbegäran.docx", "A 26-2025")</f>
        <v/>
      </c>
      <c r="Y335">
        <f>HYPERLINK("https://klasma.github.io/Logging_0127/tillsynsmail/A 26-2025 tillsynsbegäran mail.docx", "A 26-2025")</f>
        <v/>
      </c>
      <c r="Z335">
        <f>HYPERLINK("https://klasma.github.io/Logging_0127/fåglar/A 26-2025 prioriterade fågelarter.docx", "A 26-2025")</f>
        <v/>
      </c>
    </row>
    <row r="336" ht="15" customHeight="1">
      <c r="A336" t="inlineStr">
        <is>
          <t>A 20740-2019</t>
        </is>
      </c>
      <c r="B336" s="1" t="n">
        <v>43573</v>
      </c>
      <c r="C336" s="1" t="n">
        <v>45693</v>
      </c>
      <c r="D336" t="inlineStr">
        <is>
          <t>STOCKHOLMS LÄN</t>
        </is>
      </c>
      <c r="E336" t="inlineStr">
        <is>
          <t>NORRTÄLJE</t>
        </is>
      </c>
      <c r="G336" t="n">
        <v>1.6</v>
      </c>
      <c r="H336" t="n">
        <v>0</v>
      </c>
      <c r="I336" t="n">
        <v>0</v>
      </c>
      <c r="J336" t="n">
        <v>1</v>
      </c>
      <c r="K336" t="n">
        <v>0</v>
      </c>
      <c r="L336" t="n">
        <v>0</v>
      </c>
      <c r="M336" t="n">
        <v>0</v>
      </c>
      <c r="N336" t="n">
        <v>0</v>
      </c>
      <c r="O336" t="n">
        <v>1</v>
      </c>
      <c r="P336" t="n">
        <v>0</v>
      </c>
      <c r="Q336" t="n">
        <v>1</v>
      </c>
      <c r="R336" s="2" t="inlineStr">
        <is>
          <t>Slåtterfibbla</t>
        </is>
      </c>
      <c r="S336">
        <f>HYPERLINK("https://klasma.github.io/Logging_0188/artfynd/A 20740-2019 artfynd.xlsx", "A 20740-2019")</f>
        <v/>
      </c>
      <c r="T336">
        <f>HYPERLINK("https://klasma.github.io/Logging_0188/kartor/A 20740-2019 karta.png", "A 20740-2019")</f>
        <v/>
      </c>
      <c r="V336">
        <f>HYPERLINK("https://klasma.github.io/Logging_0188/klagomål/A 20740-2019 FSC-klagomål.docx", "A 20740-2019")</f>
        <v/>
      </c>
      <c r="W336">
        <f>HYPERLINK("https://klasma.github.io/Logging_0188/klagomålsmail/A 20740-2019 FSC-klagomål mail.docx", "A 20740-2019")</f>
        <v/>
      </c>
      <c r="X336">
        <f>HYPERLINK("https://klasma.github.io/Logging_0188/tillsyn/A 20740-2019 tillsynsbegäran.docx", "A 20740-2019")</f>
        <v/>
      </c>
      <c r="Y336">
        <f>HYPERLINK("https://klasma.github.io/Logging_0188/tillsynsmail/A 20740-2019 tillsynsbegäran mail.docx", "A 20740-2019")</f>
        <v/>
      </c>
    </row>
    <row r="337" ht="15" customHeight="1">
      <c r="A337" t="inlineStr">
        <is>
          <t>A 24362-2019</t>
        </is>
      </c>
      <c r="B337" s="1" t="n">
        <v>43599</v>
      </c>
      <c r="C337" s="1" t="n">
        <v>45693</v>
      </c>
      <c r="D337" t="inlineStr">
        <is>
          <t>STOCKHOLMS LÄN</t>
        </is>
      </c>
      <c r="E337" t="inlineStr">
        <is>
          <t>NYNÄSHAMN</t>
        </is>
      </c>
      <c r="F337" t="inlineStr">
        <is>
          <t>Kommuner</t>
        </is>
      </c>
      <c r="G337" t="n">
        <v>2.3</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24362-2019 artfynd.xlsx", "A 24362-2019")</f>
        <v/>
      </c>
      <c r="T337">
        <f>HYPERLINK("https://klasma.github.io/Logging_0192/kartor/A 24362-2019 karta.png", "A 24362-2019")</f>
        <v/>
      </c>
      <c r="V337">
        <f>HYPERLINK("https://klasma.github.io/Logging_0192/klagomål/A 24362-2019 FSC-klagomål.docx", "A 24362-2019")</f>
        <v/>
      </c>
      <c r="W337">
        <f>HYPERLINK("https://klasma.github.io/Logging_0192/klagomålsmail/A 24362-2019 FSC-klagomål mail.docx", "A 24362-2019")</f>
        <v/>
      </c>
      <c r="X337">
        <f>HYPERLINK("https://klasma.github.io/Logging_0192/tillsyn/A 24362-2019 tillsynsbegäran.docx", "A 24362-2019")</f>
        <v/>
      </c>
      <c r="Y337">
        <f>HYPERLINK("https://klasma.github.io/Logging_0192/tillsynsmail/A 24362-2019 tillsynsbegäran mail.docx", "A 24362-2019")</f>
        <v/>
      </c>
    </row>
    <row r="338" ht="15" customHeight="1">
      <c r="A338" t="inlineStr">
        <is>
          <t>A 26275-2019</t>
        </is>
      </c>
      <c r="B338" s="1" t="n">
        <v>43611</v>
      </c>
      <c r="C338" s="1" t="n">
        <v>45693</v>
      </c>
      <c r="D338" t="inlineStr">
        <is>
          <t>STOCKHOLMS LÄN</t>
        </is>
      </c>
      <c r="E338" t="inlineStr">
        <is>
          <t>NORRTÄLJE</t>
        </is>
      </c>
      <c r="G338" t="n">
        <v>0.5</v>
      </c>
      <c r="H338" t="n">
        <v>0</v>
      </c>
      <c r="I338" t="n">
        <v>1</v>
      </c>
      <c r="J338" t="n">
        <v>0</v>
      </c>
      <c r="K338" t="n">
        <v>0</v>
      </c>
      <c r="L338" t="n">
        <v>0</v>
      </c>
      <c r="M338" t="n">
        <v>0</v>
      </c>
      <c r="N338" t="n">
        <v>0</v>
      </c>
      <c r="O338" t="n">
        <v>0</v>
      </c>
      <c r="P338" t="n">
        <v>0</v>
      </c>
      <c r="Q338" t="n">
        <v>1</v>
      </c>
      <c r="R338" s="2" t="inlineStr">
        <is>
          <t>Blåmossa</t>
        </is>
      </c>
      <c r="S338">
        <f>HYPERLINK("https://klasma.github.io/Logging_0188/artfynd/A 26275-2019 artfynd.xlsx", "A 26275-2019")</f>
        <v/>
      </c>
      <c r="T338">
        <f>HYPERLINK("https://klasma.github.io/Logging_0188/kartor/A 26275-2019 karta.png", "A 26275-2019")</f>
        <v/>
      </c>
      <c r="V338">
        <f>HYPERLINK("https://klasma.github.io/Logging_0188/klagomål/A 26275-2019 FSC-klagomål.docx", "A 26275-2019")</f>
        <v/>
      </c>
      <c r="W338">
        <f>HYPERLINK("https://klasma.github.io/Logging_0188/klagomålsmail/A 26275-2019 FSC-klagomål mail.docx", "A 26275-2019")</f>
        <v/>
      </c>
      <c r="X338">
        <f>HYPERLINK("https://klasma.github.io/Logging_0188/tillsyn/A 26275-2019 tillsynsbegäran.docx", "A 26275-2019")</f>
        <v/>
      </c>
      <c r="Y338">
        <f>HYPERLINK("https://klasma.github.io/Logging_0188/tillsynsmail/A 26275-2019 tillsynsbegäran mail.docx", "A 26275-2019")</f>
        <v/>
      </c>
    </row>
    <row r="339" ht="15" customHeight="1">
      <c r="A339" t="inlineStr">
        <is>
          <t>A 27513-2019</t>
        </is>
      </c>
      <c r="B339" s="1" t="n">
        <v>43619</v>
      </c>
      <c r="C339" s="1" t="n">
        <v>45693</v>
      </c>
      <c r="D339" t="inlineStr">
        <is>
          <t>STOCKHOLMS LÄN</t>
        </is>
      </c>
      <c r="E339" t="inlineStr">
        <is>
          <t>SÖDERTÄLJE</t>
        </is>
      </c>
      <c r="F339" t="inlineStr">
        <is>
          <t>Sveaskog</t>
        </is>
      </c>
      <c r="G339" t="n">
        <v>2.9</v>
      </c>
      <c r="H339" t="n">
        <v>0</v>
      </c>
      <c r="I339" t="n">
        <v>0</v>
      </c>
      <c r="J339" t="n">
        <v>1</v>
      </c>
      <c r="K339" t="n">
        <v>0</v>
      </c>
      <c r="L339" t="n">
        <v>0</v>
      </c>
      <c r="M339" t="n">
        <v>0</v>
      </c>
      <c r="N339" t="n">
        <v>0</v>
      </c>
      <c r="O339" t="n">
        <v>1</v>
      </c>
      <c r="P339" t="n">
        <v>0</v>
      </c>
      <c r="Q339" t="n">
        <v>1</v>
      </c>
      <c r="R339" s="2" t="inlineStr">
        <is>
          <t>Vedtrappmossa</t>
        </is>
      </c>
      <c r="S339">
        <f>HYPERLINK("https://klasma.github.io/Logging_0181/artfynd/A 27513-2019 artfynd.xlsx", "A 27513-2019")</f>
        <v/>
      </c>
      <c r="T339">
        <f>HYPERLINK("https://klasma.github.io/Logging_0181/kartor/A 27513-2019 karta.png", "A 27513-2019")</f>
        <v/>
      </c>
      <c r="V339">
        <f>HYPERLINK("https://klasma.github.io/Logging_0181/klagomål/A 27513-2019 FSC-klagomål.docx", "A 27513-2019")</f>
        <v/>
      </c>
      <c r="W339">
        <f>HYPERLINK("https://klasma.github.io/Logging_0181/klagomålsmail/A 27513-2019 FSC-klagomål mail.docx", "A 27513-2019")</f>
        <v/>
      </c>
      <c r="X339">
        <f>HYPERLINK("https://klasma.github.io/Logging_0181/tillsyn/A 27513-2019 tillsynsbegäran.docx", "A 27513-2019")</f>
        <v/>
      </c>
      <c r="Y339">
        <f>HYPERLINK("https://klasma.github.io/Logging_0181/tillsynsmail/A 27513-2019 tillsynsbegäran mail.docx", "A 27513-2019")</f>
        <v/>
      </c>
    </row>
    <row r="340" ht="15" customHeight="1">
      <c r="A340" t="inlineStr">
        <is>
          <t>A 29513-2019</t>
        </is>
      </c>
      <c r="B340" s="1" t="n">
        <v>43627</v>
      </c>
      <c r="C340" s="1" t="n">
        <v>45693</v>
      </c>
      <c r="D340" t="inlineStr">
        <is>
          <t>STOCKHOLMS LÄN</t>
        </is>
      </c>
      <c r="E340" t="inlineStr">
        <is>
          <t>HANINGE</t>
        </is>
      </c>
      <c r="G340" t="n">
        <v>2.1</v>
      </c>
      <c r="H340" t="n">
        <v>1</v>
      </c>
      <c r="I340" t="n">
        <v>0</v>
      </c>
      <c r="J340" t="n">
        <v>1</v>
      </c>
      <c r="K340" t="n">
        <v>0</v>
      </c>
      <c r="L340" t="n">
        <v>0</v>
      </c>
      <c r="M340" t="n">
        <v>0</v>
      </c>
      <c r="N340" t="n">
        <v>0</v>
      </c>
      <c r="O340" t="n">
        <v>1</v>
      </c>
      <c r="P340" t="n">
        <v>0</v>
      </c>
      <c r="Q340" t="n">
        <v>1</v>
      </c>
      <c r="R340" s="2" t="inlineStr">
        <is>
          <t>Spillkråka</t>
        </is>
      </c>
      <c r="S340">
        <f>HYPERLINK("https://klasma.github.io/Logging_0136/artfynd/A 29513-2019 artfynd.xlsx", "A 29513-2019")</f>
        <v/>
      </c>
      <c r="T340">
        <f>HYPERLINK("https://klasma.github.io/Logging_0136/kartor/A 29513-2019 karta.png", "A 29513-2019")</f>
        <v/>
      </c>
      <c r="V340">
        <f>HYPERLINK("https://klasma.github.io/Logging_0136/klagomål/A 29513-2019 FSC-klagomål.docx", "A 29513-2019")</f>
        <v/>
      </c>
      <c r="W340">
        <f>HYPERLINK("https://klasma.github.io/Logging_0136/klagomålsmail/A 29513-2019 FSC-klagomål mail.docx", "A 29513-2019")</f>
        <v/>
      </c>
      <c r="X340">
        <f>HYPERLINK("https://klasma.github.io/Logging_0136/tillsyn/A 29513-2019 tillsynsbegäran.docx", "A 29513-2019")</f>
        <v/>
      </c>
      <c r="Y340">
        <f>HYPERLINK("https://klasma.github.io/Logging_0136/tillsynsmail/A 29513-2019 tillsynsbegäran mail.docx", "A 29513-2019")</f>
        <v/>
      </c>
      <c r="Z340">
        <f>HYPERLINK("https://klasma.github.io/Logging_0136/fåglar/A 29513-2019 prioriterade fågelarter.docx", "A 29513-2019")</f>
        <v/>
      </c>
    </row>
    <row r="341" ht="15" customHeight="1">
      <c r="A341" t="inlineStr">
        <is>
          <t>A 30011-2019</t>
        </is>
      </c>
      <c r="B341" s="1" t="n">
        <v>43633</v>
      </c>
      <c r="C341" s="1" t="n">
        <v>45693</v>
      </c>
      <c r="D341" t="inlineStr">
        <is>
          <t>STOCKHOLMS LÄN</t>
        </is>
      </c>
      <c r="E341" t="inlineStr">
        <is>
          <t>NORRTÄLJE</t>
        </is>
      </c>
      <c r="G341" t="n">
        <v>2.6</v>
      </c>
      <c r="H341" t="n">
        <v>0</v>
      </c>
      <c r="I341" t="n">
        <v>1</v>
      </c>
      <c r="J341" t="n">
        <v>0</v>
      </c>
      <c r="K341" t="n">
        <v>0</v>
      </c>
      <c r="L341" t="n">
        <v>0</v>
      </c>
      <c r="M341" t="n">
        <v>0</v>
      </c>
      <c r="N341" t="n">
        <v>0</v>
      </c>
      <c r="O341" t="n">
        <v>0</v>
      </c>
      <c r="P341" t="n">
        <v>0</v>
      </c>
      <c r="Q341" t="n">
        <v>1</v>
      </c>
      <c r="R341" s="2" t="inlineStr">
        <is>
          <t>Tibast</t>
        </is>
      </c>
      <c r="S341">
        <f>HYPERLINK("https://klasma.github.io/Logging_0188/artfynd/A 30011-2019 artfynd.xlsx", "A 30011-2019")</f>
        <v/>
      </c>
      <c r="T341">
        <f>HYPERLINK("https://klasma.github.io/Logging_0188/kartor/A 30011-2019 karta.png", "A 30011-2019")</f>
        <v/>
      </c>
      <c r="V341">
        <f>HYPERLINK("https://klasma.github.io/Logging_0188/klagomål/A 30011-2019 FSC-klagomål.docx", "A 30011-2019")</f>
        <v/>
      </c>
      <c r="W341">
        <f>HYPERLINK("https://klasma.github.io/Logging_0188/klagomålsmail/A 30011-2019 FSC-klagomål mail.docx", "A 30011-2019")</f>
        <v/>
      </c>
      <c r="X341">
        <f>HYPERLINK("https://klasma.github.io/Logging_0188/tillsyn/A 30011-2019 tillsynsbegäran.docx", "A 30011-2019")</f>
        <v/>
      </c>
      <c r="Y341">
        <f>HYPERLINK("https://klasma.github.io/Logging_0188/tillsynsmail/A 30011-2019 tillsynsbegäran mail.docx", "A 30011-2019")</f>
        <v/>
      </c>
    </row>
    <row r="342" ht="15" customHeight="1">
      <c r="A342" t="inlineStr">
        <is>
          <t>A 31167-2019</t>
        </is>
      </c>
      <c r="B342" s="1" t="n">
        <v>43635</v>
      </c>
      <c r="C342" s="1" t="n">
        <v>45693</v>
      </c>
      <c r="D342" t="inlineStr">
        <is>
          <t>STOCKHOLMS LÄN</t>
        </is>
      </c>
      <c r="E342" t="inlineStr">
        <is>
          <t>EKERÖ</t>
        </is>
      </c>
      <c r="F342" t="inlineStr">
        <is>
          <t>Övriga statliga verk och myndigheter</t>
        </is>
      </c>
      <c r="G342" t="n">
        <v>3.7</v>
      </c>
      <c r="H342" t="n">
        <v>1</v>
      </c>
      <c r="I342" t="n">
        <v>0</v>
      </c>
      <c r="J342" t="n">
        <v>0</v>
      </c>
      <c r="K342" t="n">
        <v>1</v>
      </c>
      <c r="L342" t="n">
        <v>0</v>
      </c>
      <c r="M342" t="n">
        <v>0</v>
      </c>
      <c r="N342" t="n">
        <v>0</v>
      </c>
      <c r="O342" t="n">
        <v>1</v>
      </c>
      <c r="P342" t="n">
        <v>1</v>
      </c>
      <c r="Q342" t="n">
        <v>1</v>
      </c>
      <c r="R342" s="2" t="inlineStr">
        <is>
          <t>Läderbagge</t>
        </is>
      </c>
      <c r="S342">
        <f>HYPERLINK("https://klasma.github.io/Logging_0125/artfynd/A 31167-2019 artfynd.xlsx", "A 31167-2019")</f>
        <v/>
      </c>
      <c r="T342">
        <f>HYPERLINK("https://klasma.github.io/Logging_0125/kartor/A 31167-2019 karta.png", "A 31167-2019")</f>
        <v/>
      </c>
      <c r="V342">
        <f>HYPERLINK("https://klasma.github.io/Logging_0125/klagomål/A 31167-2019 FSC-klagomål.docx", "A 31167-2019")</f>
        <v/>
      </c>
      <c r="W342">
        <f>HYPERLINK("https://klasma.github.io/Logging_0125/klagomålsmail/A 31167-2019 FSC-klagomål mail.docx", "A 31167-2019")</f>
        <v/>
      </c>
      <c r="X342">
        <f>HYPERLINK("https://klasma.github.io/Logging_0125/tillsyn/A 31167-2019 tillsynsbegäran.docx", "A 31167-2019")</f>
        <v/>
      </c>
      <c r="Y342">
        <f>HYPERLINK("https://klasma.github.io/Logging_0125/tillsynsmail/A 31167-2019 tillsynsbegäran mail.docx", "A 31167-2019")</f>
        <v/>
      </c>
    </row>
    <row r="343" ht="15" customHeight="1">
      <c r="A343" t="inlineStr">
        <is>
          <t>A 38137-2019</t>
        </is>
      </c>
      <c r="B343" s="1" t="n">
        <v>43684</v>
      </c>
      <c r="C343" s="1" t="n">
        <v>45693</v>
      </c>
      <c r="D343" t="inlineStr">
        <is>
          <t>STOCKHOLMS LÄN</t>
        </is>
      </c>
      <c r="E343" t="inlineStr">
        <is>
          <t>NORRTÄLJE</t>
        </is>
      </c>
      <c r="G343" t="n">
        <v>12.9</v>
      </c>
      <c r="H343" t="n">
        <v>0</v>
      </c>
      <c r="I343" t="n">
        <v>0</v>
      </c>
      <c r="J343" t="n">
        <v>1</v>
      </c>
      <c r="K343" t="n">
        <v>0</v>
      </c>
      <c r="L343" t="n">
        <v>0</v>
      </c>
      <c r="M343" t="n">
        <v>0</v>
      </c>
      <c r="N343" t="n">
        <v>0</v>
      </c>
      <c r="O343" t="n">
        <v>1</v>
      </c>
      <c r="P343" t="n">
        <v>0</v>
      </c>
      <c r="Q343" t="n">
        <v>1</v>
      </c>
      <c r="R343" s="2" t="inlineStr">
        <is>
          <t>Rutskinn</t>
        </is>
      </c>
      <c r="S343">
        <f>HYPERLINK("https://klasma.github.io/Logging_0188/artfynd/A 38137-2019 artfynd.xlsx", "A 38137-2019")</f>
        <v/>
      </c>
      <c r="T343">
        <f>HYPERLINK("https://klasma.github.io/Logging_0188/kartor/A 38137-2019 karta.png", "A 38137-2019")</f>
        <v/>
      </c>
      <c r="V343">
        <f>HYPERLINK("https://klasma.github.io/Logging_0188/klagomål/A 38137-2019 FSC-klagomål.docx", "A 38137-2019")</f>
        <v/>
      </c>
      <c r="W343">
        <f>HYPERLINK("https://klasma.github.io/Logging_0188/klagomålsmail/A 38137-2019 FSC-klagomål mail.docx", "A 38137-2019")</f>
        <v/>
      </c>
      <c r="X343">
        <f>HYPERLINK("https://klasma.github.io/Logging_0188/tillsyn/A 38137-2019 tillsynsbegäran.docx", "A 38137-2019")</f>
        <v/>
      </c>
      <c r="Y343">
        <f>HYPERLINK("https://klasma.github.io/Logging_0188/tillsynsmail/A 38137-2019 tillsynsbegäran mail.docx", "A 38137-2019")</f>
        <v/>
      </c>
    </row>
    <row r="344" ht="15" customHeight="1">
      <c r="A344" t="inlineStr">
        <is>
          <t>A 42497-2019</t>
        </is>
      </c>
      <c r="B344" s="1" t="n">
        <v>43699</v>
      </c>
      <c r="C344" s="1" t="n">
        <v>45693</v>
      </c>
      <c r="D344" t="inlineStr">
        <is>
          <t>STOCKHOLMS LÄN</t>
        </is>
      </c>
      <c r="E344" t="inlineStr">
        <is>
          <t>SIGTUNA</t>
        </is>
      </c>
      <c r="G344" t="n">
        <v>3.6</v>
      </c>
      <c r="H344" t="n">
        <v>1</v>
      </c>
      <c r="I344" t="n">
        <v>0</v>
      </c>
      <c r="J344" t="n">
        <v>1</v>
      </c>
      <c r="K344" t="n">
        <v>0</v>
      </c>
      <c r="L344" t="n">
        <v>0</v>
      </c>
      <c r="M344" t="n">
        <v>0</v>
      </c>
      <c r="N344" t="n">
        <v>0</v>
      </c>
      <c r="O344" t="n">
        <v>1</v>
      </c>
      <c r="P344" t="n">
        <v>0</v>
      </c>
      <c r="Q344" t="n">
        <v>1</v>
      </c>
      <c r="R344" s="2" t="inlineStr">
        <is>
          <t>Gulsparv</t>
        </is>
      </c>
      <c r="S344">
        <f>HYPERLINK("https://klasma.github.io/Logging_0191/artfynd/A 42497-2019 artfynd.xlsx", "A 42497-2019")</f>
        <v/>
      </c>
      <c r="T344">
        <f>HYPERLINK("https://klasma.github.io/Logging_0191/kartor/A 42497-2019 karta.png", "A 42497-2019")</f>
        <v/>
      </c>
      <c r="V344">
        <f>HYPERLINK("https://klasma.github.io/Logging_0191/klagomål/A 42497-2019 FSC-klagomål.docx", "A 42497-2019")</f>
        <v/>
      </c>
      <c r="W344">
        <f>HYPERLINK("https://klasma.github.io/Logging_0191/klagomålsmail/A 42497-2019 FSC-klagomål mail.docx", "A 42497-2019")</f>
        <v/>
      </c>
      <c r="X344">
        <f>HYPERLINK("https://klasma.github.io/Logging_0191/tillsyn/A 42497-2019 tillsynsbegäran.docx", "A 42497-2019")</f>
        <v/>
      </c>
      <c r="Y344">
        <f>HYPERLINK("https://klasma.github.io/Logging_0191/tillsynsmail/A 42497-2019 tillsynsbegäran mail.docx", "A 42497-2019")</f>
        <v/>
      </c>
      <c r="Z344">
        <f>HYPERLINK("https://klasma.github.io/Logging_0191/fåglar/A 42497-2019 prioriterade fågelarter.docx", "A 42497-2019")</f>
        <v/>
      </c>
    </row>
    <row r="345" ht="15" customHeight="1">
      <c r="A345" t="inlineStr">
        <is>
          <t>A 52009-2019</t>
        </is>
      </c>
      <c r="B345" s="1" t="n">
        <v>43742</v>
      </c>
      <c r="C345" s="1" t="n">
        <v>45693</v>
      </c>
      <c r="D345" t="inlineStr">
        <is>
          <t>STOCKHOLMS LÄN</t>
        </is>
      </c>
      <c r="E345" t="inlineStr">
        <is>
          <t>SALEM</t>
        </is>
      </c>
      <c r="G345" t="n">
        <v>16.9</v>
      </c>
      <c r="H345" t="n">
        <v>0</v>
      </c>
      <c r="I345" t="n">
        <v>1</v>
      </c>
      <c r="J345" t="n">
        <v>0</v>
      </c>
      <c r="K345" t="n">
        <v>0</v>
      </c>
      <c r="L345" t="n">
        <v>0</v>
      </c>
      <c r="M345" t="n">
        <v>0</v>
      </c>
      <c r="N345" t="n">
        <v>0</v>
      </c>
      <c r="O345" t="n">
        <v>0</v>
      </c>
      <c r="P345" t="n">
        <v>0</v>
      </c>
      <c r="Q345" t="n">
        <v>1</v>
      </c>
      <c r="R345" s="2" t="inlineStr">
        <is>
          <t>Svart trolldruva</t>
        </is>
      </c>
      <c r="S345">
        <f>HYPERLINK("https://klasma.github.io/Logging_0128/artfynd/A 52009-2019 artfynd.xlsx", "A 52009-2019")</f>
        <v/>
      </c>
      <c r="T345">
        <f>HYPERLINK("https://klasma.github.io/Logging_0128/kartor/A 52009-2019 karta.png", "A 52009-2019")</f>
        <v/>
      </c>
      <c r="V345">
        <f>HYPERLINK("https://klasma.github.io/Logging_0128/klagomål/A 52009-2019 FSC-klagomål.docx", "A 52009-2019")</f>
        <v/>
      </c>
      <c r="W345">
        <f>HYPERLINK("https://klasma.github.io/Logging_0128/klagomålsmail/A 52009-2019 FSC-klagomål mail.docx", "A 52009-2019")</f>
        <v/>
      </c>
      <c r="X345">
        <f>HYPERLINK("https://klasma.github.io/Logging_0128/tillsyn/A 52009-2019 tillsynsbegäran.docx", "A 52009-2019")</f>
        <v/>
      </c>
      <c r="Y345">
        <f>HYPERLINK("https://klasma.github.io/Logging_0128/tillsynsmail/A 52009-2019 tillsynsbegäran mail.docx", "A 52009-2019")</f>
        <v/>
      </c>
    </row>
    <row r="346" ht="15" customHeight="1">
      <c r="A346" t="inlineStr">
        <is>
          <t>A 54231-2019</t>
        </is>
      </c>
      <c r="B346" s="1" t="n">
        <v>43753</v>
      </c>
      <c r="C346" s="1" t="n">
        <v>45693</v>
      </c>
      <c r="D346" t="inlineStr">
        <is>
          <t>STOCKHOLMS LÄN</t>
        </is>
      </c>
      <c r="E346" t="inlineStr">
        <is>
          <t>EKERÖ</t>
        </is>
      </c>
      <c r="G346" t="n">
        <v>6.2</v>
      </c>
      <c r="H346" t="n">
        <v>1</v>
      </c>
      <c r="I346" t="n">
        <v>0</v>
      </c>
      <c r="J346" t="n">
        <v>0</v>
      </c>
      <c r="K346" t="n">
        <v>1</v>
      </c>
      <c r="L346" t="n">
        <v>0</v>
      </c>
      <c r="M346" t="n">
        <v>0</v>
      </c>
      <c r="N346" t="n">
        <v>0</v>
      </c>
      <c r="O346" t="n">
        <v>1</v>
      </c>
      <c r="P346" t="n">
        <v>1</v>
      </c>
      <c r="Q346" t="n">
        <v>1</v>
      </c>
      <c r="R346" s="2" t="inlineStr">
        <is>
          <t>Bombmurkla</t>
        </is>
      </c>
      <c r="S346">
        <f>HYPERLINK("https://klasma.github.io/Logging_0125/artfynd/A 54231-2019 artfynd.xlsx", "A 54231-2019")</f>
        <v/>
      </c>
      <c r="T346">
        <f>HYPERLINK("https://klasma.github.io/Logging_0125/kartor/A 54231-2019 karta.png", "A 54231-2019")</f>
        <v/>
      </c>
      <c r="V346">
        <f>HYPERLINK("https://klasma.github.io/Logging_0125/klagomål/A 54231-2019 FSC-klagomål.docx", "A 54231-2019")</f>
        <v/>
      </c>
      <c r="W346">
        <f>HYPERLINK("https://klasma.github.io/Logging_0125/klagomålsmail/A 54231-2019 FSC-klagomål mail.docx", "A 54231-2019")</f>
        <v/>
      </c>
      <c r="X346">
        <f>HYPERLINK("https://klasma.github.io/Logging_0125/tillsyn/A 54231-2019 tillsynsbegäran.docx", "A 54231-2019")</f>
        <v/>
      </c>
      <c r="Y346">
        <f>HYPERLINK("https://klasma.github.io/Logging_0125/tillsynsmail/A 54231-2019 tillsynsbegäran mail.docx", "A 54231-2019")</f>
        <v/>
      </c>
    </row>
    <row r="347" ht="15" customHeight="1">
      <c r="A347" t="inlineStr">
        <is>
          <t>A 59643-2019</t>
        </is>
      </c>
      <c r="B347" s="1" t="n">
        <v>43776</v>
      </c>
      <c r="C347" s="1" t="n">
        <v>45693</v>
      </c>
      <c r="D347" t="inlineStr">
        <is>
          <t>STOCKHOLMS LÄN</t>
        </is>
      </c>
      <c r="E347" t="inlineStr">
        <is>
          <t>SÖDERTÄLJE</t>
        </is>
      </c>
      <c r="G347" t="n">
        <v>2</v>
      </c>
      <c r="H347" t="n">
        <v>1</v>
      </c>
      <c r="I347" t="n">
        <v>0</v>
      </c>
      <c r="J347" t="n">
        <v>0</v>
      </c>
      <c r="K347" t="n">
        <v>1</v>
      </c>
      <c r="L347" t="n">
        <v>0</v>
      </c>
      <c r="M347" t="n">
        <v>0</v>
      </c>
      <c r="N347" t="n">
        <v>0</v>
      </c>
      <c r="O347" t="n">
        <v>1</v>
      </c>
      <c r="P347" t="n">
        <v>1</v>
      </c>
      <c r="Q347" t="n">
        <v>1</v>
      </c>
      <c r="R347" s="2" t="inlineStr">
        <is>
          <t>Knärot</t>
        </is>
      </c>
      <c r="S347">
        <f>HYPERLINK("https://klasma.github.io/Logging_0181/artfynd/A 59643-2019 artfynd.xlsx", "A 59643-2019")</f>
        <v/>
      </c>
      <c r="T347">
        <f>HYPERLINK("https://klasma.github.io/Logging_0181/kartor/A 59643-2019 karta.png", "A 59643-2019")</f>
        <v/>
      </c>
      <c r="U347">
        <f>HYPERLINK("https://klasma.github.io/Logging_0181/knärot/A 59643-2019 karta knärot.png", "A 59643-2019")</f>
        <v/>
      </c>
      <c r="V347">
        <f>HYPERLINK("https://klasma.github.io/Logging_0181/klagomål/A 59643-2019 FSC-klagomål.docx", "A 59643-2019")</f>
        <v/>
      </c>
      <c r="W347">
        <f>HYPERLINK("https://klasma.github.io/Logging_0181/klagomålsmail/A 59643-2019 FSC-klagomål mail.docx", "A 59643-2019")</f>
        <v/>
      </c>
      <c r="X347">
        <f>HYPERLINK("https://klasma.github.io/Logging_0181/tillsyn/A 59643-2019 tillsynsbegäran.docx", "A 59643-2019")</f>
        <v/>
      </c>
      <c r="Y347">
        <f>HYPERLINK("https://klasma.github.io/Logging_0181/tillsynsmail/A 59643-2019 tillsynsbegäran mail.docx", "A 59643-2019")</f>
        <v/>
      </c>
    </row>
    <row r="348" ht="15" customHeight="1">
      <c r="A348" t="inlineStr">
        <is>
          <t>A 62848-2019</t>
        </is>
      </c>
      <c r="B348" s="1" t="n">
        <v>43790</v>
      </c>
      <c r="C348" s="1" t="n">
        <v>45693</v>
      </c>
      <c r="D348" t="inlineStr">
        <is>
          <t>STOCKHOLMS LÄN</t>
        </is>
      </c>
      <c r="E348" t="inlineStr">
        <is>
          <t>NORRTÄLJE</t>
        </is>
      </c>
      <c r="F348" t="inlineStr">
        <is>
          <t>Holmen skog AB</t>
        </is>
      </c>
      <c r="G348" t="n">
        <v>6.6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62848-2019 artfynd.xlsx", "A 62848-2019")</f>
        <v/>
      </c>
      <c r="T348">
        <f>HYPERLINK("https://klasma.github.io/Logging_0188/kartor/A 62848-2019 karta.png", "A 62848-2019")</f>
        <v/>
      </c>
      <c r="V348">
        <f>HYPERLINK("https://klasma.github.io/Logging_0188/klagomål/A 62848-2019 FSC-klagomål.docx", "A 62848-2019")</f>
        <v/>
      </c>
      <c r="W348">
        <f>HYPERLINK("https://klasma.github.io/Logging_0188/klagomålsmail/A 62848-2019 FSC-klagomål mail.docx", "A 62848-2019")</f>
        <v/>
      </c>
      <c r="X348">
        <f>HYPERLINK("https://klasma.github.io/Logging_0188/tillsyn/A 62848-2019 tillsynsbegäran.docx", "A 62848-2019")</f>
        <v/>
      </c>
      <c r="Y348">
        <f>HYPERLINK("https://klasma.github.io/Logging_0188/tillsynsmail/A 62848-2019 tillsynsbegäran mail.docx", "A 62848-2019")</f>
        <v/>
      </c>
    </row>
    <row r="349" ht="15" customHeight="1">
      <c r="A349" t="inlineStr">
        <is>
          <t>A 64849-2019</t>
        </is>
      </c>
      <c r="B349" s="1" t="n">
        <v>43801</v>
      </c>
      <c r="C349" s="1" t="n">
        <v>45693</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Skogsklocka</t>
        </is>
      </c>
      <c r="S349">
        <f>HYPERLINK("https://klasma.github.io/Logging_0188/artfynd/A 64849-2019 artfynd.xlsx", "A 64849-2019")</f>
        <v/>
      </c>
      <c r="T349">
        <f>HYPERLINK("https://klasma.github.io/Logging_0188/kartor/A 64849-2019 karta.png", "A 64849-2019")</f>
        <v/>
      </c>
      <c r="V349">
        <f>HYPERLINK("https://klasma.github.io/Logging_0188/klagomål/A 64849-2019 FSC-klagomål.docx", "A 64849-2019")</f>
        <v/>
      </c>
      <c r="W349">
        <f>HYPERLINK("https://klasma.github.io/Logging_0188/klagomålsmail/A 64849-2019 FSC-klagomål mail.docx", "A 64849-2019")</f>
        <v/>
      </c>
      <c r="X349">
        <f>HYPERLINK("https://klasma.github.io/Logging_0188/tillsyn/A 64849-2019 tillsynsbegäran.docx", "A 64849-2019")</f>
        <v/>
      </c>
      <c r="Y349">
        <f>HYPERLINK("https://klasma.github.io/Logging_0188/tillsynsmail/A 64849-2019 tillsynsbegäran mail.docx", "A 64849-2019")</f>
        <v/>
      </c>
    </row>
    <row r="350" ht="15" customHeight="1">
      <c r="A350" t="inlineStr">
        <is>
          <t>A 68105-2019</t>
        </is>
      </c>
      <c r="B350" s="1" t="n">
        <v>43817</v>
      </c>
      <c r="C350" s="1" t="n">
        <v>45693</v>
      </c>
      <c r="D350" t="inlineStr">
        <is>
          <t>STOCKHOLMS LÄN</t>
        </is>
      </c>
      <c r="E350" t="inlineStr">
        <is>
          <t>ÖSTERÅKER</t>
        </is>
      </c>
      <c r="G350" t="n">
        <v>16.6</v>
      </c>
      <c r="H350" t="n">
        <v>0</v>
      </c>
      <c r="I350" t="n">
        <v>1</v>
      </c>
      <c r="J350" t="n">
        <v>0</v>
      </c>
      <c r="K350" t="n">
        <v>0</v>
      </c>
      <c r="L350" t="n">
        <v>0</v>
      </c>
      <c r="M350" t="n">
        <v>0</v>
      </c>
      <c r="N350" t="n">
        <v>0</v>
      </c>
      <c r="O350" t="n">
        <v>0</v>
      </c>
      <c r="P350" t="n">
        <v>0</v>
      </c>
      <c r="Q350" t="n">
        <v>1</v>
      </c>
      <c r="R350" s="2" t="inlineStr">
        <is>
          <t>Mindre märgborre</t>
        </is>
      </c>
      <c r="S350">
        <f>HYPERLINK("https://klasma.github.io/Logging_0117/artfynd/A 68105-2019 artfynd.xlsx", "A 68105-2019")</f>
        <v/>
      </c>
      <c r="T350">
        <f>HYPERLINK("https://klasma.github.io/Logging_0117/kartor/A 68105-2019 karta.png", "A 68105-2019")</f>
        <v/>
      </c>
      <c r="V350">
        <f>HYPERLINK("https://klasma.github.io/Logging_0117/klagomål/A 68105-2019 FSC-klagomål.docx", "A 68105-2019")</f>
        <v/>
      </c>
      <c r="W350">
        <f>HYPERLINK("https://klasma.github.io/Logging_0117/klagomålsmail/A 68105-2019 FSC-klagomål mail.docx", "A 68105-2019")</f>
        <v/>
      </c>
      <c r="X350">
        <f>HYPERLINK("https://klasma.github.io/Logging_0117/tillsyn/A 68105-2019 tillsynsbegäran.docx", "A 68105-2019")</f>
        <v/>
      </c>
      <c r="Y350">
        <f>HYPERLINK("https://klasma.github.io/Logging_0117/tillsynsmail/A 68105-2019 tillsynsbegäran mail.docx", "A 68105-2019")</f>
        <v/>
      </c>
    </row>
    <row r="351" ht="15" customHeight="1">
      <c r="A351" t="inlineStr">
        <is>
          <t>A 68108-2019</t>
        </is>
      </c>
      <c r="B351" s="1" t="n">
        <v>43817</v>
      </c>
      <c r="C351" s="1" t="n">
        <v>45693</v>
      </c>
      <c r="D351" t="inlineStr">
        <is>
          <t>STOCKHOLMS LÄN</t>
        </is>
      </c>
      <c r="E351" t="inlineStr">
        <is>
          <t>VALLENTUNA</t>
        </is>
      </c>
      <c r="G351" t="n">
        <v>3.2</v>
      </c>
      <c r="H351" t="n">
        <v>0</v>
      </c>
      <c r="I351" t="n">
        <v>1</v>
      </c>
      <c r="J351" t="n">
        <v>0</v>
      </c>
      <c r="K351" t="n">
        <v>0</v>
      </c>
      <c r="L351" t="n">
        <v>0</v>
      </c>
      <c r="M351" t="n">
        <v>0</v>
      </c>
      <c r="N351" t="n">
        <v>0</v>
      </c>
      <c r="O351" t="n">
        <v>0</v>
      </c>
      <c r="P351" t="n">
        <v>0</v>
      </c>
      <c r="Q351" t="n">
        <v>1</v>
      </c>
      <c r="R351" s="2" t="inlineStr">
        <is>
          <t>Skuggblåslav</t>
        </is>
      </c>
      <c r="S351">
        <f>HYPERLINK("https://klasma.github.io/Logging_0115/artfynd/A 68108-2019 artfynd.xlsx", "A 68108-2019")</f>
        <v/>
      </c>
      <c r="T351">
        <f>HYPERLINK("https://klasma.github.io/Logging_0115/kartor/A 68108-2019 karta.png", "A 68108-2019")</f>
        <v/>
      </c>
      <c r="V351">
        <f>HYPERLINK("https://klasma.github.io/Logging_0115/klagomål/A 68108-2019 FSC-klagomål.docx", "A 68108-2019")</f>
        <v/>
      </c>
      <c r="W351">
        <f>HYPERLINK("https://klasma.github.io/Logging_0115/klagomålsmail/A 68108-2019 FSC-klagomål mail.docx", "A 68108-2019")</f>
        <v/>
      </c>
      <c r="X351">
        <f>HYPERLINK("https://klasma.github.io/Logging_0115/tillsyn/A 68108-2019 tillsynsbegäran.docx", "A 68108-2019")</f>
        <v/>
      </c>
      <c r="Y351">
        <f>HYPERLINK("https://klasma.github.io/Logging_0115/tillsynsmail/A 68108-2019 tillsynsbegäran mail.docx", "A 68108-2019")</f>
        <v/>
      </c>
    </row>
    <row r="352" ht="15" customHeight="1">
      <c r="A352" t="inlineStr">
        <is>
          <t>A 68107-2019</t>
        </is>
      </c>
      <c r="B352" s="1" t="n">
        <v>43817</v>
      </c>
      <c r="C352" s="1" t="n">
        <v>45693</v>
      </c>
      <c r="D352" t="inlineStr">
        <is>
          <t>STOCKHOLMS LÄN</t>
        </is>
      </c>
      <c r="E352" t="inlineStr">
        <is>
          <t>VALLENTUNA</t>
        </is>
      </c>
      <c r="G352" t="n">
        <v>11.4</v>
      </c>
      <c r="H352" t="n">
        <v>0</v>
      </c>
      <c r="I352" t="n">
        <v>0</v>
      </c>
      <c r="J352" t="n">
        <v>1</v>
      </c>
      <c r="K352" t="n">
        <v>0</v>
      </c>
      <c r="L352" t="n">
        <v>0</v>
      </c>
      <c r="M352" t="n">
        <v>0</v>
      </c>
      <c r="N352" t="n">
        <v>0</v>
      </c>
      <c r="O352" t="n">
        <v>1</v>
      </c>
      <c r="P352" t="n">
        <v>0</v>
      </c>
      <c r="Q352" t="n">
        <v>1</v>
      </c>
      <c r="R352" s="2" t="inlineStr">
        <is>
          <t>Tallticka</t>
        </is>
      </c>
      <c r="S352">
        <f>HYPERLINK("https://klasma.github.io/Logging_0115/artfynd/A 68107-2019 artfynd.xlsx", "A 68107-2019")</f>
        <v/>
      </c>
      <c r="T352">
        <f>HYPERLINK("https://klasma.github.io/Logging_0115/kartor/A 68107-2019 karta.png", "A 68107-2019")</f>
        <v/>
      </c>
      <c r="V352">
        <f>HYPERLINK("https://klasma.github.io/Logging_0115/klagomål/A 68107-2019 FSC-klagomål.docx", "A 68107-2019")</f>
        <v/>
      </c>
      <c r="W352">
        <f>HYPERLINK("https://klasma.github.io/Logging_0115/klagomålsmail/A 68107-2019 FSC-klagomål mail.docx", "A 68107-2019")</f>
        <v/>
      </c>
      <c r="X352">
        <f>HYPERLINK("https://klasma.github.io/Logging_0115/tillsyn/A 68107-2019 tillsynsbegäran.docx", "A 68107-2019")</f>
        <v/>
      </c>
      <c r="Y352">
        <f>HYPERLINK("https://klasma.github.io/Logging_0115/tillsynsmail/A 68107-2019 tillsynsbegäran mail.docx", "A 68107-2019")</f>
        <v/>
      </c>
    </row>
    <row r="353" ht="15" customHeight="1">
      <c r="A353" t="inlineStr">
        <is>
          <t>A 68231-2019</t>
        </is>
      </c>
      <c r="B353" s="1" t="n">
        <v>43817</v>
      </c>
      <c r="C353" s="1" t="n">
        <v>45693</v>
      </c>
      <c r="D353" t="inlineStr">
        <is>
          <t>STOCKHOLMS LÄN</t>
        </is>
      </c>
      <c r="E353" t="inlineStr">
        <is>
          <t>HANINGE</t>
        </is>
      </c>
      <c r="F353" t="inlineStr">
        <is>
          <t>Övriga statliga verk och myndigheter</t>
        </is>
      </c>
      <c r="G353" t="n">
        <v>80.5</v>
      </c>
      <c r="H353" t="n">
        <v>1</v>
      </c>
      <c r="I353" t="n">
        <v>0</v>
      </c>
      <c r="J353" t="n">
        <v>1</v>
      </c>
      <c r="K353" t="n">
        <v>0</v>
      </c>
      <c r="L353" t="n">
        <v>0</v>
      </c>
      <c r="M353" t="n">
        <v>0</v>
      </c>
      <c r="N353" t="n">
        <v>0</v>
      </c>
      <c r="O353" t="n">
        <v>1</v>
      </c>
      <c r="P353" t="n">
        <v>0</v>
      </c>
      <c r="Q353" t="n">
        <v>1</v>
      </c>
      <c r="R353" s="2" t="inlineStr">
        <is>
          <t>Havsörn</t>
        </is>
      </c>
      <c r="S353">
        <f>HYPERLINK("https://klasma.github.io/Logging_0136/artfynd/A 68231-2019 artfynd.xlsx", "A 68231-2019")</f>
        <v/>
      </c>
      <c r="T353">
        <f>HYPERLINK("https://klasma.github.io/Logging_0136/kartor/A 68231-2019 karta.png", "A 68231-2019")</f>
        <v/>
      </c>
      <c r="V353">
        <f>HYPERLINK("https://klasma.github.io/Logging_0136/klagomål/A 68231-2019 FSC-klagomål.docx", "A 68231-2019")</f>
        <v/>
      </c>
      <c r="W353">
        <f>HYPERLINK("https://klasma.github.io/Logging_0136/klagomålsmail/A 68231-2019 FSC-klagomål mail.docx", "A 68231-2019")</f>
        <v/>
      </c>
      <c r="X353">
        <f>HYPERLINK("https://klasma.github.io/Logging_0136/tillsyn/A 68231-2019 tillsynsbegäran.docx", "A 68231-2019")</f>
        <v/>
      </c>
      <c r="Y353">
        <f>HYPERLINK("https://klasma.github.io/Logging_0136/tillsynsmail/A 68231-2019 tillsynsbegäran mail.docx", "A 68231-2019")</f>
        <v/>
      </c>
      <c r="Z353">
        <f>HYPERLINK("https://klasma.github.io/Logging_0136/fåglar/A 68231-2019 prioriterade fågelarter.docx", "A 68231-2019")</f>
        <v/>
      </c>
    </row>
    <row r="354" ht="15" customHeight="1">
      <c r="A354" t="inlineStr">
        <is>
          <t>A 2808-2020</t>
        </is>
      </c>
      <c r="B354" s="1" t="n">
        <v>43850</v>
      </c>
      <c r="C354" s="1" t="n">
        <v>45693</v>
      </c>
      <c r="D354" t="inlineStr">
        <is>
          <t>STOCKHOLMS LÄN</t>
        </is>
      </c>
      <c r="E354" t="inlineStr">
        <is>
          <t>NORRTÄLJE</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HYPERLINK("https://klasma.github.io/Logging_0188/artfynd/A 2808-2020 artfynd.xlsx", "A 2808-2020")</f>
        <v/>
      </c>
      <c r="T354">
        <f>HYPERLINK("https://klasma.github.io/Logging_0188/kartor/A 2808-2020 karta.png", "A 2808-2020")</f>
        <v/>
      </c>
      <c r="U354">
        <f>HYPERLINK("https://klasma.github.io/Logging_0188/knärot/A 2808-2020 karta knärot.png", "A 2808-2020")</f>
        <v/>
      </c>
      <c r="V354">
        <f>HYPERLINK("https://klasma.github.io/Logging_0188/klagomål/A 2808-2020 FSC-klagomål.docx", "A 2808-2020")</f>
        <v/>
      </c>
      <c r="W354">
        <f>HYPERLINK("https://klasma.github.io/Logging_0188/klagomålsmail/A 2808-2020 FSC-klagomål mail.docx", "A 2808-2020")</f>
        <v/>
      </c>
      <c r="X354">
        <f>HYPERLINK("https://klasma.github.io/Logging_0188/tillsyn/A 2808-2020 tillsynsbegäran.docx", "A 2808-2020")</f>
        <v/>
      </c>
      <c r="Y354">
        <f>HYPERLINK("https://klasma.github.io/Logging_0188/tillsynsmail/A 2808-2020 tillsynsbegäran mail.docx", "A 2808-2020")</f>
        <v/>
      </c>
    </row>
    <row r="355" ht="15" customHeight="1">
      <c r="A355" t="inlineStr">
        <is>
          <t>A 2796-2020</t>
        </is>
      </c>
      <c r="B355" s="1" t="n">
        <v>43850</v>
      </c>
      <c r="C355" s="1" t="n">
        <v>45693</v>
      </c>
      <c r="D355" t="inlineStr">
        <is>
          <t>STOCKHOLMS LÄN</t>
        </is>
      </c>
      <c r="E355" t="inlineStr">
        <is>
          <t>NORRTÄLJE</t>
        </is>
      </c>
      <c r="G355" t="n">
        <v>5.6</v>
      </c>
      <c r="H355" t="n">
        <v>1</v>
      </c>
      <c r="I355" t="n">
        <v>1</v>
      </c>
      <c r="J355" t="n">
        <v>0</v>
      </c>
      <c r="K355" t="n">
        <v>0</v>
      </c>
      <c r="L355" t="n">
        <v>0</v>
      </c>
      <c r="M355" t="n">
        <v>0</v>
      </c>
      <c r="N355" t="n">
        <v>0</v>
      </c>
      <c r="O355" t="n">
        <v>0</v>
      </c>
      <c r="P355" t="n">
        <v>0</v>
      </c>
      <c r="Q355" t="n">
        <v>1</v>
      </c>
      <c r="R355" s="2" t="inlineStr">
        <is>
          <t>Spindelblomster</t>
        </is>
      </c>
      <c r="S355">
        <f>HYPERLINK("https://klasma.github.io/Logging_0188/artfynd/A 2796-2020 artfynd.xlsx", "A 2796-2020")</f>
        <v/>
      </c>
      <c r="T355">
        <f>HYPERLINK("https://klasma.github.io/Logging_0188/kartor/A 2796-2020 karta.png", "A 2796-2020")</f>
        <v/>
      </c>
      <c r="V355">
        <f>HYPERLINK("https://klasma.github.io/Logging_0188/klagomål/A 2796-2020 FSC-klagomål.docx", "A 2796-2020")</f>
        <v/>
      </c>
      <c r="W355">
        <f>HYPERLINK("https://klasma.github.io/Logging_0188/klagomålsmail/A 2796-2020 FSC-klagomål mail.docx", "A 2796-2020")</f>
        <v/>
      </c>
      <c r="X355">
        <f>HYPERLINK("https://klasma.github.io/Logging_0188/tillsyn/A 2796-2020 tillsynsbegäran.docx", "A 2796-2020")</f>
        <v/>
      </c>
      <c r="Y355">
        <f>HYPERLINK("https://klasma.github.io/Logging_0188/tillsynsmail/A 2796-2020 tillsynsbegäran mail.docx", "A 2796-2020")</f>
        <v/>
      </c>
    </row>
    <row r="356" ht="15" customHeight="1">
      <c r="A356" t="inlineStr">
        <is>
          <t>A 5953-2020</t>
        </is>
      </c>
      <c r="B356" s="1" t="n">
        <v>43864</v>
      </c>
      <c r="C356" s="1" t="n">
        <v>45693</v>
      </c>
      <c r="D356" t="inlineStr">
        <is>
          <t>STOCKHOLMS LÄN</t>
        </is>
      </c>
      <c r="E356" t="inlineStr">
        <is>
          <t>BOTKYRKA</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HYPERLINK("https://klasma.github.io/Logging_0127/artfynd/A 5953-2020 artfynd.xlsx", "A 5953-2020")</f>
        <v/>
      </c>
      <c r="T356">
        <f>HYPERLINK("https://klasma.github.io/Logging_0127/kartor/A 5953-2020 karta.png", "A 5953-2020")</f>
        <v/>
      </c>
      <c r="V356">
        <f>HYPERLINK("https://klasma.github.io/Logging_0127/klagomål/A 5953-2020 FSC-klagomål.docx", "A 5953-2020")</f>
        <v/>
      </c>
      <c r="W356">
        <f>HYPERLINK("https://klasma.github.io/Logging_0127/klagomålsmail/A 5953-2020 FSC-klagomål mail.docx", "A 5953-2020")</f>
        <v/>
      </c>
      <c r="X356">
        <f>HYPERLINK("https://klasma.github.io/Logging_0127/tillsyn/A 5953-2020 tillsynsbegäran.docx", "A 5953-2020")</f>
        <v/>
      </c>
      <c r="Y356">
        <f>HYPERLINK("https://klasma.github.io/Logging_0127/tillsynsmail/A 5953-2020 tillsynsbegäran mail.docx", "A 5953-2020")</f>
        <v/>
      </c>
      <c r="Z356">
        <f>HYPERLINK("https://klasma.github.io/Logging_0127/fåglar/A 5953-2020 prioriterade fågelarter.docx", "A 5953-2020")</f>
        <v/>
      </c>
    </row>
    <row r="357" ht="15" customHeight="1">
      <c r="A357" t="inlineStr">
        <is>
          <t>A 7032-2020</t>
        </is>
      </c>
      <c r="B357" s="1" t="n">
        <v>43868</v>
      </c>
      <c r="C357" s="1" t="n">
        <v>45693</v>
      </c>
      <c r="D357" t="inlineStr">
        <is>
          <t>STOCKHOLMS LÄN</t>
        </is>
      </c>
      <c r="E357" t="inlineStr">
        <is>
          <t>EKERÖ</t>
        </is>
      </c>
      <c r="G357" t="n">
        <v>3.1</v>
      </c>
      <c r="H357" t="n">
        <v>0</v>
      </c>
      <c r="I357" t="n">
        <v>0</v>
      </c>
      <c r="J357" t="n">
        <v>1</v>
      </c>
      <c r="K357" t="n">
        <v>0</v>
      </c>
      <c r="L357" t="n">
        <v>0</v>
      </c>
      <c r="M357" t="n">
        <v>0</v>
      </c>
      <c r="N357" t="n">
        <v>0</v>
      </c>
      <c r="O357" t="n">
        <v>1</v>
      </c>
      <c r="P357" t="n">
        <v>0</v>
      </c>
      <c r="Q357" t="n">
        <v>1</v>
      </c>
      <c r="R357" s="2" t="inlineStr">
        <is>
          <t>Mindre timmerman</t>
        </is>
      </c>
      <c r="S357">
        <f>HYPERLINK("https://klasma.github.io/Logging_0125/artfynd/A 7032-2020 artfynd.xlsx", "A 7032-2020")</f>
        <v/>
      </c>
      <c r="T357">
        <f>HYPERLINK("https://klasma.github.io/Logging_0125/kartor/A 7032-2020 karta.png", "A 7032-2020")</f>
        <v/>
      </c>
      <c r="V357">
        <f>HYPERLINK("https://klasma.github.io/Logging_0125/klagomål/A 7032-2020 FSC-klagomål.docx", "A 7032-2020")</f>
        <v/>
      </c>
      <c r="W357">
        <f>HYPERLINK("https://klasma.github.io/Logging_0125/klagomålsmail/A 7032-2020 FSC-klagomål mail.docx", "A 7032-2020")</f>
        <v/>
      </c>
      <c r="X357">
        <f>HYPERLINK("https://klasma.github.io/Logging_0125/tillsyn/A 7032-2020 tillsynsbegäran.docx", "A 7032-2020")</f>
        <v/>
      </c>
      <c r="Y357">
        <f>HYPERLINK("https://klasma.github.io/Logging_0125/tillsynsmail/A 7032-2020 tillsynsbegäran mail.docx", "A 7032-2020")</f>
        <v/>
      </c>
    </row>
    <row r="358" ht="15" customHeight="1">
      <c r="A358" t="inlineStr">
        <is>
          <t>A 7151-2020</t>
        </is>
      </c>
      <c r="B358" s="1" t="n">
        <v>43869</v>
      </c>
      <c r="C358" s="1" t="n">
        <v>45693</v>
      </c>
      <c r="D358" t="inlineStr">
        <is>
          <t>STOCKHOLMS LÄN</t>
        </is>
      </c>
      <c r="E358" t="inlineStr">
        <is>
          <t>NYNÄSHAMN</t>
        </is>
      </c>
      <c r="F358" t="inlineStr">
        <is>
          <t>Kommuner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HYPERLINK("https://klasma.github.io/Logging_0192/artfynd/A 7151-2020 artfynd.xlsx", "A 7151-2020")</f>
        <v/>
      </c>
      <c r="T358">
        <f>HYPERLINK("https://klasma.github.io/Logging_0192/kartor/A 7151-2020 karta.png", "A 7151-2020")</f>
        <v/>
      </c>
      <c r="V358">
        <f>HYPERLINK("https://klasma.github.io/Logging_0192/klagomål/A 7151-2020 FSC-klagomål.docx", "A 7151-2020")</f>
        <v/>
      </c>
      <c r="W358">
        <f>HYPERLINK("https://klasma.github.io/Logging_0192/klagomålsmail/A 7151-2020 FSC-klagomål mail.docx", "A 7151-2020")</f>
        <v/>
      </c>
      <c r="X358">
        <f>HYPERLINK("https://klasma.github.io/Logging_0192/tillsyn/A 7151-2020 tillsynsbegäran.docx", "A 7151-2020")</f>
        <v/>
      </c>
      <c r="Y358">
        <f>HYPERLINK("https://klasma.github.io/Logging_0192/tillsynsmail/A 7151-2020 tillsynsbegäran mail.docx", "A 7151-2020")</f>
        <v/>
      </c>
    </row>
    <row r="359" ht="15" customHeight="1">
      <c r="A359" t="inlineStr">
        <is>
          <t>A 9051-2020</t>
        </is>
      </c>
      <c r="B359" s="1" t="n">
        <v>43879</v>
      </c>
      <c r="C359" s="1" t="n">
        <v>45693</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9051-2020 artfynd.xlsx", "A 9051-2020")</f>
        <v/>
      </c>
      <c r="T359">
        <f>HYPERLINK("https://klasma.github.io/Logging_0188/kartor/A 9051-2020 karta.png", "A 9051-2020")</f>
        <v/>
      </c>
      <c r="V359">
        <f>HYPERLINK("https://klasma.github.io/Logging_0188/klagomål/A 9051-2020 FSC-klagomål.docx", "A 9051-2020")</f>
        <v/>
      </c>
      <c r="W359">
        <f>HYPERLINK("https://klasma.github.io/Logging_0188/klagomålsmail/A 9051-2020 FSC-klagomål mail.docx", "A 9051-2020")</f>
        <v/>
      </c>
      <c r="X359">
        <f>HYPERLINK("https://klasma.github.io/Logging_0188/tillsyn/A 9051-2020 tillsynsbegäran.docx", "A 9051-2020")</f>
        <v/>
      </c>
      <c r="Y359">
        <f>HYPERLINK("https://klasma.github.io/Logging_0188/tillsynsmail/A 9051-2020 tillsynsbegäran mail.docx", "A 9051-2020")</f>
        <v/>
      </c>
    </row>
    <row r="360" ht="15" customHeight="1">
      <c r="A360" t="inlineStr">
        <is>
          <t>A 13326-2020</t>
        </is>
      </c>
      <c r="B360" s="1" t="n">
        <v>43894</v>
      </c>
      <c r="C360" s="1" t="n">
        <v>45693</v>
      </c>
      <c r="D360" t="inlineStr">
        <is>
          <t>STOCKHOLMS LÄN</t>
        </is>
      </c>
      <c r="E360" t="inlineStr">
        <is>
          <t>HUDDINGE</t>
        </is>
      </c>
      <c r="F360" t="inlineStr">
        <is>
          <t>Kommuner</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HYPERLINK("https://klasma.github.io/Logging_0126/artfynd/A 13326-2020 artfynd.xlsx", "A 13326-2020")</f>
        <v/>
      </c>
      <c r="T360">
        <f>HYPERLINK("https://klasma.github.io/Logging_0126/kartor/A 13326-2020 karta.png", "A 13326-2020")</f>
        <v/>
      </c>
      <c r="V360">
        <f>HYPERLINK("https://klasma.github.io/Logging_0126/klagomål/A 13326-2020 FSC-klagomål.docx", "A 13326-2020")</f>
        <v/>
      </c>
      <c r="W360">
        <f>HYPERLINK("https://klasma.github.io/Logging_0126/klagomålsmail/A 13326-2020 FSC-klagomål mail.docx", "A 13326-2020")</f>
        <v/>
      </c>
      <c r="X360">
        <f>HYPERLINK("https://klasma.github.io/Logging_0126/tillsyn/A 13326-2020 tillsynsbegäran.docx", "A 13326-2020")</f>
        <v/>
      </c>
      <c r="Y360">
        <f>HYPERLINK("https://klasma.github.io/Logging_0126/tillsynsmail/A 13326-2020 tillsynsbegäran mail.docx", "A 13326-2020")</f>
        <v/>
      </c>
    </row>
    <row r="361" ht="15" customHeight="1">
      <c r="A361" t="inlineStr">
        <is>
          <t>A 12843-2020</t>
        </is>
      </c>
      <c r="B361" s="1" t="n">
        <v>43899</v>
      </c>
      <c r="C361" s="1" t="n">
        <v>45693</v>
      </c>
      <c r="D361" t="inlineStr">
        <is>
          <t>STOCKHOLMS LÄN</t>
        </is>
      </c>
      <c r="E361" t="inlineStr">
        <is>
          <t>NORRTÄLJE</t>
        </is>
      </c>
      <c r="G361" t="n">
        <v>7.5</v>
      </c>
      <c r="H361" t="n">
        <v>1</v>
      </c>
      <c r="I361" t="n">
        <v>0</v>
      </c>
      <c r="J361" t="n">
        <v>1</v>
      </c>
      <c r="K361" t="n">
        <v>0</v>
      </c>
      <c r="L361" t="n">
        <v>0</v>
      </c>
      <c r="M361" t="n">
        <v>0</v>
      </c>
      <c r="N361" t="n">
        <v>0</v>
      </c>
      <c r="O361" t="n">
        <v>1</v>
      </c>
      <c r="P361" t="n">
        <v>0</v>
      </c>
      <c r="Q361" t="n">
        <v>1</v>
      </c>
      <c r="R361" s="2" t="inlineStr">
        <is>
          <t>Talltita</t>
        </is>
      </c>
      <c r="S361">
        <f>HYPERLINK("https://klasma.github.io/Logging_0188/artfynd/A 12843-2020 artfynd.xlsx", "A 12843-2020")</f>
        <v/>
      </c>
      <c r="T361">
        <f>HYPERLINK("https://klasma.github.io/Logging_0188/kartor/A 12843-2020 karta.png", "A 12843-2020")</f>
        <v/>
      </c>
      <c r="V361">
        <f>HYPERLINK("https://klasma.github.io/Logging_0188/klagomål/A 12843-2020 FSC-klagomål.docx", "A 12843-2020")</f>
        <v/>
      </c>
      <c r="W361">
        <f>HYPERLINK("https://klasma.github.io/Logging_0188/klagomålsmail/A 12843-2020 FSC-klagomål mail.docx", "A 12843-2020")</f>
        <v/>
      </c>
      <c r="X361">
        <f>HYPERLINK("https://klasma.github.io/Logging_0188/tillsyn/A 12843-2020 tillsynsbegäran.docx", "A 12843-2020")</f>
        <v/>
      </c>
      <c r="Y361">
        <f>HYPERLINK("https://klasma.github.io/Logging_0188/tillsynsmail/A 12843-2020 tillsynsbegäran mail.docx", "A 12843-2020")</f>
        <v/>
      </c>
      <c r="Z361">
        <f>HYPERLINK("https://klasma.github.io/Logging_0188/fåglar/A 12843-2020 prioriterade fågelarter.docx", "A 12843-2020")</f>
        <v/>
      </c>
    </row>
    <row r="362" ht="15" customHeight="1">
      <c r="A362" t="inlineStr">
        <is>
          <t>A 12832-2020</t>
        </is>
      </c>
      <c r="B362" s="1" t="n">
        <v>43899</v>
      </c>
      <c r="C362" s="1" t="n">
        <v>45693</v>
      </c>
      <c r="D362" t="inlineStr">
        <is>
          <t>STOCKHOLMS LÄN</t>
        </is>
      </c>
      <c r="E362" t="inlineStr">
        <is>
          <t>SÖDERTÄLJE</t>
        </is>
      </c>
      <c r="G362" t="n">
        <v>3.8</v>
      </c>
      <c r="H362" t="n">
        <v>0</v>
      </c>
      <c r="I362" t="n">
        <v>0</v>
      </c>
      <c r="J362" t="n">
        <v>1</v>
      </c>
      <c r="K362" t="n">
        <v>0</v>
      </c>
      <c r="L362" t="n">
        <v>0</v>
      </c>
      <c r="M362" t="n">
        <v>0</v>
      </c>
      <c r="N362" t="n">
        <v>0</v>
      </c>
      <c r="O362" t="n">
        <v>1</v>
      </c>
      <c r="P362" t="n">
        <v>0</v>
      </c>
      <c r="Q362" t="n">
        <v>1</v>
      </c>
      <c r="R362" s="2" t="inlineStr">
        <is>
          <t>Ängsskära</t>
        </is>
      </c>
      <c r="S362">
        <f>HYPERLINK("https://klasma.github.io/Logging_0181/artfynd/A 12832-2020 artfynd.xlsx", "A 12832-2020")</f>
        <v/>
      </c>
      <c r="T362">
        <f>HYPERLINK("https://klasma.github.io/Logging_0181/kartor/A 12832-2020 karta.png", "A 12832-2020")</f>
        <v/>
      </c>
      <c r="V362">
        <f>HYPERLINK("https://klasma.github.io/Logging_0181/klagomål/A 12832-2020 FSC-klagomål.docx", "A 12832-2020")</f>
        <v/>
      </c>
      <c r="W362">
        <f>HYPERLINK("https://klasma.github.io/Logging_0181/klagomålsmail/A 12832-2020 FSC-klagomål mail.docx", "A 12832-2020")</f>
        <v/>
      </c>
      <c r="X362">
        <f>HYPERLINK("https://klasma.github.io/Logging_0181/tillsyn/A 12832-2020 tillsynsbegäran.docx", "A 12832-2020")</f>
        <v/>
      </c>
      <c r="Y362">
        <f>HYPERLINK("https://klasma.github.io/Logging_0181/tillsynsmail/A 12832-2020 tillsynsbegäran mail.docx", "A 12832-2020")</f>
        <v/>
      </c>
    </row>
    <row r="363" ht="15" customHeight="1">
      <c r="A363" t="inlineStr">
        <is>
          <t>A 13922-2020</t>
        </is>
      </c>
      <c r="B363" s="1" t="n">
        <v>43906</v>
      </c>
      <c r="C363" s="1" t="n">
        <v>45693</v>
      </c>
      <c r="D363" t="inlineStr">
        <is>
          <t>STOCKHOLMS LÄN</t>
        </is>
      </c>
      <c r="E363" t="inlineStr">
        <is>
          <t>NYKVARN</t>
        </is>
      </c>
      <c r="G363" t="n">
        <v>19.8</v>
      </c>
      <c r="H363" t="n">
        <v>0</v>
      </c>
      <c r="I363" t="n">
        <v>0</v>
      </c>
      <c r="J363" t="n">
        <v>1</v>
      </c>
      <c r="K363" t="n">
        <v>0</v>
      </c>
      <c r="L363" t="n">
        <v>0</v>
      </c>
      <c r="M363" t="n">
        <v>0</v>
      </c>
      <c r="N363" t="n">
        <v>0</v>
      </c>
      <c r="O363" t="n">
        <v>1</v>
      </c>
      <c r="P363" t="n">
        <v>0</v>
      </c>
      <c r="Q363" t="n">
        <v>1</v>
      </c>
      <c r="R363" s="2" t="inlineStr">
        <is>
          <t>Svedjenäva</t>
        </is>
      </c>
      <c r="S363">
        <f>HYPERLINK("https://klasma.github.io/Logging_0140/artfynd/A 13922-2020 artfynd.xlsx", "A 13922-2020")</f>
        <v/>
      </c>
      <c r="T363">
        <f>HYPERLINK("https://klasma.github.io/Logging_0140/kartor/A 13922-2020 karta.png", "A 13922-2020")</f>
        <v/>
      </c>
      <c r="V363">
        <f>HYPERLINK("https://klasma.github.io/Logging_0140/klagomål/A 13922-2020 FSC-klagomål.docx", "A 13922-2020")</f>
        <v/>
      </c>
      <c r="W363">
        <f>HYPERLINK("https://klasma.github.io/Logging_0140/klagomålsmail/A 13922-2020 FSC-klagomål mail.docx", "A 13922-2020")</f>
        <v/>
      </c>
      <c r="X363">
        <f>HYPERLINK("https://klasma.github.io/Logging_0140/tillsyn/A 13922-2020 tillsynsbegäran.docx", "A 13922-2020")</f>
        <v/>
      </c>
      <c r="Y363">
        <f>HYPERLINK("https://klasma.github.io/Logging_0140/tillsynsmail/A 13922-2020 tillsynsbegäran mail.docx", "A 13922-2020")</f>
        <v/>
      </c>
    </row>
    <row r="364" ht="15" customHeight="1">
      <c r="A364" t="inlineStr">
        <is>
          <t>A 15312-2020</t>
        </is>
      </c>
      <c r="B364" s="1" t="n">
        <v>43913</v>
      </c>
      <c r="C364" s="1" t="n">
        <v>45693</v>
      </c>
      <c r="D364" t="inlineStr">
        <is>
          <t>STOCKHOLMS LÄN</t>
        </is>
      </c>
      <c r="E364" t="inlineStr">
        <is>
          <t>HANINGE</t>
        </is>
      </c>
      <c r="F364" t="inlineStr">
        <is>
          <t>Övriga statliga verk och myndigheter</t>
        </is>
      </c>
      <c r="G364" t="n">
        <v>2.4</v>
      </c>
      <c r="H364" t="n">
        <v>0</v>
      </c>
      <c r="I364" t="n">
        <v>0</v>
      </c>
      <c r="J364" t="n">
        <v>1</v>
      </c>
      <c r="K364" t="n">
        <v>0</v>
      </c>
      <c r="L364" t="n">
        <v>0</v>
      </c>
      <c r="M364" t="n">
        <v>0</v>
      </c>
      <c r="N364" t="n">
        <v>0</v>
      </c>
      <c r="O364" t="n">
        <v>1</v>
      </c>
      <c r="P364" t="n">
        <v>0</v>
      </c>
      <c r="Q364" t="n">
        <v>1</v>
      </c>
      <c r="R364" s="2" t="inlineStr">
        <is>
          <t>Tallticka</t>
        </is>
      </c>
      <c r="S364">
        <f>HYPERLINK("https://klasma.github.io/Logging_0136/artfynd/A 15312-2020 artfynd.xlsx", "A 15312-2020")</f>
        <v/>
      </c>
      <c r="T364">
        <f>HYPERLINK("https://klasma.github.io/Logging_0136/kartor/A 15312-2020 karta.png", "A 15312-2020")</f>
        <v/>
      </c>
      <c r="V364">
        <f>HYPERLINK("https://klasma.github.io/Logging_0136/klagomål/A 15312-2020 FSC-klagomål.docx", "A 15312-2020")</f>
        <v/>
      </c>
      <c r="W364">
        <f>HYPERLINK("https://klasma.github.io/Logging_0136/klagomålsmail/A 15312-2020 FSC-klagomål mail.docx", "A 15312-2020")</f>
        <v/>
      </c>
      <c r="X364">
        <f>HYPERLINK("https://klasma.github.io/Logging_0136/tillsyn/A 15312-2020 tillsynsbegäran.docx", "A 15312-2020")</f>
        <v/>
      </c>
      <c r="Y364">
        <f>HYPERLINK("https://klasma.github.io/Logging_0136/tillsynsmail/A 15312-2020 tillsynsbegäran mail.docx", "A 15312-2020")</f>
        <v/>
      </c>
    </row>
    <row r="365" ht="15" customHeight="1">
      <c r="A365" t="inlineStr">
        <is>
          <t>A 16236-2020</t>
        </is>
      </c>
      <c r="B365" s="1" t="n">
        <v>43917</v>
      </c>
      <c r="C365" s="1" t="n">
        <v>45693</v>
      </c>
      <c r="D365" t="inlineStr">
        <is>
          <t>STOCKHOLMS LÄN</t>
        </is>
      </c>
      <c r="E365" t="inlineStr">
        <is>
          <t>BOTKYRKA</t>
        </is>
      </c>
      <c r="G365" t="n">
        <v>2.5</v>
      </c>
      <c r="H365" t="n">
        <v>0</v>
      </c>
      <c r="I365" t="n">
        <v>1</v>
      </c>
      <c r="J365" t="n">
        <v>0</v>
      </c>
      <c r="K365" t="n">
        <v>0</v>
      </c>
      <c r="L365" t="n">
        <v>0</v>
      </c>
      <c r="M365" t="n">
        <v>0</v>
      </c>
      <c r="N365" t="n">
        <v>0</v>
      </c>
      <c r="O365" t="n">
        <v>0</v>
      </c>
      <c r="P365" t="n">
        <v>0</v>
      </c>
      <c r="Q365" t="n">
        <v>1</v>
      </c>
      <c r="R365" s="2" t="inlineStr">
        <is>
          <t>Granbarkgnagare</t>
        </is>
      </c>
      <c r="S365">
        <f>HYPERLINK("https://klasma.github.io/Logging_0127/artfynd/A 16236-2020 artfynd.xlsx", "A 16236-2020")</f>
        <v/>
      </c>
      <c r="T365">
        <f>HYPERLINK("https://klasma.github.io/Logging_0127/kartor/A 16236-2020 karta.png", "A 16236-2020")</f>
        <v/>
      </c>
      <c r="V365">
        <f>HYPERLINK("https://klasma.github.io/Logging_0127/klagomål/A 16236-2020 FSC-klagomål.docx", "A 16236-2020")</f>
        <v/>
      </c>
      <c r="W365">
        <f>HYPERLINK("https://klasma.github.io/Logging_0127/klagomålsmail/A 16236-2020 FSC-klagomål mail.docx", "A 16236-2020")</f>
        <v/>
      </c>
      <c r="X365">
        <f>HYPERLINK("https://klasma.github.io/Logging_0127/tillsyn/A 16236-2020 tillsynsbegäran.docx", "A 16236-2020")</f>
        <v/>
      </c>
      <c r="Y365">
        <f>HYPERLINK("https://klasma.github.io/Logging_0127/tillsynsmail/A 16236-2020 tillsynsbegäran mail.docx", "A 16236-2020")</f>
        <v/>
      </c>
    </row>
    <row r="366" ht="15" customHeight="1">
      <c r="A366" t="inlineStr">
        <is>
          <t>A 16917-2020</t>
        </is>
      </c>
      <c r="B366" s="1" t="n">
        <v>43921</v>
      </c>
      <c r="C366" s="1" t="n">
        <v>45693</v>
      </c>
      <c r="D366" t="inlineStr">
        <is>
          <t>STOCKHOLMS LÄN</t>
        </is>
      </c>
      <c r="E366" t="inlineStr">
        <is>
          <t>SALEM</t>
        </is>
      </c>
      <c r="G366" t="n">
        <v>23.8</v>
      </c>
      <c r="H366" t="n">
        <v>1</v>
      </c>
      <c r="I366" t="n">
        <v>0</v>
      </c>
      <c r="J366" t="n">
        <v>1</v>
      </c>
      <c r="K366" t="n">
        <v>0</v>
      </c>
      <c r="L366" t="n">
        <v>0</v>
      </c>
      <c r="M366" t="n">
        <v>0</v>
      </c>
      <c r="N366" t="n">
        <v>0</v>
      </c>
      <c r="O366" t="n">
        <v>1</v>
      </c>
      <c r="P366" t="n">
        <v>0</v>
      </c>
      <c r="Q366" t="n">
        <v>1</v>
      </c>
      <c r="R366" s="2" t="inlineStr">
        <is>
          <t>Talltita</t>
        </is>
      </c>
      <c r="S366">
        <f>HYPERLINK("https://klasma.github.io/Logging_0128/artfynd/A 16917-2020 artfynd.xlsx", "A 16917-2020")</f>
        <v/>
      </c>
      <c r="T366">
        <f>HYPERLINK("https://klasma.github.io/Logging_0128/kartor/A 16917-2020 karta.png", "A 16917-2020")</f>
        <v/>
      </c>
      <c r="V366">
        <f>HYPERLINK("https://klasma.github.io/Logging_0128/klagomål/A 16917-2020 FSC-klagomål.docx", "A 16917-2020")</f>
        <v/>
      </c>
      <c r="W366">
        <f>HYPERLINK("https://klasma.github.io/Logging_0128/klagomålsmail/A 16917-2020 FSC-klagomål mail.docx", "A 16917-2020")</f>
        <v/>
      </c>
      <c r="X366">
        <f>HYPERLINK("https://klasma.github.io/Logging_0128/tillsyn/A 16917-2020 tillsynsbegäran.docx", "A 16917-2020")</f>
        <v/>
      </c>
      <c r="Y366">
        <f>HYPERLINK("https://klasma.github.io/Logging_0128/tillsynsmail/A 16917-2020 tillsynsbegäran mail.docx", "A 16917-2020")</f>
        <v/>
      </c>
      <c r="Z366">
        <f>HYPERLINK("https://klasma.github.io/Logging_0128/fåglar/A 16917-2020 prioriterade fågelarter.docx", "A 16917-2020")</f>
        <v/>
      </c>
    </row>
    <row r="367" ht="15" customHeight="1">
      <c r="A367" t="inlineStr">
        <is>
          <t>A 18965-2020</t>
        </is>
      </c>
      <c r="B367" s="1" t="n">
        <v>43935</v>
      </c>
      <c r="C367" s="1" t="n">
        <v>45693</v>
      </c>
      <c r="D367" t="inlineStr">
        <is>
          <t>STOCKHOLMS LÄN</t>
        </is>
      </c>
      <c r="E367" t="inlineStr">
        <is>
          <t>NYNÄSHAMN</t>
        </is>
      </c>
      <c r="F367" t="inlineStr">
        <is>
          <t>Kommuner</t>
        </is>
      </c>
      <c r="G367" t="n">
        <v>14.3</v>
      </c>
      <c r="H367" t="n">
        <v>1</v>
      </c>
      <c r="I367" t="n">
        <v>0</v>
      </c>
      <c r="J367" t="n">
        <v>0</v>
      </c>
      <c r="K367" t="n">
        <v>1</v>
      </c>
      <c r="L367" t="n">
        <v>0</v>
      </c>
      <c r="M367" t="n">
        <v>0</v>
      </c>
      <c r="N367" t="n">
        <v>0</v>
      </c>
      <c r="O367" t="n">
        <v>1</v>
      </c>
      <c r="P367" t="n">
        <v>1</v>
      </c>
      <c r="Q367" t="n">
        <v>1</v>
      </c>
      <c r="R367" s="2" t="inlineStr">
        <is>
          <t>Hasselsnok</t>
        </is>
      </c>
      <c r="S367">
        <f>HYPERLINK("https://klasma.github.io/Logging_0192/artfynd/A 18965-2020 artfynd.xlsx", "A 18965-2020")</f>
        <v/>
      </c>
      <c r="T367">
        <f>HYPERLINK("https://klasma.github.io/Logging_0192/kartor/A 18965-2020 karta.png", "A 18965-2020")</f>
        <v/>
      </c>
      <c r="V367">
        <f>HYPERLINK("https://klasma.github.io/Logging_0192/klagomål/A 18965-2020 FSC-klagomål.docx", "A 18965-2020")</f>
        <v/>
      </c>
      <c r="W367">
        <f>HYPERLINK("https://klasma.github.io/Logging_0192/klagomålsmail/A 18965-2020 FSC-klagomål mail.docx", "A 18965-2020")</f>
        <v/>
      </c>
      <c r="X367">
        <f>HYPERLINK("https://klasma.github.io/Logging_0192/tillsyn/A 18965-2020 tillsynsbegäran.docx", "A 18965-2020")</f>
        <v/>
      </c>
      <c r="Y367">
        <f>HYPERLINK("https://klasma.github.io/Logging_0192/tillsynsmail/A 18965-2020 tillsynsbegäran mail.docx", "A 18965-2020")</f>
        <v/>
      </c>
    </row>
    <row r="368" ht="15" customHeight="1">
      <c r="A368" t="inlineStr">
        <is>
          <t>A 21628-2020</t>
        </is>
      </c>
      <c r="B368" s="1" t="n">
        <v>43956</v>
      </c>
      <c r="C368" s="1" t="n">
        <v>45693</v>
      </c>
      <c r="D368" t="inlineStr">
        <is>
          <t>STOCKHOLMS LÄN</t>
        </is>
      </c>
      <c r="E368" t="inlineStr">
        <is>
          <t>NYKVARN</t>
        </is>
      </c>
      <c r="G368" t="n">
        <v>1.5</v>
      </c>
      <c r="H368" t="n">
        <v>0</v>
      </c>
      <c r="I368" t="n">
        <v>0</v>
      </c>
      <c r="J368" t="n">
        <v>1</v>
      </c>
      <c r="K368" t="n">
        <v>0</v>
      </c>
      <c r="L368" t="n">
        <v>0</v>
      </c>
      <c r="M368" t="n">
        <v>0</v>
      </c>
      <c r="N368" t="n">
        <v>0</v>
      </c>
      <c r="O368" t="n">
        <v>1</v>
      </c>
      <c r="P368" t="n">
        <v>0</v>
      </c>
      <c r="Q368" t="n">
        <v>1</v>
      </c>
      <c r="R368" s="2" t="inlineStr">
        <is>
          <t>Igelkott</t>
        </is>
      </c>
      <c r="S368">
        <f>HYPERLINK("https://klasma.github.io/Logging_0140/artfynd/A 21628-2020 artfynd.xlsx", "A 21628-2020")</f>
        <v/>
      </c>
      <c r="T368">
        <f>HYPERLINK("https://klasma.github.io/Logging_0140/kartor/A 21628-2020 karta.png", "A 21628-2020")</f>
        <v/>
      </c>
      <c r="V368">
        <f>HYPERLINK("https://klasma.github.io/Logging_0140/klagomål/A 21628-2020 FSC-klagomål.docx", "A 21628-2020")</f>
        <v/>
      </c>
      <c r="W368">
        <f>HYPERLINK("https://klasma.github.io/Logging_0140/klagomålsmail/A 21628-2020 FSC-klagomål mail.docx", "A 21628-2020")</f>
        <v/>
      </c>
      <c r="X368">
        <f>HYPERLINK("https://klasma.github.io/Logging_0140/tillsyn/A 21628-2020 tillsynsbegäran.docx", "A 21628-2020")</f>
        <v/>
      </c>
      <c r="Y368">
        <f>HYPERLINK("https://klasma.github.io/Logging_0140/tillsynsmail/A 21628-2020 tillsynsbegäran mail.docx", "A 21628-2020")</f>
        <v/>
      </c>
    </row>
    <row r="369" ht="15" customHeight="1">
      <c r="A369" t="inlineStr">
        <is>
          <t>A 28380-2020</t>
        </is>
      </c>
      <c r="B369" s="1" t="n">
        <v>43998</v>
      </c>
      <c r="C369" s="1" t="n">
        <v>45693</v>
      </c>
      <c r="D369" t="inlineStr">
        <is>
          <t>STOCKHOLMS LÄN</t>
        </is>
      </c>
      <c r="E369" t="inlineStr">
        <is>
          <t>NORRTÄLJE</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28380-2020 artfynd.xlsx", "A 28380-2020")</f>
        <v/>
      </c>
      <c r="T369">
        <f>HYPERLINK("https://klasma.github.io/Logging_0188/kartor/A 28380-2020 karta.png", "A 28380-2020")</f>
        <v/>
      </c>
      <c r="V369">
        <f>HYPERLINK("https://klasma.github.io/Logging_0188/klagomål/A 28380-2020 FSC-klagomål.docx", "A 28380-2020")</f>
        <v/>
      </c>
      <c r="W369">
        <f>HYPERLINK("https://klasma.github.io/Logging_0188/klagomålsmail/A 28380-2020 FSC-klagomål mail.docx", "A 28380-2020")</f>
        <v/>
      </c>
      <c r="X369">
        <f>HYPERLINK("https://klasma.github.io/Logging_0188/tillsyn/A 28380-2020 tillsynsbegäran.docx", "A 28380-2020")</f>
        <v/>
      </c>
      <c r="Y369">
        <f>HYPERLINK("https://klasma.github.io/Logging_0188/tillsynsmail/A 28380-2020 tillsynsbegäran mail.docx", "A 28380-2020")</f>
        <v/>
      </c>
    </row>
    <row r="370" ht="15" customHeight="1">
      <c r="A370" t="inlineStr">
        <is>
          <t>A 32525-2020</t>
        </is>
      </c>
      <c r="B370" s="1" t="n">
        <v>44018</v>
      </c>
      <c r="C370" s="1" t="n">
        <v>45693</v>
      </c>
      <c r="D370" t="inlineStr">
        <is>
          <t>STOCKHOLMS LÄN</t>
        </is>
      </c>
      <c r="E370" t="inlineStr">
        <is>
          <t>HANINGE</t>
        </is>
      </c>
      <c r="F370" t="inlineStr">
        <is>
          <t>Kommuner</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HYPERLINK("https://klasma.github.io/Logging_0136/artfynd/A 32525-2020 artfynd.xlsx", "A 32525-2020")</f>
        <v/>
      </c>
      <c r="T370">
        <f>HYPERLINK("https://klasma.github.io/Logging_0136/kartor/A 32525-2020 karta.png", "A 32525-2020")</f>
        <v/>
      </c>
      <c r="V370">
        <f>HYPERLINK("https://klasma.github.io/Logging_0136/klagomål/A 32525-2020 FSC-klagomål.docx", "A 32525-2020")</f>
        <v/>
      </c>
      <c r="W370">
        <f>HYPERLINK("https://klasma.github.io/Logging_0136/klagomålsmail/A 32525-2020 FSC-klagomål mail.docx", "A 32525-2020")</f>
        <v/>
      </c>
      <c r="X370">
        <f>HYPERLINK("https://klasma.github.io/Logging_0136/tillsyn/A 32525-2020 tillsynsbegäran.docx", "A 32525-2020")</f>
        <v/>
      </c>
      <c r="Y370">
        <f>HYPERLINK("https://klasma.github.io/Logging_0136/tillsynsmail/A 32525-2020 tillsynsbegäran mail.docx", "A 32525-2020")</f>
        <v/>
      </c>
    </row>
    <row r="371" ht="15" customHeight="1">
      <c r="A371" t="inlineStr">
        <is>
          <t>A 34971-2020</t>
        </is>
      </c>
      <c r="B371" s="1" t="n">
        <v>44039</v>
      </c>
      <c r="C371" s="1" t="n">
        <v>45693</v>
      </c>
      <c r="D371" t="inlineStr">
        <is>
          <t>STOCKHOLMS LÄN</t>
        </is>
      </c>
      <c r="E371" t="inlineStr">
        <is>
          <t>BOTKYRKA</t>
        </is>
      </c>
      <c r="G371" t="n">
        <v>4.2</v>
      </c>
      <c r="H371" t="n">
        <v>0</v>
      </c>
      <c r="I371" t="n">
        <v>1</v>
      </c>
      <c r="J371" t="n">
        <v>0</v>
      </c>
      <c r="K371" t="n">
        <v>0</v>
      </c>
      <c r="L371" t="n">
        <v>0</v>
      </c>
      <c r="M371" t="n">
        <v>0</v>
      </c>
      <c r="N371" t="n">
        <v>0</v>
      </c>
      <c r="O371" t="n">
        <v>0</v>
      </c>
      <c r="P371" t="n">
        <v>0</v>
      </c>
      <c r="Q371" t="n">
        <v>1</v>
      </c>
      <c r="R371" s="2" t="inlineStr">
        <is>
          <t>Tibast</t>
        </is>
      </c>
      <c r="S371">
        <f>HYPERLINK("https://klasma.github.io/Logging_0127/artfynd/A 34971-2020 artfynd.xlsx", "A 34971-2020")</f>
        <v/>
      </c>
      <c r="T371">
        <f>HYPERLINK("https://klasma.github.io/Logging_0127/kartor/A 34971-2020 karta.png", "A 34971-2020")</f>
        <v/>
      </c>
      <c r="V371">
        <f>HYPERLINK("https://klasma.github.io/Logging_0127/klagomål/A 34971-2020 FSC-klagomål.docx", "A 34971-2020")</f>
        <v/>
      </c>
      <c r="W371">
        <f>HYPERLINK("https://klasma.github.io/Logging_0127/klagomålsmail/A 34971-2020 FSC-klagomål mail.docx", "A 34971-2020")</f>
        <v/>
      </c>
      <c r="X371">
        <f>HYPERLINK("https://klasma.github.io/Logging_0127/tillsyn/A 34971-2020 tillsynsbegäran.docx", "A 34971-2020")</f>
        <v/>
      </c>
      <c r="Y371">
        <f>HYPERLINK("https://klasma.github.io/Logging_0127/tillsynsmail/A 34971-2020 tillsynsbegäran mail.docx", "A 34971-2020")</f>
        <v/>
      </c>
    </row>
    <row r="372" ht="15" customHeight="1">
      <c r="A372" t="inlineStr">
        <is>
          <t>A 41774-2020</t>
        </is>
      </c>
      <c r="B372" s="1" t="n">
        <v>44074</v>
      </c>
      <c r="C372" s="1" t="n">
        <v>45693</v>
      </c>
      <c r="D372" t="inlineStr">
        <is>
          <t>STOCKHOLMS LÄN</t>
        </is>
      </c>
      <c r="E372" t="inlineStr">
        <is>
          <t>SALEM</t>
        </is>
      </c>
      <c r="F372" t="inlineStr">
        <is>
          <t>Kommuner</t>
        </is>
      </c>
      <c r="G372" t="n">
        <v>3.1</v>
      </c>
      <c r="H372" t="n">
        <v>0</v>
      </c>
      <c r="I372" t="n">
        <v>0</v>
      </c>
      <c r="J372" t="n">
        <v>1</v>
      </c>
      <c r="K372" t="n">
        <v>0</v>
      </c>
      <c r="L372" t="n">
        <v>0</v>
      </c>
      <c r="M372" t="n">
        <v>0</v>
      </c>
      <c r="N372" t="n">
        <v>0</v>
      </c>
      <c r="O372" t="n">
        <v>1</v>
      </c>
      <c r="P372" t="n">
        <v>0</v>
      </c>
      <c r="Q372" t="n">
        <v>1</v>
      </c>
      <c r="R372" s="2" t="inlineStr">
        <is>
          <t>Tallticka</t>
        </is>
      </c>
      <c r="S372">
        <f>HYPERLINK("https://klasma.github.io/Logging_0128/artfynd/A 41774-2020 artfynd.xlsx", "A 41774-2020")</f>
        <v/>
      </c>
      <c r="T372">
        <f>HYPERLINK("https://klasma.github.io/Logging_0128/kartor/A 41774-2020 karta.png", "A 41774-2020")</f>
        <v/>
      </c>
      <c r="V372">
        <f>HYPERLINK("https://klasma.github.io/Logging_0128/klagomål/A 41774-2020 FSC-klagomål.docx", "A 41774-2020")</f>
        <v/>
      </c>
      <c r="W372">
        <f>HYPERLINK("https://klasma.github.io/Logging_0128/klagomålsmail/A 41774-2020 FSC-klagomål mail.docx", "A 41774-2020")</f>
        <v/>
      </c>
      <c r="X372">
        <f>HYPERLINK("https://klasma.github.io/Logging_0128/tillsyn/A 41774-2020 tillsynsbegäran.docx", "A 41774-2020")</f>
        <v/>
      </c>
      <c r="Y372">
        <f>HYPERLINK("https://klasma.github.io/Logging_0128/tillsynsmail/A 41774-2020 tillsynsbegäran mail.docx", "A 41774-2020")</f>
        <v/>
      </c>
    </row>
    <row r="373" ht="15" customHeight="1">
      <c r="A373" t="inlineStr">
        <is>
          <t>A 45158-2020</t>
        </is>
      </c>
      <c r="B373" s="1" t="n">
        <v>44088</v>
      </c>
      <c r="C373" s="1" t="n">
        <v>45693</v>
      </c>
      <c r="D373" t="inlineStr">
        <is>
          <t>STOCKHOLMS LÄN</t>
        </is>
      </c>
      <c r="E373" t="inlineStr">
        <is>
          <t>SALEM</t>
        </is>
      </c>
      <c r="F373" t="inlineStr">
        <is>
          <t>Kommuner</t>
        </is>
      </c>
      <c r="G373" t="n">
        <v>1.5</v>
      </c>
      <c r="H373" t="n">
        <v>1</v>
      </c>
      <c r="I373" t="n">
        <v>0</v>
      </c>
      <c r="J373" t="n">
        <v>1</v>
      </c>
      <c r="K373" t="n">
        <v>0</v>
      </c>
      <c r="L373" t="n">
        <v>0</v>
      </c>
      <c r="M373" t="n">
        <v>0</v>
      </c>
      <c r="N373" t="n">
        <v>0</v>
      </c>
      <c r="O373" t="n">
        <v>1</v>
      </c>
      <c r="P373" t="n">
        <v>0</v>
      </c>
      <c r="Q373" t="n">
        <v>1</v>
      </c>
      <c r="R373" s="2" t="inlineStr">
        <is>
          <t>Spillkråka</t>
        </is>
      </c>
      <c r="S373">
        <f>HYPERLINK("https://klasma.github.io/Logging_0128/artfynd/A 45158-2020 artfynd.xlsx", "A 45158-2020")</f>
        <v/>
      </c>
      <c r="T373">
        <f>HYPERLINK("https://klasma.github.io/Logging_0128/kartor/A 45158-2020 karta.png", "A 45158-2020")</f>
        <v/>
      </c>
      <c r="V373">
        <f>HYPERLINK("https://klasma.github.io/Logging_0128/klagomål/A 45158-2020 FSC-klagomål.docx", "A 45158-2020")</f>
        <v/>
      </c>
      <c r="W373">
        <f>HYPERLINK("https://klasma.github.io/Logging_0128/klagomålsmail/A 45158-2020 FSC-klagomål mail.docx", "A 45158-2020")</f>
        <v/>
      </c>
      <c r="X373">
        <f>HYPERLINK("https://klasma.github.io/Logging_0128/tillsyn/A 45158-2020 tillsynsbegäran.docx", "A 45158-2020")</f>
        <v/>
      </c>
      <c r="Y373">
        <f>HYPERLINK("https://klasma.github.io/Logging_0128/tillsynsmail/A 45158-2020 tillsynsbegäran mail.docx", "A 45158-2020")</f>
        <v/>
      </c>
      <c r="Z373">
        <f>HYPERLINK("https://klasma.github.io/Logging_0128/fåglar/A 45158-2020 prioriterade fågelarter.docx", "A 45158-2020")</f>
        <v/>
      </c>
    </row>
    <row r="374" ht="15" customHeight="1">
      <c r="A374" t="inlineStr">
        <is>
          <t>A 47329-2020</t>
        </is>
      </c>
      <c r="B374" s="1" t="n">
        <v>44097</v>
      </c>
      <c r="C374" s="1" t="n">
        <v>45693</v>
      </c>
      <c r="D374" t="inlineStr">
        <is>
          <t>STOCKHOLMS LÄN</t>
        </is>
      </c>
      <c r="E374" t="inlineStr">
        <is>
          <t>UPPLANDS-BRO</t>
        </is>
      </c>
      <c r="G374" t="n">
        <v>1.6</v>
      </c>
      <c r="H374" t="n">
        <v>1</v>
      </c>
      <c r="I374" t="n">
        <v>0</v>
      </c>
      <c r="J374" t="n">
        <v>0</v>
      </c>
      <c r="K374" t="n">
        <v>1</v>
      </c>
      <c r="L374" t="n">
        <v>0</v>
      </c>
      <c r="M374" t="n">
        <v>0</v>
      </c>
      <c r="N374" t="n">
        <v>0</v>
      </c>
      <c r="O374" t="n">
        <v>1</v>
      </c>
      <c r="P374" t="n">
        <v>1</v>
      </c>
      <c r="Q374" t="n">
        <v>1</v>
      </c>
      <c r="R374" s="2" t="inlineStr">
        <is>
          <t>Bombmurkla</t>
        </is>
      </c>
      <c r="S374">
        <f>HYPERLINK("https://klasma.github.io/Logging_0139/artfynd/A 47329-2020 artfynd.xlsx", "A 47329-2020")</f>
        <v/>
      </c>
      <c r="T374">
        <f>HYPERLINK("https://klasma.github.io/Logging_0139/kartor/A 47329-2020 karta.png", "A 47329-2020")</f>
        <v/>
      </c>
      <c r="V374">
        <f>HYPERLINK("https://klasma.github.io/Logging_0139/klagomål/A 47329-2020 FSC-klagomål.docx", "A 47329-2020")</f>
        <v/>
      </c>
      <c r="W374">
        <f>HYPERLINK("https://klasma.github.io/Logging_0139/klagomålsmail/A 47329-2020 FSC-klagomål mail.docx", "A 47329-2020")</f>
        <v/>
      </c>
      <c r="X374">
        <f>HYPERLINK("https://klasma.github.io/Logging_0139/tillsyn/A 47329-2020 tillsynsbegäran.docx", "A 47329-2020")</f>
        <v/>
      </c>
      <c r="Y374">
        <f>HYPERLINK("https://klasma.github.io/Logging_0139/tillsynsmail/A 47329-2020 tillsynsbegäran mail.docx", "A 47329-2020")</f>
        <v/>
      </c>
    </row>
    <row r="375" ht="15" customHeight="1">
      <c r="A375" t="inlineStr">
        <is>
          <t>A 48288-2020</t>
        </is>
      </c>
      <c r="B375" s="1" t="n">
        <v>44102</v>
      </c>
      <c r="C375" s="1" t="n">
        <v>45693</v>
      </c>
      <c r="D375" t="inlineStr">
        <is>
          <t>STOCKHOLMS LÄN</t>
        </is>
      </c>
      <c r="E375" t="inlineStr">
        <is>
          <t>NORRTÄLJE</t>
        </is>
      </c>
      <c r="F375" t="inlineStr">
        <is>
          <t>Holmen skog AB</t>
        </is>
      </c>
      <c r="G375" t="n">
        <v>2.9</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48288-2020 artfynd.xlsx", "A 48288-2020")</f>
        <v/>
      </c>
      <c r="T375">
        <f>HYPERLINK("https://klasma.github.io/Logging_0188/kartor/A 48288-2020 karta.png", "A 48288-2020")</f>
        <v/>
      </c>
      <c r="V375">
        <f>HYPERLINK("https://klasma.github.io/Logging_0188/klagomål/A 48288-2020 FSC-klagomål.docx", "A 48288-2020")</f>
        <v/>
      </c>
      <c r="W375">
        <f>HYPERLINK("https://klasma.github.io/Logging_0188/klagomålsmail/A 48288-2020 FSC-klagomål mail.docx", "A 48288-2020")</f>
        <v/>
      </c>
      <c r="X375">
        <f>HYPERLINK("https://klasma.github.io/Logging_0188/tillsyn/A 48288-2020 tillsynsbegäran.docx", "A 48288-2020")</f>
        <v/>
      </c>
      <c r="Y375">
        <f>HYPERLINK("https://klasma.github.io/Logging_0188/tillsynsmail/A 48288-2020 tillsynsbegäran mail.docx", "A 48288-2020")</f>
        <v/>
      </c>
    </row>
    <row r="376" ht="15" customHeight="1">
      <c r="A376" t="inlineStr">
        <is>
          <t>A 62846-2020</t>
        </is>
      </c>
      <c r="B376" s="1" t="n">
        <v>44161</v>
      </c>
      <c r="C376" s="1" t="n">
        <v>45693</v>
      </c>
      <c r="D376" t="inlineStr">
        <is>
          <t>STOCKHOLMS LÄN</t>
        </is>
      </c>
      <c r="E376" t="inlineStr">
        <is>
          <t>NORRTÄLJE</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HYPERLINK("https://klasma.github.io/Logging_0188/artfynd/A 62846-2020 artfynd.xlsx", "A 62846-2020")</f>
        <v/>
      </c>
      <c r="T376">
        <f>HYPERLINK("https://klasma.github.io/Logging_0188/kartor/A 62846-2020 karta.png", "A 62846-2020")</f>
        <v/>
      </c>
      <c r="V376">
        <f>HYPERLINK("https://klasma.github.io/Logging_0188/klagomål/A 62846-2020 FSC-klagomål.docx", "A 62846-2020")</f>
        <v/>
      </c>
      <c r="W376">
        <f>HYPERLINK("https://klasma.github.io/Logging_0188/klagomålsmail/A 62846-2020 FSC-klagomål mail.docx", "A 62846-2020")</f>
        <v/>
      </c>
      <c r="X376">
        <f>HYPERLINK("https://klasma.github.io/Logging_0188/tillsyn/A 62846-2020 tillsynsbegäran.docx", "A 62846-2020")</f>
        <v/>
      </c>
      <c r="Y376">
        <f>HYPERLINK("https://klasma.github.io/Logging_0188/tillsynsmail/A 62846-2020 tillsynsbegäran mail.docx", "A 62846-2020")</f>
        <v/>
      </c>
    </row>
    <row r="377" ht="15" customHeight="1">
      <c r="A377" t="inlineStr">
        <is>
          <t>A 1162-2021</t>
        </is>
      </c>
      <c r="B377" s="1" t="n">
        <v>44207</v>
      </c>
      <c r="C377" s="1" t="n">
        <v>45693</v>
      </c>
      <c r="D377" t="inlineStr">
        <is>
          <t>STOCKHOLMS LÄN</t>
        </is>
      </c>
      <c r="E377" t="inlineStr">
        <is>
          <t>NORRTÄLJE</t>
        </is>
      </c>
      <c r="G377" t="n">
        <v>2.2</v>
      </c>
      <c r="H377" t="n">
        <v>1</v>
      </c>
      <c r="I377" t="n">
        <v>0</v>
      </c>
      <c r="J377" t="n">
        <v>0</v>
      </c>
      <c r="K377" t="n">
        <v>1</v>
      </c>
      <c r="L377" t="n">
        <v>0</v>
      </c>
      <c r="M377" t="n">
        <v>0</v>
      </c>
      <c r="N377" t="n">
        <v>0</v>
      </c>
      <c r="O377" t="n">
        <v>1</v>
      </c>
      <c r="P377" t="n">
        <v>1</v>
      </c>
      <c r="Q377" t="n">
        <v>1</v>
      </c>
      <c r="R377" s="2" t="inlineStr">
        <is>
          <t>Hällebräcka</t>
        </is>
      </c>
      <c r="S377">
        <f>HYPERLINK("https://klasma.github.io/Logging_0188/artfynd/A 1162-2021 artfynd.xlsx", "A 1162-2021")</f>
        <v/>
      </c>
      <c r="T377">
        <f>HYPERLINK("https://klasma.github.io/Logging_0188/kartor/A 1162-2021 karta.png", "A 1162-2021")</f>
        <v/>
      </c>
      <c r="V377">
        <f>HYPERLINK("https://klasma.github.io/Logging_0188/klagomål/A 1162-2021 FSC-klagomål.docx", "A 1162-2021")</f>
        <v/>
      </c>
      <c r="W377">
        <f>HYPERLINK("https://klasma.github.io/Logging_0188/klagomålsmail/A 1162-2021 FSC-klagomål mail.docx", "A 1162-2021")</f>
        <v/>
      </c>
      <c r="X377">
        <f>HYPERLINK("https://klasma.github.io/Logging_0188/tillsyn/A 1162-2021 tillsynsbegäran.docx", "A 1162-2021")</f>
        <v/>
      </c>
      <c r="Y377">
        <f>HYPERLINK("https://klasma.github.io/Logging_0188/tillsynsmail/A 1162-2021 tillsynsbegäran mail.docx", "A 1162-2021")</f>
        <v/>
      </c>
    </row>
    <row r="378" ht="15" customHeight="1">
      <c r="A378" t="inlineStr">
        <is>
          <t>A 1424-2021</t>
        </is>
      </c>
      <c r="B378" s="1" t="n">
        <v>44208</v>
      </c>
      <c r="C378" s="1" t="n">
        <v>45693</v>
      </c>
      <c r="D378" t="inlineStr">
        <is>
          <t>STOCKHOLMS LÄN</t>
        </is>
      </c>
      <c r="E378" t="inlineStr">
        <is>
          <t>HANINGE</t>
        </is>
      </c>
      <c r="G378" t="n">
        <v>1.7</v>
      </c>
      <c r="H378" t="n">
        <v>1</v>
      </c>
      <c r="I378" t="n">
        <v>1</v>
      </c>
      <c r="J378" t="n">
        <v>0</v>
      </c>
      <c r="K378" t="n">
        <v>0</v>
      </c>
      <c r="L378" t="n">
        <v>0</v>
      </c>
      <c r="M378" t="n">
        <v>0</v>
      </c>
      <c r="N378" t="n">
        <v>0</v>
      </c>
      <c r="O378" t="n">
        <v>0</v>
      </c>
      <c r="P378" t="n">
        <v>0</v>
      </c>
      <c r="Q378" t="n">
        <v>1</v>
      </c>
      <c r="R378" s="2" t="inlineStr">
        <is>
          <t>Tvåblad</t>
        </is>
      </c>
      <c r="S378">
        <f>HYPERLINK("https://klasma.github.io/Logging_0136/artfynd/A 1424-2021 artfynd.xlsx", "A 1424-2021")</f>
        <v/>
      </c>
      <c r="T378">
        <f>HYPERLINK("https://klasma.github.io/Logging_0136/kartor/A 1424-2021 karta.png", "A 1424-2021")</f>
        <v/>
      </c>
      <c r="U378">
        <f>HYPERLINK("https://klasma.github.io/Logging_0136/knärot/A 1424-2021 karta knärot.png", "A 1424-2021")</f>
        <v/>
      </c>
      <c r="V378">
        <f>HYPERLINK("https://klasma.github.io/Logging_0136/klagomål/A 1424-2021 FSC-klagomål.docx", "A 1424-2021")</f>
        <v/>
      </c>
      <c r="W378">
        <f>HYPERLINK("https://klasma.github.io/Logging_0136/klagomålsmail/A 1424-2021 FSC-klagomål mail.docx", "A 1424-2021")</f>
        <v/>
      </c>
      <c r="X378">
        <f>HYPERLINK("https://klasma.github.io/Logging_0136/tillsyn/A 1424-2021 tillsynsbegäran.docx", "A 1424-2021")</f>
        <v/>
      </c>
      <c r="Y378">
        <f>HYPERLINK("https://klasma.github.io/Logging_0136/tillsynsmail/A 1424-2021 tillsynsbegäran mail.docx", "A 1424-2021")</f>
        <v/>
      </c>
    </row>
    <row r="379" ht="15" customHeight="1">
      <c r="A379" t="inlineStr">
        <is>
          <t>A 9945-2021</t>
        </is>
      </c>
      <c r="B379" s="1" t="n">
        <v>44253</v>
      </c>
      <c r="C379" s="1" t="n">
        <v>45693</v>
      </c>
      <c r="D379" t="inlineStr">
        <is>
          <t>STOCKHOLMS LÄN</t>
        </is>
      </c>
      <c r="E379" t="inlineStr">
        <is>
          <t>HUDDINGE</t>
        </is>
      </c>
      <c r="F379" t="inlineStr">
        <is>
          <t>Kommuner</t>
        </is>
      </c>
      <c r="G379" t="n">
        <v>3</v>
      </c>
      <c r="H379" t="n">
        <v>1</v>
      </c>
      <c r="I379" t="n">
        <v>0</v>
      </c>
      <c r="J379" t="n">
        <v>0</v>
      </c>
      <c r="K379" t="n">
        <v>0</v>
      </c>
      <c r="L379" t="n">
        <v>0</v>
      </c>
      <c r="M379" t="n">
        <v>0</v>
      </c>
      <c r="N379" t="n">
        <v>0</v>
      </c>
      <c r="O379" t="n">
        <v>0</v>
      </c>
      <c r="P379" t="n">
        <v>0</v>
      </c>
      <c r="Q379" t="n">
        <v>1</v>
      </c>
      <c r="R379" s="2" t="inlineStr">
        <is>
          <t>Nattskärra</t>
        </is>
      </c>
      <c r="S379">
        <f>HYPERLINK("https://klasma.github.io/Logging_0126/artfynd/A 9945-2021 artfynd.xlsx", "A 9945-2021")</f>
        <v/>
      </c>
      <c r="T379">
        <f>HYPERLINK("https://klasma.github.io/Logging_0126/kartor/A 9945-2021 karta.png", "A 9945-2021")</f>
        <v/>
      </c>
      <c r="V379">
        <f>HYPERLINK("https://klasma.github.io/Logging_0126/klagomål/A 9945-2021 FSC-klagomål.docx", "A 9945-2021")</f>
        <v/>
      </c>
      <c r="W379">
        <f>HYPERLINK("https://klasma.github.io/Logging_0126/klagomålsmail/A 9945-2021 FSC-klagomål mail.docx", "A 9945-2021")</f>
        <v/>
      </c>
      <c r="X379">
        <f>HYPERLINK("https://klasma.github.io/Logging_0126/tillsyn/A 9945-2021 tillsynsbegäran.docx", "A 9945-2021")</f>
        <v/>
      </c>
      <c r="Y379">
        <f>HYPERLINK("https://klasma.github.io/Logging_0126/tillsynsmail/A 9945-2021 tillsynsbegäran mail.docx", "A 9945-2021")</f>
        <v/>
      </c>
      <c r="Z379">
        <f>HYPERLINK("https://klasma.github.io/Logging_0126/fåglar/A 9945-2021 prioriterade fågelarter.docx", "A 9945-2021")</f>
        <v/>
      </c>
    </row>
    <row r="380" ht="15" customHeight="1">
      <c r="A380" t="inlineStr">
        <is>
          <t>A 12989-2021</t>
        </is>
      </c>
      <c r="B380" s="1" t="n">
        <v>44271</v>
      </c>
      <c r="C380" s="1" t="n">
        <v>45693</v>
      </c>
      <c r="D380" t="inlineStr">
        <is>
          <t>STOCKHOLMS LÄN</t>
        </is>
      </c>
      <c r="E380" t="inlineStr">
        <is>
          <t>NYNÄSHAMN</t>
        </is>
      </c>
      <c r="F380" t="inlineStr">
        <is>
          <t>Kommuner</t>
        </is>
      </c>
      <c r="G380" t="n">
        <v>6.6</v>
      </c>
      <c r="H380" t="n">
        <v>1</v>
      </c>
      <c r="I380" t="n">
        <v>0</v>
      </c>
      <c r="J380" t="n">
        <v>0</v>
      </c>
      <c r="K380" t="n">
        <v>1</v>
      </c>
      <c r="L380" t="n">
        <v>0</v>
      </c>
      <c r="M380" t="n">
        <v>0</v>
      </c>
      <c r="N380" t="n">
        <v>0</v>
      </c>
      <c r="O380" t="n">
        <v>1</v>
      </c>
      <c r="P380" t="n">
        <v>1</v>
      </c>
      <c r="Q380" t="n">
        <v>1</v>
      </c>
      <c r="R380" s="2" t="inlineStr">
        <is>
          <t>Hasselsnok</t>
        </is>
      </c>
      <c r="S380">
        <f>HYPERLINK("https://klasma.github.io/Logging_0192/artfynd/A 12989-2021 artfynd.xlsx", "A 12989-2021")</f>
        <v/>
      </c>
      <c r="T380">
        <f>HYPERLINK("https://klasma.github.io/Logging_0192/kartor/A 12989-2021 karta.png", "A 12989-2021")</f>
        <v/>
      </c>
      <c r="V380">
        <f>HYPERLINK("https://klasma.github.io/Logging_0192/klagomål/A 12989-2021 FSC-klagomål.docx", "A 12989-2021")</f>
        <v/>
      </c>
      <c r="W380">
        <f>HYPERLINK("https://klasma.github.io/Logging_0192/klagomålsmail/A 12989-2021 FSC-klagomål mail.docx", "A 12989-2021")</f>
        <v/>
      </c>
      <c r="X380">
        <f>HYPERLINK("https://klasma.github.io/Logging_0192/tillsyn/A 12989-2021 tillsynsbegäran.docx", "A 12989-2021")</f>
        <v/>
      </c>
      <c r="Y380">
        <f>HYPERLINK("https://klasma.github.io/Logging_0192/tillsynsmail/A 12989-2021 tillsynsbegäran mail.docx", "A 12989-2021")</f>
        <v/>
      </c>
    </row>
    <row r="381" ht="15" customHeight="1">
      <c r="A381" t="inlineStr">
        <is>
          <t>A 13942-2021</t>
        </is>
      </c>
      <c r="B381" s="1" t="n">
        <v>44277</v>
      </c>
      <c r="C381" s="1" t="n">
        <v>45693</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16461-2021</t>
        </is>
      </c>
      <c r="B382" s="1" t="n">
        <v>44293</v>
      </c>
      <c r="C382" s="1" t="n">
        <v>45693</v>
      </c>
      <c r="D382" t="inlineStr">
        <is>
          <t>STOCKHOLMS LÄN</t>
        </is>
      </c>
      <c r="E382" t="inlineStr">
        <is>
          <t>SIGTUNA</t>
        </is>
      </c>
      <c r="G382" t="n">
        <v>8</v>
      </c>
      <c r="H382" t="n">
        <v>1</v>
      </c>
      <c r="I382" t="n">
        <v>0</v>
      </c>
      <c r="J382" t="n">
        <v>0</v>
      </c>
      <c r="K382" t="n">
        <v>0</v>
      </c>
      <c r="L382" t="n">
        <v>0</v>
      </c>
      <c r="M382" t="n">
        <v>0</v>
      </c>
      <c r="N382" t="n">
        <v>0</v>
      </c>
      <c r="O382" t="n">
        <v>0</v>
      </c>
      <c r="P382" t="n">
        <v>0</v>
      </c>
      <c r="Q382" t="n">
        <v>1</v>
      </c>
      <c r="R382" s="2" t="inlineStr">
        <is>
          <t>Större vattensalamander</t>
        </is>
      </c>
      <c r="S382">
        <f>HYPERLINK("https://klasma.github.io/Logging_0191/artfynd/A 16461-2021 artfynd.xlsx", "A 16461-2021")</f>
        <v/>
      </c>
      <c r="T382">
        <f>HYPERLINK("https://klasma.github.io/Logging_0191/kartor/A 16461-2021 karta.png", "A 16461-2021")</f>
        <v/>
      </c>
      <c r="V382">
        <f>HYPERLINK("https://klasma.github.io/Logging_0191/klagomål/A 16461-2021 FSC-klagomål.docx", "A 16461-2021")</f>
        <v/>
      </c>
      <c r="W382">
        <f>HYPERLINK("https://klasma.github.io/Logging_0191/klagomålsmail/A 16461-2021 FSC-klagomål mail.docx", "A 16461-2021")</f>
        <v/>
      </c>
      <c r="X382">
        <f>HYPERLINK("https://klasma.github.io/Logging_0191/tillsyn/A 16461-2021 tillsynsbegäran.docx", "A 16461-2021")</f>
        <v/>
      </c>
      <c r="Y382">
        <f>HYPERLINK("https://klasma.github.io/Logging_0191/tillsynsmail/A 16461-2021 tillsynsbegäran mail.docx", "A 16461-2021")</f>
        <v/>
      </c>
    </row>
    <row r="383" ht="15" customHeight="1">
      <c r="A383" t="inlineStr">
        <is>
          <t>A 18280-2021</t>
        </is>
      </c>
      <c r="B383" s="1" t="n">
        <v>44298</v>
      </c>
      <c r="C383" s="1" t="n">
        <v>45693</v>
      </c>
      <c r="D383" t="inlineStr">
        <is>
          <t>STOCKHOLMS LÄN</t>
        </is>
      </c>
      <c r="E383" t="inlineStr">
        <is>
          <t>NACKA</t>
        </is>
      </c>
      <c r="G383" t="n">
        <v>4.4</v>
      </c>
      <c r="H383" t="n">
        <v>1</v>
      </c>
      <c r="I383" t="n">
        <v>0</v>
      </c>
      <c r="J383" t="n">
        <v>1</v>
      </c>
      <c r="K383" t="n">
        <v>0</v>
      </c>
      <c r="L383" t="n">
        <v>0</v>
      </c>
      <c r="M383" t="n">
        <v>0</v>
      </c>
      <c r="N383" t="n">
        <v>0</v>
      </c>
      <c r="O383" t="n">
        <v>1</v>
      </c>
      <c r="P383" t="n">
        <v>0</v>
      </c>
      <c r="Q383" t="n">
        <v>1</v>
      </c>
      <c r="R383" s="2" t="inlineStr">
        <is>
          <t>Duvhök</t>
        </is>
      </c>
      <c r="S383">
        <f>HYPERLINK("https://klasma.github.io/Logging_0182/artfynd/A 18280-2021 artfynd.xlsx", "A 18280-2021")</f>
        <v/>
      </c>
      <c r="T383">
        <f>HYPERLINK("https://klasma.github.io/Logging_0182/kartor/A 18280-2021 karta.png", "A 18280-2021")</f>
        <v/>
      </c>
      <c r="V383">
        <f>HYPERLINK("https://klasma.github.io/Logging_0182/klagomål/A 18280-2021 FSC-klagomål.docx", "A 18280-2021")</f>
        <v/>
      </c>
      <c r="W383">
        <f>HYPERLINK("https://klasma.github.io/Logging_0182/klagomålsmail/A 18280-2021 FSC-klagomål mail.docx", "A 18280-2021")</f>
        <v/>
      </c>
      <c r="X383">
        <f>HYPERLINK("https://klasma.github.io/Logging_0182/tillsyn/A 18280-2021 tillsynsbegäran.docx", "A 18280-2021")</f>
        <v/>
      </c>
      <c r="Y383">
        <f>HYPERLINK("https://klasma.github.io/Logging_0182/tillsynsmail/A 18280-2021 tillsynsbegäran mail.docx", "A 18280-2021")</f>
        <v/>
      </c>
      <c r="Z383">
        <f>HYPERLINK("https://klasma.github.io/Logging_0182/fåglar/A 18280-2021 prioriterade fågelarter.docx", "A 18280-2021")</f>
        <v/>
      </c>
    </row>
    <row r="384" ht="15" customHeight="1">
      <c r="A384" t="inlineStr">
        <is>
          <t>A 27757-2021</t>
        </is>
      </c>
      <c r="B384" s="1" t="n">
        <v>44354</v>
      </c>
      <c r="C384" s="1" t="n">
        <v>45693</v>
      </c>
      <c r="D384" t="inlineStr">
        <is>
          <t>STOCKHOLMS LÄN</t>
        </is>
      </c>
      <c r="E384" t="inlineStr">
        <is>
          <t>SÖDERTÄLJE</t>
        </is>
      </c>
      <c r="F384" t="inlineStr">
        <is>
          <t>Sveaskog</t>
        </is>
      </c>
      <c r="G384" t="n">
        <v>1.7</v>
      </c>
      <c r="H384" t="n">
        <v>0</v>
      </c>
      <c r="I384" t="n">
        <v>0</v>
      </c>
      <c r="J384" t="n">
        <v>0</v>
      </c>
      <c r="K384" t="n">
        <v>0</v>
      </c>
      <c r="L384" t="n">
        <v>1</v>
      </c>
      <c r="M384" t="n">
        <v>0</v>
      </c>
      <c r="N384" t="n">
        <v>0</v>
      </c>
      <c r="O384" t="n">
        <v>1</v>
      </c>
      <c r="P384" t="n">
        <v>1</v>
      </c>
      <c r="Q384" t="n">
        <v>1</v>
      </c>
      <c r="R384" s="2" t="inlineStr">
        <is>
          <t>Ryl</t>
        </is>
      </c>
      <c r="S384">
        <f>HYPERLINK("https://klasma.github.io/Logging_0181/artfynd/A 27757-2021 artfynd.xlsx", "A 27757-2021")</f>
        <v/>
      </c>
      <c r="T384">
        <f>HYPERLINK("https://klasma.github.io/Logging_0181/kartor/A 27757-2021 karta.png", "A 27757-2021")</f>
        <v/>
      </c>
      <c r="V384">
        <f>HYPERLINK("https://klasma.github.io/Logging_0181/klagomål/A 27757-2021 FSC-klagomål.docx", "A 27757-2021")</f>
        <v/>
      </c>
      <c r="W384">
        <f>HYPERLINK("https://klasma.github.io/Logging_0181/klagomålsmail/A 27757-2021 FSC-klagomål mail.docx", "A 27757-2021")</f>
        <v/>
      </c>
      <c r="X384">
        <f>HYPERLINK("https://klasma.github.io/Logging_0181/tillsyn/A 27757-2021 tillsynsbegäran.docx", "A 27757-2021")</f>
        <v/>
      </c>
      <c r="Y384">
        <f>HYPERLINK("https://klasma.github.io/Logging_0181/tillsynsmail/A 27757-2021 tillsynsbegäran mail.docx", "A 27757-2021")</f>
        <v/>
      </c>
    </row>
    <row r="385" ht="15" customHeight="1">
      <c r="A385" t="inlineStr">
        <is>
          <t>A 30138-2021</t>
        </is>
      </c>
      <c r="B385" s="1" t="n">
        <v>44363</v>
      </c>
      <c r="C385" s="1" t="n">
        <v>45693</v>
      </c>
      <c r="D385" t="inlineStr">
        <is>
          <t>STOCKHOLMS LÄN</t>
        </is>
      </c>
      <c r="E385" t="inlineStr">
        <is>
          <t>NORRTÄLJE</t>
        </is>
      </c>
      <c r="G385" t="n">
        <v>4.5</v>
      </c>
      <c r="H385" t="n">
        <v>0</v>
      </c>
      <c r="I385" t="n">
        <v>1</v>
      </c>
      <c r="J385" t="n">
        <v>0</v>
      </c>
      <c r="K385" t="n">
        <v>0</v>
      </c>
      <c r="L385" t="n">
        <v>0</v>
      </c>
      <c r="M385" t="n">
        <v>0</v>
      </c>
      <c r="N385" t="n">
        <v>0</v>
      </c>
      <c r="O385" t="n">
        <v>0</v>
      </c>
      <c r="P385" t="n">
        <v>0</v>
      </c>
      <c r="Q385" t="n">
        <v>1</v>
      </c>
      <c r="R385" s="2" t="inlineStr">
        <is>
          <t>Vårärt</t>
        </is>
      </c>
      <c r="S385">
        <f>HYPERLINK("https://klasma.github.io/Logging_0188/artfynd/A 30138-2021 artfynd.xlsx", "A 30138-2021")</f>
        <v/>
      </c>
      <c r="T385">
        <f>HYPERLINK("https://klasma.github.io/Logging_0188/kartor/A 30138-2021 karta.png", "A 30138-2021")</f>
        <v/>
      </c>
      <c r="V385">
        <f>HYPERLINK("https://klasma.github.io/Logging_0188/klagomål/A 30138-2021 FSC-klagomål.docx", "A 30138-2021")</f>
        <v/>
      </c>
      <c r="W385">
        <f>HYPERLINK("https://klasma.github.io/Logging_0188/klagomålsmail/A 30138-2021 FSC-klagomål mail.docx", "A 30138-2021")</f>
        <v/>
      </c>
      <c r="X385">
        <f>HYPERLINK("https://klasma.github.io/Logging_0188/tillsyn/A 30138-2021 tillsynsbegäran.docx", "A 30138-2021")</f>
        <v/>
      </c>
      <c r="Y385">
        <f>HYPERLINK("https://klasma.github.io/Logging_0188/tillsynsmail/A 30138-2021 tillsynsbegäran mail.docx", "A 30138-2021")</f>
        <v/>
      </c>
    </row>
    <row r="386" ht="15" customHeight="1">
      <c r="A386" t="inlineStr">
        <is>
          <t>A 31980-2021</t>
        </is>
      </c>
      <c r="B386" s="1" t="n">
        <v>44370</v>
      </c>
      <c r="C386" s="1" t="n">
        <v>45693</v>
      </c>
      <c r="D386" t="inlineStr">
        <is>
          <t>STOCKHOLMS LÄN</t>
        </is>
      </c>
      <c r="E386" t="inlineStr">
        <is>
          <t>NYNÄSHAMN</t>
        </is>
      </c>
      <c r="G386" t="n">
        <v>3.3</v>
      </c>
      <c r="H386" t="n">
        <v>0</v>
      </c>
      <c r="I386" t="n">
        <v>0</v>
      </c>
      <c r="J386" t="n">
        <v>1</v>
      </c>
      <c r="K386" t="n">
        <v>0</v>
      </c>
      <c r="L386" t="n">
        <v>0</v>
      </c>
      <c r="M386" t="n">
        <v>0</v>
      </c>
      <c r="N386" t="n">
        <v>0</v>
      </c>
      <c r="O386" t="n">
        <v>1</v>
      </c>
      <c r="P386" t="n">
        <v>0</v>
      </c>
      <c r="Q386" t="n">
        <v>1</v>
      </c>
      <c r="R386" s="2" t="inlineStr">
        <is>
          <t>Liten ekkremla</t>
        </is>
      </c>
      <c r="S386">
        <f>HYPERLINK("https://klasma.github.io/Logging_0192/artfynd/A 31980-2021 artfynd.xlsx", "A 31980-2021")</f>
        <v/>
      </c>
      <c r="T386">
        <f>HYPERLINK("https://klasma.github.io/Logging_0192/kartor/A 31980-2021 karta.png", "A 31980-2021")</f>
        <v/>
      </c>
      <c r="V386">
        <f>HYPERLINK("https://klasma.github.io/Logging_0192/klagomål/A 31980-2021 FSC-klagomål.docx", "A 31980-2021")</f>
        <v/>
      </c>
      <c r="W386">
        <f>HYPERLINK("https://klasma.github.io/Logging_0192/klagomålsmail/A 31980-2021 FSC-klagomål mail.docx", "A 31980-2021")</f>
        <v/>
      </c>
      <c r="X386">
        <f>HYPERLINK("https://klasma.github.io/Logging_0192/tillsyn/A 31980-2021 tillsynsbegäran.docx", "A 31980-2021")</f>
        <v/>
      </c>
      <c r="Y386">
        <f>HYPERLINK("https://klasma.github.io/Logging_0192/tillsynsmail/A 31980-2021 tillsynsbegäran mail.docx", "A 31980-2021")</f>
        <v/>
      </c>
    </row>
    <row r="387" ht="15" customHeight="1">
      <c r="A387" t="inlineStr">
        <is>
          <t>A 33302-2021</t>
        </is>
      </c>
      <c r="B387" s="1" t="n">
        <v>44377</v>
      </c>
      <c r="C387" s="1" t="n">
        <v>45693</v>
      </c>
      <c r="D387" t="inlineStr">
        <is>
          <t>STOCKHOLMS LÄN</t>
        </is>
      </c>
      <c r="E387" t="inlineStr">
        <is>
          <t>NORRTÄLJE</t>
        </is>
      </c>
      <c r="G387" t="n">
        <v>12.5</v>
      </c>
      <c r="H387" t="n">
        <v>1</v>
      </c>
      <c r="I387" t="n">
        <v>0</v>
      </c>
      <c r="J387" t="n">
        <v>1</v>
      </c>
      <c r="K387" t="n">
        <v>0</v>
      </c>
      <c r="L387" t="n">
        <v>0</v>
      </c>
      <c r="M387" t="n">
        <v>0</v>
      </c>
      <c r="N387" t="n">
        <v>0</v>
      </c>
      <c r="O387" t="n">
        <v>1</v>
      </c>
      <c r="P387" t="n">
        <v>0</v>
      </c>
      <c r="Q387" t="n">
        <v>1</v>
      </c>
      <c r="R387" s="2" t="inlineStr">
        <is>
          <t>Spillkråka</t>
        </is>
      </c>
      <c r="S387">
        <f>HYPERLINK("https://klasma.github.io/Logging_0188/artfynd/A 33302-2021 artfynd.xlsx", "A 33302-2021")</f>
        <v/>
      </c>
      <c r="T387">
        <f>HYPERLINK("https://klasma.github.io/Logging_0188/kartor/A 33302-2021 karta.png", "A 33302-2021")</f>
        <v/>
      </c>
      <c r="V387">
        <f>HYPERLINK("https://klasma.github.io/Logging_0188/klagomål/A 33302-2021 FSC-klagomål.docx", "A 33302-2021")</f>
        <v/>
      </c>
      <c r="W387">
        <f>HYPERLINK("https://klasma.github.io/Logging_0188/klagomålsmail/A 33302-2021 FSC-klagomål mail.docx", "A 33302-2021")</f>
        <v/>
      </c>
      <c r="X387">
        <f>HYPERLINK("https://klasma.github.io/Logging_0188/tillsyn/A 33302-2021 tillsynsbegäran.docx", "A 33302-2021")</f>
        <v/>
      </c>
      <c r="Y387">
        <f>HYPERLINK("https://klasma.github.io/Logging_0188/tillsynsmail/A 33302-2021 tillsynsbegäran mail.docx", "A 33302-2021")</f>
        <v/>
      </c>
      <c r="Z387">
        <f>HYPERLINK("https://klasma.github.io/Logging_0188/fåglar/A 33302-2021 prioriterade fågelarter.docx", "A 33302-2021")</f>
        <v/>
      </c>
    </row>
    <row r="388" ht="15" customHeight="1">
      <c r="A388" t="inlineStr">
        <is>
          <t>A 37100-2021</t>
        </is>
      </c>
      <c r="B388" s="1" t="n">
        <v>44396</v>
      </c>
      <c r="C388" s="1" t="n">
        <v>45693</v>
      </c>
      <c r="D388" t="inlineStr">
        <is>
          <t>STOCKHOLMS LÄN</t>
        </is>
      </c>
      <c r="E388" t="inlineStr">
        <is>
          <t>NYNÄSHAMN</t>
        </is>
      </c>
      <c r="G388" t="n">
        <v>1.4</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37100-2021 artfynd.xlsx", "A 37100-2021")</f>
        <v/>
      </c>
      <c r="T388">
        <f>HYPERLINK("https://klasma.github.io/Logging_0192/kartor/A 37100-2021 karta.png", "A 37100-2021")</f>
        <v/>
      </c>
      <c r="V388">
        <f>HYPERLINK("https://klasma.github.io/Logging_0192/klagomål/A 37100-2021 FSC-klagomål.docx", "A 37100-2021")</f>
        <v/>
      </c>
      <c r="W388">
        <f>HYPERLINK("https://klasma.github.io/Logging_0192/klagomålsmail/A 37100-2021 FSC-klagomål mail.docx", "A 37100-2021")</f>
        <v/>
      </c>
      <c r="X388">
        <f>HYPERLINK("https://klasma.github.io/Logging_0192/tillsyn/A 37100-2021 tillsynsbegäran.docx", "A 37100-2021")</f>
        <v/>
      </c>
      <c r="Y388">
        <f>HYPERLINK("https://klasma.github.io/Logging_0192/tillsynsmail/A 37100-2021 tillsynsbegäran mail.docx", "A 37100-2021")</f>
        <v/>
      </c>
    </row>
    <row r="389" ht="15" customHeight="1">
      <c r="A389" t="inlineStr">
        <is>
          <t>A 37678-2021</t>
        </is>
      </c>
      <c r="B389" s="1" t="n">
        <v>44400</v>
      </c>
      <c r="C389" s="1" t="n">
        <v>45693</v>
      </c>
      <c r="D389" t="inlineStr">
        <is>
          <t>STOCKHOLMS LÄN</t>
        </is>
      </c>
      <c r="E389" t="inlineStr">
        <is>
          <t>SÖDERTÄLJE</t>
        </is>
      </c>
      <c r="F389" t="inlineStr">
        <is>
          <t>Sveaskog</t>
        </is>
      </c>
      <c r="G389" t="n">
        <v>0.8</v>
      </c>
      <c r="H389" t="n">
        <v>0</v>
      </c>
      <c r="I389" t="n">
        <v>0</v>
      </c>
      <c r="J389" t="n">
        <v>1</v>
      </c>
      <c r="K389" t="n">
        <v>0</v>
      </c>
      <c r="L389" t="n">
        <v>0</v>
      </c>
      <c r="M389" t="n">
        <v>0</v>
      </c>
      <c r="N389" t="n">
        <v>0</v>
      </c>
      <c r="O389" t="n">
        <v>1</v>
      </c>
      <c r="P389" t="n">
        <v>0</v>
      </c>
      <c r="Q389" t="n">
        <v>1</v>
      </c>
      <c r="R389" s="2" t="inlineStr">
        <is>
          <t>Motaggsvamp</t>
        </is>
      </c>
      <c r="S389">
        <f>HYPERLINK("https://klasma.github.io/Logging_0181/artfynd/A 37678-2021 artfynd.xlsx", "A 37678-2021")</f>
        <v/>
      </c>
      <c r="T389">
        <f>HYPERLINK("https://klasma.github.io/Logging_0181/kartor/A 37678-2021 karta.png", "A 37678-2021")</f>
        <v/>
      </c>
      <c r="V389">
        <f>HYPERLINK("https://klasma.github.io/Logging_0181/klagomål/A 37678-2021 FSC-klagomål.docx", "A 37678-2021")</f>
        <v/>
      </c>
      <c r="W389">
        <f>HYPERLINK("https://klasma.github.io/Logging_0181/klagomålsmail/A 37678-2021 FSC-klagomål mail.docx", "A 37678-2021")</f>
        <v/>
      </c>
      <c r="X389">
        <f>HYPERLINK("https://klasma.github.io/Logging_0181/tillsyn/A 37678-2021 tillsynsbegäran.docx", "A 37678-2021")</f>
        <v/>
      </c>
      <c r="Y389">
        <f>HYPERLINK("https://klasma.github.io/Logging_0181/tillsynsmail/A 37678-2021 tillsynsbegäran mail.docx", "A 37678-2021")</f>
        <v/>
      </c>
    </row>
    <row r="390" ht="15" customHeight="1">
      <c r="A390" t="inlineStr">
        <is>
          <t>A 41934-2021</t>
        </is>
      </c>
      <c r="B390" s="1" t="n">
        <v>44425</v>
      </c>
      <c r="C390" s="1" t="n">
        <v>45693</v>
      </c>
      <c r="D390" t="inlineStr">
        <is>
          <t>STOCKHOLMS LÄN</t>
        </is>
      </c>
      <c r="E390" t="inlineStr">
        <is>
          <t>VALLENTUNA</t>
        </is>
      </c>
      <c r="F390" t="inlineStr">
        <is>
          <t>Övriga Aktiebolag</t>
        </is>
      </c>
      <c r="G390" t="n">
        <v>7.1</v>
      </c>
      <c r="H390" t="n">
        <v>0</v>
      </c>
      <c r="I390" t="n">
        <v>0</v>
      </c>
      <c r="J390" t="n">
        <v>1</v>
      </c>
      <c r="K390" t="n">
        <v>0</v>
      </c>
      <c r="L390" t="n">
        <v>0</v>
      </c>
      <c r="M390" t="n">
        <v>0</v>
      </c>
      <c r="N390" t="n">
        <v>0</v>
      </c>
      <c r="O390" t="n">
        <v>1</v>
      </c>
      <c r="P390" t="n">
        <v>0</v>
      </c>
      <c r="Q390" t="n">
        <v>1</v>
      </c>
      <c r="R390" s="2" t="inlineStr">
        <is>
          <t>Skogsklocka</t>
        </is>
      </c>
      <c r="S390">
        <f>HYPERLINK("https://klasma.github.io/Logging_0115/artfynd/A 41934-2021 artfynd.xlsx", "A 41934-2021")</f>
        <v/>
      </c>
      <c r="T390">
        <f>HYPERLINK("https://klasma.github.io/Logging_0115/kartor/A 41934-2021 karta.png", "A 41934-2021")</f>
        <v/>
      </c>
      <c r="V390">
        <f>HYPERLINK("https://klasma.github.io/Logging_0115/klagomål/A 41934-2021 FSC-klagomål.docx", "A 41934-2021")</f>
        <v/>
      </c>
      <c r="W390">
        <f>HYPERLINK("https://klasma.github.io/Logging_0115/klagomålsmail/A 41934-2021 FSC-klagomål mail.docx", "A 41934-2021")</f>
        <v/>
      </c>
      <c r="X390">
        <f>HYPERLINK("https://klasma.github.io/Logging_0115/tillsyn/A 41934-2021 tillsynsbegäran.docx", "A 41934-2021")</f>
        <v/>
      </c>
      <c r="Y390">
        <f>HYPERLINK("https://klasma.github.io/Logging_0115/tillsynsmail/A 41934-2021 tillsynsbegäran mail.docx", "A 41934-2021")</f>
        <v/>
      </c>
    </row>
    <row r="391" ht="15" customHeight="1">
      <c r="A391" t="inlineStr">
        <is>
          <t>A 42050-2021</t>
        </is>
      </c>
      <c r="B391" s="1" t="n">
        <v>44426</v>
      </c>
      <c r="C391" s="1" t="n">
        <v>45693</v>
      </c>
      <c r="D391" t="inlineStr">
        <is>
          <t>STOCKHOLMS LÄN</t>
        </is>
      </c>
      <c r="E391" t="inlineStr">
        <is>
          <t>NYNÄSHAMN</t>
        </is>
      </c>
      <c r="G391" t="n">
        <v>2</v>
      </c>
      <c r="H391" t="n">
        <v>0</v>
      </c>
      <c r="I391" t="n">
        <v>0</v>
      </c>
      <c r="J391" t="n">
        <v>1</v>
      </c>
      <c r="K391" t="n">
        <v>0</v>
      </c>
      <c r="L391" t="n">
        <v>0</v>
      </c>
      <c r="M391" t="n">
        <v>0</v>
      </c>
      <c r="N391" t="n">
        <v>0</v>
      </c>
      <c r="O391" t="n">
        <v>1</v>
      </c>
      <c r="P391" t="n">
        <v>0</v>
      </c>
      <c r="Q391" t="n">
        <v>1</v>
      </c>
      <c r="R391" s="2" t="inlineStr">
        <is>
          <t>Kandelabersvamp</t>
        </is>
      </c>
      <c r="S391">
        <f>HYPERLINK("https://klasma.github.io/Logging_0192/artfynd/A 42050-2021 artfynd.xlsx", "A 42050-2021")</f>
        <v/>
      </c>
      <c r="T391">
        <f>HYPERLINK("https://klasma.github.io/Logging_0192/kartor/A 42050-2021 karta.png", "A 42050-2021")</f>
        <v/>
      </c>
      <c r="V391">
        <f>HYPERLINK("https://klasma.github.io/Logging_0192/klagomål/A 42050-2021 FSC-klagomål.docx", "A 42050-2021")</f>
        <v/>
      </c>
      <c r="W391">
        <f>HYPERLINK("https://klasma.github.io/Logging_0192/klagomålsmail/A 42050-2021 FSC-klagomål mail.docx", "A 42050-2021")</f>
        <v/>
      </c>
      <c r="X391">
        <f>HYPERLINK("https://klasma.github.io/Logging_0192/tillsyn/A 42050-2021 tillsynsbegäran.docx", "A 42050-2021")</f>
        <v/>
      </c>
      <c r="Y391">
        <f>HYPERLINK("https://klasma.github.io/Logging_0192/tillsynsmail/A 42050-2021 tillsynsbegäran mail.docx", "A 42050-2021")</f>
        <v/>
      </c>
    </row>
    <row r="392" ht="15" customHeight="1">
      <c r="A392" t="inlineStr">
        <is>
          <t>A 55263-2021</t>
        </is>
      </c>
      <c r="B392" s="1" t="n">
        <v>44475</v>
      </c>
      <c r="C392" s="1" t="n">
        <v>45693</v>
      </c>
      <c r="D392" t="inlineStr">
        <is>
          <t>STOCKHOLMS LÄN</t>
        </is>
      </c>
      <c r="E392" t="inlineStr">
        <is>
          <t>SÖDERTÄLJE</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HYPERLINK("https://klasma.github.io/Logging_0181/artfynd/A 55263-2021 artfynd.xlsx", "A 55263-2021")</f>
        <v/>
      </c>
      <c r="T392">
        <f>HYPERLINK("https://klasma.github.io/Logging_0181/kartor/A 55263-2021 karta.png", "A 55263-2021")</f>
        <v/>
      </c>
      <c r="V392">
        <f>HYPERLINK("https://klasma.github.io/Logging_0181/klagomål/A 55263-2021 FSC-klagomål.docx", "A 55263-2021")</f>
        <v/>
      </c>
      <c r="W392">
        <f>HYPERLINK("https://klasma.github.io/Logging_0181/klagomålsmail/A 55263-2021 FSC-klagomål mail.docx", "A 55263-2021")</f>
        <v/>
      </c>
      <c r="X392">
        <f>HYPERLINK("https://klasma.github.io/Logging_0181/tillsyn/A 55263-2021 tillsynsbegäran.docx", "A 55263-2021")</f>
        <v/>
      </c>
      <c r="Y392">
        <f>HYPERLINK("https://klasma.github.io/Logging_0181/tillsynsmail/A 55263-2021 tillsynsbegäran mail.docx", "A 55263-2021")</f>
        <v/>
      </c>
    </row>
    <row r="393" ht="15" customHeight="1">
      <c r="A393" t="inlineStr">
        <is>
          <t>A 58888-2021</t>
        </is>
      </c>
      <c r="B393" s="1" t="n">
        <v>44489</v>
      </c>
      <c r="C393" s="1" t="n">
        <v>45693</v>
      </c>
      <c r="D393" t="inlineStr">
        <is>
          <t>STOCKHOLMS LÄN</t>
        </is>
      </c>
      <c r="E393" t="inlineStr">
        <is>
          <t>NORRTÄLJE</t>
        </is>
      </c>
      <c r="F393" t="inlineStr">
        <is>
          <t>Holmen skog AB</t>
        </is>
      </c>
      <c r="G393" t="n">
        <v>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58888-2021 artfynd.xlsx", "A 58888-2021")</f>
        <v/>
      </c>
      <c r="T393">
        <f>HYPERLINK("https://klasma.github.io/Logging_0188/kartor/A 58888-2021 karta.png", "A 58888-2021")</f>
        <v/>
      </c>
      <c r="V393">
        <f>HYPERLINK("https://klasma.github.io/Logging_0188/klagomål/A 58888-2021 FSC-klagomål.docx", "A 58888-2021")</f>
        <v/>
      </c>
      <c r="W393">
        <f>HYPERLINK("https://klasma.github.io/Logging_0188/klagomålsmail/A 58888-2021 FSC-klagomål mail.docx", "A 58888-2021")</f>
        <v/>
      </c>
      <c r="X393">
        <f>HYPERLINK("https://klasma.github.io/Logging_0188/tillsyn/A 58888-2021 tillsynsbegäran.docx", "A 58888-2021")</f>
        <v/>
      </c>
      <c r="Y393">
        <f>HYPERLINK("https://klasma.github.io/Logging_0188/tillsynsmail/A 58888-2021 tillsynsbegäran mail.docx", "A 58888-2021")</f>
        <v/>
      </c>
    </row>
    <row r="394" ht="15" customHeight="1">
      <c r="A394" t="inlineStr">
        <is>
          <t>A 67278-2021</t>
        </is>
      </c>
      <c r="B394" s="1" t="n">
        <v>44523</v>
      </c>
      <c r="C394" s="1" t="n">
        <v>45693</v>
      </c>
      <c r="D394" t="inlineStr">
        <is>
          <t>STOCKHOLMS LÄN</t>
        </is>
      </c>
      <c r="E394" t="inlineStr">
        <is>
          <t>ÖSTERÅKER</t>
        </is>
      </c>
      <c r="F394" t="inlineStr">
        <is>
          <t>Kommuner</t>
        </is>
      </c>
      <c r="G394" t="n">
        <v>3</v>
      </c>
      <c r="H394" t="n">
        <v>0</v>
      </c>
      <c r="I394" t="n">
        <v>0</v>
      </c>
      <c r="J394" t="n">
        <v>1</v>
      </c>
      <c r="K394" t="n">
        <v>0</v>
      </c>
      <c r="L394" t="n">
        <v>0</v>
      </c>
      <c r="M394" t="n">
        <v>0</v>
      </c>
      <c r="N394" t="n">
        <v>0</v>
      </c>
      <c r="O394" t="n">
        <v>1</v>
      </c>
      <c r="P394" t="n">
        <v>0</v>
      </c>
      <c r="Q394" t="n">
        <v>1</v>
      </c>
      <c r="R394" s="2" t="inlineStr">
        <is>
          <t>Veckticka</t>
        </is>
      </c>
      <c r="S394">
        <f>HYPERLINK("https://klasma.github.io/Logging_0117/artfynd/A 67278-2021 artfynd.xlsx", "A 67278-2021")</f>
        <v/>
      </c>
      <c r="T394">
        <f>HYPERLINK("https://klasma.github.io/Logging_0117/kartor/A 67278-2021 karta.png", "A 67278-2021")</f>
        <v/>
      </c>
      <c r="V394">
        <f>HYPERLINK("https://klasma.github.io/Logging_0117/klagomål/A 67278-2021 FSC-klagomål.docx", "A 67278-2021")</f>
        <v/>
      </c>
      <c r="W394">
        <f>HYPERLINK("https://klasma.github.io/Logging_0117/klagomålsmail/A 67278-2021 FSC-klagomål mail.docx", "A 67278-2021")</f>
        <v/>
      </c>
      <c r="X394">
        <f>HYPERLINK("https://klasma.github.io/Logging_0117/tillsyn/A 67278-2021 tillsynsbegäran.docx", "A 67278-2021")</f>
        <v/>
      </c>
      <c r="Y394">
        <f>HYPERLINK("https://klasma.github.io/Logging_0117/tillsynsmail/A 67278-2021 tillsynsbegäran mail.docx", "A 67278-2021")</f>
        <v/>
      </c>
    </row>
    <row r="395" ht="15" customHeight="1">
      <c r="A395" t="inlineStr">
        <is>
          <t>A 68883-2021</t>
        </is>
      </c>
      <c r="B395" s="1" t="n">
        <v>44526</v>
      </c>
      <c r="C395" s="1" t="n">
        <v>45693</v>
      </c>
      <c r="D395" t="inlineStr">
        <is>
          <t>STOCKHOLMS LÄN</t>
        </is>
      </c>
      <c r="E395" t="inlineStr">
        <is>
          <t>HANINGE</t>
        </is>
      </c>
      <c r="G395" t="n">
        <v>2.5</v>
      </c>
      <c r="H395" t="n">
        <v>1</v>
      </c>
      <c r="I395" t="n">
        <v>0</v>
      </c>
      <c r="J395" t="n">
        <v>0</v>
      </c>
      <c r="K395" t="n">
        <v>0</v>
      </c>
      <c r="L395" t="n">
        <v>0</v>
      </c>
      <c r="M395" t="n">
        <v>0</v>
      </c>
      <c r="N395" t="n">
        <v>0</v>
      </c>
      <c r="O395" t="n">
        <v>0</v>
      </c>
      <c r="P395" t="n">
        <v>0</v>
      </c>
      <c r="Q395" t="n">
        <v>1</v>
      </c>
      <c r="R395" s="2" t="inlineStr">
        <is>
          <t>Nattviol</t>
        </is>
      </c>
      <c r="S395">
        <f>HYPERLINK("https://klasma.github.io/Logging_0136/artfynd/A 68883-2021 artfynd.xlsx", "A 68883-2021")</f>
        <v/>
      </c>
      <c r="T395">
        <f>HYPERLINK("https://klasma.github.io/Logging_0136/kartor/A 68883-2021 karta.png", "A 68883-2021")</f>
        <v/>
      </c>
      <c r="V395">
        <f>HYPERLINK("https://klasma.github.io/Logging_0136/klagomål/A 68883-2021 FSC-klagomål.docx", "A 68883-2021")</f>
        <v/>
      </c>
      <c r="W395">
        <f>HYPERLINK("https://klasma.github.io/Logging_0136/klagomålsmail/A 68883-2021 FSC-klagomål mail.docx", "A 68883-2021")</f>
        <v/>
      </c>
      <c r="X395">
        <f>HYPERLINK("https://klasma.github.io/Logging_0136/tillsyn/A 68883-2021 tillsynsbegäran.docx", "A 68883-2021")</f>
        <v/>
      </c>
      <c r="Y395">
        <f>HYPERLINK("https://klasma.github.io/Logging_0136/tillsynsmail/A 68883-2021 tillsynsbegäran mail.docx", "A 68883-2021")</f>
        <v/>
      </c>
    </row>
    <row r="396" ht="15" customHeight="1">
      <c r="A396" t="inlineStr">
        <is>
          <t>A 68692-2021</t>
        </is>
      </c>
      <c r="B396" s="1" t="n">
        <v>44529</v>
      </c>
      <c r="C396" s="1" t="n">
        <v>45693</v>
      </c>
      <c r="D396" t="inlineStr">
        <is>
          <t>STOCKHOLMS LÄN</t>
        </is>
      </c>
      <c r="E396" t="inlineStr">
        <is>
          <t>NORRTÄLJE</t>
        </is>
      </c>
      <c r="F396" t="inlineStr">
        <is>
          <t>Holmen skog AB</t>
        </is>
      </c>
      <c r="G396" t="n">
        <v>0.7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68692-2021 artfynd.xlsx", "A 68692-2021")</f>
        <v/>
      </c>
      <c r="T396">
        <f>HYPERLINK("https://klasma.github.io/Logging_0188/kartor/A 68692-2021 karta.png", "A 68692-2021")</f>
        <v/>
      </c>
      <c r="V396">
        <f>HYPERLINK("https://klasma.github.io/Logging_0188/klagomål/A 68692-2021 FSC-klagomål.docx", "A 68692-2021")</f>
        <v/>
      </c>
      <c r="W396">
        <f>HYPERLINK("https://klasma.github.io/Logging_0188/klagomålsmail/A 68692-2021 FSC-klagomål mail.docx", "A 68692-2021")</f>
        <v/>
      </c>
      <c r="X396">
        <f>HYPERLINK("https://klasma.github.io/Logging_0188/tillsyn/A 68692-2021 tillsynsbegäran.docx", "A 68692-2021")</f>
        <v/>
      </c>
      <c r="Y396">
        <f>HYPERLINK("https://klasma.github.io/Logging_0188/tillsynsmail/A 68692-2021 tillsynsbegäran mail.docx", "A 68692-2021")</f>
        <v/>
      </c>
    </row>
    <row r="397" ht="15" customHeight="1">
      <c r="A397" t="inlineStr">
        <is>
          <t>A 71315-2021</t>
        </is>
      </c>
      <c r="B397" s="1" t="n">
        <v>44539</v>
      </c>
      <c r="C397" s="1" t="n">
        <v>45693</v>
      </c>
      <c r="D397" t="inlineStr">
        <is>
          <t>STOCKHOLMS LÄN</t>
        </is>
      </c>
      <c r="E397" t="inlineStr">
        <is>
          <t>VÄRMDÖ</t>
        </is>
      </c>
      <c r="F397" t="inlineStr">
        <is>
          <t>Övriga Aktiebolag</t>
        </is>
      </c>
      <c r="G397" t="n">
        <v>5.3</v>
      </c>
      <c r="H397" t="n">
        <v>0</v>
      </c>
      <c r="I397" t="n">
        <v>1</v>
      </c>
      <c r="J397" t="n">
        <v>0</v>
      </c>
      <c r="K397" t="n">
        <v>0</v>
      </c>
      <c r="L397" t="n">
        <v>0</v>
      </c>
      <c r="M397" t="n">
        <v>0</v>
      </c>
      <c r="N397" t="n">
        <v>0</v>
      </c>
      <c r="O397" t="n">
        <v>0</v>
      </c>
      <c r="P397" t="n">
        <v>0</v>
      </c>
      <c r="Q397" t="n">
        <v>1</v>
      </c>
      <c r="R397" s="2" t="inlineStr">
        <is>
          <t>Sårläka</t>
        </is>
      </c>
      <c r="S397">
        <f>HYPERLINK("https://klasma.github.io/Logging_0120/artfynd/A 71315-2021 artfynd.xlsx", "A 71315-2021")</f>
        <v/>
      </c>
      <c r="T397">
        <f>HYPERLINK("https://klasma.github.io/Logging_0120/kartor/A 71315-2021 karta.png", "A 71315-2021")</f>
        <v/>
      </c>
      <c r="V397">
        <f>HYPERLINK("https://klasma.github.io/Logging_0120/klagomål/A 71315-2021 FSC-klagomål.docx", "A 71315-2021")</f>
        <v/>
      </c>
      <c r="W397">
        <f>HYPERLINK("https://klasma.github.io/Logging_0120/klagomålsmail/A 71315-2021 FSC-klagomål mail.docx", "A 71315-2021")</f>
        <v/>
      </c>
      <c r="X397">
        <f>HYPERLINK("https://klasma.github.io/Logging_0120/tillsyn/A 71315-2021 tillsynsbegäran.docx", "A 71315-2021")</f>
        <v/>
      </c>
      <c r="Y397">
        <f>HYPERLINK("https://klasma.github.io/Logging_0120/tillsynsmail/A 71315-2021 tillsynsbegäran mail.docx", "A 71315-2021")</f>
        <v/>
      </c>
    </row>
    <row r="398" ht="15" customHeight="1">
      <c r="A398" t="inlineStr">
        <is>
          <t>A 73773-2021</t>
        </is>
      </c>
      <c r="B398" s="1" t="n">
        <v>44552</v>
      </c>
      <c r="C398" s="1" t="n">
        <v>45693</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73787-2021</t>
        </is>
      </c>
      <c r="B399" s="1" t="n">
        <v>44552</v>
      </c>
      <c r="C399" s="1" t="n">
        <v>45693</v>
      </c>
      <c r="D399" t="inlineStr">
        <is>
          <t>STOCKHOLMS LÄN</t>
        </is>
      </c>
      <c r="E399" t="inlineStr">
        <is>
          <t>UPPLANDS-BRO</t>
        </is>
      </c>
      <c r="G399" t="n">
        <v>4.6</v>
      </c>
      <c r="H399" t="n">
        <v>0</v>
      </c>
      <c r="I399" t="n">
        <v>0</v>
      </c>
      <c r="J399" t="n">
        <v>1</v>
      </c>
      <c r="K399" t="n">
        <v>0</v>
      </c>
      <c r="L399" t="n">
        <v>0</v>
      </c>
      <c r="M399" t="n">
        <v>0</v>
      </c>
      <c r="N399" t="n">
        <v>0</v>
      </c>
      <c r="O399" t="n">
        <v>1</v>
      </c>
      <c r="P399" t="n">
        <v>0</v>
      </c>
      <c r="Q399" t="n">
        <v>1</v>
      </c>
      <c r="R399" s="2" t="inlineStr">
        <is>
          <t>Dofttaggsvamp</t>
        </is>
      </c>
      <c r="S399">
        <f>HYPERLINK("https://klasma.github.io/Logging_0139/artfynd/A 73787-2021 artfynd.xlsx", "A 73787-2021")</f>
        <v/>
      </c>
      <c r="T399">
        <f>HYPERLINK("https://klasma.github.io/Logging_0139/kartor/A 73787-2021 karta.png", "A 73787-2021")</f>
        <v/>
      </c>
      <c r="V399">
        <f>HYPERLINK("https://klasma.github.io/Logging_0139/klagomål/A 73787-2021 FSC-klagomål.docx", "A 73787-2021")</f>
        <v/>
      </c>
      <c r="W399">
        <f>HYPERLINK("https://klasma.github.io/Logging_0139/klagomålsmail/A 73787-2021 FSC-klagomål mail.docx", "A 73787-2021")</f>
        <v/>
      </c>
      <c r="X399">
        <f>HYPERLINK("https://klasma.github.io/Logging_0139/tillsyn/A 73787-2021 tillsynsbegäran.docx", "A 73787-2021")</f>
        <v/>
      </c>
      <c r="Y399">
        <f>HYPERLINK("https://klasma.github.io/Logging_0139/tillsynsmail/A 73787-2021 tillsynsbegäran mail.docx", "A 73787-2021")</f>
        <v/>
      </c>
    </row>
    <row r="400" ht="15" customHeight="1">
      <c r="A400" t="inlineStr">
        <is>
          <t>A 131-2022</t>
        </is>
      </c>
      <c r="B400" s="1" t="n">
        <v>44560</v>
      </c>
      <c r="C400" s="1" t="n">
        <v>45693</v>
      </c>
      <c r="D400" t="inlineStr">
        <is>
          <t>STOCKHOLMS LÄN</t>
        </is>
      </c>
      <c r="E400" t="inlineStr">
        <is>
          <t>VALLENTUNA</t>
        </is>
      </c>
      <c r="F400" t="inlineStr">
        <is>
          <t>Övriga Aktiebolag</t>
        </is>
      </c>
      <c r="G400" t="n">
        <v>4.6</v>
      </c>
      <c r="H400" t="n">
        <v>0</v>
      </c>
      <c r="I400" t="n">
        <v>1</v>
      </c>
      <c r="J400" t="n">
        <v>0</v>
      </c>
      <c r="K400" t="n">
        <v>0</v>
      </c>
      <c r="L400" t="n">
        <v>0</v>
      </c>
      <c r="M400" t="n">
        <v>0</v>
      </c>
      <c r="N400" t="n">
        <v>0</v>
      </c>
      <c r="O400" t="n">
        <v>0</v>
      </c>
      <c r="P400" t="n">
        <v>0</v>
      </c>
      <c r="Q400" t="n">
        <v>1</v>
      </c>
      <c r="R400" s="2" t="inlineStr">
        <is>
          <t>Tjockfotad fingersvamp</t>
        </is>
      </c>
      <c r="S400">
        <f>HYPERLINK("https://klasma.github.io/Logging_0115/artfynd/A 131-2022 artfynd.xlsx", "A 131-2022")</f>
        <v/>
      </c>
      <c r="T400">
        <f>HYPERLINK("https://klasma.github.io/Logging_0115/kartor/A 131-2022 karta.png", "A 131-2022")</f>
        <v/>
      </c>
      <c r="V400">
        <f>HYPERLINK("https://klasma.github.io/Logging_0115/klagomål/A 131-2022 FSC-klagomål.docx", "A 131-2022")</f>
        <v/>
      </c>
      <c r="W400">
        <f>HYPERLINK("https://klasma.github.io/Logging_0115/klagomålsmail/A 131-2022 FSC-klagomål mail.docx", "A 131-2022")</f>
        <v/>
      </c>
      <c r="X400">
        <f>HYPERLINK("https://klasma.github.io/Logging_0115/tillsyn/A 131-2022 tillsynsbegäran.docx", "A 131-2022")</f>
        <v/>
      </c>
      <c r="Y400">
        <f>HYPERLINK("https://klasma.github.io/Logging_0115/tillsynsmail/A 131-2022 tillsynsbegäran mail.docx", "A 131-2022")</f>
        <v/>
      </c>
    </row>
    <row r="401" ht="15" customHeight="1">
      <c r="A401" t="inlineStr">
        <is>
          <t>A 21-2022</t>
        </is>
      </c>
      <c r="B401" s="1" t="n">
        <v>44560</v>
      </c>
      <c r="C401" s="1" t="n">
        <v>45693</v>
      </c>
      <c r="D401" t="inlineStr">
        <is>
          <t>STOCKHOLMS LÄN</t>
        </is>
      </c>
      <c r="E401" t="inlineStr">
        <is>
          <t>VALLENTUNA</t>
        </is>
      </c>
      <c r="F401" t="inlineStr">
        <is>
          <t>Övriga Aktiebolag</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HYPERLINK("https://klasma.github.io/Logging_0115/artfynd/A 21-2022 artfynd.xlsx", "A 21-2022")</f>
        <v/>
      </c>
      <c r="T401">
        <f>HYPERLINK("https://klasma.github.io/Logging_0115/kartor/A 21-2022 karta.png", "A 21-2022")</f>
        <v/>
      </c>
      <c r="V401">
        <f>HYPERLINK("https://klasma.github.io/Logging_0115/klagomål/A 21-2022 FSC-klagomål.docx", "A 21-2022")</f>
        <v/>
      </c>
      <c r="W401">
        <f>HYPERLINK("https://klasma.github.io/Logging_0115/klagomålsmail/A 21-2022 FSC-klagomål mail.docx", "A 21-2022")</f>
        <v/>
      </c>
      <c r="X401">
        <f>HYPERLINK("https://klasma.github.io/Logging_0115/tillsyn/A 21-2022 tillsynsbegäran.docx", "A 21-2022")</f>
        <v/>
      </c>
      <c r="Y401">
        <f>HYPERLINK("https://klasma.github.io/Logging_0115/tillsynsmail/A 21-2022 tillsynsbegäran mail.docx", "A 21-2022")</f>
        <v/>
      </c>
    </row>
    <row r="402" ht="15" customHeight="1">
      <c r="A402" t="inlineStr">
        <is>
          <t>A 188-2022</t>
        </is>
      </c>
      <c r="B402" s="1" t="n">
        <v>44564</v>
      </c>
      <c r="C402" s="1" t="n">
        <v>45693</v>
      </c>
      <c r="D402" t="inlineStr">
        <is>
          <t>STOCKHOLMS LÄN</t>
        </is>
      </c>
      <c r="E402" t="inlineStr">
        <is>
          <t>NORRTÄLJE</t>
        </is>
      </c>
      <c r="G402" t="n">
        <v>4.1</v>
      </c>
      <c r="H402" t="n">
        <v>0</v>
      </c>
      <c r="I402" t="n">
        <v>1</v>
      </c>
      <c r="J402" t="n">
        <v>0</v>
      </c>
      <c r="K402" t="n">
        <v>0</v>
      </c>
      <c r="L402" t="n">
        <v>0</v>
      </c>
      <c r="M402" t="n">
        <v>0</v>
      </c>
      <c r="N402" t="n">
        <v>0</v>
      </c>
      <c r="O402" t="n">
        <v>0</v>
      </c>
      <c r="P402" t="n">
        <v>0</v>
      </c>
      <c r="Q402" t="n">
        <v>1</v>
      </c>
      <c r="R402" s="2" t="inlineStr">
        <is>
          <t>Svart trolldruva</t>
        </is>
      </c>
      <c r="S402">
        <f>HYPERLINK("https://klasma.github.io/Logging_0188/artfynd/A 188-2022 artfynd.xlsx", "A 188-2022")</f>
        <v/>
      </c>
      <c r="T402">
        <f>HYPERLINK("https://klasma.github.io/Logging_0188/kartor/A 188-2022 karta.png", "A 188-2022")</f>
        <v/>
      </c>
      <c r="V402">
        <f>HYPERLINK("https://klasma.github.io/Logging_0188/klagomål/A 188-2022 FSC-klagomål.docx", "A 188-2022")</f>
        <v/>
      </c>
      <c r="W402">
        <f>HYPERLINK("https://klasma.github.io/Logging_0188/klagomålsmail/A 188-2022 FSC-klagomål mail.docx", "A 188-2022")</f>
        <v/>
      </c>
      <c r="X402">
        <f>HYPERLINK("https://klasma.github.io/Logging_0188/tillsyn/A 188-2022 tillsynsbegäran.docx", "A 188-2022")</f>
        <v/>
      </c>
      <c r="Y402">
        <f>HYPERLINK("https://klasma.github.io/Logging_0188/tillsynsmail/A 188-2022 tillsynsbegäran mail.docx", "A 188-2022")</f>
        <v/>
      </c>
    </row>
    <row r="403" ht="15" customHeight="1">
      <c r="A403" t="inlineStr">
        <is>
          <t>A 1547-2022</t>
        </is>
      </c>
      <c r="B403" s="1" t="n">
        <v>44573</v>
      </c>
      <c r="C403" s="1" t="n">
        <v>45693</v>
      </c>
      <c r="D403" t="inlineStr">
        <is>
          <t>STOCKHOLMS LÄN</t>
        </is>
      </c>
      <c r="E403" t="inlineStr">
        <is>
          <t>NORRTÄLJE</t>
        </is>
      </c>
      <c r="G403" t="n">
        <v>1.8</v>
      </c>
      <c r="H403" t="n">
        <v>1</v>
      </c>
      <c r="I403" t="n">
        <v>0</v>
      </c>
      <c r="J403" t="n">
        <v>0</v>
      </c>
      <c r="K403" t="n">
        <v>1</v>
      </c>
      <c r="L403" t="n">
        <v>0</v>
      </c>
      <c r="M403" t="n">
        <v>0</v>
      </c>
      <c r="N403" t="n">
        <v>0</v>
      </c>
      <c r="O403" t="n">
        <v>1</v>
      </c>
      <c r="P403" t="n">
        <v>1</v>
      </c>
      <c r="Q403" t="n">
        <v>1</v>
      </c>
      <c r="R403" s="2" t="inlineStr">
        <is>
          <t>Hällebräcka</t>
        </is>
      </c>
      <c r="S403">
        <f>HYPERLINK("https://klasma.github.io/Logging_0188/artfynd/A 1547-2022 artfynd.xlsx", "A 1547-2022")</f>
        <v/>
      </c>
      <c r="T403">
        <f>HYPERLINK("https://klasma.github.io/Logging_0188/kartor/A 1547-2022 karta.png", "A 1547-2022")</f>
        <v/>
      </c>
      <c r="V403">
        <f>HYPERLINK("https://klasma.github.io/Logging_0188/klagomål/A 1547-2022 FSC-klagomål.docx", "A 1547-2022")</f>
        <v/>
      </c>
      <c r="W403">
        <f>HYPERLINK("https://klasma.github.io/Logging_0188/klagomålsmail/A 1547-2022 FSC-klagomål mail.docx", "A 1547-2022")</f>
        <v/>
      </c>
      <c r="X403">
        <f>HYPERLINK("https://klasma.github.io/Logging_0188/tillsyn/A 1547-2022 tillsynsbegäran.docx", "A 1547-2022")</f>
        <v/>
      </c>
      <c r="Y403">
        <f>HYPERLINK("https://klasma.github.io/Logging_0188/tillsynsmail/A 1547-2022 tillsynsbegäran mail.docx", "A 1547-2022")</f>
        <v/>
      </c>
    </row>
    <row r="404" ht="15" customHeight="1">
      <c r="A404" t="inlineStr">
        <is>
          <t>A 1946-2022</t>
        </is>
      </c>
      <c r="B404" s="1" t="n">
        <v>44575</v>
      </c>
      <c r="C404" s="1" t="n">
        <v>45693</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2722-2022</t>
        </is>
      </c>
      <c r="B405" s="1" t="n">
        <v>44580</v>
      </c>
      <c r="C405" s="1" t="n">
        <v>45693</v>
      </c>
      <c r="D405" t="inlineStr">
        <is>
          <t>STOCKHOLMS LÄN</t>
        </is>
      </c>
      <c r="E405" t="inlineStr">
        <is>
          <t>HANINGE</t>
        </is>
      </c>
      <c r="G405" t="n">
        <v>1.5</v>
      </c>
      <c r="H405" t="n">
        <v>1</v>
      </c>
      <c r="I405" t="n">
        <v>1</v>
      </c>
      <c r="J405" t="n">
        <v>0</v>
      </c>
      <c r="K405" t="n">
        <v>0</v>
      </c>
      <c r="L405" t="n">
        <v>0</v>
      </c>
      <c r="M405" t="n">
        <v>0</v>
      </c>
      <c r="N405" t="n">
        <v>0</v>
      </c>
      <c r="O405" t="n">
        <v>0</v>
      </c>
      <c r="P405" t="n">
        <v>0</v>
      </c>
      <c r="Q405" t="n">
        <v>1</v>
      </c>
      <c r="R405" s="2" t="inlineStr">
        <is>
          <t>Grön sköldmossa</t>
        </is>
      </c>
      <c r="S405">
        <f>HYPERLINK("https://klasma.github.io/Logging_0136/artfynd/A 2722-2022 artfynd.xlsx", "A 2722-2022")</f>
        <v/>
      </c>
      <c r="T405">
        <f>HYPERLINK("https://klasma.github.io/Logging_0136/kartor/A 2722-2022 karta.png", "A 2722-2022")</f>
        <v/>
      </c>
      <c r="V405">
        <f>HYPERLINK("https://klasma.github.io/Logging_0136/klagomål/A 2722-2022 FSC-klagomål.docx", "A 2722-2022")</f>
        <v/>
      </c>
      <c r="W405">
        <f>HYPERLINK("https://klasma.github.io/Logging_0136/klagomålsmail/A 2722-2022 FSC-klagomål mail.docx", "A 2722-2022")</f>
        <v/>
      </c>
      <c r="X405">
        <f>HYPERLINK("https://klasma.github.io/Logging_0136/tillsyn/A 2722-2022 tillsynsbegäran.docx", "A 2722-2022")</f>
        <v/>
      </c>
      <c r="Y405">
        <f>HYPERLINK("https://klasma.github.io/Logging_0136/tillsynsmail/A 2722-2022 tillsynsbegäran mail.docx", "A 2722-2022")</f>
        <v/>
      </c>
    </row>
    <row r="406" ht="15" customHeight="1">
      <c r="A406" t="inlineStr">
        <is>
          <t>A 3218-2022</t>
        </is>
      </c>
      <c r="B406" s="1" t="n">
        <v>44582</v>
      </c>
      <c r="C406" s="1" t="n">
        <v>45693</v>
      </c>
      <c r="D406" t="inlineStr">
        <is>
          <t>STOCKHOLMS LÄN</t>
        </is>
      </c>
      <c r="E406" t="inlineStr">
        <is>
          <t>EKERÖ</t>
        </is>
      </c>
      <c r="G406" t="n">
        <v>1.2</v>
      </c>
      <c r="H406" t="n">
        <v>0</v>
      </c>
      <c r="I406" t="n">
        <v>0</v>
      </c>
      <c r="J406" t="n">
        <v>0</v>
      </c>
      <c r="K406" t="n">
        <v>1</v>
      </c>
      <c r="L406" t="n">
        <v>0</v>
      </c>
      <c r="M406" t="n">
        <v>0</v>
      </c>
      <c r="N406" t="n">
        <v>0</v>
      </c>
      <c r="O406" t="n">
        <v>1</v>
      </c>
      <c r="P406" t="n">
        <v>1</v>
      </c>
      <c r="Q406" t="n">
        <v>1</v>
      </c>
      <c r="R406" s="2" t="inlineStr">
        <is>
          <t>Gul lammticka</t>
        </is>
      </c>
      <c r="S406">
        <f>HYPERLINK("https://klasma.github.io/Logging_0125/artfynd/A 3218-2022 artfynd.xlsx", "A 3218-2022")</f>
        <v/>
      </c>
      <c r="T406">
        <f>HYPERLINK("https://klasma.github.io/Logging_0125/kartor/A 3218-2022 karta.png", "A 3218-2022")</f>
        <v/>
      </c>
      <c r="V406">
        <f>HYPERLINK("https://klasma.github.io/Logging_0125/klagomål/A 3218-2022 FSC-klagomål.docx", "A 3218-2022")</f>
        <v/>
      </c>
      <c r="W406">
        <f>HYPERLINK("https://klasma.github.io/Logging_0125/klagomålsmail/A 3218-2022 FSC-klagomål mail.docx", "A 3218-2022")</f>
        <v/>
      </c>
      <c r="X406">
        <f>HYPERLINK("https://klasma.github.io/Logging_0125/tillsyn/A 3218-2022 tillsynsbegäran.docx", "A 3218-2022")</f>
        <v/>
      </c>
      <c r="Y406">
        <f>HYPERLINK("https://klasma.github.io/Logging_0125/tillsynsmail/A 3218-2022 tillsynsbegäran mail.docx", "A 3218-2022")</f>
        <v/>
      </c>
    </row>
    <row r="407" ht="15" customHeight="1">
      <c r="A407" t="inlineStr">
        <is>
          <t>A 7172-2022</t>
        </is>
      </c>
      <c r="B407" s="1" t="n">
        <v>44604</v>
      </c>
      <c r="C407" s="1" t="n">
        <v>45693</v>
      </c>
      <c r="D407" t="inlineStr">
        <is>
          <t>STOCKHOLMS LÄN</t>
        </is>
      </c>
      <c r="E407" t="inlineStr">
        <is>
          <t>NORRTÄLJE</t>
        </is>
      </c>
      <c r="G407" t="n">
        <v>4.8</v>
      </c>
      <c r="H407" t="n">
        <v>0</v>
      </c>
      <c r="I407" t="n">
        <v>1</v>
      </c>
      <c r="J407" t="n">
        <v>0</v>
      </c>
      <c r="K407" t="n">
        <v>0</v>
      </c>
      <c r="L407" t="n">
        <v>0</v>
      </c>
      <c r="M407" t="n">
        <v>0</v>
      </c>
      <c r="N407" t="n">
        <v>0</v>
      </c>
      <c r="O407" t="n">
        <v>0</v>
      </c>
      <c r="P407" t="n">
        <v>0</v>
      </c>
      <c r="Q407" t="n">
        <v>1</v>
      </c>
      <c r="R407" s="2" t="inlineStr">
        <is>
          <t>Trådticka</t>
        </is>
      </c>
      <c r="S407">
        <f>HYPERLINK("https://klasma.github.io/Logging_0188/artfynd/A 7172-2022 artfynd.xlsx", "A 7172-2022")</f>
        <v/>
      </c>
      <c r="T407">
        <f>HYPERLINK("https://klasma.github.io/Logging_0188/kartor/A 7172-2022 karta.png", "A 7172-2022")</f>
        <v/>
      </c>
      <c r="U407">
        <f>HYPERLINK("https://klasma.github.io/Logging_0188/knärot/A 7172-2022 karta knärot.png", "A 7172-2022")</f>
        <v/>
      </c>
      <c r="V407">
        <f>HYPERLINK("https://klasma.github.io/Logging_0188/klagomål/A 7172-2022 FSC-klagomål.docx", "A 7172-2022")</f>
        <v/>
      </c>
      <c r="W407">
        <f>HYPERLINK("https://klasma.github.io/Logging_0188/klagomålsmail/A 7172-2022 FSC-klagomål mail.docx", "A 7172-2022")</f>
        <v/>
      </c>
      <c r="X407">
        <f>HYPERLINK("https://klasma.github.io/Logging_0188/tillsyn/A 7172-2022 tillsynsbegäran.docx", "A 7172-2022")</f>
        <v/>
      </c>
      <c r="Y407">
        <f>HYPERLINK("https://klasma.github.io/Logging_0188/tillsynsmail/A 7172-2022 tillsynsbegäran mail.docx", "A 7172-2022")</f>
        <v/>
      </c>
    </row>
    <row r="408" ht="15" customHeight="1">
      <c r="A408" t="inlineStr">
        <is>
          <t>A 7285-2022</t>
        </is>
      </c>
      <c r="B408" s="1" t="n">
        <v>44606</v>
      </c>
      <c r="C408" s="1" t="n">
        <v>45693</v>
      </c>
      <c r="D408" t="inlineStr">
        <is>
          <t>STOCKHOLMS LÄN</t>
        </is>
      </c>
      <c r="E408" t="inlineStr">
        <is>
          <t>UPPLANDS-BRO</t>
        </is>
      </c>
      <c r="F408" t="inlineStr">
        <is>
          <t>Övriga statliga verk och myndigheter</t>
        </is>
      </c>
      <c r="G408" t="n">
        <v>22.6</v>
      </c>
      <c r="H408" t="n">
        <v>0</v>
      </c>
      <c r="I408" t="n">
        <v>0</v>
      </c>
      <c r="J408" t="n">
        <v>0</v>
      </c>
      <c r="K408" t="n">
        <v>1</v>
      </c>
      <c r="L408" t="n">
        <v>0</v>
      </c>
      <c r="M408" t="n">
        <v>0</v>
      </c>
      <c r="N408" t="n">
        <v>0</v>
      </c>
      <c r="O408" t="n">
        <v>1</v>
      </c>
      <c r="P408" t="n">
        <v>1</v>
      </c>
      <c r="Q408" t="n">
        <v>1</v>
      </c>
      <c r="R408" s="2" t="inlineStr">
        <is>
          <t>Koppartaggsvamp</t>
        </is>
      </c>
      <c r="S408">
        <f>HYPERLINK("https://klasma.github.io/Logging_0139/artfynd/A 7285-2022 artfynd.xlsx", "A 7285-2022")</f>
        <v/>
      </c>
      <c r="T408">
        <f>HYPERLINK("https://klasma.github.io/Logging_0139/kartor/A 7285-2022 karta.png", "A 7285-2022")</f>
        <v/>
      </c>
      <c r="V408">
        <f>HYPERLINK("https://klasma.github.io/Logging_0139/klagomål/A 7285-2022 FSC-klagomål.docx", "A 7285-2022")</f>
        <v/>
      </c>
      <c r="W408">
        <f>HYPERLINK("https://klasma.github.io/Logging_0139/klagomålsmail/A 7285-2022 FSC-klagomål mail.docx", "A 7285-2022")</f>
        <v/>
      </c>
      <c r="X408">
        <f>HYPERLINK("https://klasma.github.io/Logging_0139/tillsyn/A 7285-2022 tillsynsbegäran.docx", "A 7285-2022")</f>
        <v/>
      </c>
      <c r="Y408">
        <f>HYPERLINK("https://klasma.github.io/Logging_0139/tillsynsmail/A 7285-2022 tillsynsbegäran mail.docx", "A 7285-2022")</f>
        <v/>
      </c>
    </row>
    <row r="409" ht="15" customHeight="1">
      <c r="A409" t="inlineStr">
        <is>
          <t>A 8285-2022</t>
        </is>
      </c>
      <c r="B409" s="1" t="n">
        <v>44610</v>
      </c>
      <c r="C409" s="1" t="n">
        <v>45693</v>
      </c>
      <c r="D409" t="inlineStr">
        <is>
          <t>STOCKHOLMS LÄN</t>
        </is>
      </c>
      <c r="E409" t="inlineStr">
        <is>
          <t>NYKVARN</t>
        </is>
      </c>
      <c r="G409" t="n">
        <v>5</v>
      </c>
      <c r="H409" t="n">
        <v>1</v>
      </c>
      <c r="I409" t="n">
        <v>0</v>
      </c>
      <c r="J409" t="n">
        <v>0</v>
      </c>
      <c r="K409" t="n">
        <v>0</v>
      </c>
      <c r="L409" t="n">
        <v>0</v>
      </c>
      <c r="M409" t="n">
        <v>0</v>
      </c>
      <c r="N409" t="n">
        <v>0</v>
      </c>
      <c r="O409" t="n">
        <v>0</v>
      </c>
      <c r="P409" t="n">
        <v>0</v>
      </c>
      <c r="Q409" t="n">
        <v>1</v>
      </c>
      <c r="R409" s="2" t="inlineStr">
        <is>
          <t>Blåsippa</t>
        </is>
      </c>
      <c r="S409">
        <f>HYPERLINK("https://klasma.github.io/Logging_0140/artfynd/A 8285-2022 artfynd.xlsx", "A 8285-2022")</f>
        <v/>
      </c>
      <c r="T409">
        <f>HYPERLINK("https://klasma.github.io/Logging_0140/kartor/A 8285-2022 karta.png", "A 8285-2022")</f>
        <v/>
      </c>
      <c r="V409">
        <f>HYPERLINK("https://klasma.github.io/Logging_0140/klagomål/A 8285-2022 FSC-klagomål.docx", "A 8285-2022")</f>
        <v/>
      </c>
      <c r="W409">
        <f>HYPERLINK("https://klasma.github.io/Logging_0140/klagomålsmail/A 8285-2022 FSC-klagomål mail.docx", "A 8285-2022")</f>
        <v/>
      </c>
      <c r="X409">
        <f>HYPERLINK("https://klasma.github.io/Logging_0140/tillsyn/A 8285-2022 tillsynsbegäran.docx", "A 8285-2022")</f>
        <v/>
      </c>
      <c r="Y409">
        <f>HYPERLINK("https://klasma.github.io/Logging_0140/tillsynsmail/A 8285-2022 tillsynsbegäran mail.docx", "A 8285-2022")</f>
        <v/>
      </c>
    </row>
    <row r="410" ht="15" customHeight="1">
      <c r="A410" t="inlineStr">
        <is>
          <t>A 9445-2022</t>
        </is>
      </c>
      <c r="B410" s="1" t="n">
        <v>44616</v>
      </c>
      <c r="C410" s="1" t="n">
        <v>45693</v>
      </c>
      <c r="D410" t="inlineStr">
        <is>
          <t>STOCKHOLMS LÄN</t>
        </is>
      </c>
      <c r="E410" t="inlineStr">
        <is>
          <t>VALLENTUNA</t>
        </is>
      </c>
      <c r="G410" t="n">
        <v>10.8</v>
      </c>
      <c r="H410" t="n">
        <v>0</v>
      </c>
      <c r="I410" t="n">
        <v>1</v>
      </c>
      <c r="J410" t="n">
        <v>0</v>
      </c>
      <c r="K410" t="n">
        <v>0</v>
      </c>
      <c r="L410" t="n">
        <v>0</v>
      </c>
      <c r="M410" t="n">
        <v>0</v>
      </c>
      <c r="N410" t="n">
        <v>0</v>
      </c>
      <c r="O410" t="n">
        <v>0</v>
      </c>
      <c r="P410" t="n">
        <v>0</v>
      </c>
      <c r="Q410" t="n">
        <v>1</v>
      </c>
      <c r="R410" s="2" t="inlineStr">
        <is>
          <t>Grönpyrola</t>
        </is>
      </c>
      <c r="S410">
        <f>HYPERLINK("https://klasma.github.io/Logging_0115/artfynd/A 9445-2022 artfynd.xlsx", "A 9445-2022")</f>
        <v/>
      </c>
      <c r="T410">
        <f>HYPERLINK("https://klasma.github.io/Logging_0115/kartor/A 9445-2022 karta.png", "A 9445-2022")</f>
        <v/>
      </c>
      <c r="V410">
        <f>HYPERLINK("https://klasma.github.io/Logging_0115/klagomål/A 9445-2022 FSC-klagomål.docx", "A 9445-2022")</f>
        <v/>
      </c>
      <c r="W410">
        <f>HYPERLINK("https://klasma.github.io/Logging_0115/klagomålsmail/A 9445-2022 FSC-klagomål mail.docx", "A 9445-2022")</f>
        <v/>
      </c>
      <c r="X410">
        <f>HYPERLINK("https://klasma.github.io/Logging_0115/tillsyn/A 9445-2022 tillsynsbegäran.docx", "A 9445-2022")</f>
        <v/>
      </c>
      <c r="Y410">
        <f>HYPERLINK("https://klasma.github.io/Logging_0115/tillsynsmail/A 9445-2022 tillsynsbegäran mail.docx", "A 9445-2022")</f>
        <v/>
      </c>
    </row>
    <row r="411" ht="15" customHeight="1">
      <c r="A411" t="inlineStr">
        <is>
          <t>A 9714-2022</t>
        </is>
      </c>
      <c r="B411" s="1" t="n">
        <v>44617</v>
      </c>
      <c r="C411" s="1" t="n">
        <v>45693</v>
      </c>
      <c r="D411" t="inlineStr">
        <is>
          <t>STOCKHOLMS LÄN</t>
        </is>
      </c>
      <c r="E411" t="inlineStr">
        <is>
          <t>NYKVARN</t>
        </is>
      </c>
      <c r="G411" t="n">
        <v>0.5</v>
      </c>
      <c r="H411" t="n">
        <v>0</v>
      </c>
      <c r="I411" t="n">
        <v>1</v>
      </c>
      <c r="J411" t="n">
        <v>0</v>
      </c>
      <c r="K411" t="n">
        <v>0</v>
      </c>
      <c r="L411" t="n">
        <v>0</v>
      </c>
      <c r="M411" t="n">
        <v>0</v>
      </c>
      <c r="N411" t="n">
        <v>0</v>
      </c>
      <c r="O411" t="n">
        <v>0</v>
      </c>
      <c r="P411" t="n">
        <v>0</v>
      </c>
      <c r="Q411" t="n">
        <v>1</v>
      </c>
      <c r="R411" s="2" t="inlineStr">
        <is>
          <t>Jättesvampmal</t>
        </is>
      </c>
      <c r="S411">
        <f>HYPERLINK("https://klasma.github.io/Logging_0140/artfynd/A 9714-2022 artfynd.xlsx", "A 9714-2022")</f>
        <v/>
      </c>
      <c r="T411">
        <f>HYPERLINK("https://klasma.github.io/Logging_0140/kartor/A 9714-2022 karta.png", "A 9714-2022")</f>
        <v/>
      </c>
      <c r="V411">
        <f>HYPERLINK("https://klasma.github.io/Logging_0140/klagomål/A 9714-2022 FSC-klagomål.docx", "A 9714-2022")</f>
        <v/>
      </c>
      <c r="W411">
        <f>HYPERLINK("https://klasma.github.io/Logging_0140/klagomålsmail/A 9714-2022 FSC-klagomål mail.docx", "A 9714-2022")</f>
        <v/>
      </c>
      <c r="X411">
        <f>HYPERLINK("https://klasma.github.io/Logging_0140/tillsyn/A 9714-2022 tillsynsbegäran.docx", "A 9714-2022")</f>
        <v/>
      </c>
      <c r="Y411">
        <f>HYPERLINK("https://klasma.github.io/Logging_0140/tillsynsmail/A 9714-2022 tillsynsbegäran mail.docx", "A 9714-2022")</f>
        <v/>
      </c>
    </row>
    <row r="412" ht="15" customHeight="1">
      <c r="A412" t="inlineStr">
        <is>
          <t>A 9747-2022</t>
        </is>
      </c>
      <c r="B412" s="1" t="n">
        <v>44618</v>
      </c>
      <c r="C412" s="1" t="n">
        <v>45693</v>
      </c>
      <c r="D412" t="inlineStr">
        <is>
          <t>STOCKHOLMS LÄN</t>
        </is>
      </c>
      <c r="E412" t="inlineStr">
        <is>
          <t>VALLENTUNA</t>
        </is>
      </c>
      <c r="G412" t="n">
        <v>5.7</v>
      </c>
      <c r="H412" t="n">
        <v>0</v>
      </c>
      <c r="I412" t="n">
        <v>0</v>
      </c>
      <c r="J412" t="n">
        <v>0</v>
      </c>
      <c r="K412" t="n">
        <v>1</v>
      </c>
      <c r="L412" t="n">
        <v>0</v>
      </c>
      <c r="M412" t="n">
        <v>0</v>
      </c>
      <c r="N412" t="n">
        <v>0</v>
      </c>
      <c r="O412" t="n">
        <v>1</v>
      </c>
      <c r="P412" t="n">
        <v>1</v>
      </c>
      <c r="Q412" t="n">
        <v>1</v>
      </c>
      <c r="R412" s="2" t="inlineStr">
        <is>
          <t>Violgubbe</t>
        </is>
      </c>
      <c r="S412">
        <f>HYPERLINK("https://klasma.github.io/Logging_0115/artfynd/A 9747-2022 artfynd.xlsx", "A 9747-2022")</f>
        <v/>
      </c>
      <c r="T412">
        <f>HYPERLINK("https://klasma.github.io/Logging_0115/kartor/A 9747-2022 karta.png", "A 9747-2022")</f>
        <v/>
      </c>
      <c r="V412">
        <f>HYPERLINK("https://klasma.github.io/Logging_0115/klagomål/A 9747-2022 FSC-klagomål.docx", "A 9747-2022")</f>
        <v/>
      </c>
      <c r="W412">
        <f>HYPERLINK("https://klasma.github.io/Logging_0115/klagomålsmail/A 9747-2022 FSC-klagomål mail.docx", "A 9747-2022")</f>
        <v/>
      </c>
      <c r="X412">
        <f>HYPERLINK("https://klasma.github.io/Logging_0115/tillsyn/A 9747-2022 tillsynsbegäran.docx", "A 9747-2022")</f>
        <v/>
      </c>
      <c r="Y412">
        <f>HYPERLINK("https://klasma.github.io/Logging_0115/tillsynsmail/A 9747-2022 tillsynsbegäran mail.docx", "A 9747-2022")</f>
        <v/>
      </c>
    </row>
    <row r="413" ht="15" customHeight="1">
      <c r="A413" t="inlineStr">
        <is>
          <t>A 9955-2022</t>
        </is>
      </c>
      <c r="B413" s="1" t="n">
        <v>44620</v>
      </c>
      <c r="C413" s="1" t="n">
        <v>45693</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10059-2022</t>
        </is>
      </c>
      <c r="B414" s="1" t="n">
        <v>44621</v>
      </c>
      <c r="C414" s="1" t="n">
        <v>45693</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10469-2022</t>
        </is>
      </c>
      <c r="B415" s="1" t="n">
        <v>44623</v>
      </c>
      <c r="C415" s="1" t="n">
        <v>45693</v>
      </c>
      <c r="D415" t="inlineStr">
        <is>
          <t>STOCKHOLMS LÄN</t>
        </is>
      </c>
      <c r="E415" t="inlineStr">
        <is>
          <t>BOTKYRKA</t>
        </is>
      </c>
      <c r="G415" t="n">
        <v>2.4</v>
      </c>
      <c r="H415" t="n">
        <v>0</v>
      </c>
      <c r="I415" t="n">
        <v>1</v>
      </c>
      <c r="J415" t="n">
        <v>0</v>
      </c>
      <c r="K415" t="n">
        <v>0</v>
      </c>
      <c r="L415" t="n">
        <v>0</v>
      </c>
      <c r="M415" t="n">
        <v>0</v>
      </c>
      <c r="N415" t="n">
        <v>0</v>
      </c>
      <c r="O415" t="n">
        <v>0</v>
      </c>
      <c r="P415" t="n">
        <v>0</v>
      </c>
      <c r="Q415" t="n">
        <v>1</v>
      </c>
      <c r="R415" s="2" t="inlineStr">
        <is>
          <t>Tibast</t>
        </is>
      </c>
      <c r="S415">
        <f>HYPERLINK("https://klasma.github.io/Logging_0127/artfynd/A 10469-2022 artfynd.xlsx", "A 10469-2022")</f>
        <v/>
      </c>
      <c r="T415">
        <f>HYPERLINK("https://klasma.github.io/Logging_0127/kartor/A 10469-2022 karta.png", "A 10469-2022")</f>
        <v/>
      </c>
      <c r="V415">
        <f>HYPERLINK("https://klasma.github.io/Logging_0127/klagomål/A 10469-2022 FSC-klagomål.docx", "A 10469-2022")</f>
        <v/>
      </c>
      <c r="W415">
        <f>HYPERLINK("https://klasma.github.io/Logging_0127/klagomålsmail/A 10469-2022 FSC-klagomål mail.docx", "A 10469-2022")</f>
        <v/>
      </c>
      <c r="X415">
        <f>HYPERLINK("https://klasma.github.io/Logging_0127/tillsyn/A 10469-2022 tillsynsbegäran.docx", "A 10469-2022")</f>
        <v/>
      </c>
      <c r="Y415">
        <f>HYPERLINK("https://klasma.github.io/Logging_0127/tillsynsmail/A 10469-2022 tillsynsbegäran mail.docx", "A 10469-2022")</f>
        <v/>
      </c>
    </row>
    <row r="416" ht="15" customHeight="1">
      <c r="A416" t="inlineStr">
        <is>
          <t>A 10712-2022</t>
        </is>
      </c>
      <c r="B416" s="1" t="n">
        <v>44626</v>
      </c>
      <c r="C416" s="1" t="n">
        <v>45693</v>
      </c>
      <c r="D416" t="inlineStr">
        <is>
          <t>STOCKHOLMS LÄN</t>
        </is>
      </c>
      <c r="E416" t="inlineStr">
        <is>
          <t>NORRTÄLJE</t>
        </is>
      </c>
      <c r="G416" t="n">
        <v>4.5</v>
      </c>
      <c r="H416" t="n">
        <v>1</v>
      </c>
      <c r="I416" t="n">
        <v>0</v>
      </c>
      <c r="J416" t="n">
        <v>0</v>
      </c>
      <c r="K416" t="n">
        <v>0</v>
      </c>
      <c r="L416" t="n">
        <v>0</v>
      </c>
      <c r="M416" t="n">
        <v>0</v>
      </c>
      <c r="N416" t="n">
        <v>0</v>
      </c>
      <c r="O416" t="n">
        <v>0</v>
      </c>
      <c r="P416" t="n">
        <v>0</v>
      </c>
      <c r="Q416" t="n">
        <v>1</v>
      </c>
      <c r="R416" s="2" t="inlineStr">
        <is>
          <t>Åkergroda</t>
        </is>
      </c>
      <c r="S416">
        <f>HYPERLINK("https://klasma.github.io/Logging_0188/artfynd/A 10712-2022 artfynd.xlsx", "A 10712-2022")</f>
        <v/>
      </c>
      <c r="T416">
        <f>HYPERLINK("https://klasma.github.io/Logging_0188/kartor/A 10712-2022 karta.png", "A 10712-2022")</f>
        <v/>
      </c>
      <c r="V416">
        <f>HYPERLINK("https://klasma.github.io/Logging_0188/klagomål/A 10712-2022 FSC-klagomål.docx", "A 10712-2022")</f>
        <v/>
      </c>
      <c r="W416">
        <f>HYPERLINK("https://klasma.github.io/Logging_0188/klagomålsmail/A 10712-2022 FSC-klagomål mail.docx", "A 10712-2022")</f>
        <v/>
      </c>
      <c r="X416">
        <f>HYPERLINK("https://klasma.github.io/Logging_0188/tillsyn/A 10712-2022 tillsynsbegäran.docx", "A 10712-2022")</f>
        <v/>
      </c>
      <c r="Y416">
        <f>HYPERLINK("https://klasma.github.io/Logging_0188/tillsynsmail/A 10712-2022 tillsynsbegäran mail.docx", "A 10712-2022")</f>
        <v/>
      </c>
    </row>
    <row r="417" ht="15" customHeight="1">
      <c r="A417" t="inlineStr">
        <is>
          <t>A 13891-2022</t>
        </is>
      </c>
      <c r="B417" s="1" t="n">
        <v>44646</v>
      </c>
      <c r="C417" s="1" t="n">
        <v>45693</v>
      </c>
      <c r="D417" t="inlineStr">
        <is>
          <t>STOCKHOLMS LÄN</t>
        </is>
      </c>
      <c r="E417" t="inlineStr">
        <is>
          <t>EKERÖ</t>
        </is>
      </c>
      <c r="G417" t="n">
        <v>2.3</v>
      </c>
      <c r="H417" t="n">
        <v>0</v>
      </c>
      <c r="I417" t="n">
        <v>1</v>
      </c>
      <c r="J417" t="n">
        <v>0</v>
      </c>
      <c r="K417" t="n">
        <v>0</v>
      </c>
      <c r="L417" t="n">
        <v>0</v>
      </c>
      <c r="M417" t="n">
        <v>0</v>
      </c>
      <c r="N417" t="n">
        <v>0</v>
      </c>
      <c r="O417" t="n">
        <v>0</v>
      </c>
      <c r="P417" t="n">
        <v>0</v>
      </c>
      <c r="Q417" t="n">
        <v>1</v>
      </c>
      <c r="R417" s="2" t="inlineStr">
        <is>
          <t>Granbarkgnagare</t>
        </is>
      </c>
      <c r="S417">
        <f>HYPERLINK("https://klasma.github.io/Logging_0125/artfynd/A 13891-2022 artfynd.xlsx", "A 13891-2022")</f>
        <v/>
      </c>
      <c r="T417">
        <f>HYPERLINK("https://klasma.github.io/Logging_0125/kartor/A 13891-2022 karta.png", "A 13891-2022")</f>
        <v/>
      </c>
      <c r="V417">
        <f>HYPERLINK("https://klasma.github.io/Logging_0125/klagomål/A 13891-2022 FSC-klagomål.docx", "A 13891-2022")</f>
        <v/>
      </c>
      <c r="W417">
        <f>HYPERLINK("https://klasma.github.io/Logging_0125/klagomålsmail/A 13891-2022 FSC-klagomål mail.docx", "A 13891-2022")</f>
        <v/>
      </c>
      <c r="X417">
        <f>HYPERLINK("https://klasma.github.io/Logging_0125/tillsyn/A 13891-2022 tillsynsbegäran.docx", "A 13891-2022")</f>
        <v/>
      </c>
      <c r="Y417">
        <f>HYPERLINK("https://klasma.github.io/Logging_0125/tillsynsmail/A 13891-2022 tillsynsbegäran mail.docx", "A 13891-2022")</f>
        <v/>
      </c>
    </row>
    <row r="418" ht="15" customHeight="1">
      <c r="A418" t="inlineStr">
        <is>
          <t>A 14720-2022</t>
        </is>
      </c>
      <c r="B418" s="1" t="n">
        <v>44656</v>
      </c>
      <c r="C418" s="1" t="n">
        <v>45693</v>
      </c>
      <c r="D418" t="inlineStr">
        <is>
          <t>STOCKHOLMS LÄN</t>
        </is>
      </c>
      <c r="E418" t="inlineStr">
        <is>
          <t>NORRTÄLJE</t>
        </is>
      </c>
      <c r="F418" t="inlineStr">
        <is>
          <t>Sveaskog</t>
        </is>
      </c>
      <c r="G418" t="n">
        <v>5.1</v>
      </c>
      <c r="H418" t="n">
        <v>0</v>
      </c>
      <c r="I418" t="n">
        <v>0</v>
      </c>
      <c r="J418" t="n">
        <v>1</v>
      </c>
      <c r="K418" t="n">
        <v>0</v>
      </c>
      <c r="L418" t="n">
        <v>0</v>
      </c>
      <c r="M418" t="n">
        <v>0</v>
      </c>
      <c r="N418" t="n">
        <v>0</v>
      </c>
      <c r="O418" t="n">
        <v>1</v>
      </c>
      <c r="P418" t="n">
        <v>0</v>
      </c>
      <c r="Q418" t="n">
        <v>1</v>
      </c>
      <c r="R418" s="2" t="inlineStr">
        <is>
          <t>Loppstarr</t>
        </is>
      </c>
      <c r="S418">
        <f>HYPERLINK("https://klasma.github.io/Logging_0188/artfynd/A 14720-2022 artfynd.xlsx", "A 14720-2022")</f>
        <v/>
      </c>
      <c r="T418">
        <f>HYPERLINK("https://klasma.github.io/Logging_0188/kartor/A 14720-2022 karta.png", "A 14720-2022")</f>
        <v/>
      </c>
      <c r="V418">
        <f>HYPERLINK("https://klasma.github.io/Logging_0188/klagomål/A 14720-2022 FSC-klagomål.docx", "A 14720-2022")</f>
        <v/>
      </c>
      <c r="W418">
        <f>HYPERLINK("https://klasma.github.io/Logging_0188/klagomålsmail/A 14720-2022 FSC-klagomål mail.docx", "A 14720-2022")</f>
        <v/>
      </c>
      <c r="X418">
        <f>HYPERLINK("https://klasma.github.io/Logging_0188/tillsyn/A 14720-2022 tillsynsbegäran.docx", "A 14720-2022")</f>
        <v/>
      </c>
      <c r="Y418">
        <f>HYPERLINK("https://klasma.github.io/Logging_0188/tillsynsmail/A 14720-2022 tillsynsbegäran mail.docx", "A 14720-2022")</f>
        <v/>
      </c>
    </row>
    <row r="419" ht="15" customHeight="1">
      <c r="A419" t="inlineStr">
        <is>
          <t>A 16309-2022</t>
        </is>
      </c>
      <c r="B419" s="1" t="n">
        <v>44670</v>
      </c>
      <c r="C419" s="1" t="n">
        <v>45693</v>
      </c>
      <c r="D419" t="inlineStr">
        <is>
          <t>STOCKHOLMS LÄN</t>
        </is>
      </c>
      <c r="E419" t="inlineStr">
        <is>
          <t>NYNÄSHAMN</t>
        </is>
      </c>
      <c r="G419" t="n">
        <v>7.7</v>
      </c>
      <c r="H419" t="n">
        <v>1</v>
      </c>
      <c r="I419" t="n">
        <v>0</v>
      </c>
      <c r="J419" t="n">
        <v>0</v>
      </c>
      <c r="K419" t="n">
        <v>0</v>
      </c>
      <c r="L419" t="n">
        <v>0</v>
      </c>
      <c r="M419" t="n">
        <v>0</v>
      </c>
      <c r="N419" t="n">
        <v>0</v>
      </c>
      <c r="O419" t="n">
        <v>0</v>
      </c>
      <c r="P419" t="n">
        <v>0</v>
      </c>
      <c r="Q419" t="n">
        <v>1</v>
      </c>
      <c r="R419" s="2" t="inlineStr">
        <is>
          <t>Blåsippa</t>
        </is>
      </c>
      <c r="S419">
        <f>HYPERLINK("https://klasma.github.io/Logging_0192/artfynd/A 16309-2022 artfynd.xlsx", "A 16309-2022")</f>
        <v/>
      </c>
      <c r="T419">
        <f>HYPERLINK("https://klasma.github.io/Logging_0192/kartor/A 16309-2022 karta.png", "A 16309-2022")</f>
        <v/>
      </c>
      <c r="V419">
        <f>HYPERLINK("https://klasma.github.io/Logging_0192/klagomål/A 16309-2022 FSC-klagomål.docx", "A 16309-2022")</f>
        <v/>
      </c>
      <c r="W419">
        <f>HYPERLINK("https://klasma.github.io/Logging_0192/klagomålsmail/A 16309-2022 FSC-klagomål mail.docx", "A 16309-2022")</f>
        <v/>
      </c>
      <c r="X419">
        <f>HYPERLINK("https://klasma.github.io/Logging_0192/tillsyn/A 16309-2022 tillsynsbegäran.docx", "A 16309-2022")</f>
        <v/>
      </c>
      <c r="Y419">
        <f>HYPERLINK("https://klasma.github.io/Logging_0192/tillsynsmail/A 16309-2022 tillsynsbegäran mail.docx", "A 16309-2022")</f>
        <v/>
      </c>
    </row>
    <row r="420" ht="15" customHeight="1">
      <c r="A420" t="inlineStr">
        <is>
          <t>A 16539-2022</t>
        </is>
      </c>
      <c r="B420" s="1" t="n">
        <v>44672</v>
      </c>
      <c r="C420" s="1" t="n">
        <v>45693</v>
      </c>
      <c r="D420" t="inlineStr">
        <is>
          <t>STOCKHOLMS LÄN</t>
        </is>
      </c>
      <c r="E420" t="inlineStr">
        <is>
          <t>NORRTÄLJE</t>
        </is>
      </c>
      <c r="G420" t="n">
        <v>8.6</v>
      </c>
      <c r="H420" t="n">
        <v>1</v>
      </c>
      <c r="I420" t="n">
        <v>1</v>
      </c>
      <c r="J420" t="n">
        <v>0</v>
      </c>
      <c r="K420" t="n">
        <v>0</v>
      </c>
      <c r="L420" t="n">
        <v>0</v>
      </c>
      <c r="M420" t="n">
        <v>0</v>
      </c>
      <c r="N420" t="n">
        <v>0</v>
      </c>
      <c r="O420" t="n">
        <v>0</v>
      </c>
      <c r="P420" t="n">
        <v>0</v>
      </c>
      <c r="Q420" t="n">
        <v>1</v>
      </c>
      <c r="R420" s="2" t="inlineStr">
        <is>
          <t>Nästrot</t>
        </is>
      </c>
      <c r="S420">
        <f>HYPERLINK("https://klasma.github.io/Logging_0188/artfynd/A 16539-2022 artfynd.xlsx", "A 16539-2022")</f>
        <v/>
      </c>
      <c r="T420">
        <f>HYPERLINK("https://klasma.github.io/Logging_0188/kartor/A 16539-2022 karta.png", "A 16539-2022")</f>
        <v/>
      </c>
      <c r="V420">
        <f>HYPERLINK("https://klasma.github.io/Logging_0188/klagomål/A 16539-2022 FSC-klagomål.docx", "A 16539-2022")</f>
        <v/>
      </c>
      <c r="W420">
        <f>HYPERLINK("https://klasma.github.io/Logging_0188/klagomålsmail/A 16539-2022 FSC-klagomål mail.docx", "A 16539-2022")</f>
        <v/>
      </c>
      <c r="X420">
        <f>HYPERLINK("https://klasma.github.io/Logging_0188/tillsyn/A 16539-2022 tillsynsbegäran.docx", "A 16539-2022")</f>
        <v/>
      </c>
      <c r="Y420">
        <f>HYPERLINK("https://klasma.github.io/Logging_0188/tillsynsmail/A 16539-2022 tillsynsbegäran mail.docx", "A 16539-2022")</f>
        <v/>
      </c>
    </row>
    <row r="421" ht="15" customHeight="1">
      <c r="A421" t="inlineStr">
        <is>
          <t>A 18100-2022</t>
        </is>
      </c>
      <c r="B421" s="1" t="n">
        <v>44684</v>
      </c>
      <c r="C421" s="1" t="n">
        <v>45693</v>
      </c>
      <c r="D421" t="inlineStr">
        <is>
          <t>STOCKHOLMS LÄN</t>
        </is>
      </c>
      <c r="E421" t="inlineStr">
        <is>
          <t>BOTKYRKA</t>
        </is>
      </c>
      <c r="G421" t="n">
        <v>3.1</v>
      </c>
      <c r="H421" t="n">
        <v>1</v>
      </c>
      <c r="I421" t="n">
        <v>0</v>
      </c>
      <c r="J421" t="n">
        <v>0</v>
      </c>
      <c r="K421" t="n">
        <v>0</v>
      </c>
      <c r="L421" t="n">
        <v>0</v>
      </c>
      <c r="M421" t="n">
        <v>0</v>
      </c>
      <c r="N421" t="n">
        <v>0</v>
      </c>
      <c r="O421" t="n">
        <v>0</v>
      </c>
      <c r="P421" t="n">
        <v>0</v>
      </c>
      <c r="Q421" t="n">
        <v>1</v>
      </c>
      <c r="R421" s="2" t="inlineStr">
        <is>
          <t>Gullviva</t>
        </is>
      </c>
      <c r="S421">
        <f>HYPERLINK("https://klasma.github.io/Logging_0127/artfynd/A 18100-2022 artfynd.xlsx", "A 18100-2022")</f>
        <v/>
      </c>
      <c r="T421">
        <f>HYPERLINK("https://klasma.github.io/Logging_0127/kartor/A 18100-2022 karta.png", "A 18100-2022")</f>
        <v/>
      </c>
      <c r="V421">
        <f>HYPERLINK("https://klasma.github.io/Logging_0127/klagomål/A 18100-2022 FSC-klagomål.docx", "A 18100-2022")</f>
        <v/>
      </c>
      <c r="W421">
        <f>HYPERLINK("https://klasma.github.io/Logging_0127/klagomålsmail/A 18100-2022 FSC-klagomål mail.docx", "A 18100-2022")</f>
        <v/>
      </c>
      <c r="X421">
        <f>HYPERLINK("https://klasma.github.io/Logging_0127/tillsyn/A 18100-2022 tillsynsbegäran.docx", "A 18100-2022")</f>
        <v/>
      </c>
      <c r="Y421">
        <f>HYPERLINK("https://klasma.github.io/Logging_0127/tillsynsmail/A 18100-2022 tillsynsbegäran mail.docx", "A 18100-2022")</f>
        <v/>
      </c>
    </row>
    <row r="422" ht="15" customHeight="1">
      <c r="A422" t="inlineStr">
        <is>
          <t>A 19829-2022</t>
        </is>
      </c>
      <c r="B422" s="1" t="n">
        <v>44695</v>
      </c>
      <c r="C422" s="1" t="n">
        <v>45693</v>
      </c>
      <c r="D422" t="inlineStr">
        <is>
          <t>STOCKHOLMS LÄN</t>
        </is>
      </c>
      <c r="E422" t="inlineStr">
        <is>
          <t>NORRTÄLJE</t>
        </is>
      </c>
      <c r="G422" t="n">
        <v>2</v>
      </c>
      <c r="H422" t="n">
        <v>1</v>
      </c>
      <c r="I422" t="n">
        <v>1</v>
      </c>
      <c r="J422" t="n">
        <v>0</v>
      </c>
      <c r="K422" t="n">
        <v>0</v>
      </c>
      <c r="L422" t="n">
        <v>0</v>
      </c>
      <c r="M422" t="n">
        <v>0</v>
      </c>
      <c r="N422" t="n">
        <v>0</v>
      </c>
      <c r="O422" t="n">
        <v>0</v>
      </c>
      <c r="P422" t="n">
        <v>0</v>
      </c>
      <c r="Q422" t="n">
        <v>1</v>
      </c>
      <c r="R422" s="2" t="inlineStr">
        <is>
          <t>Guckusko</t>
        </is>
      </c>
      <c r="S422">
        <f>HYPERLINK("https://klasma.github.io/Logging_0188/artfynd/A 19829-2022 artfynd.xlsx", "A 19829-2022")</f>
        <v/>
      </c>
      <c r="T422">
        <f>HYPERLINK("https://klasma.github.io/Logging_0188/kartor/A 19829-2022 karta.png", "A 19829-2022")</f>
        <v/>
      </c>
      <c r="V422">
        <f>HYPERLINK("https://klasma.github.io/Logging_0188/klagomål/A 19829-2022 FSC-klagomål.docx", "A 19829-2022")</f>
        <v/>
      </c>
      <c r="W422">
        <f>HYPERLINK("https://klasma.github.io/Logging_0188/klagomålsmail/A 19829-2022 FSC-klagomål mail.docx", "A 19829-2022")</f>
        <v/>
      </c>
      <c r="X422">
        <f>HYPERLINK("https://klasma.github.io/Logging_0188/tillsyn/A 19829-2022 tillsynsbegäran.docx", "A 19829-2022")</f>
        <v/>
      </c>
      <c r="Y422">
        <f>HYPERLINK("https://klasma.github.io/Logging_0188/tillsynsmail/A 19829-2022 tillsynsbegäran mail.docx", "A 19829-2022")</f>
        <v/>
      </c>
    </row>
    <row r="423" ht="15" customHeight="1">
      <c r="A423" t="inlineStr">
        <is>
          <t>A 20456-2022</t>
        </is>
      </c>
      <c r="B423" s="1" t="n">
        <v>44699</v>
      </c>
      <c r="C423" s="1" t="n">
        <v>45693</v>
      </c>
      <c r="D423" t="inlineStr">
        <is>
          <t>STOCKHOLMS LÄN</t>
        </is>
      </c>
      <c r="E423" t="inlineStr">
        <is>
          <t>NYKVARN</t>
        </is>
      </c>
      <c r="F423" t="inlineStr">
        <is>
          <t>Allmännings- och besparingsskogar</t>
        </is>
      </c>
      <c r="G423" t="n">
        <v>15.4</v>
      </c>
      <c r="H423" t="n">
        <v>0</v>
      </c>
      <c r="I423" t="n">
        <v>1</v>
      </c>
      <c r="J423" t="n">
        <v>0</v>
      </c>
      <c r="K423" t="n">
        <v>0</v>
      </c>
      <c r="L423" t="n">
        <v>0</v>
      </c>
      <c r="M423" t="n">
        <v>0</v>
      </c>
      <c r="N423" t="n">
        <v>0</v>
      </c>
      <c r="O423" t="n">
        <v>0</v>
      </c>
      <c r="P423" t="n">
        <v>0</v>
      </c>
      <c r="Q423" t="n">
        <v>1</v>
      </c>
      <c r="R423" s="2" t="inlineStr">
        <is>
          <t>Grönpyrola</t>
        </is>
      </c>
      <c r="S423">
        <f>HYPERLINK("https://klasma.github.io/Logging_0140/artfynd/A 20456-2022 artfynd.xlsx", "A 20456-2022")</f>
        <v/>
      </c>
      <c r="T423">
        <f>HYPERLINK("https://klasma.github.io/Logging_0140/kartor/A 20456-2022 karta.png", "A 20456-2022")</f>
        <v/>
      </c>
      <c r="V423">
        <f>HYPERLINK("https://klasma.github.io/Logging_0140/klagomål/A 20456-2022 FSC-klagomål.docx", "A 20456-2022")</f>
        <v/>
      </c>
      <c r="W423">
        <f>HYPERLINK("https://klasma.github.io/Logging_0140/klagomålsmail/A 20456-2022 FSC-klagomål mail.docx", "A 20456-2022")</f>
        <v/>
      </c>
      <c r="X423">
        <f>HYPERLINK("https://klasma.github.io/Logging_0140/tillsyn/A 20456-2022 tillsynsbegäran.docx", "A 20456-2022")</f>
        <v/>
      </c>
      <c r="Y423">
        <f>HYPERLINK("https://klasma.github.io/Logging_0140/tillsynsmail/A 20456-2022 tillsynsbegäran mail.docx", "A 20456-2022")</f>
        <v/>
      </c>
    </row>
    <row r="424" ht="15" customHeight="1">
      <c r="A424" t="inlineStr">
        <is>
          <t>A 21150-2022</t>
        </is>
      </c>
      <c r="B424" s="1" t="n">
        <v>44704</v>
      </c>
      <c r="C424" s="1" t="n">
        <v>45693</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22172-2022</t>
        </is>
      </c>
      <c r="B425" s="1" t="n">
        <v>44712</v>
      </c>
      <c r="C425" s="1" t="n">
        <v>45693</v>
      </c>
      <c r="D425" t="inlineStr">
        <is>
          <t>STOCKHOLMS LÄN</t>
        </is>
      </c>
      <c r="E425" t="inlineStr">
        <is>
          <t>ÖSTERÅKER</t>
        </is>
      </c>
      <c r="G425" t="n">
        <v>3.7</v>
      </c>
      <c r="H425" t="n">
        <v>1</v>
      </c>
      <c r="I425" t="n">
        <v>0</v>
      </c>
      <c r="J425" t="n">
        <v>1</v>
      </c>
      <c r="K425" t="n">
        <v>0</v>
      </c>
      <c r="L425" t="n">
        <v>0</v>
      </c>
      <c r="M425" t="n">
        <v>0</v>
      </c>
      <c r="N425" t="n">
        <v>0</v>
      </c>
      <c r="O425" t="n">
        <v>1</v>
      </c>
      <c r="P425" t="n">
        <v>0</v>
      </c>
      <c r="Q425" t="n">
        <v>1</v>
      </c>
      <c r="R425" s="2" t="inlineStr">
        <is>
          <t>Kråka</t>
        </is>
      </c>
      <c r="S425">
        <f>HYPERLINK("https://klasma.github.io/Logging_0117/artfynd/A 22172-2022 artfynd.xlsx", "A 22172-2022")</f>
        <v/>
      </c>
      <c r="T425">
        <f>HYPERLINK("https://klasma.github.io/Logging_0117/kartor/A 22172-2022 karta.png", "A 22172-2022")</f>
        <v/>
      </c>
      <c r="V425">
        <f>HYPERLINK("https://klasma.github.io/Logging_0117/klagomål/A 22172-2022 FSC-klagomål.docx", "A 22172-2022")</f>
        <v/>
      </c>
      <c r="W425">
        <f>HYPERLINK("https://klasma.github.io/Logging_0117/klagomålsmail/A 22172-2022 FSC-klagomål mail.docx", "A 22172-2022")</f>
        <v/>
      </c>
      <c r="X425">
        <f>HYPERLINK("https://klasma.github.io/Logging_0117/tillsyn/A 22172-2022 tillsynsbegäran.docx", "A 22172-2022")</f>
        <v/>
      </c>
      <c r="Y425">
        <f>HYPERLINK("https://klasma.github.io/Logging_0117/tillsynsmail/A 22172-2022 tillsynsbegäran mail.docx", "A 22172-2022")</f>
        <v/>
      </c>
      <c r="Z425">
        <f>HYPERLINK("https://klasma.github.io/Logging_0117/fåglar/A 22172-2022 prioriterade fågelarter.docx", "A 22172-2022")</f>
        <v/>
      </c>
    </row>
    <row r="426" ht="15" customHeight="1">
      <c r="A426" t="inlineStr">
        <is>
          <t>A 30154-2022</t>
        </is>
      </c>
      <c r="B426" s="1" t="n">
        <v>44757</v>
      </c>
      <c r="C426" s="1" t="n">
        <v>45693</v>
      </c>
      <c r="D426" t="inlineStr">
        <is>
          <t>STOCKHOLMS LÄN</t>
        </is>
      </c>
      <c r="E426" t="inlineStr">
        <is>
          <t>VÄRMDÖ</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HYPERLINK("https://klasma.github.io/Logging_0120/artfynd/A 30154-2022 artfynd.xlsx", "A 30154-2022")</f>
        <v/>
      </c>
      <c r="T426">
        <f>HYPERLINK("https://klasma.github.io/Logging_0120/kartor/A 30154-2022 karta.png", "A 30154-2022")</f>
        <v/>
      </c>
      <c r="V426">
        <f>HYPERLINK("https://klasma.github.io/Logging_0120/klagomål/A 30154-2022 FSC-klagomål.docx", "A 30154-2022")</f>
        <v/>
      </c>
      <c r="W426">
        <f>HYPERLINK("https://klasma.github.io/Logging_0120/klagomålsmail/A 30154-2022 FSC-klagomål mail.docx", "A 30154-2022")</f>
        <v/>
      </c>
      <c r="X426">
        <f>HYPERLINK("https://klasma.github.io/Logging_0120/tillsyn/A 30154-2022 tillsynsbegäran.docx", "A 30154-2022")</f>
        <v/>
      </c>
      <c r="Y426">
        <f>HYPERLINK("https://klasma.github.io/Logging_0120/tillsynsmail/A 30154-2022 tillsynsbegäran mail.docx", "A 30154-2022")</f>
        <v/>
      </c>
    </row>
    <row r="427" ht="15" customHeight="1">
      <c r="A427" t="inlineStr">
        <is>
          <t>A 31194-2022</t>
        </is>
      </c>
      <c r="B427" s="1" t="n">
        <v>44770</v>
      </c>
      <c r="C427" s="1" t="n">
        <v>45693</v>
      </c>
      <c r="D427" t="inlineStr">
        <is>
          <t>STOCKHOLMS LÄN</t>
        </is>
      </c>
      <c r="E427" t="inlineStr">
        <is>
          <t>NORRTÄLJE</t>
        </is>
      </c>
      <c r="G427" t="n">
        <v>2.7</v>
      </c>
      <c r="H427" t="n">
        <v>1</v>
      </c>
      <c r="I427" t="n">
        <v>0</v>
      </c>
      <c r="J427" t="n">
        <v>0</v>
      </c>
      <c r="K427" t="n">
        <v>0</v>
      </c>
      <c r="L427" t="n">
        <v>1</v>
      </c>
      <c r="M427" t="n">
        <v>0</v>
      </c>
      <c r="N427" t="n">
        <v>0</v>
      </c>
      <c r="O427" t="n">
        <v>1</v>
      </c>
      <c r="P427" t="n">
        <v>1</v>
      </c>
      <c r="Q427" t="n">
        <v>1</v>
      </c>
      <c r="R427" s="2" t="inlineStr">
        <is>
          <t>Asknätfjäril</t>
        </is>
      </c>
      <c r="S427">
        <f>HYPERLINK("https://klasma.github.io/Logging_0188/artfynd/A 31194-2022 artfynd.xlsx", "A 31194-2022")</f>
        <v/>
      </c>
      <c r="T427">
        <f>HYPERLINK("https://klasma.github.io/Logging_0188/kartor/A 31194-2022 karta.png", "A 31194-2022")</f>
        <v/>
      </c>
      <c r="V427">
        <f>HYPERLINK("https://klasma.github.io/Logging_0188/klagomål/A 31194-2022 FSC-klagomål.docx", "A 31194-2022")</f>
        <v/>
      </c>
      <c r="W427">
        <f>HYPERLINK("https://klasma.github.io/Logging_0188/klagomålsmail/A 31194-2022 FSC-klagomål mail.docx", "A 31194-2022")</f>
        <v/>
      </c>
      <c r="X427">
        <f>HYPERLINK("https://klasma.github.io/Logging_0188/tillsyn/A 31194-2022 tillsynsbegäran.docx", "A 31194-2022")</f>
        <v/>
      </c>
      <c r="Y427">
        <f>HYPERLINK("https://klasma.github.io/Logging_0188/tillsynsmail/A 31194-2022 tillsynsbegäran mail.docx", "A 31194-2022")</f>
        <v/>
      </c>
    </row>
    <row r="428" ht="15" customHeight="1">
      <c r="A428" t="inlineStr">
        <is>
          <t>A 33477-2022</t>
        </is>
      </c>
      <c r="B428" s="1" t="n">
        <v>44788</v>
      </c>
      <c r="C428" s="1" t="n">
        <v>45693</v>
      </c>
      <c r="D428" t="inlineStr">
        <is>
          <t>STOCKHOLMS LÄN</t>
        </is>
      </c>
      <c r="E428" t="inlineStr">
        <is>
          <t>NORRTÄLJE</t>
        </is>
      </c>
      <c r="G428" t="n">
        <v>5.7</v>
      </c>
      <c r="H428" t="n">
        <v>1</v>
      </c>
      <c r="I428" t="n">
        <v>1</v>
      </c>
      <c r="J428" t="n">
        <v>0</v>
      </c>
      <c r="K428" t="n">
        <v>0</v>
      </c>
      <c r="L428" t="n">
        <v>0</v>
      </c>
      <c r="M428" t="n">
        <v>0</v>
      </c>
      <c r="N428" t="n">
        <v>0</v>
      </c>
      <c r="O428" t="n">
        <v>0</v>
      </c>
      <c r="P428" t="n">
        <v>0</v>
      </c>
      <c r="Q428" t="n">
        <v>1</v>
      </c>
      <c r="R428" s="2" t="inlineStr">
        <is>
          <t>Nästrot</t>
        </is>
      </c>
      <c r="S428">
        <f>HYPERLINK("https://klasma.github.io/Logging_0188/artfynd/A 33477-2022 artfynd.xlsx", "A 33477-2022")</f>
        <v/>
      </c>
      <c r="T428">
        <f>HYPERLINK("https://klasma.github.io/Logging_0188/kartor/A 33477-2022 karta.png", "A 33477-2022")</f>
        <v/>
      </c>
      <c r="V428">
        <f>HYPERLINK("https://klasma.github.io/Logging_0188/klagomål/A 33477-2022 FSC-klagomål.docx", "A 33477-2022")</f>
        <v/>
      </c>
      <c r="W428">
        <f>HYPERLINK("https://klasma.github.io/Logging_0188/klagomålsmail/A 33477-2022 FSC-klagomål mail.docx", "A 33477-2022")</f>
        <v/>
      </c>
      <c r="X428">
        <f>HYPERLINK("https://klasma.github.io/Logging_0188/tillsyn/A 33477-2022 tillsynsbegäran.docx", "A 33477-2022")</f>
        <v/>
      </c>
      <c r="Y428">
        <f>HYPERLINK("https://klasma.github.io/Logging_0188/tillsynsmail/A 33477-2022 tillsynsbegäran mail.docx", "A 33477-2022")</f>
        <v/>
      </c>
    </row>
    <row r="429" ht="15" customHeight="1">
      <c r="A429" t="inlineStr">
        <is>
          <t>A 34823-2022</t>
        </is>
      </c>
      <c r="B429" s="1" t="n">
        <v>44796</v>
      </c>
      <c r="C429" s="1" t="n">
        <v>45693</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37004-2022</t>
        </is>
      </c>
      <c r="B430" s="1" t="n">
        <v>44806</v>
      </c>
      <c r="C430" s="1" t="n">
        <v>45693</v>
      </c>
      <c r="D430" t="inlineStr">
        <is>
          <t>STOCKHOLMS LÄN</t>
        </is>
      </c>
      <c r="E430" t="inlineStr">
        <is>
          <t>HANINGE</t>
        </is>
      </c>
      <c r="F430" t="inlineStr">
        <is>
          <t>Övriga statliga verk och myndigheter</t>
        </is>
      </c>
      <c r="G430" t="n">
        <v>4.4</v>
      </c>
      <c r="H430" t="n">
        <v>1</v>
      </c>
      <c r="I430" t="n">
        <v>1</v>
      </c>
      <c r="J430" t="n">
        <v>0</v>
      </c>
      <c r="K430" t="n">
        <v>0</v>
      </c>
      <c r="L430" t="n">
        <v>0</v>
      </c>
      <c r="M430" t="n">
        <v>0</v>
      </c>
      <c r="N430" t="n">
        <v>0</v>
      </c>
      <c r="O430" t="n">
        <v>0</v>
      </c>
      <c r="P430" t="n">
        <v>0</v>
      </c>
      <c r="Q430" t="n">
        <v>1</v>
      </c>
      <c r="R430" s="2" t="inlineStr">
        <is>
          <t>Skogsknipprot</t>
        </is>
      </c>
      <c r="S430">
        <f>HYPERLINK("https://klasma.github.io/Logging_0136/artfynd/A 37004-2022 artfynd.xlsx", "A 37004-2022")</f>
        <v/>
      </c>
      <c r="T430">
        <f>HYPERLINK("https://klasma.github.io/Logging_0136/kartor/A 37004-2022 karta.png", "A 37004-2022")</f>
        <v/>
      </c>
      <c r="V430">
        <f>HYPERLINK("https://klasma.github.io/Logging_0136/klagomål/A 37004-2022 FSC-klagomål.docx", "A 37004-2022")</f>
        <v/>
      </c>
      <c r="W430">
        <f>HYPERLINK("https://klasma.github.io/Logging_0136/klagomålsmail/A 37004-2022 FSC-klagomål mail.docx", "A 37004-2022")</f>
        <v/>
      </c>
      <c r="X430">
        <f>HYPERLINK("https://klasma.github.io/Logging_0136/tillsyn/A 37004-2022 tillsynsbegäran.docx", "A 37004-2022")</f>
        <v/>
      </c>
      <c r="Y430">
        <f>HYPERLINK("https://klasma.github.io/Logging_0136/tillsynsmail/A 37004-2022 tillsynsbegäran mail.docx", "A 37004-2022")</f>
        <v/>
      </c>
    </row>
    <row r="431" ht="15" customHeight="1">
      <c r="A431" t="inlineStr">
        <is>
          <t>A 37522-2022</t>
        </is>
      </c>
      <c r="B431" s="1" t="n">
        <v>44809</v>
      </c>
      <c r="C431" s="1" t="n">
        <v>45693</v>
      </c>
      <c r="D431" t="inlineStr">
        <is>
          <t>STOCKHOLMS LÄN</t>
        </is>
      </c>
      <c r="E431" t="inlineStr">
        <is>
          <t>NORRTÄLJE</t>
        </is>
      </c>
      <c r="G431" t="n">
        <v>2.4</v>
      </c>
      <c r="H431" t="n">
        <v>1</v>
      </c>
      <c r="I431" t="n">
        <v>0</v>
      </c>
      <c r="J431" t="n">
        <v>0</v>
      </c>
      <c r="K431" t="n">
        <v>0</v>
      </c>
      <c r="L431" t="n">
        <v>0</v>
      </c>
      <c r="M431" t="n">
        <v>0</v>
      </c>
      <c r="N431" t="n">
        <v>0</v>
      </c>
      <c r="O431" t="n">
        <v>0</v>
      </c>
      <c r="P431" t="n">
        <v>0</v>
      </c>
      <c r="Q431" t="n">
        <v>1</v>
      </c>
      <c r="R431" s="2" t="inlineStr">
        <is>
          <t>Blåsippa</t>
        </is>
      </c>
      <c r="S431">
        <f>HYPERLINK("https://klasma.github.io/Logging_0188/artfynd/A 37522-2022 artfynd.xlsx", "A 37522-2022")</f>
        <v/>
      </c>
      <c r="T431">
        <f>HYPERLINK("https://klasma.github.io/Logging_0188/kartor/A 37522-2022 karta.png", "A 37522-2022")</f>
        <v/>
      </c>
      <c r="V431">
        <f>HYPERLINK("https://klasma.github.io/Logging_0188/klagomål/A 37522-2022 FSC-klagomål.docx", "A 37522-2022")</f>
        <v/>
      </c>
      <c r="W431">
        <f>HYPERLINK("https://klasma.github.io/Logging_0188/klagomålsmail/A 37522-2022 FSC-klagomål mail.docx", "A 37522-2022")</f>
        <v/>
      </c>
      <c r="X431">
        <f>HYPERLINK("https://klasma.github.io/Logging_0188/tillsyn/A 37522-2022 tillsynsbegäran.docx", "A 37522-2022")</f>
        <v/>
      </c>
      <c r="Y431">
        <f>HYPERLINK("https://klasma.github.io/Logging_0188/tillsynsmail/A 37522-2022 tillsynsbegäran mail.docx", "A 37522-2022")</f>
        <v/>
      </c>
    </row>
    <row r="432" ht="15" customHeight="1">
      <c r="A432" t="inlineStr">
        <is>
          <t>A 38452-2022</t>
        </is>
      </c>
      <c r="B432" s="1" t="n">
        <v>44813</v>
      </c>
      <c r="C432" s="1" t="n">
        <v>45693</v>
      </c>
      <c r="D432" t="inlineStr">
        <is>
          <t>STOCKHOLMS LÄN</t>
        </is>
      </c>
      <c r="E432" t="inlineStr">
        <is>
          <t>SÖDERTÄLJE</t>
        </is>
      </c>
      <c r="F432" t="inlineStr">
        <is>
          <t>Kommuner</t>
        </is>
      </c>
      <c r="G432" t="n">
        <v>25</v>
      </c>
      <c r="H432" t="n">
        <v>0</v>
      </c>
      <c r="I432" t="n">
        <v>1</v>
      </c>
      <c r="J432" t="n">
        <v>0</v>
      </c>
      <c r="K432" t="n">
        <v>0</v>
      </c>
      <c r="L432" t="n">
        <v>0</v>
      </c>
      <c r="M432" t="n">
        <v>0</v>
      </c>
      <c r="N432" t="n">
        <v>0</v>
      </c>
      <c r="O432" t="n">
        <v>0</v>
      </c>
      <c r="P432" t="n">
        <v>0</v>
      </c>
      <c r="Q432" t="n">
        <v>1</v>
      </c>
      <c r="R432" s="2" t="inlineStr">
        <is>
          <t>Rödgul trumpetsvamp</t>
        </is>
      </c>
      <c r="S432">
        <f>HYPERLINK("https://klasma.github.io/Logging_0181/artfynd/A 38452-2022 artfynd.xlsx", "A 38452-2022")</f>
        <v/>
      </c>
      <c r="T432">
        <f>HYPERLINK("https://klasma.github.io/Logging_0181/kartor/A 38452-2022 karta.png", "A 38452-2022")</f>
        <v/>
      </c>
      <c r="V432">
        <f>HYPERLINK("https://klasma.github.io/Logging_0181/klagomål/A 38452-2022 FSC-klagomål.docx", "A 38452-2022")</f>
        <v/>
      </c>
      <c r="W432">
        <f>HYPERLINK("https://klasma.github.io/Logging_0181/klagomålsmail/A 38452-2022 FSC-klagomål mail.docx", "A 38452-2022")</f>
        <v/>
      </c>
      <c r="X432">
        <f>HYPERLINK("https://klasma.github.io/Logging_0181/tillsyn/A 38452-2022 tillsynsbegäran.docx", "A 38452-2022")</f>
        <v/>
      </c>
      <c r="Y432">
        <f>HYPERLINK("https://klasma.github.io/Logging_0181/tillsynsmail/A 38452-2022 tillsynsbegäran mail.docx", "A 38452-2022")</f>
        <v/>
      </c>
    </row>
    <row r="433" ht="15" customHeight="1">
      <c r="A433" t="inlineStr">
        <is>
          <t>A 39318-2022</t>
        </is>
      </c>
      <c r="B433" s="1" t="n">
        <v>44817</v>
      </c>
      <c r="C433" s="1" t="n">
        <v>45693</v>
      </c>
      <c r="D433" t="inlineStr">
        <is>
          <t>STOCKHOLMS LÄN</t>
        </is>
      </c>
      <c r="E433" t="inlineStr">
        <is>
          <t>NORRTÄLJE</t>
        </is>
      </c>
      <c r="G433" t="n">
        <v>2.4</v>
      </c>
      <c r="H433" t="n">
        <v>1</v>
      </c>
      <c r="I433" t="n">
        <v>0</v>
      </c>
      <c r="J433" t="n">
        <v>0</v>
      </c>
      <c r="K433" t="n">
        <v>1</v>
      </c>
      <c r="L433" t="n">
        <v>0</v>
      </c>
      <c r="M433" t="n">
        <v>0</v>
      </c>
      <c r="N433" t="n">
        <v>0</v>
      </c>
      <c r="O433" t="n">
        <v>1</v>
      </c>
      <c r="P433" t="n">
        <v>1</v>
      </c>
      <c r="Q433" t="n">
        <v>1</v>
      </c>
      <c r="R433" s="2" t="inlineStr">
        <is>
          <t>Stare</t>
        </is>
      </c>
      <c r="S433">
        <f>HYPERLINK("https://klasma.github.io/Logging_0188/artfynd/A 39318-2022 artfynd.xlsx", "A 39318-2022")</f>
        <v/>
      </c>
      <c r="T433">
        <f>HYPERLINK("https://klasma.github.io/Logging_0188/kartor/A 39318-2022 karta.png", "A 39318-2022")</f>
        <v/>
      </c>
      <c r="V433">
        <f>HYPERLINK("https://klasma.github.io/Logging_0188/klagomål/A 39318-2022 FSC-klagomål.docx", "A 39318-2022")</f>
        <v/>
      </c>
      <c r="W433">
        <f>HYPERLINK("https://klasma.github.io/Logging_0188/klagomålsmail/A 39318-2022 FSC-klagomål mail.docx", "A 39318-2022")</f>
        <v/>
      </c>
      <c r="X433">
        <f>HYPERLINK("https://klasma.github.io/Logging_0188/tillsyn/A 39318-2022 tillsynsbegäran.docx", "A 39318-2022")</f>
        <v/>
      </c>
      <c r="Y433">
        <f>HYPERLINK("https://klasma.github.io/Logging_0188/tillsynsmail/A 39318-2022 tillsynsbegäran mail.docx", "A 39318-2022")</f>
        <v/>
      </c>
    </row>
    <row r="434" ht="15" customHeight="1">
      <c r="A434" t="inlineStr">
        <is>
          <t>A 39636-2022</t>
        </is>
      </c>
      <c r="B434" s="1" t="n">
        <v>44818</v>
      </c>
      <c r="C434" s="1" t="n">
        <v>45693</v>
      </c>
      <c r="D434" t="inlineStr">
        <is>
          <t>STOCKHOLMS LÄN</t>
        </is>
      </c>
      <c r="E434" t="inlineStr">
        <is>
          <t>HANINGE</t>
        </is>
      </c>
      <c r="G434" t="n">
        <v>2</v>
      </c>
      <c r="H434" t="n">
        <v>0</v>
      </c>
      <c r="I434" t="n">
        <v>0</v>
      </c>
      <c r="J434" t="n">
        <v>0</v>
      </c>
      <c r="K434" t="n">
        <v>1</v>
      </c>
      <c r="L434" t="n">
        <v>0</v>
      </c>
      <c r="M434" t="n">
        <v>0</v>
      </c>
      <c r="N434" t="n">
        <v>0</v>
      </c>
      <c r="O434" t="n">
        <v>1</v>
      </c>
      <c r="P434" t="n">
        <v>1</v>
      </c>
      <c r="Q434" t="n">
        <v>1</v>
      </c>
      <c r="R434" s="2" t="inlineStr">
        <is>
          <t>Koppartaggsvamp</t>
        </is>
      </c>
      <c r="S434">
        <f>HYPERLINK("https://klasma.github.io/Logging_0136/artfynd/A 39636-2022 artfynd.xlsx", "A 39636-2022")</f>
        <v/>
      </c>
      <c r="T434">
        <f>HYPERLINK("https://klasma.github.io/Logging_0136/kartor/A 39636-2022 karta.png", "A 39636-2022")</f>
        <v/>
      </c>
      <c r="V434">
        <f>HYPERLINK("https://klasma.github.io/Logging_0136/klagomål/A 39636-2022 FSC-klagomål.docx", "A 39636-2022")</f>
        <v/>
      </c>
      <c r="W434">
        <f>HYPERLINK("https://klasma.github.io/Logging_0136/klagomålsmail/A 39636-2022 FSC-klagomål mail.docx", "A 39636-2022")</f>
        <v/>
      </c>
      <c r="X434">
        <f>HYPERLINK("https://klasma.github.io/Logging_0136/tillsyn/A 39636-2022 tillsynsbegäran.docx", "A 39636-2022")</f>
        <v/>
      </c>
      <c r="Y434">
        <f>HYPERLINK("https://klasma.github.io/Logging_0136/tillsynsmail/A 39636-2022 tillsynsbegäran mail.docx", "A 39636-2022")</f>
        <v/>
      </c>
    </row>
    <row r="435" ht="15" customHeight="1">
      <c r="A435" t="inlineStr">
        <is>
          <t>A 40672-2022</t>
        </is>
      </c>
      <c r="B435" s="1" t="n">
        <v>44824</v>
      </c>
      <c r="C435" s="1" t="n">
        <v>45693</v>
      </c>
      <c r="D435" t="inlineStr">
        <is>
          <t>STOCKHOLMS LÄN</t>
        </is>
      </c>
      <c r="E435" t="inlineStr">
        <is>
          <t>NORRTÄLJE</t>
        </is>
      </c>
      <c r="F435" t="inlineStr">
        <is>
          <t>Övriga Aktiebolag</t>
        </is>
      </c>
      <c r="G435" t="n">
        <v>1.3</v>
      </c>
      <c r="H435" t="n">
        <v>0</v>
      </c>
      <c r="I435" t="n">
        <v>0</v>
      </c>
      <c r="J435" t="n">
        <v>1</v>
      </c>
      <c r="K435" t="n">
        <v>0</v>
      </c>
      <c r="L435" t="n">
        <v>0</v>
      </c>
      <c r="M435" t="n">
        <v>0</v>
      </c>
      <c r="N435" t="n">
        <v>0</v>
      </c>
      <c r="O435" t="n">
        <v>1</v>
      </c>
      <c r="P435" t="n">
        <v>0</v>
      </c>
      <c r="Q435" t="n">
        <v>1</v>
      </c>
      <c r="R435" s="2" t="inlineStr">
        <is>
          <t>Månlåsbräken</t>
        </is>
      </c>
      <c r="S435">
        <f>HYPERLINK("https://klasma.github.io/Logging_0188/artfynd/A 40672-2022 artfynd.xlsx", "A 40672-2022")</f>
        <v/>
      </c>
      <c r="T435">
        <f>HYPERLINK("https://klasma.github.io/Logging_0188/kartor/A 40672-2022 karta.png", "A 40672-2022")</f>
        <v/>
      </c>
      <c r="V435">
        <f>HYPERLINK("https://klasma.github.io/Logging_0188/klagomål/A 40672-2022 FSC-klagomål.docx", "A 40672-2022")</f>
        <v/>
      </c>
      <c r="W435">
        <f>HYPERLINK("https://klasma.github.io/Logging_0188/klagomålsmail/A 40672-2022 FSC-klagomål mail.docx", "A 40672-2022")</f>
        <v/>
      </c>
      <c r="X435">
        <f>HYPERLINK("https://klasma.github.io/Logging_0188/tillsyn/A 40672-2022 tillsynsbegäran.docx", "A 40672-2022")</f>
        <v/>
      </c>
      <c r="Y435">
        <f>HYPERLINK("https://klasma.github.io/Logging_0188/tillsynsmail/A 40672-2022 tillsynsbegäran mail.docx", "A 40672-2022")</f>
        <v/>
      </c>
    </row>
    <row r="436" ht="15" customHeight="1">
      <c r="A436" t="inlineStr">
        <is>
          <t>A 44709-2022</t>
        </is>
      </c>
      <c r="B436" s="1" t="n">
        <v>44839</v>
      </c>
      <c r="C436" s="1" t="n">
        <v>45693</v>
      </c>
      <c r="D436" t="inlineStr">
        <is>
          <t>STOCKHOLMS LÄN</t>
        </is>
      </c>
      <c r="E436" t="inlineStr">
        <is>
          <t>NORRTÄLJE</t>
        </is>
      </c>
      <c r="G436" t="n">
        <v>16.3</v>
      </c>
      <c r="H436" t="n">
        <v>0</v>
      </c>
      <c r="I436" t="n">
        <v>0</v>
      </c>
      <c r="J436" t="n">
        <v>1</v>
      </c>
      <c r="K436" t="n">
        <v>0</v>
      </c>
      <c r="L436" t="n">
        <v>0</v>
      </c>
      <c r="M436" t="n">
        <v>0</v>
      </c>
      <c r="N436" t="n">
        <v>0</v>
      </c>
      <c r="O436" t="n">
        <v>1</v>
      </c>
      <c r="P436" t="n">
        <v>0</v>
      </c>
      <c r="Q436" t="n">
        <v>1</v>
      </c>
      <c r="R436" s="2" t="inlineStr">
        <is>
          <t>Asppraktbagge</t>
        </is>
      </c>
      <c r="S436">
        <f>HYPERLINK("https://klasma.github.io/Logging_0188/artfynd/A 44709-2022 artfynd.xlsx", "A 44709-2022")</f>
        <v/>
      </c>
      <c r="T436">
        <f>HYPERLINK("https://klasma.github.io/Logging_0188/kartor/A 44709-2022 karta.png", "A 44709-2022")</f>
        <v/>
      </c>
      <c r="V436">
        <f>HYPERLINK("https://klasma.github.io/Logging_0188/klagomål/A 44709-2022 FSC-klagomål.docx", "A 44709-2022")</f>
        <v/>
      </c>
      <c r="W436">
        <f>HYPERLINK("https://klasma.github.io/Logging_0188/klagomålsmail/A 44709-2022 FSC-klagomål mail.docx", "A 44709-2022")</f>
        <v/>
      </c>
      <c r="X436">
        <f>HYPERLINK("https://klasma.github.io/Logging_0188/tillsyn/A 44709-2022 tillsynsbegäran.docx", "A 44709-2022")</f>
        <v/>
      </c>
      <c r="Y436">
        <f>HYPERLINK("https://klasma.github.io/Logging_0188/tillsynsmail/A 44709-2022 tillsynsbegäran mail.docx", "A 44709-2022")</f>
        <v/>
      </c>
    </row>
    <row r="437" ht="15" customHeight="1">
      <c r="A437" t="inlineStr">
        <is>
          <t>A 44958-2022</t>
        </is>
      </c>
      <c r="B437" s="1" t="n">
        <v>44841</v>
      </c>
      <c r="C437" s="1" t="n">
        <v>45693</v>
      </c>
      <c r="D437" t="inlineStr">
        <is>
          <t>STOCKHOLMS LÄN</t>
        </is>
      </c>
      <c r="E437" t="inlineStr">
        <is>
          <t>SÖDERTÄLJE</t>
        </is>
      </c>
      <c r="F437" t="inlineStr">
        <is>
          <t>Sveaskog</t>
        </is>
      </c>
      <c r="G437" t="n">
        <v>0.5</v>
      </c>
      <c r="H437" t="n">
        <v>0</v>
      </c>
      <c r="I437" t="n">
        <v>0</v>
      </c>
      <c r="J437" t="n">
        <v>1</v>
      </c>
      <c r="K437" t="n">
        <v>0</v>
      </c>
      <c r="L437" t="n">
        <v>0</v>
      </c>
      <c r="M437" t="n">
        <v>0</v>
      </c>
      <c r="N437" t="n">
        <v>0</v>
      </c>
      <c r="O437" t="n">
        <v>1</v>
      </c>
      <c r="P437" t="n">
        <v>0</v>
      </c>
      <c r="Q437" t="n">
        <v>1</v>
      </c>
      <c r="R437" s="2" t="inlineStr">
        <is>
          <t>Slåtterfibbla</t>
        </is>
      </c>
      <c r="S437">
        <f>HYPERLINK("https://klasma.github.io/Logging_0181/artfynd/A 44958-2022 artfynd.xlsx", "A 44958-2022")</f>
        <v/>
      </c>
      <c r="T437">
        <f>HYPERLINK("https://klasma.github.io/Logging_0181/kartor/A 44958-2022 karta.png", "A 44958-2022")</f>
        <v/>
      </c>
      <c r="V437">
        <f>HYPERLINK("https://klasma.github.io/Logging_0181/klagomål/A 44958-2022 FSC-klagomål.docx", "A 44958-2022")</f>
        <v/>
      </c>
      <c r="W437">
        <f>HYPERLINK("https://klasma.github.io/Logging_0181/klagomålsmail/A 44958-2022 FSC-klagomål mail.docx", "A 44958-2022")</f>
        <v/>
      </c>
      <c r="X437">
        <f>HYPERLINK("https://klasma.github.io/Logging_0181/tillsyn/A 44958-2022 tillsynsbegäran.docx", "A 44958-2022")</f>
        <v/>
      </c>
      <c r="Y437">
        <f>HYPERLINK("https://klasma.github.io/Logging_0181/tillsynsmail/A 44958-2022 tillsynsbegäran mail.docx", "A 44958-2022")</f>
        <v/>
      </c>
    </row>
    <row r="438" ht="15" customHeight="1">
      <c r="A438" t="inlineStr">
        <is>
          <t>A 47898-2022</t>
        </is>
      </c>
      <c r="B438" s="1" t="n">
        <v>44855</v>
      </c>
      <c r="C438" s="1" t="n">
        <v>45693</v>
      </c>
      <c r="D438" t="inlineStr">
        <is>
          <t>STOCKHOLMS LÄN</t>
        </is>
      </c>
      <c r="E438" t="inlineStr">
        <is>
          <t>NORRTÄLJE</t>
        </is>
      </c>
      <c r="G438" t="n">
        <v>6.7</v>
      </c>
      <c r="H438" t="n">
        <v>1</v>
      </c>
      <c r="I438" t="n">
        <v>1</v>
      </c>
      <c r="J438" t="n">
        <v>0</v>
      </c>
      <c r="K438" t="n">
        <v>0</v>
      </c>
      <c r="L438" t="n">
        <v>0</v>
      </c>
      <c r="M438" t="n">
        <v>0</v>
      </c>
      <c r="N438" t="n">
        <v>0</v>
      </c>
      <c r="O438" t="n">
        <v>0</v>
      </c>
      <c r="P438" t="n">
        <v>0</v>
      </c>
      <c r="Q438" t="n">
        <v>1</v>
      </c>
      <c r="R438" s="2" t="inlineStr">
        <is>
          <t>Guckusko</t>
        </is>
      </c>
      <c r="S438">
        <f>HYPERLINK("https://klasma.github.io/Logging_0188/artfynd/A 47898-2022 artfynd.xlsx", "A 47898-2022")</f>
        <v/>
      </c>
      <c r="T438">
        <f>HYPERLINK("https://klasma.github.io/Logging_0188/kartor/A 47898-2022 karta.png", "A 47898-2022")</f>
        <v/>
      </c>
      <c r="V438">
        <f>HYPERLINK("https://klasma.github.io/Logging_0188/klagomål/A 47898-2022 FSC-klagomål.docx", "A 47898-2022")</f>
        <v/>
      </c>
      <c r="W438">
        <f>HYPERLINK("https://klasma.github.io/Logging_0188/klagomålsmail/A 47898-2022 FSC-klagomål mail.docx", "A 47898-2022")</f>
        <v/>
      </c>
      <c r="X438">
        <f>HYPERLINK("https://klasma.github.io/Logging_0188/tillsyn/A 47898-2022 tillsynsbegäran.docx", "A 47898-2022")</f>
        <v/>
      </c>
      <c r="Y438">
        <f>HYPERLINK("https://klasma.github.io/Logging_0188/tillsynsmail/A 47898-2022 tillsynsbegäran mail.docx", "A 47898-2022")</f>
        <v/>
      </c>
    </row>
    <row r="439" ht="15" customHeight="1">
      <c r="A439" t="inlineStr">
        <is>
          <t>A 48658-2022</t>
        </is>
      </c>
      <c r="B439" s="1" t="n">
        <v>44859</v>
      </c>
      <c r="C439" s="1" t="n">
        <v>45693</v>
      </c>
      <c r="D439" t="inlineStr">
        <is>
          <t>STOCKHOLMS LÄN</t>
        </is>
      </c>
      <c r="E439" t="inlineStr">
        <is>
          <t>VÄRMDÖ</t>
        </is>
      </c>
      <c r="G439" t="n">
        <v>4.2</v>
      </c>
      <c r="H439" t="n">
        <v>0</v>
      </c>
      <c r="I439" t="n">
        <v>0</v>
      </c>
      <c r="J439" t="n">
        <v>1</v>
      </c>
      <c r="K439" t="n">
        <v>0</v>
      </c>
      <c r="L439" t="n">
        <v>0</v>
      </c>
      <c r="M439" t="n">
        <v>0</v>
      </c>
      <c r="N439" t="n">
        <v>0</v>
      </c>
      <c r="O439" t="n">
        <v>1</v>
      </c>
      <c r="P439" t="n">
        <v>0</v>
      </c>
      <c r="Q439" t="n">
        <v>1</v>
      </c>
      <c r="R439" s="2" t="inlineStr">
        <is>
          <t>Tallticka</t>
        </is>
      </c>
      <c r="S439">
        <f>HYPERLINK("https://klasma.github.io/Logging_0120/artfynd/A 48658-2022 artfynd.xlsx", "A 48658-2022")</f>
        <v/>
      </c>
      <c r="T439">
        <f>HYPERLINK("https://klasma.github.io/Logging_0120/kartor/A 48658-2022 karta.png", "A 48658-2022")</f>
        <v/>
      </c>
      <c r="V439">
        <f>HYPERLINK("https://klasma.github.io/Logging_0120/klagomål/A 48658-2022 FSC-klagomål.docx", "A 48658-2022")</f>
        <v/>
      </c>
      <c r="W439">
        <f>HYPERLINK("https://klasma.github.io/Logging_0120/klagomålsmail/A 48658-2022 FSC-klagomål mail.docx", "A 48658-2022")</f>
        <v/>
      </c>
      <c r="X439">
        <f>HYPERLINK("https://klasma.github.io/Logging_0120/tillsyn/A 48658-2022 tillsynsbegäran.docx", "A 48658-2022")</f>
        <v/>
      </c>
      <c r="Y439">
        <f>HYPERLINK("https://klasma.github.io/Logging_0120/tillsynsmail/A 48658-2022 tillsynsbegäran mail.docx", "A 48658-2022")</f>
        <v/>
      </c>
    </row>
    <row r="440" ht="15" customHeight="1">
      <c r="A440" t="inlineStr">
        <is>
          <t>A 50854-2022</t>
        </is>
      </c>
      <c r="B440" s="1" t="n">
        <v>44863</v>
      </c>
      <c r="C440" s="1" t="n">
        <v>45693</v>
      </c>
      <c r="D440" t="inlineStr">
        <is>
          <t>STOCKHOLMS LÄN</t>
        </is>
      </c>
      <c r="E440" t="inlineStr">
        <is>
          <t>NORRTÄLJE</t>
        </is>
      </c>
      <c r="G440" t="n">
        <v>2.9</v>
      </c>
      <c r="H440" t="n">
        <v>0</v>
      </c>
      <c r="I440" t="n">
        <v>1</v>
      </c>
      <c r="J440" t="n">
        <v>0</v>
      </c>
      <c r="K440" t="n">
        <v>0</v>
      </c>
      <c r="L440" t="n">
        <v>0</v>
      </c>
      <c r="M440" t="n">
        <v>0</v>
      </c>
      <c r="N440" t="n">
        <v>0</v>
      </c>
      <c r="O440" t="n">
        <v>0</v>
      </c>
      <c r="P440" t="n">
        <v>0</v>
      </c>
      <c r="Q440" t="n">
        <v>1</v>
      </c>
      <c r="R440" s="2" t="inlineStr">
        <is>
          <t>Tibast</t>
        </is>
      </c>
      <c r="S440">
        <f>HYPERLINK("https://klasma.github.io/Logging_0188/artfynd/A 50854-2022 artfynd.xlsx", "A 50854-2022")</f>
        <v/>
      </c>
      <c r="T440">
        <f>HYPERLINK("https://klasma.github.io/Logging_0188/kartor/A 50854-2022 karta.png", "A 50854-2022")</f>
        <v/>
      </c>
      <c r="V440">
        <f>HYPERLINK("https://klasma.github.io/Logging_0188/klagomål/A 50854-2022 FSC-klagomål.docx", "A 50854-2022")</f>
        <v/>
      </c>
      <c r="W440">
        <f>HYPERLINK("https://klasma.github.io/Logging_0188/klagomålsmail/A 50854-2022 FSC-klagomål mail.docx", "A 50854-2022")</f>
        <v/>
      </c>
      <c r="X440">
        <f>HYPERLINK("https://klasma.github.io/Logging_0188/tillsyn/A 50854-2022 tillsynsbegäran.docx", "A 50854-2022")</f>
        <v/>
      </c>
      <c r="Y440">
        <f>HYPERLINK("https://klasma.github.io/Logging_0188/tillsynsmail/A 50854-2022 tillsynsbegäran mail.docx", "A 50854-2022")</f>
        <v/>
      </c>
    </row>
    <row r="441" ht="15" customHeight="1">
      <c r="A441" t="inlineStr">
        <is>
          <t>A 51189-2022</t>
        </is>
      </c>
      <c r="B441" s="1" t="n">
        <v>44865</v>
      </c>
      <c r="C441" s="1" t="n">
        <v>45693</v>
      </c>
      <c r="D441" t="inlineStr">
        <is>
          <t>STOCKHOLMS LÄN</t>
        </is>
      </c>
      <c r="E441" t="inlineStr">
        <is>
          <t>SIGTUNA</t>
        </is>
      </c>
      <c r="G441" t="n">
        <v>32.8</v>
      </c>
      <c r="H441" t="n">
        <v>0</v>
      </c>
      <c r="I441" t="n">
        <v>0</v>
      </c>
      <c r="J441" t="n">
        <v>1</v>
      </c>
      <c r="K441" t="n">
        <v>0</v>
      </c>
      <c r="L441" t="n">
        <v>0</v>
      </c>
      <c r="M441" t="n">
        <v>0</v>
      </c>
      <c r="N441" t="n">
        <v>0</v>
      </c>
      <c r="O441" t="n">
        <v>1</v>
      </c>
      <c r="P441" t="n">
        <v>0</v>
      </c>
      <c r="Q441" t="n">
        <v>1</v>
      </c>
      <c r="R441" s="2" t="inlineStr">
        <is>
          <t>Vedskivlav</t>
        </is>
      </c>
      <c r="S441">
        <f>HYPERLINK("https://klasma.github.io/Logging_0191/artfynd/A 51189-2022 artfynd.xlsx", "A 51189-2022")</f>
        <v/>
      </c>
      <c r="T441">
        <f>HYPERLINK("https://klasma.github.io/Logging_0191/kartor/A 51189-2022 karta.png", "A 51189-2022")</f>
        <v/>
      </c>
      <c r="V441">
        <f>HYPERLINK("https://klasma.github.io/Logging_0191/klagomål/A 51189-2022 FSC-klagomål.docx", "A 51189-2022")</f>
        <v/>
      </c>
      <c r="W441">
        <f>HYPERLINK("https://klasma.github.io/Logging_0191/klagomålsmail/A 51189-2022 FSC-klagomål mail.docx", "A 51189-2022")</f>
        <v/>
      </c>
      <c r="X441">
        <f>HYPERLINK("https://klasma.github.io/Logging_0191/tillsyn/A 51189-2022 tillsynsbegäran.docx", "A 51189-2022")</f>
        <v/>
      </c>
      <c r="Y441">
        <f>HYPERLINK("https://klasma.github.io/Logging_0191/tillsynsmail/A 51189-2022 tillsynsbegäran mail.docx", "A 51189-2022")</f>
        <v/>
      </c>
    </row>
    <row r="442" ht="15" customHeight="1">
      <c r="A442" t="inlineStr">
        <is>
          <t>A 52130-2022</t>
        </is>
      </c>
      <c r="B442" s="1" t="n">
        <v>44868</v>
      </c>
      <c r="C442" s="1" t="n">
        <v>45693</v>
      </c>
      <c r="D442" t="inlineStr">
        <is>
          <t>STOCKHOLMS LÄN</t>
        </is>
      </c>
      <c r="E442" t="inlineStr">
        <is>
          <t>NORRTÄLJE</t>
        </is>
      </c>
      <c r="G442" t="n">
        <v>3.7</v>
      </c>
      <c r="H442" t="n">
        <v>0</v>
      </c>
      <c r="I442" t="n">
        <v>0</v>
      </c>
      <c r="J442" t="n">
        <v>1</v>
      </c>
      <c r="K442" t="n">
        <v>0</v>
      </c>
      <c r="L442" t="n">
        <v>0</v>
      </c>
      <c r="M442" t="n">
        <v>0</v>
      </c>
      <c r="N442" t="n">
        <v>0</v>
      </c>
      <c r="O442" t="n">
        <v>1</v>
      </c>
      <c r="P442" t="n">
        <v>0</v>
      </c>
      <c r="Q442" t="n">
        <v>1</v>
      </c>
      <c r="R442" s="2" t="inlineStr">
        <is>
          <t>Flattoppad klubbsvamp</t>
        </is>
      </c>
      <c r="S442">
        <f>HYPERLINK("https://klasma.github.io/Logging_0188/artfynd/A 52130-2022 artfynd.xlsx", "A 52130-2022")</f>
        <v/>
      </c>
      <c r="T442">
        <f>HYPERLINK("https://klasma.github.io/Logging_0188/kartor/A 52130-2022 karta.png", "A 52130-2022")</f>
        <v/>
      </c>
      <c r="V442">
        <f>HYPERLINK("https://klasma.github.io/Logging_0188/klagomål/A 52130-2022 FSC-klagomål.docx", "A 52130-2022")</f>
        <v/>
      </c>
      <c r="W442">
        <f>HYPERLINK("https://klasma.github.io/Logging_0188/klagomålsmail/A 52130-2022 FSC-klagomål mail.docx", "A 52130-2022")</f>
        <v/>
      </c>
      <c r="X442">
        <f>HYPERLINK("https://klasma.github.io/Logging_0188/tillsyn/A 52130-2022 tillsynsbegäran.docx", "A 52130-2022")</f>
        <v/>
      </c>
      <c r="Y442">
        <f>HYPERLINK("https://klasma.github.io/Logging_0188/tillsynsmail/A 52130-2022 tillsynsbegäran mail.docx", "A 52130-2022")</f>
        <v/>
      </c>
    </row>
    <row r="443" ht="15" customHeight="1">
      <c r="A443" t="inlineStr">
        <is>
          <t>A 61011-2022</t>
        </is>
      </c>
      <c r="B443" s="1" t="n">
        <v>44914</v>
      </c>
      <c r="C443" s="1" t="n">
        <v>45693</v>
      </c>
      <c r="D443" t="inlineStr">
        <is>
          <t>STOCKHOLMS LÄN</t>
        </is>
      </c>
      <c r="E443" t="inlineStr">
        <is>
          <t>NORRTÄLJE</t>
        </is>
      </c>
      <c r="G443" t="n">
        <v>2.2</v>
      </c>
      <c r="H443" t="n">
        <v>0</v>
      </c>
      <c r="I443" t="n">
        <v>0</v>
      </c>
      <c r="J443" t="n">
        <v>1</v>
      </c>
      <c r="K443" t="n">
        <v>0</v>
      </c>
      <c r="L443" t="n">
        <v>0</v>
      </c>
      <c r="M443" t="n">
        <v>0</v>
      </c>
      <c r="N443" t="n">
        <v>0</v>
      </c>
      <c r="O443" t="n">
        <v>1</v>
      </c>
      <c r="P443" t="n">
        <v>0</v>
      </c>
      <c r="Q443" t="n">
        <v>1</v>
      </c>
      <c r="R443" s="2" t="inlineStr">
        <is>
          <t>Orange taggsvamp</t>
        </is>
      </c>
      <c r="S443">
        <f>HYPERLINK("https://klasma.github.io/Logging_0188/artfynd/A 61011-2022 artfynd.xlsx", "A 61011-2022")</f>
        <v/>
      </c>
      <c r="T443">
        <f>HYPERLINK("https://klasma.github.io/Logging_0188/kartor/A 61011-2022 karta.png", "A 61011-2022")</f>
        <v/>
      </c>
      <c r="V443">
        <f>HYPERLINK("https://klasma.github.io/Logging_0188/klagomål/A 61011-2022 FSC-klagomål.docx", "A 61011-2022")</f>
        <v/>
      </c>
      <c r="W443">
        <f>HYPERLINK("https://klasma.github.io/Logging_0188/klagomålsmail/A 61011-2022 FSC-klagomål mail.docx", "A 61011-2022")</f>
        <v/>
      </c>
      <c r="X443">
        <f>HYPERLINK("https://klasma.github.io/Logging_0188/tillsyn/A 61011-2022 tillsynsbegäran.docx", "A 61011-2022")</f>
        <v/>
      </c>
      <c r="Y443">
        <f>HYPERLINK("https://klasma.github.io/Logging_0188/tillsynsmail/A 61011-2022 tillsynsbegäran mail.docx", "A 61011-2022")</f>
        <v/>
      </c>
    </row>
    <row r="444" ht="15" customHeight="1">
      <c r="A444" t="inlineStr">
        <is>
          <t>A 61372-2022</t>
        </is>
      </c>
      <c r="B444" s="1" t="n">
        <v>44915</v>
      </c>
      <c r="C444" s="1" t="n">
        <v>45693</v>
      </c>
      <c r="D444" t="inlineStr">
        <is>
          <t>STOCKHOLMS LÄN</t>
        </is>
      </c>
      <c r="E444" t="inlineStr">
        <is>
          <t>ÖSTERÅKER</t>
        </is>
      </c>
      <c r="G444" t="n">
        <v>4.3</v>
      </c>
      <c r="H444" t="n">
        <v>0</v>
      </c>
      <c r="I444" t="n">
        <v>1</v>
      </c>
      <c r="J444" t="n">
        <v>0</v>
      </c>
      <c r="K444" t="n">
        <v>0</v>
      </c>
      <c r="L444" t="n">
        <v>0</v>
      </c>
      <c r="M444" t="n">
        <v>0</v>
      </c>
      <c r="N444" t="n">
        <v>0</v>
      </c>
      <c r="O444" t="n">
        <v>0</v>
      </c>
      <c r="P444" t="n">
        <v>0</v>
      </c>
      <c r="Q444" t="n">
        <v>1</v>
      </c>
      <c r="R444" s="2" t="inlineStr">
        <is>
          <t>Mindre märgborre</t>
        </is>
      </c>
      <c r="S444">
        <f>HYPERLINK("https://klasma.github.io/Logging_0117/artfynd/A 61372-2022 artfynd.xlsx", "A 61372-2022")</f>
        <v/>
      </c>
      <c r="T444">
        <f>HYPERLINK("https://klasma.github.io/Logging_0117/kartor/A 61372-2022 karta.png", "A 61372-2022")</f>
        <v/>
      </c>
      <c r="V444">
        <f>HYPERLINK("https://klasma.github.io/Logging_0117/klagomål/A 61372-2022 FSC-klagomål.docx", "A 61372-2022")</f>
        <v/>
      </c>
      <c r="W444">
        <f>HYPERLINK("https://klasma.github.io/Logging_0117/klagomålsmail/A 61372-2022 FSC-klagomål mail.docx", "A 61372-2022")</f>
        <v/>
      </c>
      <c r="X444">
        <f>HYPERLINK("https://klasma.github.io/Logging_0117/tillsyn/A 61372-2022 tillsynsbegäran.docx", "A 61372-2022")</f>
        <v/>
      </c>
      <c r="Y444">
        <f>HYPERLINK("https://klasma.github.io/Logging_0117/tillsynsmail/A 61372-2022 tillsynsbegäran mail.docx", "A 61372-2022")</f>
        <v/>
      </c>
    </row>
    <row r="445" ht="15" customHeight="1">
      <c r="A445" t="inlineStr">
        <is>
          <t>A 61732-2022</t>
        </is>
      </c>
      <c r="B445" s="1" t="n">
        <v>44917</v>
      </c>
      <c r="C445" s="1" t="n">
        <v>45693</v>
      </c>
      <c r="D445" t="inlineStr">
        <is>
          <t>STOCKHOLMS LÄN</t>
        </is>
      </c>
      <c r="E445" t="inlineStr">
        <is>
          <t>ÖSTERÅKER</t>
        </is>
      </c>
      <c r="G445" t="n">
        <v>2.2</v>
      </c>
      <c r="H445" t="n">
        <v>0</v>
      </c>
      <c r="I445" t="n">
        <v>0</v>
      </c>
      <c r="J445" t="n">
        <v>1</v>
      </c>
      <c r="K445" t="n">
        <v>0</v>
      </c>
      <c r="L445" t="n">
        <v>0</v>
      </c>
      <c r="M445" t="n">
        <v>0</v>
      </c>
      <c r="N445" t="n">
        <v>0</v>
      </c>
      <c r="O445" t="n">
        <v>1</v>
      </c>
      <c r="P445" t="n">
        <v>0</v>
      </c>
      <c r="Q445" t="n">
        <v>1</v>
      </c>
      <c r="R445" s="2" t="inlineStr">
        <is>
          <t>Ullticka</t>
        </is>
      </c>
      <c r="S445">
        <f>HYPERLINK("https://klasma.github.io/Logging_0117/artfynd/A 61732-2022 artfynd.xlsx", "A 61732-2022")</f>
        <v/>
      </c>
      <c r="T445">
        <f>HYPERLINK("https://klasma.github.io/Logging_0117/kartor/A 61732-2022 karta.png", "A 61732-2022")</f>
        <v/>
      </c>
      <c r="V445">
        <f>HYPERLINK("https://klasma.github.io/Logging_0117/klagomål/A 61732-2022 FSC-klagomål.docx", "A 61732-2022")</f>
        <v/>
      </c>
      <c r="W445">
        <f>HYPERLINK("https://klasma.github.io/Logging_0117/klagomålsmail/A 61732-2022 FSC-klagomål mail.docx", "A 61732-2022")</f>
        <v/>
      </c>
      <c r="X445">
        <f>HYPERLINK("https://klasma.github.io/Logging_0117/tillsyn/A 61732-2022 tillsynsbegäran.docx", "A 61732-2022")</f>
        <v/>
      </c>
      <c r="Y445">
        <f>HYPERLINK("https://klasma.github.io/Logging_0117/tillsynsmail/A 61732-2022 tillsynsbegäran mail.docx", "A 61732-2022")</f>
        <v/>
      </c>
    </row>
    <row r="446" ht="15" customHeight="1">
      <c r="A446" t="inlineStr">
        <is>
          <t>A 847-2023</t>
        </is>
      </c>
      <c r="B446" s="1" t="n">
        <v>44931</v>
      </c>
      <c r="C446" s="1" t="n">
        <v>45693</v>
      </c>
      <c r="D446" t="inlineStr">
        <is>
          <t>STOCKHOLMS LÄN</t>
        </is>
      </c>
      <c r="E446" t="inlineStr">
        <is>
          <t>ÖSTERÅKER</t>
        </is>
      </c>
      <c r="G446" t="n">
        <v>3</v>
      </c>
      <c r="H446" t="n">
        <v>1</v>
      </c>
      <c r="I446" t="n">
        <v>0</v>
      </c>
      <c r="J446" t="n">
        <v>1</v>
      </c>
      <c r="K446" t="n">
        <v>0</v>
      </c>
      <c r="L446" t="n">
        <v>0</v>
      </c>
      <c r="M446" t="n">
        <v>0</v>
      </c>
      <c r="N446" t="n">
        <v>0</v>
      </c>
      <c r="O446" t="n">
        <v>1</v>
      </c>
      <c r="P446" t="n">
        <v>0</v>
      </c>
      <c r="Q446" t="n">
        <v>1</v>
      </c>
      <c r="R446" s="2" t="inlineStr">
        <is>
          <t>Talltita</t>
        </is>
      </c>
      <c r="S446">
        <f>HYPERLINK("https://klasma.github.io/Logging_0117/artfynd/A 847-2023 artfynd.xlsx", "A 847-2023")</f>
        <v/>
      </c>
      <c r="T446">
        <f>HYPERLINK("https://klasma.github.io/Logging_0117/kartor/A 847-2023 karta.png", "A 847-2023")</f>
        <v/>
      </c>
      <c r="V446">
        <f>HYPERLINK("https://klasma.github.io/Logging_0117/klagomål/A 847-2023 FSC-klagomål.docx", "A 847-2023")</f>
        <v/>
      </c>
      <c r="W446">
        <f>HYPERLINK("https://klasma.github.io/Logging_0117/klagomålsmail/A 847-2023 FSC-klagomål mail.docx", "A 847-2023")</f>
        <v/>
      </c>
      <c r="X446">
        <f>HYPERLINK("https://klasma.github.io/Logging_0117/tillsyn/A 847-2023 tillsynsbegäran.docx", "A 847-2023")</f>
        <v/>
      </c>
      <c r="Y446">
        <f>HYPERLINK("https://klasma.github.io/Logging_0117/tillsynsmail/A 847-2023 tillsynsbegäran mail.docx", "A 847-2023")</f>
        <v/>
      </c>
      <c r="Z446">
        <f>HYPERLINK("https://klasma.github.io/Logging_0117/fåglar/A 847-2023 prioriterade fågelarter.docx", "A 847-2023")</f>
        <v/>
      </c>
    </row>
    <row r="447" ht="15" customHeight="1">
      <c r="A447" t="inlineStr">
        <is>
          <t>A 1691-2023</t>
        </is>
      </c>
      <c r="B447" s="1" t="n">
        <v>44938</v>
      </c>
      <c r="C447" s="1" t="n">
        <v>45693</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1691-2023 artfynd.xlsx", "A 1691-2023")</f>
        <v/>
      </c>
      <c r="T447">
        <f>HYPERLINK("https://klasma.github.io/Logging_0127/kartor/A 1691-2023 karta.png", "A 1691-2023")</f>
        <v/>
      </c>
      <c r="V447">
        <f>HYPERLINK("https://klasma.github.io/Logging_0127/klagomål/A 1691-2023 FSC-klagomål.docx", "A 1691-2023")</f>
        <v/>
      </c>
      <c r="W447">
        <f>HYPERLINK("https://klasma.github.io/Logging_0127/klagomålsmail/A 1691-2023 FSC-klagomål mail.docx", "A 1691-2023")</f>
        <v/>
      </c>
      <c r="X447">
        <f>HYPERLINK("https://klasma.github.io/Logging_0127/tillsyn/A 1691-2023 tillsynsbegäran.docx", "A 1691-2023")</f>
        <v/>
      </c>
      <c r="Y447">
        <f>HYPERLINK("https://klasma.github.io/Logging_0127/tillsynsmail/A 1691-2023 tillsynsbegäran mail.docx", "A 1691-2023")</f>
        <v/>
      </c>
    </row>
    <row r="448" ht="15" customHeight="1">
      <c r="A448" t="inlineStr">
        <is>
          <t>A 2987-2023</t>
        </is>
      </c>
      <c r="B448" s="1" t="n">
        <v>44945</v>
      </c>
      <c r="C448" s="1" t="n">
        <v>45693</v>
      </c>
      <c r="D448" t="inlineStr">
        <is>
          <t>STOCKHOLMS LÄN</t>
        </is>
      </c>
      <c r="E448" t="inlineStr">
        <is>
          <t>SALEM</t>
        </is>
      </c>
      <c r="F448" t="inlineStr">
        <is>
          <t>Kommuner</t>
        </is>
      </c>
      <c r="G448" t="n">
        <v>6.2</v>
      </c>
      <c r="H448" t="n">
        <v>0</v>
      </c>
      <c r="I448" t="n">
        <v>0</v>
      </c>
      <c r="J448" t="n">
        <v>1</v>
      </c>
      <c r="K448" t="n">
        <v>0</v>
      </c>
      <c r="L448" t="n">
        <v>0</v>
      </c>
      <c r="M448" t="n">
        <v>0</v>
      </c>
      <c r="N448" t="n">
        <v>0</v>
      </c>
      <c r="O448" t="n">
        <v>1</v>
      </c>
      <c r="P448" t="n">
        <v>0</v>
      </c>
      <c r="Q448" t="n">
        <v>1</v>
      </c>
      <c r="R448" s="2" t="inlineStr">
        <is>
          <t>Tallticka</t>
        </is>
      </c>
      <c r="S448">
        <f>HYPERLINK("https://klasma.github.io/Logging_0128/artfynd/A 2987-2023 artfynd.xlsx", "A 2987-2023")</f>
        <v/>
      </c>
      <c r="T448">
        <f>HYPERLINK("https://klasma.github.io/Logging_0128/kartor/A 2987-2023 karta.png", "A 2987-2023")</f>
        <v/>
      </c>
      <c r="V448">
        <f>HYPERLINK("https://klasma.github.io/Logging_0128/klagomål/A 2987-2023 FSC-klagomål.docx", "A 2987-2023")</f>
        <v/>
      </c>
      <c r="W448">
        <f>HYPERLINK("https://klasma.github.io/Logging_0128/klagomålsmail/A 2987-2023 FSC-klagomål mail.docx", "A 2987-2023")</f>
        <v/>
      </c>
      <c r="X448">
        <f>HYPERLINK("https://klasma.github.io/Logging_0128/tillsyn/A 2987-2023 tillsynsbegäran.docx", "A 2987-2023")</f>
        <v/>
      </c>
      <c r="Y448">
        <f>HYPERLINK("https://klasma.github.io/Logging_0128/tillsynsmail/A 2987-2023 tillsynsbegäran mail.docx", "A 2987-2023")</f>
        <v/>
      </c>
    </row>
    <row r="449" ht="15" customHeight="1">
      <c r="A449" t="inlineStr">
        <is>
          <t>A 3919-2023</t>
        </is>
      </c>
      <c r="B449" s="1" t="n">
        <v>44952</v>
      </c>
      <c r="C449" s="1" t="n">
        <v>45693</v>
      </c>
      <c r="D449" t="inlineStr">
        <is>
          <t>STOCKHOLMS LÄN</t>
        </is>
      </c>
      <c r="E449" t="inlineStr">
        <is>
          <t>ÖSTERÅKER</t>
        </is>
      </c>
      <c r="F449" t="inlineStr">
        <is>
          <t>Kommuner</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HYPERLINK("https://klasma.github.io/Logging_0117/artfynd/A 3919-2023 artfynd.xlsx", "A 3919-2023")</f>
        <v/>
      </c>
      <c r="T449">
        <f>HYPERLINK("https://klasma.github.io/Logging_0117/kartor/A 3919-2023 karta.png", "A 3919-2023")</f>
        <v/>
      </c>
      <c r="V449">
        <f>HYPERLINK("https://klasma.github.io/Logging_0117/klagomål/A 3919-2023 FSC-klagomål.docx", "A 3919-2023")</f>
        <v/>
      </c>
      <c r="W449">
        <f>HYPERLINK("https://klasma.github.io/Logging_0117/klagomålsmail/A 3919-2023 FSC-klagomål mail.docx", "A 3919-2023")</f>
        <v/>
      </c>
      <c r="X449">
        <f>HYPERLINK("https://klasma.github.io/Logging_0117/tillsyn/A 3919-2023 tillsynsbegäran.docx", "A 3919-2023")</f>
        <v/>
      </c>
      <c r="Y449">
        <f>HYPERLINK("https://klasma.github.io/Logging_0117/tillsynsmail/A 3919-2023 tillsynsbegäran mail.docx", "A 3919-2023")</f>
        <v/>
      </c>
    </row>
    <row r="450" ht="15" customHeight="1">
      <c r="A450" t="inlineStr">
        <is>
          <t>A 3914-2023</t>
        </is>
      </c>
      <c r="B450" s="1" t="n">
        <v>44952</v>
      </c>
      <c r="C450" s="1" t="n">
        <v>45693</v>
      </c>
      <c r="D450" t="inlineStr">
        <is>
          <t>STOCKHOLMS LÄN</t>
        </is>
      </c>
      <c r="E450" t="inlineStr">
        <is>
          <t>ÖSTERÅKER</t>
        </is>
      </c>
      <c r="F450" t="inlineStr">
        <is>
          <t>Kommuner</t>
        </is>
      </c>
      <c r="G450" t="n">
        <v>15.3</v>
      </c>
      <c r="H450" t="n">
        <v>1</v>
      </c>
      <c r="I450" t="n">
        <v>0</v>
      </c>
      <c r="J450" t="n">
        <v>0</v>
      </c>
      <c r="K450" t="n">
        <v>0</v>
      </c>
      <c r="L450" t="n">
        <v>0</v>
      </c>
      <c r="M450" t="n">
        <v>0</v>
      </c>
      <c r="N450" t="n">
        <v>0</v>
      </c>
      <c r="O450" t="n">
        <v>0</v>
      </c>
      <c r="P450" t="n">
        <v>0</v>
      </c>
      <c r="Q450" t="n">
        <v>1</v>
      </c>
      <c r="R450" s="2" t="inlineStr">
        <is>
          <t>Gråkråka</t>
        </is>
      </c>
      <c r="S450">
        <f>HYPERLINK("https://klasma.github.io/Logging_0117/artfynd/A 3914-2023 artfynd.xlsx", "A 3914-2023")</f>
        <v/>
      </c>
      <c r="T450">
        <f>HYPERLINK("https://klasma.github.io/Logging_0117/kartor/A 3914-2023 karta.png", "A 3914-2023")</f>
        <v/>
      </c>
      <c r="V450">
        <f>HYPERLINK("https://klasma.github.io/Logging_0117/klagomål/A 3914-2023 FSC-klagomål.docx", "A 3914-2023")</f>
        <v/>
      </c>
      <c r="W450">
        <f>HYPERLINK("https://klasma.github.io/Logging_0117/klagomålsmail/A 3914-2023 FSC-klagomål mail.docx", "A 3914-2023")</f>
        <v/>
      </c>
      <c r="X450">
        <f>HYPERLINK("https://klasma.github.io/Logging_0117/tillsyn/A 3914-2023 tillsynsbegäran.docx", "A 3914-2023")</f>
        <v/>
      </c>
      <c r="Y450">
        <f>HYPERLINK("https://klasma.github.io/Logging_0117/tillsynsmail/A 3914-2023 tillsynsbegäran mail.docx", "A 3914-2023")</f>
        <v/>
      </c>
    </row>
    <row r="451" ht="15" customHeight="1">
      <c r="A451" t="inlineStr">
        <is>
          <t>A 4385-2023</t>
        </is>
      </c>
      <c r="B451" s="1" t="n">
        <v>44955</v>
      </c>
      <c r="C451" s="1" t="n">
        <v>45693</v>
      </c>
      <c r="D451" t="inlineStr">
        <is>
          <t>STOCKHOLMS LÄN</t>
        </is>
      </c>
      <c r="E451" t="inlineStr">
        <is>
          <t>NORRTÄLJE</t>
        </is>
      </c>
      <c r="G451" t="n">
        <v>7.8</v>
      </c>
      <c r="H451" t="n">
        <v>1</v>
      </c>
      <c r="I451" t="n">
        <v>1</v>
      </c>
      <c r="J451" t="n">
        <v>0</v>
      </c>
      <c r="K451" t="n">
        <v>0</v>
      </c>
      <c r="L451" t="n">
        <v>0</v>
      </c>
      <c r="M451" t="n">
        <v>0</v>
      </c>
      <c r="N451" t="n">
        <v>0</v>
      </c>
      <c r="O451" t="n">
        <v>0</v>
      </c>
      <c r="P451" t="n">
        <v>0</v>
      </c>
      <c r="Q451" t="n">
        <v>1</v>
      </c>
      <c r="R451" s="2" t="inlineStr">
        <is>
          <t>Skogsknipprot</t>
        </is>
      </c>
      <c r="S451">
        <f>HYPERLINK("https://klasma.github.io/Logging_0188/artfynd/A 4385-2023 artfynd.xlsx", "A 4385-2023")</f>
        <v/>
      </c>
      <c r="T451">
        <f>HYPERLINK("https://klasma.github.io/Logging_0188/kartor/A 4385-2023 karta.png", "A 4385-2023")</f>
        <v/>
      </c>
      <c r="V451">
        <f>HYPERLINK("https://klasma.github.io/Logging_0188/klagomål/A 4385-2023 FSC-klagomål.docx", "A 4385-2023")</f>
        <v/>
      </c>
      <c r="W451">
        <f>HYPERLINK("https://klasma.github.io/Logging_0188/klagomålsmail/A 4385-2023 FSC-klagomål mail.docx", "A 4385-2023")</f>
        <v/>
      </c>
      <c r="X451">
        <f>HYPERLINK("https://klasma.github.io/Logging_0188/tillsyn/A 4385-2023 tillsynsbegäran.docx", "A 4385-2023")</f>
        <v/>
      </c>
      <c r="Y451">
        <f>HYPERLINK("https://klasma.github.io/Logging_0188/tillsynsmail/A 4385-2023 tillsynsbegäran mail.docx", "A 4385-2023")</f>
        <v/>
      </c>
    </row>
    <row r="452" ht="15" customHeight="1">
      <c r="A452" t="inlineStr">
        <is>
          <t>A 4595-2023</t>
        </is>
      </c>
      <c r="B452" s="1" t="n">
        <v>44956</v>
      </c>
      <c r="C452" s="1" t="n">
        <v>45693</v>
      </c>
      <c r="D452" t="inlineStr">
        <is>
          <t>STOCKHOLMS LÄN</t>
        </is>
      </c>
      <c r="E452" t="inlineStr">
        <is>
          <t>NORRTÄLJE</t>
        </is>
      </c>
      <c r="G452" t="n">
        <v>0.6</v>
      </c>
      <c r="H452" t="n">
        <v>1</v>
      </c>
      <c r="I452" t="n">
        <v>0</v>
      </c>
      <c r="J452" t="n">
        <v>0</v>
      </c>
      <c r="K452" t="n">
        <v>0</v>
      </c>
      <c r="L452" t="n">
        <v>0</v>
      </c>
      <c r="M452" t="n">
        <v>0</v>
      </c>
      <c r="N452" t="n">
        <v>0</v>
      </c>
      <c r="O452" t="n">
        <v>0</v>
      </c>
      <c r="P452" t="n">
        <v>0</v>
      </c>
      <c r="Q452" t="n">
        <v>1</v>
      </c>
      <c r="R452" s="2" t="inlineStr">
        <is>
          <t>Blåsippa</t>
        </is>
      </c>
      <c r="S452">
        <f>HYPERLINK("https://klasma.github.io/Logging_0188/artfynd/A 4595-2023 artfynd.xlsx", "A 4595-2023")</f>
        <v/>
      </c>
      <c r="T452">
        <f>HYPERLINK("https://klasma.github.io/Logging_0188/kartor/A 4595-2023 karta.png", "A 4595-2023")</f>
        <v/>
      </c>
      <c r="V452">
        <f>HYPERLINK("https://klasma.github.io/Logging_0188/klagomål/A 4595-2023 FSC-klagomål.docx", "A 4595-2023")</f>
        <v/>
      </c>
      <c r="W452">
        <f>HYPERLINK("https://klasma.github.io/Logging_0188/klagomålsmail/A 4595-2023 FSC-klagomål mail.docx", "A 4595-2023")</f>
        <v/>
      </c>
      <c r="X452">
        <f>HYPERLINK("https://klasma.github.io/Logging_0188/tillsyn/A 4595-2023 tillsynsbegäran.docx", "A 4595-2023")</f>
        <v/>
      </c>
      <c r="Y452">
        <f>HYPERLINK("https://klasma.github.io/Logging_0188/tillsynsmail/A 4595-2023 tillsynsbegäran mail.docx", "A 4595-2023")</f>
        <v/>
      </c>
    </row>
    <row r="453" ht="15" customHeight="1">
      <c r="A453" t="inlineStr">
        <is>
          <t>A 4688-2023</t>
        </is>
      </c>
      <c r="B453" s="1" t="n">
        <v>44957</v>
      </c>
      <c r="C453" s="1" t="n">
        <v>45693</v>
      </c>
      <c r="D453" t="inlineStr">
        <is>
          <t>STOCKHOLMS LÄN</t>
        </is>
      </c>
      <c r="E453" t="inlineStr">
        <is>
          <t>NYNÄSHAMN</t>
        </is>
      </c>
      <c r="G453" t="n">
        <v>0.9</v>
      </c>
      <c r="H453" t="n">
        <v>1</v>
      </c>
      <c r="I453" t="n">
        <v>0</v>
      </c>
      <c r="J453" t="n">
        <v>1</v>
      </c>
      <c r="K453" t="n">
        <v>0</v>
      </c>
      <c r="L453" t="n">
        <v>0</v>
      </c>
      <c r="M453" t="n">
        <v>0</v>
      </c>
      <c r="N453" t="n">
        <v>0</v>
      </c>
      <c r="O453" t="n">
        <v>1</v>
      </c>
      <c r="P453" t="n">
        <v>0</v>
      </c>
      <c r="Q453" t="n">
        <v>1</v>
      </c>
      <c r="R453" s="2" t="inlineStr">
        <is>
          <t>Lundsångare</t>
        </is>
      </c>
      <c r="S453">
        <f>HYPERLINK("https://klasma.github.io/Logging_0192/artfynd/A 4688-2023 artfynd.xlsx", "A 4688-2023")</f>
        <v/>
      </c>
      <c r="T453">
        <f>HYPERLINK("https://klasma.github.io/Logging_0192/kartor/A 4688-2023 karta.png", "A 4688-2023")</f>
        <v/>
      </c>
      <c r="V453">
        <f>HYPERLINK("https://klasma.github.io/Logging_0192/klagomål/A 4688-2023 FSC-klagomål.docx", "A 4688-2023")</f>
        <v/>
      </c>
      <c r="W453">
        <f>HYPERLINK("https://klasma.github.io/Logging_0192/klagomålsmail/A 4688-2023 FSC-klagomål mail.docx", "A 4688-2023")</f>
        <v/>
      </c>
      <c r="X453">
        <f>HYPERLINK("https://klasma.github.io/Logging_0192/tillsyn/A 4688-2023 tillsynsbegäran.docx", "A 4688-2023")</f>
        <v/>
      </c>
      <c r="Y453">
        <f>HYPERLINK("https://klasma.github.io/Logging_0192/tillsynsmail/A 4688-2023 tillsynsbegäran mail.docx", "A 4688-2023")</f>
        <v/>
      </c>
      <c r="Z453">
        <f>HYPERLINK("https://klasma.github.io/Logging_0192/fåglar/A 4688-2023 prioriterade fågelarter.docx", "A 4688-2023")</f>
        <v/>
      </c>
    </row>
    <row r="454" ht="15" customHeight="1">
      <c r="A454" t="inlineStr">
        <is>
          <t>A 5574-2023</t>
        </is>
      </c>
      <c r="B454" s="1" t="n">
        <v>44960</v>
      </c>
      <c r="C454" s="1" t="n">
        <v>45693</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5574-2023 artfynd.xlsx", "A 5574-2023")</f>
        <v/>
      </c>
      <c r="T454">
        <f>HYPERLINK("https://klasma.github.io/Logging_0127/kartor/A 5574-2023 karta.png", "A 5574-2023")</f>
        <v/>
      </c>
      <c r="V454">
        <f>HYPERLINK("https://klasma.github.io/Logging_0127/klagomål/A 5574-2023 FSC-klagomål.docx", "A 5574-2023")</f>
        <v/>
      </c>
      <c r="W454">
        <f>HYPERLINK("https://klasma.github.io/Logging_0127/klagomålsmail/A 5574-2023 FSC-klagomål mail.docx", "A 5574-2023")</f>
        <v/>
      </c>
      <c r="X454">
        <f>HYPERLINK("https://klasma.github.io/Logging_0127/tillsyn/A 5574-2023 tillsynsbegäran.docx", "A 5574-2023")</f>
        <v/>
      </c>
      <c r="Y454">
        <f>HYPERLINK("https://klasma.github.io/Logging_0127/tillsynsmail/A 5574-2023 tillsynsbegäran mail.docx", "A 5574-2023")</f>
        <v/>
      </c>
    </row>
    <row r="455" ht="15" customHeight="1">
      <c r="A455" t="inlineStr">
        <is>
          <t>A 6381-2023</t>
        </is>
      </c>
      <c r="B455" s="1" t="n">
        <v>44965</v>
      </c>
      <c r="C455" s="1" t="n">
        <v>45693</v>
      </c>
      <c r="D455" t="inlineStr">
        <is>
          <t>STOCKHOLMS LÄN</t>
        </is>
      </c>
      <c r="E455" t="inlineStr">
        <is>
          <t>NORRTÄLJE</t>
        </is>
      </c>
      <c r="G455" t="n">
        <v>3.5</v>
      </c>
      <c r="H455" t="n">
        <v>1</v>
      </c>
      <c r="I455" t="n">
        <v>1</v>
      </c>
      <c r="J455" t="n">
        <v>0</v>
      </c>
      <c r="K455" t="n">
        <v>0</v>
      </c>
      <c r="L455" t="n">
        <v>0</v>
      </c>
      <c r="M455" t="n">
        <v>0</v>
      </c>
      <c r="N455" t="n">
        <v>0</v>
      </c>
      <c r="O455" t="n">
        <v>0</v>
      </c>
      <c r="P455" t="n">
        <v>0</v>
      </c>
      <c r="Q455" t="n">
        <v>1</v>
      </c>
      <c r="R455" s="2" t="inlineStr">
        <is>
          <t>Guckusko</t>
        </is>
      </c>
      <c r="S455">
        <f>HYPERLINK("https://klasma.github.io/Logging_0188/artfynd/A 6381-2023 artfynd.xlsx", "A 6381-2023")</f>
        <v/>
      </c>
      <c r="T455">
        <f>HYPERLINK("https://klasma.github.io/Logging_0188/kartor/A 6381-2023 karta.png", "A 6381-2023")</f>
        <v/>
      </c>
      <c r="V455">
        <f>HYPERLINK("https://klasma.github.io/Logging_0188/klagomål/A 6381-2023 FSC-klagomål.docx", "A 6381-2023")</f>
        <v/>
      </c>
      <c r="W455">
        <f>HYPERLINK("https://klasma.github.io/Logging_0188/klagomålsmail/A 6381-2023 FSC-klagomål mail.docx", "A 6381-2023")</f>
        <v/>
      </c>
      <c r="X455">
        <f>HYPERLINK("https://klasma.github.io/Logging_0188/tillsyn/A 6381-2023 tillsynsbegäran.docx", "A 6381-2023")</f>
        <v/>
      </c>
      <c r="Y455">
        <f>HYPERLINK("https://klasma.github.io/Logging_0188/tillsynsmail/A 6381-2023 tillsynsbegäran mail.docx", "A 6381-2023")</f>
        <v/>
      </c>
    </row>
    <row r="456" ht="15" customHeight="1">
      <c r="A456" t="inlineStr">
        <is>
          <t>A 6435-2023</t>
        </is>
      </c>
      <c r="B456" s="1" t="n">
        <v>44965</v>
      </c>
      <c r="C456" s="1" t="n">
        <v>45693</v>
      </c>
      <c r="D456" t="inlineStr">
        <is>
          <t>STOCKHOLMS LÄN</t>
        </is>
      </c>
      <c r="E456" t="inlineStr">
        <is>
          <t>NYNÄSHAMN</t>
        </is>
      </c>
      <c r="G456" t="n">
        <v>1.8</v>
      </c>
      <c r="H456" t="n">
        <v>0</v>
      </c>
      <c r="I456" t="n">
        <v>0</v>
      </c>
      <c r="J456" t="n">
        <v>1</v>
      </c>
      <c r="K456" t="n">
        <v>0</v>
      </c>
      <c r="L456" t="n">
        <v>0</v>
      </c>
      <c r="M456" t="n">
        <v>0</v>
      </c>
      <c r="N456" t="n">
        <v>0</v>
      </c>
      <c r="O456" t="n">
        <v>1</v>
      </c>
      <c r="P456" t="n">
        <v>0</v>
      </c>
      <c r="Q456" t="n">
        <v>1</v>
      </c>
      <c r="R456" s="2" t="inlineStr">
        <is>
          <t>Tallticka</t>
        </is>
      </c>
      <c r="S456">
        <f>HYPERLINK("https://klasma.github.io/Logging_0192/artfynd/A 6435-2023 artfynd.xlsx", "A 6435-2023")</f>
        <v/>
      </c>
      <c r="T456">
        <f>HYPERLINK("https://klasma.github.io/Logging_0192/kartor/A 6435-2023 karta.png", "A 6435-2023")</f>
        <v/>
      </c>
      <c r="V456">
        <f>HYPERLINK("https://klasma.github.io/Logging_0192/klagomål/A 6435-2023 FSC-klagomål.docx", "A 6435-2023")</f>
        <v/>
      </c>
      <c r="W456">
        <f>HYPERLINK("https://klasma.github.io/Logging_0192/klagomålsmail/A 6435-2023 FSC-klagomål mail.docx", "A 6435-2023")</f>
        <v/>
      </c>
      <c r="X456">
        <f>HYPERLINK("https://klasma.github.io/Logging_0192/tillsyn/A 6435-2023 tillsynsbegäran.docx", "A 6435-2023")</f>
        <v/>
      </c>
      <c r="Y456">
        <f>HYPERLINK("https://klasma.github.io/Logging_0192/tillsynsmail/A 6435-2023 tillsynsbegäran mail.docx", "A 6435-2023")</f>
        <v/>
      </c>
    </row>
    <row r="457" ht="15" customHeight="1">
      <c r="A457" t="inlineStr">
        <is>
          <t>A 7540-2023</t>
        </is>
      </c>
      <c r="B457" s="1" t="n">
        <v>44972</v>
      </c>
      <c r="C457" s="1" t="n">
        <v>45693</v>
      </c>
      <c r="D457" t="inlineStr">
        <is>
          <t>STOCKHOLMS LÄN</t>
        </is>
      </c>
      <c r="E457" t="inlineStr">
        <is>
          <t>NYNÄSHAMN</t>
        </is>
      </c>
      <c r="G457" t="n">
        <v>3.4</v>
      </c>
      <c r="H457" t="n">
        <v>1</v>
      </c>
      <c r="I457" t="n">
        <v>0</v>
      </c>
      <c r="J457" t="n">
        <v>1</v>
      </c>
      <c r="K457" t="n">
        <v>0</v>
      </c>
      <c r="L457" t="n">
        <v>0</v>
      </c>
      <c r="M457" t="n">
        <v>0</v>
      </c>
      <c r="N457" t="n">
        <v>0</v>
      </c>
      <c r="O457" t="n">
        <v>1</v>
      </c>
      <c r="P457" t="n">
        <v>0</v>
      </c>
      <c r="Q457" t="n">
        <v>1</v>
      </c>
      <c r="R457" s="2" t="inlineStr">
        <is>
          <t>Fjällvråk</t>
        </is>
      </c>
      <c r="S457">
        <f>HYPERLINK("https://klasma.github.io/Logging_0192/artfynd/A 7540-2023 artfynd.xlsx", "A 7540-2023")</f>
        <v/>
      </c>
      <c r="T457">
        <f>HYPERLINK("https://klasma.github.io/Logging_0192/kartor/A 7540-2023 karta.png", "A 7540-2023")</f>
        <v/>
      </c>
      <c r="V457">
        <f>HYPERLINK("https://klasma.github.io/Logging_0192/klagomål/A 7540-2023 FSC-klagomål.docx", "A 7540-2023")</f>
        <v/>
      </c>
      <c r="W457">
        <f>HYPERLINK("https://klasma.github.io/Logging_0192/klagomålsmail/A 7540-2023 FSC-klagomål mail.docx", "A 7540-2023")</f>
        <v/>
      </c>
      <c r="X457">
        <f>HYPERLINK("https://klasma.github.io/Logging_0192/tillsyn/A 7540-2023 tillsynsbegäran.docx", "A 7540-2023")</f>
        <v/>
      </c>
      <c r="Y457">
        <f>HYPERLINK("https://klasma.github.io/Logging_0192/tillsynsmail/A 7540-2023 tillsynsbegäran mail.docx", "A 7540-2023")</f>
        <v/>
      </c>
      <c r="Z457">
        <f>HYPERLINK("https://klasma.github.io/Logging_0192/fåglar/A 7540-2023 prioriterade fågelarter.docx", "A 7540-2023")</f>
        <v/>
      </c>
    </row>
    <row r="458" ht="15" customHeight="1">
      <c r="A458" t="inlineStr">
        <is>
          <t>A 7890-2023</t>
        </is>
      </c>
      <c r="B458" s="1" t="n">
        <v>44973</v>
      </c>
      <c r="C458" s="1" t="n">
        <v>45693</v>
      </c>
      <c r="D458" t="inlineStr">
        <is>
          <t>STOCKHOLMS LÄN</t>
        </is>
      </c>
      <c r="E458" t="inlineStr">
        <is>
          <t>VALLENTUNA</t>
        </is>
      </c>
      <c r="G458" t="n">
        <v>0.5</v>
      </c>
      <c r="H458" t="n">
        <v>0</v>
      </c>
      <c r="I458" t="n">
        <v>0</v>
      </c>
      <c r="J458" t="n">
        <v>1</v>
      </c>
      <c r="K458" t="n">
        <v>0</v>
      </c>
      <c r="L458" t="n">
        <v>0</v>
      </c>
      <c r="M458" t="n">
        <v>0</v>
      </c>
      <c r="N458" t="n">
        <v>0</v>
      </c>
      <c r="O458" t="n">
        <v>1</v>
      </c>
      <c r="P458" t="n">
        <v>0</v>
      </c>
      <c r="Q458" t="n">
        <v>1</v>
      </c>
      <c r="R458" s="2" t="inlineStr">
        <is>
          <t>Ullticka</t>
        </is>
      </c>
      <c r="S458">
        <f>HYPERLINK("https://klasma.github.io/Logging_0115/artfynd/A 7890-2023 artfynd.xlsx", "A 7890-2023")</f>
        <v/>
      </c>
      <c r="T458">
        <f>HYPERLINK("https://klasma.github.io/Logging_0115/kartor/A 7890-2023 karta.png", "A 7890-2023")</f>
        <v/>
      </c>
      <c r="V458">
        <f>HYPERLINK("https://klasma.github.io/Logging_0115/klagomål/A 7890-2023 FSC-klagomål.docx", "A 7890-2023")</f>
        <v/>
      </c>
      <c r="W458">
        <f>HYPERLINK("https://klasma.github.io/Logging_0115/klagomålsmail/A 7890-2023 FSC-klagomål mail.docx", "A 7890-2023")</f>
        <v/>
      </c>
      <c r="X458">
        <f>HYPERLINK("https://klasma.github.io/Logging_0115/tillsyn/A 7890-2023 tillsynsbegäran.docx", "A 7890-2023")</f>
        <v/>
      </c>
      <c r="Y458">
        <f>HYPERLINK("https://klasma.github.io/Logging_0115/tillsynsmail/A 7890-2023 tillsynsbegäran mail.docx", "A 7890-2023")</f>
        <v/>
      </c>
    </row>
    <row r="459" ht="15" customHeight="1">
      <c r="A459" t="inlineStr">
        <is>
          <t>A 7955-2023</t>
        </is>
      </c>
      <c r="B459" s="1" t="n">
        <v>44973</v>
      </c>
      <c r="C459" s="1" t="n">
        <v>45693</v>
      </c>
      <c r="D459" t="inlineStr">
        <is>
          <t>STOCKHOLMS LÄN</t>
        </is>
      </c>
      <c r="E459" t="inlineStr">
        <is>
          <t>UPPLANDS-BRO</t>
        </is>
      </c>
      <c r="G459" t="n">
        <v>2.9</v>
      </c>
      <c r="H459" t="n">
        <v>1</v>
      </c>
      <c r="I459" t="n">
        <v>0</v>
      </c>
      <c r="J459" t="n">
        <v>0</v>
      </c>
      <c r="K459" t="n">
        <v>1</v>
      </c>
      <c r="L459" t="n">
        <v>0</v>
      </c>
      <c r="M459" t="n">
        <v>0</v>
      </c>
      <c r="N459" t="n">
        <v>0</v>
      </c>
      <c r="O459" t="n">
        <v>1</v>
      </c>
      <c r="P459" t="n">
        <v>1</v>
      </c>
      <c r="Q459" t="n">
        <v>1</v>
      </c>
      <c r="R459" s="2" t="inlineStr">
        <is>
          <t>Bombmurkla</t>
        </is>
      </c>
      <c r="S459">
        <f>HYPERLINK("https://klasma.github.io/Logging_0139/artfynd/A 7955-2023 artfynd.xlsx", "A 7955-2023")</f>
        <v/>
      </c>
      <c r="T459">
        <f>HYPERLINK("https://klasma.github.io/Logging_0139/kartor/A 7955-2023 karta.png", "A 7955-2023")</f>
        <v/>
      </c>
      <c r="V459">
        <f>HYPERLINK("https://klasma.github.io/Logging_0139/klagomål/A 7955-2023 FSC-klagomål.docx", "A 7955-2023")</f>
        <v/>
      </c>
      <c r="W459">
        <f>HYPERLINK("https://klasma.github.io/Logging_0139/klagomålsmail/A 7955-2023 FSC-klagomål mail.docx", "A 7955-2023")</f>
        <v/>
      </c>
      <c r="X459">
        <f>HYPERLINK("https://klasma.github.io/Logging_0139/tillsyn/A 7955-2023 tillsynsbegäran.docx", "A 7955-2023")</f>
        <v/>
      </c>
      <c r="Y459">
        <f>HYPERLINK("https://klasma.github.io/Logging_0139/tillsynsmail/A 7955-2023 tillsynsbegäran mail.docx", "A 7955-2023")</f>
        <v/>
      </c>
    </row>
    <row r="460" ht="15" customHeight="1">
      <c r="A460" t="inlineStr">
        <is>
          <t>A 8149-2023</t>
        </is>
      </c>
      <c r="B460" s="1" t="n">
        <v>44974</v>
      </c>
      <c r="C460" s="1" t="n">
        <v>45693</v>
      </c>
      <c r="D460" t="inlineStr">
        <is>
          <t>STOCKHOLMS LÄN</t>
        </is>
      </c>
      <c r="E460" t="inlineStr">
        <is>
          <t>SIGTUNA</t>
        </is>
      </c>
      <c r="G460" t="n">
        <v>11.5</v>
      </c>
      <c r="H460" t="n">
        <v>0</v>
      </c>
      <c r="I460" t="n">
        <v>0</v>
      </c>
      <c r="J460" t="n">
        <v>0</v>
      </c>
      <c r="K460" t="n">
        <v>1</v>
      </c>
      <c r="L460" t="n">
        <v>0</v>
      </c>
      <c r="M460" t="n">
        <v>0</v>
      </c>
      <c r="N460" t="n">
        <v>0</v>
      </c>
      <c r="O460" t="n">
        <v>1</v>
      </c>
      <c r="P460" t="n">
        <v>1</v>
      </c>
      <c r="Q460" t="n">
        <v>1</v>
      </c>
      <c r="R460" s="2" t="inlineStr">
        <is>
          <t>Trubbdaggkåpa</t>
        </is>
      </c>
      <c r="S460">
        <f>HYPERLINK("https://klasma.github.io/Logging_0191/artfynd/A 8149-2023 artfynd.xlsx", "A 8149-2023")</f>
        <v/>
      </c>
      <c r="T460">
        <f>HYPERLINK("https://klasma.github.io/Logging_0191/kartor/A 8149-2023 karta.png", "A 8149-2023")</f>
        <v/>
      </c>
      <c r="V460">
        <f>HYPERLINK("https://klasma.github.io/Logging_0191/klagomål/A 8149-2023 FSC-klagomål.docx", "A 8149-2023")</f>
        <v/>
      </c>
      <c r="W460">
        <f>HYPERLINK("https://klasma.github.io/Logging_0191/klagomålsmail/A 8149-2023 FSC-klagomål mail.docx", "A 8149-2023")</f>
        <v/>
      </c>
      <c r="X460">
        <f>HYPERLINK("https://klasma.github.io/Logging_0191/tillsyn/A 8149-2023 tillsynsbegäran.docx", "A 8149-2023")</f>
        <v/>
      </c>
      <c r="Y460">
        <f>HYPERLINK("https://klasma.github.io/Logging_0191/tillsynsmail/A 8149-2023 tillsynsbegäran mail.docx", "A 8149-2023")</f>
        <v/>
      </c>
    </row>
    <row r="461" ht="15" customHeight="1">
      <c r="A461" t="inlineStr">
        <is>
          <t>A 9214-2023</t>
        </is>
      </c>
      <c r="B461" s="1" t="n">
        <v>44980</v>
      </c>
      <c r="C461" s="1" t="n">
        <v>45693</v>
      </c>
      <c r="D461" t="inlineStr">
        <is>
          <t>STOCKHOLMS LÄN</t>
        </is>
      </c>
      <c r="E461" t="inlineStr">
        <is>
          <t>NORRTÄLJE</t>
        </is>
      </c>
      <c r="G461" t="n">
        <v>10.6</v>
      </c>
      <c r="H461" t="n">
        <v>1</v>
      </c>
      <c r="I461" t="n">
        <v>1</v>
      </c>
      <c r="J461" t="n">
        <v>0</v>
      </c>
      <c r="K461" t="n">
        <v>0</v>
      </c>
      <c r="L461" t="n">
        <v>0</v>
      </c>
      <c r="M461" t="n">
        <v>0</v>
      </c>
      <c r="N461" t="n">
        <v>0</v>
      </c>
      <c r="O461" t="n">
        <v>0</v>
      </c>
      <c r="P461" t="n">
        <v>0</v>
      </c>
      <c r="Q461" t="n">
        <v>1</v>
      </c>
      <c r="R461" s="2" t="inlineStr">
        <is>
          <t>Guckusko</t>
        </is>
      </c>
      <c r="S461">
        <f>HYPERLINK("https://klasma.github.io/Logging_0188/artfynd/A 9214-2023 artfynd.xlsx", "A 9214-2023")</f>
        <v/>
      </c>
      <c r="T461">
        <f>HYPERLINK("https://klasma.github.io/Logging_0188/kartor/A 9214-2023 karta.png", "A 9214-2023")</f>
        <v/>
      </c>
      <c r="V461">
        <f>HYPERLINK("https://klasma.github.io/Logging_0188/klagomål/A 9214-2023 FSC-klagomål.docx", "A 9214-2023")</f>
        <v/>
      </c>
      <c r="W461">
        <f>HYPERLINK("https://klasma.github.io/Logging_0188/klagomålsmail/A 9214-2023 FSC-klagomål mail.docx", "A 9214-2023")</f>
        <v/>
      </c>
      <c r="X461">
        <f>HYPERLINK("https://klasma.github.io/Logging_0188/tillsyn/A 9214-2023 tillsynsbegäran.docx", "A 9214-2023")</f>
        <v/>
      </c>
      <c r="Y461">
        <f>HYPERLINK("https://klasma.github.io/Logging_0188/tillsynsmail/A 9214-2023 tillsynsbegäran mail.docx", "A 9214-2023")</f>
        <v/>
      </c>
    </row>
    <row r="462" ht="15" customHeight="1">
      <c r="A462" t="inlineStr">
        <is>
          <t>A 9271-2023</t>
        </is>
      </c>
      <c r="B462" s="1" t="n">
        <v>44980</v>
      </c>
      <c r="C462" s="1" t="n">
        <v>45693</v>
      </c>
      <c r="D462" t="inlineStr">
        <is>
          <t>STOCKHOLMS LÄN</t>
        </is>
      </c>
      <c r="E462" t="inlineStr">
        <is>
          <t>NORRTÄLJE</t>
        </is>
      </c>
      <c r="G462" t="n">
        <v>5.3</v>
      </c>
      <c r="H462" t="n">
        <v>1</v>
      </c>
      <c r="I462" t="n">
        <v>0</v>
      </c>
      <c r="J462" t="n">
        <v>0</v>
      </c>
      <c r="K462" t="n">
        <v>1</v>
      </c>
      <c r="L462" t="n">
        <v>0</v>
      </c>
      <c r="M462" t="n">
        <v>0</v>
      </c>
      <c r="N462" t="n">
        <v>0</v>
      </c>
      <c r="O462" t="n">
        <v>1</v>
      </c>
      <c r="P462" t="n">
        <v>1</v>
      </c>
      <c r="Q462" t="n">
        <v>1</v>
      </c>
      <c r="R462" s="2" t="inlineStr">
        <is>
          <t>Hällebräcka</t>
        </is>
      </c>
      <c r="S462">
        <f>HYPERLINK("https://klasma.github.io/Logging_0188/artfynd/A 9271-2023 artfynd.xlsx", "A 9271-2023")</f>
        <v/>
      </c>
      <c r="T462">
        <f>HYPERLINK("https://klasma.github.io/Logging_0188/kartor/A 9271-2023 karta.png", "A 9271-2023")</f>
        <v/>
      </c>
      <c r="V462">
        <f>HYPERLINK("https://klasma.github.io/Logging_0188/klagomål/A 9271-2023 FSC-klagomål.docx", "A 9271-2023")</f>
        <v/>
      </c>
      <c r="W462">
        <f>HYPERLINK("https://klasma.github.io/Logging_0188/klagomålsmail/A 9271-2023 FSC-klagomål mail.docx", "A 9271-2023")</f>
        <v/>
      </c>
      <c r="X462">
        <f>HYPERLINK("https://klasma.github.io/Logging_0188/tillsyn/A 9271-2023 tillsynsbegäran.docx", "A 9271-2023")</f>
        <v/>
      </c>
      <c r="Y462">
        <f>HYPERLINK("https://klasma.github.io/Logging_0188/tillsynsmail/A 9271-2023 tillsynsbegäran mail.docx", "A 9271-2023")</f>
        <v/>
      </c>
    </row>
    <row r="463" ht="15" customHeight="1">
      <c r="A463" t="inlineStr">
        <is>
          <t>A 9268-2023</t>
        </is>
      </c>
      <c r="B463" s="1" t="n">
        <v>44980</v>
      </c>
      <c r="C463" s="1" t="n">
        <v>45693</v>
      </c>
      <c r="D463" t="inlineStr">
        <is>
          <t>STOCKHOLMS LÄN</t>
        </is>
      </c>
      <c r="E463" t="inlineStr">
        <is>
          <t>NYNÄSHAMN</t>
        </is>
      </c>
      <c r="G463" t="n">
        <v>4.9</v>
      </c>
      <c r="H463" t="n">
        <v>0</v>
      </c>
      <c r="I463" t="n">
        <v>0</v>
      </c>
      <c r="J463" t="n">
        <v>1</v>
      </c>
      <c r="K463" t="n">
        <v>0</v>
      </c>
      <c r="L463" t="n">
        <v>0</v>
      </c>
      <c r="M463" t="n">
        <v>0</v>
      </c>
      <c r="N463" t="n">
        <v>0</v>
      </c>
      <c r="O463" t="n">
        <v>1</v>
      </c>
      <c r="P463" t="n">
        <v>0</v>
      </c>
      <c r="Q463" t="n">
        <v>1</v>
      </c>
      <c r="R463" s="2" t="inlineStr">
        <is>
          <t>Tallticka</t>
        </is>
      </c>
      <c r="S463">
        <f>HYPERLINK("https://klasma.github.io/Logging_0192/artfynd/A 9268-2023 artfynd.xlsx", "A 9268-2023")</f>
        <v/>
      </c>
      <c r="T463">
        <f>HYPERLINK("https://klasma.github.io/Logging_0192/kartor/A 9268-2023 karta.png", "A 9268-2023")</f>
        <v/>
      </c>
      <c r="V463">
        <f>HYPERLINK("https://klasma.github.io/Logging_0192/klagomål/A 9268-2023 FSC-klagomål.docx", "A 9268-2023")</f>
        <v/>
      </c>
      <c r="W463">
        <f>HYPERLINK("https://klasma.github.io/Logging_0192/klagomålsmail/A 9268-2023 FSC-klagomål mail.docx", "A 9268-2023")</f>
        <v/>
      </c>
      <c r="X463">
        <f>HYPERLINK("https://klasma.github.io/Logging_0192/tillsyn/A 9268-2023 tillsynsbegäran.docx", "A 9268-2023")</f>
        <v/>
      </c>
      <c r="Y463">
        <f>HYPERLINK("https://klasma.github.io/Logging_0192/tillsynsmail/A 9268-2023 tillsynsbegäran mail.docx", "A 9268-2023")</f>
        <v/>
      </c>
    </row>
    <row r="464" ht="15" customHeight="1">
      <c r="A464" t="inlineStr">
        <is>
          <t>A 9522-2023</t>
        </is>
      </c>
      <c r="B464" s="1" t="n">
        <v>44981</v>
      </c>
      <c r="C464" s="1" t="n">
        <v>45693</v>
      </c>
      <c r="D464" t="inlineStr">
        <is>
          <t>STOCKHOLMS LÄN</t>
        </is>
      </c>
      <c r="E464" t="inlineStr">
        <is>
          <t>NORRTÄLJE</t>
        </is>
      </c>
      <c r="F464" t="inlineStr">
        <is>
          <t>Holmen skog AB</t>
        </is>
      </c>
      <c r="G464" t="n">
        <v>7.5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9522-2023 artfynd.xlsx", "A 9522-2023")</f>
        <v/>
      </c>
      <c r="T464">
        <f>HYPERLINK("https://klasma.github.io/Logging_0188/kartor/A 9522-2023 karta.png", "A 9522-2023")</f>
        <v/>
      </c>
      <c r="V464">
        <f>HYPERLINK("https://klasma.github.io/Logging_0188/klagomål/A 9522-2023 FSC-klagomål.docx", "A 9522-2023")</f>
        <v/>
      </c>
      <c r="W464">
        <f>HYPERLINK("https://klasma.github.io/Logging_0188/klagomålsmail/A 9522-2023 FSC-klagomål mail.docx", "A 9522-2023")</f>
        <v/>
      </c>
      <c r="X464">
        <f>HYPERLINK("https://klasma.github.io/Logging_0188/tillsyn/A 9522-2023 tillsynsbegäran.docx", "A 9522-2023")</f>
        <v/>
      </c>
      <c r="Y464">
        <f>HYPERLINK("https://klasma.github.io/Logging_0188/tillsynsmail/A 9522-2023 tillsynsbegäran mail.docx", "A 9522-2023")</f>
        <v/>
      </c>
    </row>
    <row r="465" ht="15" customHeight="1">
      <c r="A465" t="inlineStr">
        <is>
          <t>A 10019-2023</t>
        </is>
      </c>
      <c r="B465" s="1" t="n">
        <v>44985</v>
      </c>
      <c r="C465" s="1" t="n">
        <v>45693</v>
      </c>
      <c r="D465" t="inlineStr">
        <is>
          <t>STOCKHOLMS LÄN</t>
        </is>
      </c>
      <c r="E465" t="inlineStr">
        <is>
          <t>NORRTÄLJE</t>
        </is>
      </c>
      <c r="G465" t="n">
        <v>8.4</v>
      </c>
      <c r="H465" t="n">
        <v>0</v>
      </c>
      <c r="I465" t="n">
        <v>1</v>
      </c>
      <c r="J465" t="n">
        <v>0</v>
      </c>
      <c r="K465" t="n">
        <v>0</v>
      </c>
      <c r="L465" t="n">
        <v>0</v>
      </c>
      <c r="M465" t="n">
        <v>0</v>
      </c>
      <c r="N465" t="n">
        <v>0</v>
      </c>
      <c r="O465" t="n">
        <v>0</v>
      </c>
      <c r="P465" t="n">
        <v>0</v>
      </c>
      <c r="Q465" t="n">
        <v>1</v>
      </c>
      <c r="R465" s="2" t="inlineStr">
        <is>
          <t>Underviol</t>
        </is>
      </c>
      <c r="S465">
        <f>HYPERLINK("https://klasma.github.io/Logging_0188/artfynd/A 10019-2023 artfynd.xlsx", "A 10019-2023")</f>
        <v/>
      </c>
      <c r="T465">
        <f>HYPERLINK("https://klasma.github.io/Logging_0188/kartor/A 10019-2023 karta.png", "A 10019-2023")</f>
        <v/>
      </c>
      <c r="V465">
        <f>HYPERLINK("https://klasma.github.io/Logging_0188/klagomål/A 10019-2023 FSC-klagomål.docx", "A 10019-2023")</f>
        <v/>
      </c>
      <c r="W465">
        <f>HYPERLINK("https://klasma.github.io/Logging_0188/klagomålsmail/A 10019-2023 FSC-klagomål mail.docx", "A 10019-2023")</f>
        <v/>
      </c>
      <c r="X465">
        <f>HYPERLINK("https://klasma.github.io/Logging_0188/tillsyn/A 10019-2023 tillsynsbegäran.docx", "A 10019-2023")</f>
        <v/>
      </c>
      <c r="Y465">
        <f>HYPERLINK("https://klasma.github.io/Logging_0188/tillsynsmail/A 10019-2023 tillsynsbegäran mail.docx", "A 10019-2023")</f>
        <v/>
      </c>
    </row>
    <row r="466" ht="15" customHeight="1">
      <c r="A466" t="inlineStr">
        <is>
          <t>A 11244-2023</t>
        </is>
      </c>
      <c r="B466" s="1" t="n">
        <v>44992</v>
      </c>
      <c r="C466" s="1" t="n">
        <v>45693</v>
      </c>
      <c r="D466" t="inlineStr">
        <is>
          <t>STOCKHOLMS LÄN</t>
        </is>
      </c>
      <c r="E466" t="inlineStr">
        <is>
          <t>VALLENTUNA</t>
        </is>
      </c>
      <c r="G466" t="n">
        <v>4.3</v>
      </c>
      <c r="H466" t="n">
        <v>1</v>
      </c>
      <c r="I466" t="n">
        <v>0</v>
      </c>
      <c r="J466" t="n">
        <v>0</v>
      </c>
      <c r="K466" t="n">
        <v>0</v>
      </c>
      <c r="L466" t="n">
        <v>0</v>
      </c>
      <c r="M466" t="n">
        <v>0</v>
      </c>
      <c r="N466" t="n">
        <v>0</v>
      </c>
      <c r="O466" t="n">
        <v>0</v>
      </c>
      <c r="P466" t="n">
        <v>0</v>
      </c>
      <c r="Q466" t="n">
        <v>1</v>
      </c>
      <c r="R466" s="2" t="inlineStr">
        <is>
          <t>Revlummer</t>
        </is>
      </c>
      <c r="S466">
        <f>HYPERLINK("https://klasma.github.io/Logging_0115/artfynd/A 11244-2023 artfynd.xlsx", "A 11244-2023")</f>
        <v/>
      </c>
      <c r="T466">
        <f>HYPERLINK("https://klasma.github.io/Logging_0115/kartor/A 11244-2023 karta.png", "A 11244-2023")</f>
        <v/>
      </c>
      <c r="V466">
        <f>HYPERLINK("https://klasma.github.io/Logging_0115/klagomål/A 11244-2023 FSC-klagomål.docx", "A 11244-2023")</f>
        <v/>
      </c>
      <c r="W466">
        <f>HYPERLINK("https://klasma.github.io/Logging_0115/klagomålsmail/A 11244-2023 FSC-klagomål mail.docx", "A 11244-2023")</f>
        <v/>
      </c>
      <c r="X466">
        <f>HYPERLINK("https://klasma.github.io/Logging_0115/tillsyn/A 11244-2023 tillsynsbegäran.docx", "A 11244-2023")</f>
        <v/>
      </c>
      <c r="Y466">
        <f>HYPERLINK("https://klasma.github.io/Logging_0115/tillsynsmail/A 11244-2023 tillsynsbegäran mail.docx", "A 11244-2023")</f>
        <v/>
      </c>
    </row>
    <row r="467" ht="15" customHeight="1">
      <c r="A467" t="inlineStr">
        <is>
          <t>A 11429-2023</t>
        </is>
      </c>
      <c r="B467" s="1" t="n">
        <v>44993</v>
      </c>
      <c r="C467" s="1" t="n">
        <v>45693</v>
      </c>
      <c r="D467" t="inlineStr">
        <is>
          <t>STOCKHOLMS LÄN</t>
        </is>
      </c>
      <c r="E467" t="inlineStr">
        <is>
          <t>NORRTÄLJE</t>
        </is>
      </c>
      <c r="G467" t="n">
        <v>2</v>
      </c>
      <c r="H467" t="n">
        <v>0</v>
      </c>
      <c r="I467" t="n">
        <v>0</v>
      </c>
      <c r="J467" t="n">
        <v>1</v>
      </c>
      <c r="K467" t="n">
        <v>0</v>
      </c>
      <c r="L467" t="n">
        <v>0</v>
      </c>
      <c r="M467" t="n">
        <v>0</v>
      </c>
      <c r="N467" t="n">
        <v>0</v>
      </c>
      <c r="O467" t="n">
        <v>1</v>
      </c>
      <c r="P467" t="n">
        <v>0</v>
      </c>
      <c r="Q467" t="n">
        <v>1</v>
      </c>
      <c r="R467" s="2" t="inlineStr">
        <is>
          <t>Skogsklocka</t>
        </is>
      </c>
      <c r="S467">
        <f>HYPERLINK("https://klasma.github.io/Logging_0188/artfynd/A 11429-2023 artfynd.xlsx", "A 11429-2023")</f>
        <v/>
      </c>
      <c r="T467">
        <f>HYPERLINK("https://klasma.github.io/Logging_0188/kartor/A 11429-2023 karta.png", "A 11429-2023")</f>
        <v/>
      </c>
      <c r="V467">
        <f>HYPERLINK("https://klasma.github.io/Logging_0188/klagomål/A 11429-2023 FSC-klagomål.docx", "A 11429-2023")</f>
        <v/>
      </c>
      <c r="W467">
        <f>HYPERLINK("https://klasma.github.io/Logging_0188/klagomålsmail/A 11429-2023 FSC-klagomål mail.docx", "A 11429-2023")</f>
        <v/>
      </c>
      <c r="X467">
        <f>HYPERLINK("https://klasma.github.io/Logging_0188/tillsyn/A 11429-2023 tillsynsbegäran.docx", "A 11429-2023")</f>
        <v/>
      </c>
      <c r="Y467">
        <f>HYPERLINK("https://klasma.github.io/Logging_0188/tillsynsmail/A 11429-2023 tillsynsbegäran mail.docx", "A 11429-2023")</f>
        <v/>
      </c>
    </row>
    <row r="468" ht="15" customHeight="1">
      <c r="A468" t="inlineStr">
        <is>
          <t>A 12442-2023</t>
        </is>
      </c>
      <c r="B468" s="1" t="n">
        <v>44999</v>
      </c>
      <c r="C468" s="1" t="n">
        <v>45693</v>
      </c>
      <c r="D468" t="inlineStr">
        <is>
          <t>STOCKHOLMS LÄN</t>
        </is>
      </c>
      <c r="E468" t="inlineStr">
        <is>
          <t>NORRTÄLJE</t>
        </is>
      </c>
      <c r="G468" t="n">
        <v>1.9</v>
      </c>
      <c r="H468" t="n">
        <v>1</v>
      </c>
      <c r="I468" t="n">
        <v>0</v>
      </c>
      <c r="J468" t="n">
        <v>0</v>
      </c>
      <c r="K468" t="n">
        <v>0</v>
      </c>
      <c r="L468" t="n">
        <v>0</v>
      </c>
      <c r="M468" t="n">
        <v>0</v>
      </c>
      <c r="N468" t="n">
        <v>0</v>
      </c>
      <c r="O468" t="n">
        <v>0</v>
      </c>
      <c r="P468" t="n">
        <v>0</v>
      </c>
      <c r="Q468" t="n">
        <v>1</v>
      </c>
      <c r="R468" s="2" t="inlineStr">
        <is>
          <t>Gullviva</t>
        </is>
      </c>
      <c r="S468">
        <f>HYPERLINK("https://klasma.github.io/Logging_0188/artfynd/A 12442-2023 artfynd.xlsx", "A 12442-2023")</f>
        <v/>
      </c>
      <c r="T468">
        <f>HYPERLINK("https://klasma.github.io/Logging_0188/kartor/A 12442-2023 karta.png", "A 12442-2023")</f>
        <v/>
      </c>
      <c r="V468">
        <f>HYPERLINK("https://klasma.github.io/Logging_0188/klagomål/A 12442-2023 FSC-klagomål.docx", "A 12442-2023")</f>
        <v/>
      </c>
      <c r="W468">
        <f>HYPERLINK("https://klasma.github.io/Logging_0188/klagomålsmail/A 12442-2023 FSC-klagomål mail.docx", "A 12442-2023")</f>
        <v/>
      </c>
      <c r="X468">
        <f>HYPERLINK("https://klasma.github.io/Logging_0188/tillsyn/A 12442-2023 tillsynsbegäran.docx", "A 12442-2023")</f>
        <v/>
      </c>
      <c r="Y468">
        <f>HYPERLINK("https://klasma.github.io/Logging_0188/tillsynsmail/A 12442-2023 tillsynsbegäran mail.docx", "A 12442-2023")</f>
        <v/>
      </c>
    </row>
    <row r="469" ht="15" customHeight="1">
      <c r="A469" t="inlineStr">
        <is>
          <t>A 12575-2023</t>
        </is>
      </c>
      <c r="B469" s="1" t="n">
        <v>45000</v>
      </c>
      <c r="C469" s="1" t="n">
        <v>45693</v>
      </c>
      <c r="D469" t="inlineStr">
        <is>
          <t>STOCKHOLMS LÄN</t>
        </is>
      </c>
      <c r="E469" t="inlineStr">
        <is>
          <t>VALLENTUNA</t>
        </is>
      </c>
      <c r="G469" t="n">
        <v>5.1</v>
      </c>
      <c r="H469" t="n">
        <v>1</v>
      </c>
      <c r="I469" t="n">
        <v>0</v>
      </c>
      <c r="J469" t="n">
        <v>0</v>
      </c>
      <c r="K469" t="n">
        <v>0</v>
      </c>
      <c r="L469" t="n">
        <v>0</v>
      </c>
      <c r="M469" t="n">
        <v>0</v>
      </c>
      <c r="N469" t="n">
        <v>0</v>
      </c>
      <c r="O469" t="n">
        <v>0</v>
      </c>
      <c r="P469" t="n">
        <v>0</v>
      </c>
      <c r="Q469" t="n">
        <v>1</v>
      </c>
      <c r="R469" s="2" t="inlineStr">
        <is>
          <t>Blåsippa</t>
        </is>
      </c>
      <c r="S469">
        <f>HYPERLINK("https://klasma.github.io/Logging_0115/artfynd/A 12575-2023 artfynd.xlsx", "A 12575-2023")</f>
        <v/>
      </c>
      <c r="T469">
        <f>HYPERLINK("https://klasma.github.io/Logging_0115/kartor/A 12575-2023 karta.png", "A 12575-2023")</f>
        <v/>
      </c>
      <c r="V469">
        <f>HYPERLINK("https://klasma.github.io/Logging_0115/klagomål/A 12575-2023 FSC-klagomål.docx", "A 12575-2023")</f>
        <v/>
      </c>
      <c r="W469">
        <f>HYPERLINK("https://klasma.github.io/Logging_0115/klagomålsmail/A 12575-2023 FSC-klagomål mail.docx", "A 12575-2023")</f>
        <v/>
      </c>
      <c r="X469">
        <f>HYPERLINK("https://klasma.github.io/Logging_0115/tillsyn/A 12575-2023 tillsynsbegäran.docx", "A 12575-2023")</f>
        <v/>
      </c>
      <c r="Y469">
        <f>HYPERLINK("https://klasma.github.io/Logging_0115/tillsynsmail/A 12575-2023 tillsynsbegäran mail.docx", "A 12575-2023")</f>
        <v/>
      </c>
    </row>
    <row r="470" ht="15" customHeight="1">
      <c r="A470" t="inlineStr">
        <is>
          <t>A 13199-2023</t>
        </is>
      </c>
      <c r="B470" s="1" t="n">
        <v>45002</v>
      </c>
      <c r="C470" s="1" t="n">
        <v>45693</v>
      </c>
      <c r="D470" t="inlineStr">
        <is>
          <t>STOCKHOLMS LÄN</t>
        </is>
      </c>
      <c r="E470" t="inlineStr">
        <is>
          <t>SÖDERTÄLJE</t>
        </is>
      </c>
      <c r="G470" t="n">
        <v>7.2</v>
      </c>
      <c r="H470" t="n">
        <v>1</v>
      </c>
      <c r="I470" t="n">
        <v>0</v>
      </c>
      <c r="J470" t="n">
        <v>0</v>
      </c>
      <c r="K470" t="n">
        <v>0</v>
      </c>
      <c r="L470" t="n">
        <v>0</v>
      </c>
      <c r="M470" t="n">
        <v>0</v>
      </c>
      <c r="N470" t="n">
        <v>0</v>
      </c>
      <c r="O470" t="n">
        <v>0</v>
      </c>
      <c r="P470" t="n">
        <v>0</v>
      </c>
      <c r="Q470" t="n">
        <v>1</v>
      </c>
      <c r="R470" s="2" t="inlineStr">
        <is>
          <t>Gröngöling</t>
        </is>
      </c>
      <c r="S470">
        <f>HYPERLINK("https://klasma.github.io/Logging_0181/artfynd/A 13199-2023 artfynd.xlsx", "A 13199-2023")</f>
        <v/>
      </c>
      <c r="T470">
        <f>HYPERLINK("https://klasma.github.io/Logging_0181/kartor/A 13199-2023 karta.png", "A 13199-2023")</f>
        <v/>
      </c>
      <c r="V470">
        <f>HYPERLINK("https://klasma.github.io/Logging_0181/klagomål/A 13199-2023 FSC-klagomål.docx", "A 13199-2023")</f>
        <v/>
      </c>
      <c r="W470">
        <f>HYPERLINK("https://klasma.github.io/Logging_0181/klagomålsmail/A 13199-2023 FSC-klagomål mail.docx", "A 13199-2023")</f>
        <v/>
      </c>
      <c r="X470">
        <f>HYPERLINK("https://klasma.github.io/Logging_0181/tillsyn/A 13199-2023 tillsynsbegäran.docx", "A 13199-2023")</f>
        <v/>
      </c>
      <c r="Y470">
        <f>HYPERLINK("https://klasma.github.io/Logging_0181/tillsynsmail/A 13199-2023 tillsynsbegäran mail.docx", "A 13199-2023")</f>
        <v/>
      </c>
      <c r="Z470">
        <f>HYPERLINK("https://klasma.github.io/Logging_0181/fåglar/A 13199-2023 prioriterade fågelarter.docx", "A 13199-2023")</f>
        <v/>
      </c>
    </row>
    <row r="471" ht="15" customHeight="1">
      <c r="A471" t="inlineStr">
        <is>
          <t>A 13794-2023</t>
        </is>
      </c>
      <c r="B471" s="1" t="n">
        <v>45007</v>
      </c>
      <c r="C471" s="1" t="n">
        <v>45693</v>
      </c>
      <c r="D471" t="inlineStr">
        <is>
          <t>STOCKHOLMS LÄN</t>
        </is>
      </c>
      <c r="E471" t="inlineStr">
        <is>
          <t>EKERÖ</t>
        </is>
      </c>
      <c r="G471" t="n">
        <v>4.8</v>
      </c>
      <c r="H471" t="n">
        <v>0</v>
      </c>
      <c r="I471" t="n">
        <v>0</v>
      </c>
      <c r="J471" t="n">
        <v>1</v>
      </c>
      <c r="K471" t="n">
        <v>0</v>
      </c>
      <c r="L471" t="n">
        <v>0</v>
      </c>
      <c r="M471" t="n">
        <v>0</v>
      </c>
      <c r="N471" t="n">
        <v>0</v>
      </c>
      <c r="O471" t="n">
        <v>1</v>
      </c>
      <c r="P471" t="n">
        <v>0</v>
      </c>
      <c r="Q471" t="n">
        <v>1</v>
      </c>
      <c r="R471" s="2" t="inlineStr">
        <is>
          <t>Tallticka</t>
        </is>
      </c>
      <c r="S471">
        <f>HYPERLINK("https://klasma.github.io/Logging_0125/artfynd/A 13794-2023 artfynd.xlsx", "A 13794-2023")</f>
        <v/>
      </c>
      <c r="T471">
        <f>HYPERLINK("https://klasma.github.io/Logging_0125/kartor/A 13794-2023 karta.png", "A 13794-2023")</f>
        <v/>
      </c>
      <c r="V471">
        <f>HYPERLINK("https://klasma.github.io/Logging_0125/klagomål/A 13794-2023 FSC-klagomål.docx", "A 13794-2023")</f>
        <v/>
      </c>
      <c r="W471">
        <f>HYPERLINK("https://klasma.github.io/Logging_0125/klagomålsmail/A 13794-2023 FSC-klagomål mail.docx", "A 13794-2023")</f>
        <v/>
      </c>
      <c r="X471">
        <f>HYPERLINK("https://klasma.github.io/Logging_0125/tillsyn/A 13794-2023 tillsynsbegäran.docx", "A 13794-2023")</f>
        <v/>
      </c>
      <c r="Y471">
        <f>HYPERLINK("https://klasma.github.io/Logging_0125/tillsynsmail/A 13794-2023 tillsynsbegäran mail.docx", "A 13794-2023")</f>
        <v/>
      </c>
    </row>
    <row r="472" ht="15" customHeight="1">
      <c r="A472" t="inlineStr">
        <is>
          <t>A 14014-2023</t>
        </is>
      </c>
      <c r="B472" s="1" t="n">
        <v>45008</v>
      </c>
      <c r="C472" s="1" t="n">
        <v>45693</v>
      </c>
      <c r="D472" t="inlineStr">
        <is>
          <t>STOCKHOLMS LÄN</t>
        </is>
      </c>
      <c r="E472" t="inlineStr">
        <is>
          <t>EKERÖ</t>
        </is>
      </c>
      <c r="G472" t="n">
        <v>4.7</v>
      </c>
      <c r="H472" t="n">
        <v>1</v>
      </c>
      <c r="I472" t="n">
        <v>0</v>
      </c>
      <c r="J472" t="n">
        <v>0</v>
      </c>
      <c r="K472" t="n">
        <v>0</v>
      </c>
      <c r="L472" t="n">
        <v>0</v>
      </c>
      <c r="M472" t="n">
        <v>0</v>
      </c>
      <c r="N472" t="n">
        <v>0</v>
      </c>
      <c r="O472" t="n">
        <v>0</v>
      </c>
      <c r="P472" t="n">
        <v>0</v>
      </c>
      <c r="Q472" t="n">
        <v>1</v>
      </c>
      <c r="R472" s="2" t="inlineStr">
        <is>
          <t>Gröngöling</t>
        </is>
      </c>
      <c r="S472">
        <f>HYPERLINK("https://klasma.github.io/Logging_0125/artfynd/A 14014-2023 artfynd.xlsx", "A 14014-2023")</f>
        <v/>
      </c>
      <c r="T472">
        <f>HYPERLINK("https://klasma.github.io/Logging_0125/kartor/A 14014-2023 karta.png", "A 14014-2023")</f>
        <v/>
      </c>
      <c r="V472">
        <f>HYPERLINK("https://klasma.github.io/Logging_0125/klagomål/A 14014-2023 FSC-klagomål.docx", "A 14014-2023")</f>
        <v/>
      </c>
      <c r="W472">
        <f>HYPERLINK("https://klasma.github.io/Logging_0125/klagomålsmail/A 14014-2023 FSC-klagomål mail.docx", "A 14014-2023")</f>
        <v/>
      </c>
      <c r="X472">
        <f>HYPERLINK("https://klasma.github.io/Logging_0125/tillsyn/A 14014-2023 tillsynsbegäran.docx", "A 14014-2023")</f>
        <v/>
      </c>
      <c r="Y472">
        <f>HYPERLINK("https://klasma.github.io/Logging_0125/tillsynsmail/A 14014-2023 tillsynsbegäran mail.docx", "A 14014-2023")</f>
        <v/>
      </c>
      <c r="Z472">
        <f>HYPERLINK("https://klasma.github.io/Logging_0125/fåglar/A 14014-2023 prioriterade fågelarter.docx", "A 14014-2023")</f>
        <v/>
      </c>
    </row>
    <row r="473" ht="15" customHeight="1">
      <c r="A473" t="inlineStr">
        <is>
          <t>A 14092-2023</t>
        </is>
      </c>
      <c r="B473" s="1" t="n">
        <v>45009</v>
      </c>
      <c r="C473" s="1" t="n">
        <v>45693</v>
      </c>
      <c r="D473" t="inlineStr">
        <is>
          <t>STOCKHOLMS LÄN</t>
        </is>
      </c>
      <c r="E473" t="inlineStr">
        <is>
          <t>SÖDERTÄLJE</t>
        </is>
      </c>
      <c r="F473" t="inlineStr">
        <is>
          <t>Kyrkan</t>
        </is>
      </c>
      <c r="G473" t="n">
        <v>4.1</v>
      </c>
      <c r="H473" t="n">
        <v>1</v>
      </c>
      <c r="I473" t="n">
        <v>0</v>
      </c>
      <c r="J473" t="n">
        <v>0</v>
      </c>
      <c r="K473" t="n">
        <v>0</v>
      </c>
      <c r="L473" t="n">
        <v>0</v>
      </c>
      <c r="M473" t="n">
        <v>0</v>
      </c>
      <c r="N473" t="n">
        <v>0</v>
      </c>
      <c r="O473" t="n">
        <v>0</v>
      </c>
      <c r="P473" t="n">
        <v>0</v>
      </c>
      <c r="Q473" t="n">
        <v>1</v>
      </c>
      <c r="R473" s="2" t="inlineStr">
        <is>
          <t>Kungsfågel</t>
        </is>
      </c>
      <c r="S473">
        <f>HYPERLINK("https://klasma.github.io/Logging_0181/artfynd/A 14092-2023 artfynd.xlsx", "A 14092-2023")</f>
        <v/>
      </c>
      <c r="T473">
        <f>HYPERLINK("https://klasma.github.io/Logging_0181/kartor/A 14092-2023 karta.png", "A 14092-2023")</f>
        <v/>
      </c>
      <c r="V473">
        <f>HYPERLINK("https://klasma.github.io/Logging_0181/klagomål/A 14092-2023 FSC-klagomål.docx", "A 14092-2023")</f>
        <v/>
      </c>
      <c r="W473">
        <f>HYPERLINK("https://klasma.github.io/Logging_0181/klagomålsmail/A 14092-2023 FSC-klagomål mail.docx", "A 14092-2023")</f>
        <v/>
      </c>
      <c r="X473">
        <f>HYPERLINK("https://klasma.github.io/Logging_0181/tillsyn/A 14092-2023 tillsynsbegäran.docx", "A 14092-2023")</f>
        <v/>
      </c>
      <c r="Y473">
        <f>HYPERLINK("https://klasma.github.io/Logging_0181/tillsynsmail/A 14092-2023 tillsynsbegäran mail.docx", "A 14092-2023")</f>
        <v/>
      </c>
      <c r="Z473">
        <f>HYPERLINK("https://klasma.github.io/Logging_0181/fåglar/A 14092-2023 prioriterade fågelarter.docx", "A 14092-2023")</f>
        <v/>
      </c>
    </row>
    <row r="474" ht="15" customHeight="1">
      <c r="A474" t="inlineStr">
        <is>
          <t>A 15452-2023</t>
        </is>
      </c>
      <c r="B474" s="1" t="n">
        <v>45020</v>
      </c>
      <c r="C474" s="1" t="n">
        <v>45693</v>
      </c>
      <c r="D474" t="inlineStr">
        <is>
          <t>STOCKHOLMS LÄN</t>
        </is>
      </c>
      <c r="E474" t="inlineStr">
        <is>
          <t>SIGTUNA</t>
        </is>
      </c>
      <c r="F474" t="inlineStr">
        <is>
          <t>Allmännings- och besparingsskogar</t>
        </is>
      </c>
      <c r="G474" t="n">
        <v>4.5</v>
      </c>
      <c r="H474" t="n">
        <v>1</v>
      </c>
      <c r="I474" t="n">
        <v>0</v>
      </c>
      <c r="J474" t="n">
        <v>0</v>
      </c>
      <c r="K474" t="n">
        <v>0</v>
      </c>
      <c r="L474" t="n">
        <v>0</v>
      </c>
      <c r="M474" t="n">
        <v>0</v>
      </c>
      <c r="N474" t="n">
        <v>0</v>
      </c>
      <c r="O474" t="n">
        <v>0</v>
      </c>
      <c r="P474" t="n">
        <v>0</v>
      </c>
      <c r="Q474" t="n">
        <v>1</v>
      </c>
      <c r="R474" s="2" t="inlineStr">
        <is>
          <t>Trana</t>
        </is>
      </c>
      <c r="S474">
        <f>HYPERLINK("https://klasma.github.io/Logging_0191/artfynd/A 15452-2023 artfynd.xlsx", "A 15452-2023")</f>
        <v/>
      </c>
      <c r="T474">
        <f>HYPERLINK("https://klasma.github.io/Logging_0191/kartor/A 15452-2023 karta.png", "A 15452-2023")</f>
        <v/>
      </c>
      <c r="V474">
        <f>HYPERLINK("https://klasma.github.io/Logging_0191/klagomål/A 15452-2023 FSC-klagomål.docx", "A 15452-2023")</f>
        <v/>
      </c>
      <c r="W474">
        <f>HYPERLINK("https://klasma.github.io/Logging_0191/klagomålsmail/A 15452-2023 FSC-klagomål mail.docx", "A 15452-2023")</f>
        <v/>
      </c>
      <c r="X474">
        <f>HYPERLINK("https://klasma.github.io/Logging_0191/tillsyn/A 15452-2023 tillsynsbegäran.docx", "A 15452-2023")</f>
        <v/>
      </c>
      <c r="Y474">
        <f>HYPERLINK("https://klasma.github.io/Logging_0191/tillsynsmail/A 15452-2023 tillsynsbegäran mail.docx", "A 15452-2023")</f>
        <v/>
      </c>
      <c r="Z474">
        <f>HYPERLINK("https://klasma.github.io/Logging_0191/fåglar/A 15452-2023 prioriterade fågelarter.docx", "A 15452-2023")</f>
        <v/>
      </c>
    </row>
    <row r="475" ht="15" customHeight="1">
      <c r="A475" t="inlineStr">
        <is>
          <t>A 15644-2023</t>
        </is>
      </c>
      <c r="B475" s="1" t="n">
        <v>45021</v>
      </c>
      <c r="C475" s="1" t="n">
        <v>45693</v>
      </c>
      <c r="D475" t="inlineStr">
        <is>
          <t>STOCKHOLMS LÄN</t>
        </is>
      </c>
      <c r="E475" t="inlineStr">
        <is>
          <t>NORRTÄLJE</t>
        </is>
      </c>
      <c r="F475" t="inlineStr">
        <is>
          <t>Holmen skog AB</t>
        </is>
      </c>
      <c r="G475" t="n">
        <v>13</v>
      </c>
      <c r="H475" t="n">
        <v>1</v>
      </c>
      <c r="I475" t="n">
        <v>0</v>
      </c>
      <c r="J475" t="n">
        <v>0</v>
      </c>
      <c r="K475" t="n">
        <v>0</v>
      </c>
      <c r="L475" t="n">
        <v>1</v>
      </c>
      <c r="M475" t="n">
        <v>0</v>
      </c>
      <c r="N475" t="n">
        <v>0</v>
      </c>
      <c r="O475" t="n">
        <v>1</v>
      </c>
      <c r="P475" t="n">
        <v>1</v>
      </c>
      <c r="Q475" t="n">
        <v>1</v>
      </c>
      <c r="R475" s="2" t="inlineStr">
        <is>
          <t>Asknätfjäril</t>
        </is>
      </c>
      <c r="S475">
        <f>HYPERLINK("https://klasma.github.io/Logging_0188/artfynd/A 15644-2023 artfynd.xlsx", "A 15644-2023")</f>
        <v/>
      </c>
      <c r="T475">
        <f>HYPERLINK("https://klasma.github.io/Logging_0188/kartor/A 15644-2023 karta.png", "A 15644-2023")</f>
        <v/>
      </c>
      <c r="V475">
        <f>HYPERLINK("https://klasma.github.io/Logging_0188/klagomål/A 15644-2023 FSC-klagomål.docx", "A 15644-2023")</f>
        <v/>
      </c>
      <c r="W475">
        <f>HYPERLINK("https://klasma.github.io/Logging_0188/klagomålsmail/A 15644-2023 FSC-klagomål mail.docx", "A 15644-2023")</f>
        <v/>
      </c>
      <c r="X475">
        <f>HYPERLINK("https://klasma.github.io/Logging_0188/tillsyn/A 15644-2023 tillsynsbegäran.docx", "A 15644-2023")</f>
        <v/>
      </c>
      <c r="Y475">
        <f>HYPERLINK("https://klasma.github.io/Logging_0188/tillsynsmail/A 15644-2023 tillsynsbegäran mail.docx", "A 15644-2023")</f>
        <v/>
      </c>
    </row>
    <row r="476" ht="15" customHeight="1">
      <c r="A476" t="inlineStr">
        <is>
          <t>A 18216-2023</t>
        </is>
      </c>
      <c r="B476" s="1" t="n">
        <v>45041</v>
      </c>
      <c r="C476" s="1" t="n">
        <v>45693</v>
      </c>
      <c r="D476" t="inlineStr">
        <is>
          <t>STOCKHOLMS LÄN</t>
        </is>
      </c>
      <c r="E476" t="inlineStr">
        <is>
          <t>NORRTÄLJE</t>
        </is>
      </c>
      <c r="F476" t="inlineStr">
        <is>
          <t>Holmen skog AB</t>
        </is>
      </c>
      <c r="G476" t="n">
        <v>1.9</v>
      </c>
      <c r="H476" t="n">
        <v>0</v>
      </c>
      <c r="I476" t="n">
        <v>1</v>
      </c>
      <c r="J476" t="n">
        <v>0</v>
      </c>
      <c r="K476" t="n">
        <v>0</v>
      </c>
      <c r="L476" t="n">
        <v>0</v>
      </c>
      <c r="M476" t="n">
        <v>0</v>
      </c>
      <c r="N476" t="n">
        <v>0</v>
      </c>
      <c r="O476" t="n">
        <v>0</v>
      </c>
      <c r="P476" t="n">
        <v>0</v>
      </c>
      <c r="Q476" t="n">
        <v>1</v>
      </c>
      <c r="R476" s="2" t="inlineStr">
        <is>
          <t>Vårärt</t>
        </is>
      </c>
      <c r="S476">
        <f>HYPERLINK("https://klasma.github.io/Logging_0188/artfynd/A 18216-2023 artfynd.xlsx", "A 18216-2023")</f>
        <v/>
      </c>
      <c r="T476">
        <f>HYPERLINK("https://klasma.github.io/Logging_0188/kartor/A 18216-2023 karta.png", "A 18216-2023")</f>
        <v/>
      </c>
      <c r="V476">
        <f>HYPERLINK("https://klasma.github.io/Logging_0188/klagomål/A 18216-2023 FSC-klagomål.docx", "A 18216-2023")</f>
        <v/>
      </c>
      <c r="W476">
        <f>HYPERLINK("https://klasma.github.io/Logging_0188/klagomålsmail/A 18216-2023 FSC-klagomål mail.docx", "A 18216-2023")</f>
        <v/>
      </c>
      <c r="X476">
        <f>HYPERLINK("https://klasma.github.io/Logging_0188/tillsyn/A 18216-2023 tillsynsbegäran.docx", "A 18216-2023")</f>
        <v/>
      </c>
      <c r="Y476">
        <f>HYPERLINK("https://klasma.github.io/Logging_0188/tillsynsmail/A 18216-2023 tillsynsbegäran mail.docx", "A 18216-2023")</f>
        <v/>
      </c>
    </row>
    <row r="477" ht="15" customHeight="1">
      <c r="A477" t="inlineStr">
        <is>
          <t>A 19489-2023</t>
        </is>
      </c>
      <c r="B477" s="1" t="n">
        <v>45050</v>
      </c>
      <c r="C477" s="1" t="n">
        <v>45693</v>
      </c>
      <c r="D477" t="inlineStr">
        <is>
          <t>STOCKHOLMS LÄN</t>
        </is>
      </c>
      <c r="E477" t="inlineStr">
        <is>
          <t>NYKVARN</t>
        </is>
      </c>
      <c r="F477" t="inlineStr">
        <is>
          <t>Sveaskog</t>
        </is>
      </c>
      <c r="G477" t="n">
        <v>0.7</v>
      </c>
      <c r="H477" t="n">
        <v>1</v>
      </c>
      <c r="I477" t="n">
        <v>0</v>
      </c>
      <c r="J477" t="n">
        <v>0</v>
      </c>
      <c r="K477" t="n">
        <v>0</v>
      </c>
      <c r="L477" t="n">
        <v>0</v>
      </c>
      <c r="M477" t="n">
        <v>0</v>
      </c>
      <c r="N477" t="n">
        <v>0</v>
      </c>
      <c r="O477" t="n">
        <v>0</v>
      </c>
      <c r="P477" t="n">
        <v>0</v>
      </c>
      <c r="Q477" t="n">
        <v>1</v>
      </c>
      <c r="R477" s="2" t="inlineStr">
        <is>
          <t>Blåsippa</t>
        </is>
      </c>
      <c r="S477">
        <f>HYPERLINK("https://klasma.github.io/Logging_0140/artfynd/A 19489-2023 artfynd.xlsx", "A 19489-2023")</f>
        <v/>
      </c>
      <c r="T477">
        <f>HYPERLINK("https://klasma.github.io/Logging_0140/kartor/A 19489-2023 karta.png", "A 19489-2023")</f>
        <v/>
      </c>
      <c r="V477">
        <f>HYPERLINK("https://klasma.github.io/Logging_0140/klagomål/A 19489-2023 FSC-klagomål.docx", "A 19489-2023")</f>
        <v/>
      </c>
      <c r="W477">
        <f>HYPERLINK("https://klasma.github.io/Logging_0140/klagomålsmail/A 19489-2023 FSC-klagomål mail.docx", "A 19489-2023")</f>
        <v/>
      </c>
      <c r="X477">
        <f>HYPERLINK("https://klasma.github.io/Logging_0140/tillsyn/A 19489-2023 tillsynsbegäran.docx", "A 19489-2023")</f>
        <v/>
      </c>
      <c r="Y477">
        <f>HYPERLINK("https://klasma.github.io/Logging_0140/tillsynsmail/A 19489-2023 tillsynsbegäran mail.docx", "A 19489-2023")</f>
        <v/>
      </c>
    </row>
    <row r="478" ht="15" customHeight="1">
      <c r="A478" t="inlineStr">
        <is>
          <t>A 21431-2023</t>
        </is>
      </c>
      <c r="B478" s="1" t="n">
        <v>45063</v>
      </c>
      <c r="C478" s="1" t="n">
        <v>45693</v>
      </c>
      <c r="D478" t="inlineStr">
        <is>
          <t>STOCKHOLMS LÄN</t>
        </is>
      </c>
      <c r="E478" t="inlineStr">
        <is>
          <t>NORRTÄLJE</t>
        </is>
      </c>
      <c r="F478" t="inlineStr">
        <is>
          <t>Holmen skog AB</t>
        </is>
      </c>
      <c r="G478" t="n">
        <v>4</v>
      </c>
      <c r="H478" t="n">
        <v>1</v>
      </c>
      <c r="I478" t="n">
        <v>1</v>
      </c>
      <c r="J478" t="n">
        <v>0</v>
      </c>
      <c r="K478" t="n">
        <v>0</v>
      </c>
      <c r="L478" t="n">
        <v>0</v>
      </c>
      <c r="M478" t="n">
        <v>0</v>
      </c>
      <c r="N478" t="n">
        <v>0</v>
      </c>
      <c r="O478" t="n">
        <v>0</v>
      </c>
      <c r="P478" t="n">
        <v>0</v>
      </c>
      <c r="Q478" t="n">
        <v>1</v>
      </c>
      <c r="R478" s="2" t="inlineStr">
        <is>
          <t>Nästrot</t>
        </is>
      </c>
      <c r="S478">
        <f>HYPERLINK("https://klasma.github.io/Logging_0188/artfynd/A 21431-2023 artfynd.xlsx", "A 21431-2023")</f>
        <v/>
      </c>
      <c r="T478">
        <f>HYPERLINK("https://klasma.github.io/Logging_0188/kartor/A 21431-2023 karta.png", "A 21431-2023")</f>
        <v/>
      </c>
      <c r="V478">
        <f>HYPERLINK("https://klasma.github.io/Logging_0188/klagomål/A 21431-2023 FSC-klagomål.docx", "A 21431-2023")</f>
        <v/>
      </c>
      <c r="W478">
        <f>HYPERLINK("https://klasma.github.io/Logging_0188/klagomålsmail/A 21431-2023 FSC-klagomål mail.docx", "A 21431-2023")</f>
        <v/>
      </c>
      <c r="X478">
        <f>HYPERLINK("https://klasma.github.io/Logging_0188/tillsyn/A 21431-2023 tillsynsbegäran.docx", "A 21431-2023")</f>
        <v/>
      </c>
      <c r="Y478">
        <f>HYPERLINK("https://klasma.github.io/Logging_0188/tillsynsmail/A 21431-2023 tillsynsbegäran mail.docx", "A 21431-2023")</f>
        <v/>
      </c>
    </row>
    <row r="479" ht="15" customHeight="1">
      <c r="A479" t="inlineStr">
        <is>
          <t>A 21744-2023</t>
        </is>
      </c>
      <c r="B479" s="1" t="n">
        <v>45065</v>
      </c>
      <c r="C479" s="1" t="n">
        <v>45693</v>
      </c>
      <c r="D479" t="inlineStr">
        <is>
          <t>STOCKHOLMS LÄN</t>
        </is>
      </c>
      <c r="E479" t="inlineStr">
        <is>
          <t>NORRTÄLJE</t>
        </is>
      </c>
      <c r="F479" t="inlineStr">
        <is>
          <t>Holmen skog AB</t>
        </is>
      </c>
      <c r="G479" t="n">
        <v>4.2</v>
      </c>
      <c r="H479" t="n">
        <v>0</v>
      </c>
      <c r="I479" t="n">
        <v>1</v>
      </c>
      <c r="J479" t="n">
        <v>0</v>
      </c>
      <c r="K479" t="n">
        <v>0</v>
      </c>
      <c r="L479" t="n">
        <v>0</v>
      </c>
      <c r="M479" t="n">
        <v>0</v>
      </c>
      <c r="N479" t="n">
        <v>0</v>
      </c>
      <c r="O479" t="n">
        <v>0</v>
      </c>
      <c r="P479" t="n">
        <v>0</v>
      </c>
      <c r="Q479" t="n">
        <v>1</v>
      </c>
      <c r="R479" s="2" t="inlineStr">
        <is>
          <t>Korallblylav</t>
        </is>
      </c>
      <c r="S479">
        <f>HYPERLINK("https://klasma.github.io/Logging_0188/artfynd/A 21744-2023 artfynd.xlsx", "A 21744-2023")</f>
        <v/>
      </c>
      <c r="T479">
        <f>HYPERLINK("https://klasma.github.io/Logging_0188/kartor/A 21744-2023 karta.png", "A 21744-2023")</f>
        <v/>
      </c>
      <c r="V479">
        <f>HYPERLINK("https://klasma.github.io/Logging_0188/klagomål/A 21744-2023 FSC-klagomål.docx", "A 21744-2023")</f>
        <v/>
      </c>
      <c r="W479">
        <f>HYPERLINK("https://klasma.github.io/Logging_0188/klagomålsmail/A 21744-2023 FSC-klagomål mail.docx", "A 21744-2023")</f>
        <v/>
      </c>
      <c r="X479">
        <f>HYPERLINK("https://klasma.github.io/Logging_0188/tillsyn/A 21744-2023 tillsynsbegäran.docx", "A 21744-2023")</f>
        <v/>
      </c>
      <c r="Y479">
        <f>HYPERLINK("https://klasma.github.io/Logging_0188/tillsynsmail/A 21744-2023 tillsynsbegäran mail.docx", "A 21744-2023")</f>
        <v/>
      </c>
    </row>
    <row r="480" ht="15" customHeight="1">
      <c r="A480" t="inlineStr">
        <is>
          <t>A 24233-2023</t>
        </is>
      </c>
      <c r="B480" s="1" t="n">
        <v>45076</v>
      </c>
      <c r="C480" s="1" t="n">
        <v>45693</v>
      </c>
      <c r="D480" t="inlineStr">
        <is>
          <t>STOCKHOLMS LÄN</t>
        </is>
      </c>
      <c r="E480" t="inlineStr">
        <is>
          <t>HUDDINGE</t>
        </is>
      </c>
      <c r="G480" t="n">
        <v>3.7</v>
      </c>
      <c r="H480" t="n">
        <v>0</v>
      </c>
      <c r="I480" t="n">
        <v>0</v>
      </c>
      <c r="J480" t="n">
        <v>1</v>
      </c>
      <c r="K480" t="n">
        <v>0</v>
      </c>
      <c r="L480" t="n">
        <v>0</v>
      </c>
      <c r="M480" t="n">
        <v>0</v>
      </c>
      <c r="N480" t="n">
        <v>0</v>
      </c>
      <c r="O480" t="n">
        <v>1</v>
      </c>
      <c r="P480" t="n">
        <v>0</v>
      </c>
      <c r="Q480" t="n">
        <v>1</v>
      </c>
      <c r="R480" s="2" t="inlineStr">
        <is>
          <t>Svartvit taggsvamp</t>
        </is>
      </c>
      <c r="S480">
        <f>HYPERLINK("https://klasma.github.io/Logging_0126/artfynd/A 24233-2023 artfynd.xlsx", "A 24233-2023")</f>
        <v/>
      </c>
      <c r="T480">
        <f>HYPERLINK("https://klasma.github.io/Logging_0126/kartor/A 24233-2023 karta.png", "A 24233-2023")</f>
        <v/>
      </c>
      <c r="V480">
        <f>HYPERLINK("https://klasma.github.io/Logging_0126/klagomål/A 24233-2023 FSC-klagomål.docx", "A 24233-2023")</f>
        <v/>
      </c>
      <c r="W480">
        <f>HYPERLINK("https://klasma.github.io/Logging_0126/klagomålsmail/A 24233-2023 FSC-klagomål mail.docx", "A 24233-2023")</f>
        <v/>
      </c>
      <c r="X480">
        <f>HYPERLINK("https://klasma.github.io/Logging_0126/tillsyn/A 24233-2023 tillsynsbegäran.docx", "A 24233-2023")</f>
        <v/>
      </c>
      <c r="Y480">
        <f>HYPERLINK("https://klasma.github.io/Logging_0126/tillsynsmail/A 24233-2023 tillsynsbegäran mail.docx", "A 24233-2023")</f>
        <v/>
      </c>
    </row>
    <row r="481" ht="15" customHeight="1">
      <c r="A481" t="inlineStr">
        <is>
          <t>A 24368-2023</t>
        </is>
      </c>
      <c r="B481" s="1" t="n">
        <v>45076</v>
      </c>
      <c r="C481" s="1" t="n">
        <v>45693</v>
      </c>
      <c r="D481" t="inlineStr">
        <is>
          <t>STOCKHOLMS LÄN</t>
        </is>
      </c>
      <c r="E481" t="inlineStr">
        <is>
          <t>HUDDINGE</t>
        </is>
      </c>
      <c r="G481" t="n">
        <v>3</v>
      </c>
      <c r="H481" t="n">
        <v>1</v>
      </c>
      <c r="I481" t="n">
        <v>1</v>
      </c>
      <c r="J481" t="n">
        <v>0</v>
      </c>
      <c r="K481" t="n">
        <v>0</v>
      </c>
      <c r="L481" t="n">
        <v>0</v>
      </c>
      <c r="M481" t="n">
        <v>0</v>
      </c>
      <c r="N481" t="n">
        <v>0</v>
      </c>
      <c r="O481" t="n">
        <v>0</v>
      </c>
      <c r="P481" t="n">
        <v>0</v>
      </c>
      <c r="Q481" t="n">
        <v>1</v>
      </c>
      <c r="R481" s="2" t="inlineStr">
        <is>
          <t>Plattlummer</t>
        </is>
      </c>
      <c r="S481">
        <f>HYPERLINK("https://klasma.github.io/Logging_0126/artfynd/A 24368-2023 artfynd.xlsx", "A 24368-2023")</f>
        <v/>
      </c>
      <c r="T481">
        <f>HYPERLINK("https://klasma.github.io/Logging_0126/kartor/A 24368-2023 karta.png", "A 24368-2023")</f>
        <v/>
      </c>
      <c r="V481">
        <f>HYPERLINK("https://klasma.github.io/Logging_0126/klagomål/A 24368-2023 FSC-klagomål.docx", "A 24368-2023")</f>
        <v/>
      </c>
      <c r="W481">
        <f>HYPERLINK("https://klasma.github.io/Logging_0126/klagomålsmail/A 24368-2023 FSC-klagomål mail.docx", "A 24368-2023")</f>
        <v/>
      </c>
      <c r="X481">
        <f>HYPERLINK("https://klasma.github.io/Logging_0126/tillsyn/A 24368-2023 tillsynsbegäran.docx", "A 24368-2023")</f>
        <v/>
      </c>
      <c r="Y481">
        <f>HYPERLINK("https://klasma.github.io/Logging_0126/tillsynsmail/A 24368-2023 tillsynsbegäran mail.docx", "A 24368-2023")</f>
        <v/>
      </c>
    </row>
    <row r="482" ht="15" customHeight="1">
      <c r="A482" t="inlineStr">
        <is>
          <t>A 24384-2023</t>
        </is>
      </c>
      <c r="B482" s="1" t="n">
        <v>45076</v>
      </c>
      <c r="C482" s="1" t="n">
        <v>45693</v>
      </c>
      <c r="D482" t="inlineStr">
        <is>
          <t>STOCKHOLMS LÄN</t>
        </is>
      </c>
      <c r="E482" t="inlineStr">
        <is>
          <t>HUDDINGE</t>
        </is>
      </c>
      <c r="G482" t="n">
        <v>1</v>
      </c>
      <c r="H482" t="n">
        <v>0</v>
      </c>
      <c r="I482" t="n">
        <v>0</v>
      </c>
      <c r="J482" t="n">
        <v>1</v>
      </c>
      <c r="K482" t="n">
        <v>0</v>
      </c>
      <c r="L482" t="n">
        <v>0</v>
      </c>
      <c r="M482" t="n">
        <v>0</v>
      </c>
      <c r="N482" t="n">
        <v>0</v>
      </c>
      <c r="O482" t="n">
        <v>1</v>
      </c>
      <c r="P482" t="n">
        <v>0</v>
      </c>
      <c r="Q482" t="n">
        <v>1</v>
      </c>
      <c r="R482" s="2" t="inlineStr">
        <is>
          <t>Kolflarnlav</t>
        </is>
      </c>
      <c r="S482">
        <f>HYPERLINK("https://klasma.github.io/Logging_0126/artfynd/A 24384-2023 artfynd.xlsx", "A 24384-2023")</f>
        <v/>
      </c>
      <c r="T482">
        <f>HYPERLINK("https://klasma.github.io/Logging_0126/kartor/A 24384-2023 karta.png", "A 24384-2023")</f>
        <v/>
      </c>
      <c r="V482">
        <f>HYPERLINK("https://klasma.github.io/Logging_0126/klagomål/A 24384-2023 FSC-klagomål.docx", "A 24384-2023")</f>
        <v/>
      </c>
      <c r="W482">
        <f>HYPERLINK("https://klasma.github.io/Logging_0126/klagomålsmail/A 24384-2023 FSC-klagomål mail.docx", "A 24384-2023")</f>
        <v/>
      </c>
      <c r="X482">
        <f>HYPERLINK("https://klasma.github.io/Logging_0126/tillsyn/A 24384-2023 tillsynsbegäran.docx", "A 24384-2023")</f>
        <v/>
      </c>
      <c r="Y482">
        <f>HYPERLINK("https://klasma.github.io/Logging_0126/tillsynsmail/A 24384-2023 tillsynsbegäran mail.docx", "A 24384-2023")</f>
        <v/>
      </c>
    </row>
    <row r="483" ht="15" customHeight="1">
      <c r="A483" t="inlineStr">
        <is>
          <t>A 23829-2023</t>
        </is>
      </c>
      <c r="B483" s="1" t="n">
        <v>45078</v>
      </c>
      <c r="C483" s="1" t="n">
        <v>45693</v>
      </c>
      <c r="D483" t="inlineStr">
        <is>
          <t>STOCKHOLMS LÄN</t>
        </is>
      </c>
      <c r="E483" t="inlineStr">
        <is>
          <t>BOTKYRKA</t>
        </is>
      </c>
      <c r="F483" t="inlineStr">
        <is>
          <t>Kommuner</t>
        </is>
      </c>
      <c r="G483" t="n">
        <v>3.7</v>
      </c>
      <c r="H483" t="n">
        <v>0</v>
      </c>
      <c r="I483" t="n">
        <v>1</v>
      </c>
      <c r="J483" t="n">
        <v>0</v>
      </c>
      <c r="K483" t="n">
        <v>0</v>
      </c>
      <c r="L483" t="n">
        <v>0</v>
      </c>
      <c r="M483" t="n">
        <v>0</v>
      </c>
      <c r="N483" t="n">
        <v>0</v>
      </c>
      <c r="O483" t="n">
        <v>0</v>
      </c>
      <c r="P483" t="n">
        <v>0</v>
      </c>
      <c r="Q483" t="n">
        <v>1</v>
      </c>
      <c r="R483" s="2" t="inlineStr">
        <is>
          <t>Fjällig taggsvamp s.str.</t>
        </is>
      </c>
      <c r="S483">
        <f>HYPERLINK("https://klasma.github.io/Logging_0127/artfynd/A 23829-2023 artfynd.xlsx", "A 23829-2023")</f>
        <v/>
      </c>
      <c r="T483">
        <f>HYPERLINK("https://klasma.github.io/Logging_0127/kartor/A 23829-2023 karta.png", "A 23829-2023")</f>
        <v/>
      </c>
      <c r="V483">
        <f>HYPERLINK("https://klasma.github.io/Logging_0127/klagomål/A 23829-2023 FSC-klagomål.docx", "A 23829-2023")</f>
        <v/>
      </c>
      <c r="W483">
        <f>HYPERLINK("https://klasma.github.io/Logging_0127/klagomålsmail/A 23829-2023 FSC-klagomål mail.docx", "A 23829-2023")</f>
        <v/>
      </c>
      <c r="X483">
        <f>HYPERLINK("https://klasma.github.io/Logging_0127/tillsyn/A 23829-2023 tillsynsbegäran.docx", "A 23829-2023")</f>
        <v/>
      </c>
      <c r="Y483">
        <f>HYPERLINK("https://klasma.github.io/Logging_0127/tillsynsmail/A 23829-2023 tillsynsbegäran mail.docx", "A 23829-2023")</f>
        <v/>
      </c>
    </row>
    <row r="484" ht="15" customHeight="1">
      <c r="A484" t="inlineStr">
        <is>
          <t>A 23823-2023</t>
        </is>
      </c>
      <c r="B484" s="1" t="n">
        <v>45078</v>
      </c>
      <c r="C484" s="1" t="n">
        <v>45693</v>
      </c>
      <c r="D484" t="inlineStr">
        <is>
          <t>STOCKHOLMS LÄN</t>
        </is>
      </c>
      <c r="E484" t="inlineStr">
        <is>
          <t>SALEM</t>
        </is>
      </c>
      <c r="F484" t="inlineStr">
        <is>
          <t>Kommuner</t>
        </is>
      </c>
      <c r="G484" t="n">
        <v>2.1</v>
      </c>
      <c r="H484" t="n">
        <v>1</v>
      </c>
      <c r="I484" t="n">
        <v>0</v>
      </c>
      <c r="J484" t="n">
        <v>0</v>
      </c>
      <c r="K484" t="n">
        <v>0</v>
      </c>
      <c r="L484" t="n">
        <v>0</v>
      </c>
      <c r="M484" t="n">
        <v>0</v>
      </c>
      <c r="N484" t="n">
        <v>0</v>
      </c>
      <c r="O484" t="n">
        <v>0</v>
      </c>
      <c r="P484" t="n">
        <v>0</v>
      </c>
      <c r="Q484" t="n">
        <v>1</v>
      </c>
      <c r="R484" s="2" t="inlineStr">
        <is>
          <t>Revlummer</t>
        </is>
      </c>
      <c r="S484">
        <f>HYPERLINK("https://klasma.github.io/Logging_0128/artfynd/A 23823-2023 artfynd.xlsx", "A 23823-2023")</f>
        <v/>
      </c>
      <c r="T484">
        <f>HYPERLINK("https://klasma.github.io/Logging_0128/kartor/A 23823-2023 karta.png", "A 23823-2023")</f>
        <v/>
      </c>
      <c r="V484">
        <f>HYPERLINK("https://klasma.github.io/Logging_0128/klagomål/A 23823-2023 FSC-klagomål.docx", "A 23823-2023")</f>
        <v/>
      </c>
      <c r="W484">
        <f>HYPERLINK("https://klasma.github.io/Logging_0128/klagomålsmail/A 23823-2023 FSC-klagomål mail.docx", "A 23823-2023")</f>
        <v/>
      </c>
      <c r="X484">
        <f>HYPERLINK("https://klasma.github.io/Logging_0128/tillsyn/A 23823-2023 tillsynsbegäran.docx", "A 23823-2023")</f>
        <v/>
      </c>
      <c r="Y484">
        <f>HYPERLINK("https://klasma.github.io/Logging_0128/tillsynsmail/A 23823-2023 tillsynsbegäran mail.docx", "A 23823-2023")</f>
        <v/>
      </c>
    </row>
    <row r="485" ht="15" customHeight="1">
      <c r="A485" t="inlineStr">
        <is>
          <t>A 24535-2023</t>
        </is>
      </c>
      <c r="B485" s="1" t="n">
        <v>45082</v>
      </c>
      <c r="C485" s="1" t="n">
        <v>45693</v>
      </c>
      <c r="D485" t="inlineStr">
        <is>
          <t>STOCKHOLMS LÄN</t>
        </is>
      </c>
      <c r="E485" t="inlineStr">
        <is>
          <t>NORRTÄLJE</t>
        </is>
      </c>
      <c r="F485" t="inlineStr">
        <is>
          <t>Kommuner</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HYPERLINK("https://klasma.github.io/Logging_0188/artfynd/A 24535-2023 artfynd.xlsx", "A 24535-2023")</f>
        <v/>
      </c>
      <c r="T485">
        <f>HYPERLINK("https://klasma.github.io/Logging_0188/kartor/A 24535-2023 karta.png", "A 24535-2023")</f>
        <v/>
      </c>
      <c r="V485">
        <f>HYPERLINK("https://klasma.github.io/Logging_0188/klagomål/A 24535-2023 FSC-klagomål.docx", "A 24535-2023")</f>
        <v/>
      </c>
      <c r="W485">
        <f>HYPERLINK("https://klasma.github.io/Logging_0188/klagomålsmail/A 24535-2023 FSC-klagomål mail.docx", "A 24535-2023")</f>
        <v/>
      </c>
      <c r="X485">
        <f>HYPERLINK("https://klasma.github.io/Logging_0188/tillsyn/A 24535-2023 tillsynsbegäran.docx", "A 24535-2023")</f>
        <v/>
      </c>
      <c r="Y485">
        <f>HYPERLINK("https://klasma.github.io/Logging_0188/tillsynsmail/A 24535-2023 tillsynsbegäran mail.docx", "A 24535-2023")</f>
        <v/>
      </c>
    </row>
    <row r="486" ht="15" customHeight="1">
      <c r="A486" t="inlineStr">
        <is>
          <t>A 26635-2023</t>
        </is>
      </c>
      <c r="B486" s="1" t="n">
        <v>45092</v>
      </c>
      <c r="C486" s="1" t="n">
        <v>45693</v>
      </c>
      <c r="D486" t="inlineStr">
        <is>
          <t>STOCKHOLMS LÄN</t>
        </is>
      </c>
      <c r="E486" t="inlineStr">
        <is>
          <t>NORRTÄLJE</t>
        </is>
      </c>
      <c r="G486" t="n">
        <v>3.1</v>
      </c>
      <c r="H486" t="n">
        <v>1</v>
      </c>
      <c r="I486" t="n">
        <v>0</v>
      </c>
      <c r="J486" t="n">
        <v>0</v>
      </c>
      <c r="K486" t="n">
        <v>0</v>
      </c>
      <c r="L486" t="n">
        <v>0</v>
      </c>
      <c r="M486" t="n">
        <v>0</v>
      </c>
      <c r="N486" t="n">
        <v>0</v>
      </c>
      <c r="O486" t="n">
        <v>0</v>
      </c>
      <c r="P486" t="n">
        <v>0</v>
      </c>
      <c r="Q486" t="n">
        <v>1</v>
      </c>
      <c r="R486" s="2" t="inlineStr">
        <is>
          <t>Fläcknycklar</t>
        </is>
      </c>
      <c r="S486">
        <f>HYPERLINK("https://klasma.github.io/Logging_0188/artfynd/A 26635-2023 artfynd.xlsx", "A 26635-2023")</f>
        <v/>
      </c>
      <c r="T486">
        <f>HYPERLINK("https://klasma.github.io/Logging_0188/kartor/A 26635-2023 karta.png", "A 26635-2023")</f>
        <v/>
      </c>
      <c r="V486">
        <f>HYPERLINK("https://klasma.github.io/Logging_0188/klagomål/A 26635-2023 FSC-klagomål.docx", "A 26635-2023")</f>
        <v/>
      </c>
      <c r="W486">
        <f>HYPERLINK("https://klasma.github.io/Logging_0188/klagomålsmail/A 26635-2023 FSC-klagomål mail.docx", "A 26635-2023")</f>
        <v/>
      </c>
      <c r="X486">
        <f>HYPERLINK("https://klasma.github.io/Logging_0188/tillsyn/A 26635-2023 tillsynsbegäran.docx", "A 26635-2023")</f>
        <v/>
      </c>
      <c r="Y486">
        <f>HYPERLINK("https://klasma.github.io/Logging_0188/tillsynsmail/A 26635-2023 tillsynsbegäran mail.docx", "A 26635-2023")</f>
        <v/>
      </c>
    </row>
    <row r="487" ht="15" customHeight="1">
      <c r="A487" t="inlineStr">
        <is>
          <t>A 31142-2023</t>
        </is>
      </c>
      <c r="B487" s="1" t="n">
        <v>45113</v>
      </c>
      <c r="C487" s="1" t="n">
        <v>45693</v>
      </c>
      <c r="D487" t="inlineStr">
        <is>
          <t>STOCKHOLMS LÄN</t>
        </is>
      </c>
      <c r="E487" t="inlineStr">
        <is>
          <t>NYNÄSHAMN</t>
        </is>
      </c>
      <c r="G487" t="n">
        <v>5.7</v>
      </c>
      <c r="H487" t="n">
        <v>0</v>
      </c>
      <c r="I487" t="n">
        <v>0</v>
      </c>
      <c r="J487" t="n">
        <v>0</v>
      </c>
      <c r="K487" t="n">
        <v>0</v>
      </c>
      <c r="L487" t="n">
        <v>1</v>
      </c>
      <c r="M487" t="n">
        <v>0</v>
      </c>
      <c r="N487" t="n">
        <v>0</v>
      </c>
      <c r="O487" t="n">
        <v>1</v>
      </c>
      <c r="P487" t="n">
        <v>1</v>
      </c>
      <c r="Q487" t="n">
        <v>1</v>
      </c>
      <c r="R487" s="2" t="inlineStr">
        <is>
          <t>Ask</t>
        </is>
      </c>
      <c r="S487">
        <f>HYPERLINK("https://klasma.github.io/Logging_0192/artfynd/A 31142-2023 artfynd.xlsx", "A 31142-2023")</f>
        <v/>
      </c>
      <c r="T487">
        <f>HYPERLINK("https://klasma.github.io/Logging_0192/kartor/A 31142-2023 karta.png", "A 31142-2023")</f>
        <v/>
      </c>
      <c r="V487">
        <f>HYPERLINK("https://klasma.github.io/Logging_0192/klagomål/A 31142-2023 FSC-klagomål.docx", "A 31142-2023")</f>
        <v/>
      </c>
      <c r="W487">
        <f>HYPERLINK("https://klasma.github.io/Logging_0192/klagomålsmail/A 31142-2023 FSC-klagomål mail.docx", "A 31142-2023")</f>
        <v/>
      </c>
      <c r="X487">
        <f>HYPERLINK("https://klasma.github.io/Logging_0192/tillsyn/A 31142-2023 tillsynsbegäran.docx", "A 31142-2023")</f>
        <v/>
      </c>
      <c r="Y487">
        <f>HYPERLINK("https://klasma.github.io/Logging_0192/tillsynsmail/A 31142-2023 tillsynsbegäran mail.docx", "A 31142-2023")</f>
        <v/>
      </c>
    </row>
    <row r="488" ht="15" customHeight="1">
      <c r="A488" t="inlineStr">
        <is>
          <t>A 31828-2023</t>
        </is>
      </c>
      <c r="B488" s="1" t="n">
        <v>45118</v>
      </c>
      <c r="C488" s="1" t="n">
        <v>45693</v>
      </c>
      <c r="D488" t="inlineStr">
        <is>
          <t>STOCKHOLMS LÄN</t>
        </is>
      </c>
      <c r="E488" t="inlineStr">
        <is>
          <t>NYNÄSHAMN</t>
        </is>
      </c>
      <c r="F488" t="inlineStr">
        <is>
          <t>Kommuner</t>
        </is>
      </c>
      <c r="G488" t="n">
        <v>2.7</v>
      </c>
      <c r="H488" t="n">
        <v>0</v>
      </c>
      <c r="I488" t="n">
        <v>1</v>
      </c>
      <c r="J488" t="n">
        <v>0</v>
      </c>
      <c r="K488" t="n">
        <v>0</v>
      </c>
      <c r="L488" t="n">
        <v>0</v>
      </c>
      <c r="M488" t="n">
        <v>0</v>
      </c>
      <c r="N488" t="n">
        <v>0</v>
      </c>
      <c r="O488" t="n">
        <v>0</v>
      </c>
      <c r="P488" t="n">
        <v>0</v>
      </c>
      <c r="Q488" t="n">
        <v>1</v>
      </c>
      <c r="R488" s="2" t="inlineStr">
        <is>
          <t>Björksplintborre</t>
        </is>
      </c>
      <c r="S488">
        <f>HYPERLINK("https://klasma.github.io/Logging_0192/artfynd/A 31828-2023 artfynd.xlsx", "A 31828-2023")</f>
        <v/>
      </c>
      <c r="T488">
        <f>HYPERLINK("https://klasma.github.io/Logging_0192/kartor/A 31828-2023 karta.png", "A 31828-2023")</f>
        <v/>
      </c>
      <c r="V488">
        <f>HYPERLINK("https://klasma.github.io/Logging_0192/klagomål/A 31828-2023 FSC-klagomål.docx", "A 31828-2023")</f>
        <v/>
      </c>
      <c r="W488">
        <f>HYPERLINK("https://klasma.github.io/Logging_0192/klagomålsmail/A 31828-2023 FSC-klagomål mail.docx", "A 31828-2023")</f>
        <v/>
      </c>
      <c r="X488">
        <f>HYPERLINK("https://klasma.github.io/Logging_0192/tillsyn/A 31828-2023 tillsynsbegäran.docx", "A 31828-2023")</f>
        <v/>
      </c>
      <c r="Y488">
        <f>HYPERLINK("https://klasma.github.io/Logging_0192/tillsynsmail/A 31828-2023 tillsynsbegäran mail.docx", "A 31828-2023")</f>
        <v/>
      </c>
    </row>
    <row r="489" ht="15" customHeight="1">
      <c r="A489" t="inlineStr">
        <is>
          <t>A 31842-2023</t>
        </is>
      </c>
      <c r="B489" s="1" t="n">
        <v>45118</v>
      </c>
      <c r="C489" s="1" t="n">
        <v>45693</v>
      </c>
      <c r="D489" t="inlineStr">
        <is>
          <t>STOCKHOLMS LÄN</t>
        </is>
      </c>
      <c r="E489" t="inlineStr">
        <is>
          <t>NYNÄSHAMN</t>
        </is>
      </c>
      <c r="F489" t="inlineStr">
        <is>
          <t>Kommuner</t>
        </is>
      </c>
      <c r="G489" t="n">
        <v>3.8</v>
      </c>
      <c r="H489" t="n">
        <v>1</v>
      </c>
      <c r="I489" t="n">
        <v>1</v>
      </c>
      <c r="J489" t="n">
        <v>0</v>
      </c>
      <c r="K489" t="n">
        <v>0</v>
      </c>
      <c r="L489" t="n">
        <v>0</v>
      </c>
      <c r="M489" t="n">
        <v>0</v>
      </c>
      <c r="N489" t="n">
        <v>0</v>
      </c>
      <c r="O489" t="n">
        <v>0</v>
      </c>
      <c r="P489" t="n">
        <v>0</v>
      </c>
      <c r="Q489" t="n">
        <v>1</v>
      </c>
      <c r="R489" s="2" t="inlineStr">
        <is>
          <t>Grön sköldmossa</t>
        </is>
      </c>
      <c r="S489">
        <f>HYPERLINK("https://klasma.github.io/Logging_0192/artfynd/A 31842-2023 artfynd.xlsx", "A 31842-2023")</f>
        <v/>
      </c>
      <c r="T489">
        <f>HYPERLINK("https://klasma.github.io/Logging_0192/kartor/A 31842-2023 karta.png", "A 31842-2023")</f>
        <v/>
      </c>
      <c r="V489">
        <f>HYPERLINK("https://klasma.github.io/Logging_0192/klagomål/A 31842-2023 FSC-klagomål.docx", "A 31842-2023")</f>
        <v/>
      </c>
      <c r="W489">
        <f>HYPERLINK("https://klasma.github.io/Logging_0192/klagomålsmail/A 31842-2023 FSC-klagomål mail.docx", "A 31842-2023")</f>
        <v/>
      </c>
      <c r="X489">
        <f>HYPERLINK("https://klasma.github.io/Logging_0192/tillsyn/A 31842-2023 tillsynsbegäran.docx", "A 31842-2023")</f>
        <v/>
      </c>
      <c r="Y489">
        <f>HYPERLINK("https://klasma.github.io/Logging_0192/tillsynsmail/A 31842-2023 tillsynsbegäran mail.docx", "A 31842-2023")</f>
        <v/>
      </c>
    </row>
    <row r="490" ht="15" customHeight="1">
      <c r="A490" t="inlineStr">
        <is>
          <t>A 32338-2023</t>
        </is>
      </c>
      <c r="B490" s="1" t="n">
        <v>45120</v>
      </c>
      <c r="C490" s="1" t="n">
        <v>45693</v>
      </c>
      <c r="D490" t="inlineStr">
        <is>
          <t>STOCKHOLMS LÄN</t>
        </is>
      </c>
      <c r="E490" t="inlineStr">
        <is>
          <t>VÄRMDÖ</t>
        </is>
      </c>
      <c r="G490" t="n">
        <v>11.3</v>
      </c>
      <c r="H490" t="n">
        <v>0</v>
      </c>
      <c r="I490" t="n">
        <v>1</v>
      </c>
      <c r="J490" t="n">
        <v>0</v>
      </c>
      <c r="K490" t="n">
        <v>0</v>
      </c>
      <c r="L490" t="n">
        <v>0</v>
      </c>
      <c r="M490" t="n">
        <v>0</v>
      </c>
      <c r="N490" t="n">
        <v>0</v>
      </c>
      <c r="O490" t="n">
        <v>0</v>
      </c>
      <c r="P490" t="n">
        <v>0</v>
      </c>
      <c r="Q490" t="n">
        <v>1</v>
      </c>
      <c r="R490" s="2" t="inlineStr">
        <is>
          <t>Strävlosta</t>
        </is>
      </c>
      <c r="S490">
        <f>HYPERLINK("https://klasma.github.io/Logging_0120/artfynd/A 32338-2023 artfynd.xlsx", "A 32338-2023")</f>
        <v/>
      </c>
      <c r="T490">
        <f>HYPERLINK("https://klasma.github.io/Logging_0120/kartor/A 32338-2023 karta.png", "A 32338-2023")</f>
        <v/>
      </c>
      <c r="V490">
        <f>HYPERLINK("https://klasma.github.io/Logging_0120/klagomål/A 32338-2023 FSC-klagomål.docx", "A 32338-2023")</f>
        <v/>
      </c>
      <c r="W490">
        <f>HYPERLINK("https://klasma.github.io/Logging_0120/klagomålsmail/A 32338-2023 FSC-klagomål mail.docx", "A 32338-2023")</f>
        <v/>
      </c>
      <c r="X490">
        <f>HYPERLINK("https://klasma.github.io/Logging_0120/tillsyn/A 32338-2023 tillsynsbegäran.docx", "A 32338-2023")</f>
        <v/>
      </c>
      <c r="Y490">
        <f>HYPERLINK("https://klasma.github.io/Logging_0120/tillsynsmail/A 32338-2023 tillsynsbegäran mail.docx", "A 32338-2023")</f>
        <v/>
      </c>
    </row>
    <row r="491" ht="15" customHeight="1">
      <c r="A491" t="inlineStr">
        <is>
          <t>A 32455-2023</t>
        </is>
      </c>
      <c r="B491" s="1" t="n">
        <v>45120</v>
      </c>
      <c r="C491" s="1" t="n">
        <v>45693</v>
      </c>
      <c r="D491" t="inlineStr">
        <is>
          <t>STOCKHOLMS LÄN</t>
        </is>
      </c>
      <c r="E491" t="inlineStr">
        <is>
          <t>VÄRMDÖ</t>
        </is>
      </c>
      <c r="G491" t="n">
        <v>4.1</v>
      </c>
      <c r="H491" t="n">
        <v>1</v>
      </c>
      <c r="I491" t="n">
        <v>0</v>
      </c>
      <c r="J491" t="n">
        <v>0</v>
      </c>
      <c r="K491" t="n">
        <v>0</v>
      </c>
      <c r="L491" t="n">
        <v>0</v>
      </c>
      <c r="M491" t="n">
        <v>0</v>
      </c>
      <c r="N491" t="n">
        <v>0</v>
      </c>
      <c r="O491" t="n">
        <v>0</v>
      </c>
      <c r="P491" t="n">
        <v>0</v>
      </c>
      <c r="Q491" t="n">
        <v>1</v>
      </c>
      <c r="R491" s="2" t="inlineStr">
        <is>
          <t>Blåsippa</t>
        </is>
      </c>
      <c r="S491">
        <f>HYPERLINK("https://klasma.github.io/Logging_0120/artfynd/A 32455-2023 artfynd.xlsx", "A 32455-2023")</f>
        <v/>
      </c>
      <c r="T491">
        <f>HYPERLINK("https://klasma.github.io/Logging_0120/kartor/A 32455-2023 karta.png", "A 32455-2023")</f>
        <v/>
      </c>
      <c r="V491">
        <f>HYPERLINK("https://klasma.github.io/Logging_0120/klagomål/A 32455-2023 FSC-klagomål.docx", "A 32455-2023")</f>
        <v/>
      </c>
      <c r="W491">
        <f>HYPERLINK("https://klasma.github.io/Logging_0120/klagomålsmail/A 32455-2023 FSC-klagomål mail.docx", "A 32455-2023")</f>
        <v/>
      </c>
      <c r="X491">
        <f>HYPERLINK("https://klasma.github.io/Logging_0120/tillsyn/A 32455-2023 tillsynsbegäran.docx", "A 32455-2023")</f>
        <v/>
      </c>
      <c r="Y491">
        <f>HYPERLINK("https://klasma.github.io/Logging_0120/tillsynsmail/A 32455-2023 tillsynsbegäran mail.docx", "A 32455-2023")</f>
        <v/>
      </c>
    </row>
    <row r="492" ht="15" customHeight="1">
      <c r="A492" t="inlineStr">
        <is>
          <t>A 33528-2023</t>
        </is>
      </c>
      <c r="B492" s="1" t="n">
        <v>45131</v>
      </c>
      <c r="C492" s="1" t="n">
        <v>45693</v>
      </c>
      <c r="D492" t="inlineStr">
        <is>
          <t>STOCKHOLMS LÄN</t>
        </is>
      </c>
      <c r="E492" t="inlineStr">
        <is>
          <t>NYNÄSHAMN</t>
        </is>
      </c>
      <c r="G492" t="n">
        <v>4</v>
      </c>
      <c r="H492" t="n">
        <v>0</v>
      </c>
      <c r="I492" t="n">
        <v>1</v>
      </c>
      <c r="J492" t="n">
        <v>0</v>
      </c>
      <c r="K492" t="n">
        <v>0</v>
      </c>
      <c r="L492" t="n">
        <v>0</v>
      </c>
      <c r="M492" t="n">
        <v>0</v>
      </c>
      <c r="N492" t="n">
        <v>0</v>
      </c>
      <c r="O492" t="n">
        <v>0</v>
      </c>
      <c r="P492" t="n">
        <v>0</v>
      </c>
      <c r="Q492" t="n">
        <v>1</v>
      </c>
      <c r="R492" s="2" t="inlineStr">
        <is>
          <t>Strutbräken</t>
        </is>
      </c>
      <c r="S492">
        <f>HYPERLINK("https://klasma.github.io/Logging_0192/artfynd/A 33528-2023 artfynd.xlsx", "A 33528-2023")</f>
        <v/>
      </c>
      <c r="T492">
        <f>HYPERLINK("https://klasma.github.io/Logging_0192/kartor/A 33528-2023 karta.png", "A 33528-2023")</f>
        <v/>
      </c>
      <c r="V492">
        <f>HYPERLINK("https://klasma.github.io/Logging_0192/klagomål/A 33528-2023 FSC-klagomål.docx", "A 33528-2023")</f>
        <v/>
      </c>
      <c r="W492">
        <f>HYPERLINK("https://klasma.github.io/Logging_0192/klagomålsmail/A 33528-2023 FSC-klagomål mail.docx", "A 33528-2023")</f>
        <v/>
      </c>
      <c r="X492">
        <f>HYPERLINK("https://klasma.github.io/Logging_0192/tillsyn/A 33528-2023 tillsynsbegäran.docx", "A 33528-2023")</f>
        <v/>
      </c>
      <c r="Y492">
        <f>HYPERLINK("https://klasma.github.io/Logging_0192/tillsynsmail/A 33528-2023 tillsynsbegäran mail.docx", "A 33528-2023")</f>
        <v/>
      </c>
    </row>
    <row r="493" ht="15" customHeight="1">
      <c r="A493" t="inlineStr">
        <is>
          <t>A 35155-2023</t>
        </is>
      </c>
      <c r="B493" s="1" t="n">
        <v>45145</v>
      </c>
      <c r="C493" s="1" t="n">
        <v>45693</v>
      </c>
      <c r="D493" t="inlineStr">
        <is>
          <t>STOCKHOLMS LÄN</t>
        </is>
      </c>
      <c r="E493" t="inlineStr">
        <is>
          <t>SÖDERTÄLJE</t>
        </is>
      </c>
      <c r="G493" t="n">
        <v>4.1</v>
      </c>
      <c r="H493" t="n">
        <v>1</v>
      </c>
      <c r="I493" t="n">
        <v>0</v>
      </c>
      <c r="J493" t="n">
        <v>0</v>
      </c>
      <c r="K493" t="n">
        <v>0</v>
      </c>
      <c r="L493" t="n">
        <v>0</v>
      </c>
      <c r="M493" t="n">
        <v>0</v>
      </c>
      <c r="N493" t="n">
        <v>0</v>
      </c>
      <c r="O493" t="n">
        <v>0</v>
      </c>
      <c r="P493" t="n">
        <v>0</v>
      </c>
      <c r="Q493" t="n">
        <v>1</v>
      </c>
      <c r="R493" s="2" t="inlineStr">
        <is>
          <t>Mattlummer</t>
        </is>
      </c>
      <c r="S493">
        <f>HYPERLINK("https://klasma.github.io/Logging_0181/artfynd/A 35155-2023 artfynd.xlsx", "A 35155-2023")</f>
        <v/>
      </c>
      <c r="T493">
        <f>HYPERLINK("https://klasma.github.io/Logging_0181/kartor/A 35155-2023 karta.png", "A 35155-2023")</f>
        <v/>
      </c>
      <c r="V493">
        <f>HYPERLINK("https://klasma.github.io/Logging_0181/klagomål/A 35155-2023 FSC-klagomål.docx", "A 35155-2023")</f>
        <v/>
      </c>
      <c r="W493">
        <f>HYPERLINK("https://klasma.github.io/Logging_0181/klagomålsmail/A 35155-2023 FSC-klagomål mail.docx", "A 35155-2023")</f>
        <v/>
      </c>
      <c r="X493">
        <f>HYPERLINK("https://klasma.github.io/Logging_0181/tillsyn/A 35155-2023 tillsynsbegäran.docx", "A 35155-2023")</f>
        <v/>
      </c>
      <c r="Y493">
        <f>HYPERLINK("https://klasma.github.io/Logging_0181/tillsynsmail/A 35155-2023 tillsynsbegäran mail.docx", "A 35155-2023")</f>
        <v/>
      </c>
    </row>
    <row r="494" ht="15" customHeight="1">
      <c r="A494" t="inlineStr">
        <is>
          <t>A 35649-2023</t>
        </is>
      </c>
      <c r="B494" s="1" t="n">
        <v>45146</v>
      </c>
      <c r="C494" s="1" t="n">
        <v>45693</v>
      </c>
      <c r="D494" t="inlineStr">
        <is>
          <t>STOCKHOLMS LÄN</t>
        </is>
      </c>
      <c r="E494" t="inlineStr">
        <is>
          <t>NORRTÄLJE</t>
        </is>
      </c>
      <c r="G494" t="n">
        <v>25.1</v>
      </c>
      <c r="H494" t="n">
        <v>0</v>
      </c>
      <c r="I494" t="n">
        <v>0</v>
      </c>
      <c r="J494" t="n">
        <v>1</v>
      </c>
      <c r="K494" t="n">
        <v>0</v>
      </c>
      <c r="L494" t="n">
        <v>0</v>
      </c>
      <c r="M494" t="n">
        <v>0</v>
      </c>
      <c r="N494" t="n">
        <v>0</v>
      </c>
      <c r="O494" t="n">
        <v>1</v>
      </c>
      <c r="P494" t="n">
        <v>0</v>
      </c>
      <c r="Q494" t="n">
        <v>1</v>
      </c>
      <c r="R494" s="2" t="inlineStr">
        <is>
          <t>Månlåsbräken</t>
        </is>
      </c>
      <c r="S494">
        <f>HYPERLINK("https://klasma.github.io/Logging_0188/artfynd/A 35649-2023 artfynd.xlsx", "A 35649-2023")</f>
        <v/>
      </c>
      <c r="T494">
        <f>HYPERLINK("https://klasma.github.io/Logging_0188/kartor/A 35649-2023 karta.png", "A 35649-2023")</f>
        <v/>
      </c>
      <c r="V494">
        <f>HYPERLINK("https://klasma.github.io/Logging_0188/klagomål/A 35649-2023 FSC-klagomål.docx", "A 35649-2023")</f>
        <v/>
      </c>
      <c r="W494">
        <f>HYPERLINK("https://klasma.github.io/Logging_0188/klagomålsmail/A 35649-2023 FSC-klagomål mail.docx", "A 35649-2023")</f>
        <v/>
      </c>
      <c r="X494">
        <f>HYPERLINK("https://klasma.github.io/Logging_0188/tillsyn/A 35649-2023 tillsynsbegäran.docx", "A 35649-2023")</f>
        <v/>
      </c>
      <c r="Y494">
        <f>HYPERLINK("https://klasma.github.io/Logging_0188/tillsynsmail/A 35649-2023 tillsynsbegäran mail.docx", "A 35649-2023")</f>
        <v/>
      </c>
    </row>
    <row r="495" ht="15" customHeight="1">
      <c r="A495" t="inlineStr">
        <is>
          <t>A 35953-2023</t>
        </is>
      </c>
      <c r="B495" s="1" t="n">
        <v>45148</v>
      </c>
      <c r="C495" s="1" t="n">
        <v>45693</v>
      </c>
      <c r="D495" t="inlineStr">
        <is>
          <t>STOCKHOLMS LÄN</t>
        </is>
      </c>
      <c r="E495" t="inlineStr">
        <is>
          <t>EKERÖ</t>
        </is>
      </c>
      <c r="G495" t="n">
        <v>2.1</v>
      </c>
      <c r="H495" t="n">
        <v>1</v>
      </c>
      <c r="I495" t="n">
        <v>0</v>
      </c>
      <c r="J495" t="n">
        <v>0</v>
      </c>
      <c r="K495" t="n">
        <v>0</v>
      </c>
      <c r="L495" t="n">
        <v>0</v>
      </c>
      <c r="M495" t="n">
        <v>0</v>
      </c>
      <c r="N495" t="n">
        <v>0</v>
      </c>
      <c r="O495" t="n">
        <v>0</v>
      </c>
      <c r="P495" t="n">
        <v>0</v>
      </c>
      <c r="Q495" t="n">
        <v>1</v>
      </c>
      <c r="R495" s="2" t="inlineStr">
        <is>
          <t>Vanlig groda</t>
        </is>
      </c>
      <c r="S495">
        <f>HYPERLINK("https://klasma.github.io/Logging_0125/artfynd/A 35953-2023 artfynd.xlsx", "A 35953-2023")</f>
        <v/>
      </c>
      <c r="T495">
        <f>HYPERLINK("https://klasma.github.io/Logging_0125/kartor/A 35953-2023 karta.png", "A 35953-2023")</f>
        <v/>
      </c>
      <c r="V495">
        <f>HYPERLINK("https://klasma.github.io/Logging_0125/klagomål/A 35953-2023 FSC-klagomål.docx", "A 35953-2023")</f>
        <v/>
      </c>
      <c r="W495">
        <f>HYPERLINK("https://klasma.github.io/Logging_0125/klagomålsmail/A 35953-2023 FSC-klagomål mail.docx", "A 35953-2023")</f>
        <v/>
      </c>
      <c r="X495">
        <f>HYPERLINK("https://klasma.github.io/Logging_0125/tillsyn/A 35953-2023 tillsynsbegäran.docx", "A 35953-2023")</f>
        <v/>
      </c>
      <c r="Y495">
        <f>HYPERLINK("https://klasma.github.io/Logging_0125/tillsynsmail/A 35953-2023 tillsynsbegäran mail.docx", "A 35953-2023")</f>
        <v/>
      </c>
    </row>
    <row r="496" ht="15" customHeight="1">
      <c r="A496" t="inlineStr">
        <is>
          <t>A 38553-2023</t>
        </is>
      </c>
      <c r="B496" s="1" t="n">
        <v>45162</v>
      </c>
      <c r="C496" s="1" t="n">
        <v>45693</v>
      </c>
      <c r="D496" t="inlineStr">
        <is>
          <t>STOCKHOLMS LÄN</t>
        </is>
      </c>
      <c r="E496" t="inlineStr">
        <is>
          <t>VALLENTUNA</t>
        </is>
      </c>
      <c r="G496" t="n">
        <v>4.7</v>
      </c>
      <c r="H496" t="n">
        <v>0</v>
      </c>
      <c r="I496" t="n">
        <v>1</v>
      </c>
      <c r="J496" t="n">
        <v>0</v>
      </c>
      <c r="K496" t="n">
        <v>0</v>
      </c>
      <c r="L496" t="n">
        <v>0</v>
      </c>
      <c r="M496" t="n">
        <v>0</v>
      </c>
      <c r="N496" t="n">
        <v>0</v>
      </c>
      <c r="O496" t="n">
        <v>0</v>
      </c>
      <c r="P496" t="n">
        <v>0</v>
      </c>
      <c r="Q496" t="n">
        <v>1</v>
      </c>
      <c r="R496" s="2" t="inlineStr">
        <is>
          <t>Kamjordstjärna</t>
        </is>
      </c>
      <c r="S496">
        <f>HYPERLINK("https://klasma.github.io/Logging_0115/artfynd/A 38553-2023 artfynd.xlsx", "A 38553-2023")</f>
        <v/>
      </c>
      <c r="T496">
        <f>HYPERLINK("https://klasma.github.io/Logging_0115/kartor/A 38553-2023 karta.png", "A 38553-2023")</f>
        <v/>
      </c>
      <c r="V496">
        <f>HYPERLINK("https://klasma.github.io/Logging_0115/klagomål/A 38553-2023 FSC-klagomål.docx", "A 38553-2023")</f>
        <v/>
      </c>
      <c r="W496">
        <f>HYPERLINK("https://klasma.github.io/Logging_0115/klagomålsmail/A 38553-2023 FSC-klagomål mail.docx", "A 38553-2023")</f>
        <v/>
      </c>
      <c r="X496">
        <f>HYPERLINK("https://klasma.github.io/Logging_0115/tillsyn/A 38553-2023 tillsynsbegäran.docx", "A 38553-2023")</f>
        <v/>
      </c>
      <c r="Y496">
        <f>HYPERLINK("https://klasma.github.io/Logging_0115/tillsynsmail/A 38553-2023 tillsynsbegäran mail.docx", "A 38553-2023")</f>
        <v/>
      </c>
    </row>
    <row r="497" ht="15" customHeight="1">
      <c r="A497" t="inlineStr">
        <is>
          <t>A 39716-2023</t>
        </is>
      </c>
      <c r="B497" s="1" t="n">
        <v>45166</v>
      </c>
      <c r="C497" s="1" t="n">
        <v>45693</v>
      </c>
      <c r="D497" t="inlineStr">
        <is>
          <t>STOCKHOLMS LÄN</t>
        </is>
      </c>
      <c r="E497" t="inlineStr">
        <is>
          <t>SIGTUNA</t>
        </is>
      </c>
      <c r="G497" t="n">
        <v>3.5</v>
      </c>
      <c r="H497" t="n">
        <v>1</v>
      </c>
      <c r="I497" t="n">
        <v>0</v>
      </c>
      <c r="J497" t="n">
        <v>1</v>
      </c>
      <c r="K497" t="n">
        <v>0</v>
      </c>
      <c r="L497" t="n">
        <v>0</v>
      </c>
      <c r="M497" t="n">
        <v>0</v>
      </c>
      <c r="N497" t="n">
        <v>0</v>
      </c>
      <c r="O497" t="n">
        <v>1</v>
      </c>
      <c r="P497" t="n">
        <v>0</v>
      </c>
      <c r="Q497" t="n">
        <v>1</v>
      </c>
      <c r="R497" s="2" t="inlineStr">
        <is>
          <t>Hornuggla</t>
        </is>
      </c>
      <c r="S497">
        <f>HYPERLINK("https://klasma.github.io/Logging_0191/artfynd/A 39716-2023 artfynd.xlsx", "A 39716-2023")</f>
        <v/>
      </c>
      <c r="T497">
        <f>HYPERLINK("https://klasma.github.io/Logging_0191/kartor/A 39716-2023 karta.png", "A 39716-2023")</f>
        <v/>
      </c>
      <c r="V497">
        <f>HYPERLINK("https://klasma.github.io/Logging_0191/klagomål/A 39716-2023 FSC-klagomål.docx", "A 39716-2023")</f>
        <v/>
      </c>
      <c r="W497">
        <f>HYPERLINK("https://klasma.github.io/Logging_0191/klagomålsmail/A 39716-2023 FSC-klagomål mail.docx", "A 39716-2023")</f>
        <v/>
      </c>
      <c r="X497">
        <f>HYPERLINK("https://klasma.github.io/Logging_0191/tillsyn/A 39716-2023 tillsynsbegäran.docx", "A 39716-2023")</f>
        <v/>
      </c>
      <c r="Y497">
        <f>HYPERLINK("https://klasma.github.io/Logging_0191/tillsynsmail/A 39716-2023 tillsynsbegäran mail.docx", "A 39716-2023")</f>
        <v/>
      </c>
      <c r="Z497">
        <f>HYPERLINK("https://klasma.github.io/Logging_0191/fåglar/A 39716-2023 prioriterade fågelarter.docx", "A 39716-2023")</f>
        <v/>
      </c>
    </row>
    <row r="498" ht="15" customHeight="1">
      <c r="A498" t="inlineStr">
        <is>
          <t>A 43178-2023</t>
        </is>
      </c>
      <c r="B498" s="1" t="n">
        <v>45183</v>
      </c>
      <c r="C498" s="1" t="n">
        <v>45693</v>
      </c>
      <c r="D498" t="inlineStr">
        <is>
          <t>STOCKHOLMS LÄN</t>
        </is>
      </c>
      <c r="E498" t="inlineStr">
        <is>
          <t>NORRTÄLJE</t>
        </is>
      </c>
      <c r="F498" t="inlineStr">
        <is>
          <t>Kyrkan</t>
        </is>
      </c>
      <c r="G498" t="n">
        <v>1.5</v>
      </c>
      <c r="H498" t="n">
        <v>0</v>
      </c>
      <c r="I498" t="n">
        <v>0</v>
      </c>
      <c r="J498" t="n">
        <v>1</v>
      </c>
      <c r="K498" t="n">
        <v>0</v>
      </c>
      <c r="L498" t="n">
        <v>0</v>
      </c>
      <c r="M498" t="n">
        <v>0</v>
      </c>
      <c r="N498" t="n">
        <v>0</v>
      </c>
      <c r="O498" t="n">
        <v>1</v>
      </c>
      <c r="P498" t="n">
        <v>0</v>
      </c>
      <c r="Q498" t="n">
        <v>1</v>
      </c>
      <c r="R498" s="2" t="inlineStr">
        <is>
          <t>Mindre bastardsvärmare</t>
        </is>
      </c>
      <c r="S498">
        <f>HYPERLINK("https://klasma.github.io/Logging_0188/artfynd/A 43178-2023 artfynd.xlsx", "A 43178-2023")</f>
        <v/>
      </c>
      <c r="T498">
        <f>HYPERLINK("https://klasma.github.io/Logging_0188/kartor/A 43178-2023 karta.png", "A 43178-2023")</f>
        <v/>
      </c>
      <c r="V498">
        <f>HYPERLINK("https://klasma.github.io/Logging_0188/klagomål/A 43178-2023 FSC-klagomål.docx", "A 43178-2023")</f>
        <v/>
      </c>
      <c r="W498">
        <f>HYPERLINK("https://klasma.github.io/Logging_0188/klagomålsmail/A 43178-2023 FSC-klagomål mail.docx", "A 43178-2023")</f>
        <v/>
      </c>
      <c r="X498">
        <f>HYPERLINK("https://klasma.github.io/Logging_0188/tillsyn/A 43178-2023 tillsynsbegäran.docx", "A 43178-2023")</f>
        <v/>
      </c>
      <c r="Y498">
        <f>HYPERLINK("https://klasma.github.io/Logging_0188/tillsynsmail/A 43178-2023 tillsynsbegäran mail.docx", "A 43178-2023")</f>
        <v/>
      </c>
    </row>
    <row r="499" ht="15" customHeight="1">
      <c r="A499" t="inlineStr">
        <is>
          <t>A 43171-2023</t>
        </is>
      </c>
      <c r="B499" s="1" t="n">
        <v>45183</v>
      </c>
      <c r="C499" s="1" t="n">
        <v>45693</v>
      </c>
      <c r="D499" t="inlineStr">
        <is>
          <t>STOCKHOLMS LÄN</t>
        </is>
      </c>
      <c r="E499" t="inlineStr">
        <is>
          <t>NORRTÄLJE</t>
        </is>
      </c>
      <c r="F499" t="inlineStr">
        <is>
          <t>Kyrkan</t>
        </is>
      </c>
      <c r="G499" t="n">
        <v>1.3</v>
      </c>
      <c r="H499" t="n">
        <v>0</v>
      </c>
      <c r="I499" t="n">
        <v>0</v>
      </c>
      <c r="J499" t="n">
        <v>0</v>
      </c>
      <c r="K499" t="n">
        <v>0</v>
      </c>
      <c r="L499" t="n">
        <v>1</v>
      </c>
      <c r="M499" t="n">
        <v>0</v>
      </c>
      <c r="N499" t="n">
        <v>0</v>
      </c>
      <c r="O499" t="n">
        <v>1</v>
      </c>
      <c r="P499" t="n">
        <v>1</v>
      </c>
      <c r="Q499" t="n">
        <v>1</v>
      </c>
      <c r="R499" s="2" t="inlineStr">
        <is>
          <t>Ryl</t>
        </is>
      </c>
      <c r="S499">
        <f>HYPERLINK("https://klasma.github.io/Logging_0188/artfynd/A 43171-2023 artfynd.xlsx", "A 43171-2023")</f>
        <v/>
      </c>
      <c r="T499">
        <f>HYPERLINK("https://klasma.github.io/Logging_0188/kartor/A 43171-2023 karta.png", "A 43171-2023")</f>
        <v/>
      </c>
      <c r="U499">
        <f>HYPERLINK("https://klasma.github.io/Logging_0188/knärot/A 43171-2023 karta knärot.png", "A 43171-2023")</f>
        <v/>
      </c>
      <c r="V499">
        <f>HYPERLINK("https://klasma.github.io/Logging_0188/klagomål/A 43171-2023 FSC-klagomål.docx", "A 43171-2023")</f>
        <v/>
      </c>
      <c r="W499">
        <f>HYPERLINK("https://klasma.github.io/Logging_0188/klagomålsmail/A 43171-2023 FSC-klagomål mail.docx", "A 43171-2023")</f>
        <v/>
      </c>
      <c r="X499">
        <f>HYPERLINK("https://klasma.github.io/Logging_0188/tillsyn/A 43171-2023 tillsynsbegäran.docx", "A 43171-2023")</f>
        <v/>
      </c>
      <c r="Y499">
        <f>HYPERLINK("https://klasma.github.io/Logging_0188/tillsynsmail/A 43171-2023 tillsynsbegäran mail.docx", "A 43171-2023")</f>
        <v/>
      </c>
    </row>
    <row r="500" ht="15" customHeight="1">
      <c r="A500" t="inlineStr">
        <is>
          <t>A 43350-2023</t>
        </is>
      </c>
      <c r="B500" s="1" t="n">
        <v>45183</v>
      </c>
      <c r="C500" s="1" t="n">
        <v>45693</v>
      </c>
      <c r="D500" t="inlineStr">
        <is>
          <t>STOCKHOLMS LÄN</t>
        </is>
      </c>
      <c r="E500" t="inlineStr">
        <is>
          <t>NORRTÄLJE</t>
        </is>
      </c>
      <c r="F500" t="inlineStr">
        <is>
          <t>Holmen skog AB</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HYPERLINK("https://klasma.github.io/Logging_0188/artfynd/A 43350-2023 artfynd.xlsx", "A 43350-2023")</f>
        <v/>
      </c>
      <c r="T500">
        <f>HYPERLINK("https://klasma.github.io/Logging_0188/kartor/A 43350-2023 karta.png", "A 43350-2023")</f>
        <v/>
      </c>
      <c r="V500">
        <f>HYPERLINK("https://klasma.github.io/Logging_0188/klagomål/A 43350-2023 FSC-klagomål.docx", "A 43350-2023")</f>
        <v/>
      </c>
      <c r="W500">
        <f>HYPERLINK("https://klasma.github.io/Logging_0188/klagomålsmail/A 43350-2023 FSC-klagomål mail.docx", "A 43350-2023")</f>
        <v/>
      </c>
      <c r="X500">
        <f>HYPERLINK("https://klasma.github.io/Logging_0188/tillsyn/A 43350-2023 tillsynsbegäran.docx", "A 43350-2023")</f>
        <v/>
      </c>
      <c r="Y500">
        <f>HYPERLINK("https://klasma.github.io/Logging_0188/tillsynsmail/A 43350-2023 tillsynsbegäran mail.docx", "A 43350-2023")</f>
        <v/>
      </c>
    </row>
    <row r="501" ht="15" customHeight="1">
      <c r="A501" t="inlineStr">
        <is>
          <t>A 43354-2023</t>
        </is>
      </c>
      <c r="B501" s="1" t="n">
        <v>45183</v>
      </c>
      <c r="C501" s="1" t="n">
        <v>45693</v>
      </c>
      <c r="D501" t="inlineStr">
        <is>
          <t>STOCKHOLMS LÄN</t>
        </is>
      </c>
      <c r="E501" t="inlineStr">
        <is>
          <t>NORRTÄLJE</t>
        </is>
      </c>
      <c r="F501" t="inlineStr">
        <is>
          <t>Holmen skog AB</t>
        </is>
      </c>
      <c r="G501" t="n">
        <v>9.9</v>
      </c>
      <c r="H501" t="n">
        <v>0</v>
      </c>
      <c r="I501" t="n">
        <v>1</v>
      </c>
      <c r="J501" t="n">
        <v>0</v>
      </c>
      <c r="K501" t="n">
        <v>0</v>
      </c>
      <c r="L501" t="n">
        <v>0</v>
      </c>
      <c r="M501" t="n">
        <v>0</v>
      </c>
      <c r="N501" t="n">
        <v>0</v>
      </c>
      <c r="O501" t="n">
        <v>0</v>
      </c>
      <c r="P501" t="n">
        <v>0</v>
      </c>
      <c r="Q501" t="n">
        <v>1</v>
      </c>
      <c r="R501" s="2" t="inlineStr">
        <is>
          <t>Tibast</t>
        </is>
      </c>
      <c r="S501">
        <f>HYPERLINK("https://klasma.github.io/Logging_0188/artfynd/A 43354-2023 artfynd.xlsx", "A 43354-2023")</f>
        <v/>
      </c>
      <c r="T501">
        <f>HYPERLINK("https://klasma.github.io/Logging_0188/kartor/A 43354-2023 karta.png", "A 43354-2023")</f>
        <v/>
      </c>
      <c r="V501">
        <f>HYPERLINK("https://klasma.github.io/Logging_0188/klagomål/A 43354-2023 FSC-klagomål.docx", "A 43354-2023")</f>
        <v/>
      </c>
      <c r="W501">
        <f>HYPERLINK("https://klasma.github.io/Logging_0188/klagomålsmail/A 43354-2023 FSC-klagomål mail.docx", "A 43354-2023")</f>
        <v/>
      </c>
      <c r="X501">
        <f>HYPERLINK("https://klasma.github.io/Logging_0188/tillsyn/A 43354-2023 tillsynsbegäran.docx", "A 43354-2023")</f>
        <v/>
      </c>
      <c r="Y501">
        <f>HYPERLINK("https://klasma.github.io/Logging_0188/tillsynsmail/A 43354-2023 tillsynsbegäran mail.docx", "A 43354-2023")</f>
        <v/>
      </c>
    </row>
    <row r="502" ht="15" customHeight="1">
      <c r="A502" t="inlineStr">
        <is>
          <t>A 45172-2023</t>
        </is>
      </c>
      <c r="B502" s="1" t="n">
        <v>45191</v>
      </c>
      <c r="C502" s="1" t="n">
        <v>45693</v>
      </c>
      <c r="D502" t="inlineStr">
        <is>
          <t>STOCKHOLMS LÄN</t>
        </is>
      </c>
      <c r="E502" t="inlineStr">
        <is>
          <t>NORRTÄLJE</t>
        </is>
      </c>
      <c r="F502" t="inlineStr">
        <is>
          <t>Sveaskog</t>
        </is>
      </c>
      <c r="G502" t="n">
        <v>3.8</v>
      </c>
      <c r="H502" t="n">
        <v>1</v>
      </c>
      <c r="I502" t="n">
        <v>0</v>
      </c>
      <c r="J502" t="n">
        <v>1</v>
      </c>
      <c r="K502" t="n">
        <v>0</v>
      </c>
      <c r="L502" t="n">
        <v>0</v>
      </c>
      <c r="M502" t="n">
        <v>0</v>
      </c>
      <c r="N502" t="n">
        <v>0</v>
      </c>
      <c r="O502" t="n">
        <v>1</v>
      </c>
      <c r="P502" t="n">
        <v>0</v>
      </c>
      <c r="Q502" t="n">
        <v>1</v>
      </c>
      <c r="R502" s="2" t="inlineStr">
        <is>
          <t>Slaguggla</t>
        </is>
      </c>
      <c r="S502">
        <f>HYPERLINK("https://klasma.github.io/Logging_0188/artfynd/A 45172-2023 artfynd.xlsx", "A 45172-2023")</f>
        <v/>
      </c>
      <c r="T502">
        <f>HYPERLINK("https://klasma.github.io/Logging_0188/kartor/A 45172-2023 karta.png", "A 45172-2023")</f>
        <v/>
      </c>
      <c r="V502">
        <f>HYPERLINK("https://klasma.github.io/Logging_0188/klagomål/A 45172-2023 FSC-klagomål.docx", "A 45172-2023")</f>
        <v/>
      </c>
      <c r="W502">
        <f>HYPERLINK("https://klasma.github.io/Logging_0188/klagomålsmail/A 45172-2023 FSC-klagomål mail.docx", "A 45172-2023")</f>
        <v/>
      </c>
      <c r="X502">
        <f>HYPERLINK("https://klasma.github.io/Logging_0188/tillsyn/A 45172-2023 tillsynsbegäran.docx", "A 45172-2023")</f>
        <v/>
      </c>
      <c r="Y502">
        <f>HYPERLINK("https://klasma.github.io/Logging_0188/tillsynsmail/A 45172-2023 tillsynsbegäran mail.docx", "A 45172-2023")</f>
        <v/>
      </c>
      <c r="Z502">
        <f>HYPERLINK("https://klasma.github.io/Logging_0188/fåglar/A 45172-2023 prioriterade fågelarter.docx", "A 45172-2023")</f>
        <v/>
      </c>
    </row>
    <row r="503" ht="15" customHeight="1">
      <c r="A503" t="inlineStr">
        <is>
          <t>A 47110-2023</t>
        </is>
      </c>
      <c r="B503" s="1" t="n">
        <v>45196</v>
      </c>
      <c r="C503" s="1" t="n">
        <v>45693</v>
      </c>
      <c r="D503" t="inlineStr">
        <is>
          <t>STOCKHOLMS LÄN</t>
        </is>
      </c>
      <c r="E503" t="inlineStr">
        <is>
          <t>NYNÄSHAMN</t>
        </is>
      </c>
      <c r="G503" t="n">
        <v>0.9</v>
      </c>
      <c r="H503" t="n">
        <v>0</v>
      </c>
      <c r="I503" t="n">
        <v>0</v>
      </c>
      <c r="J503" t="n">
        <v>1</v>
      </c>
      <c r="K503" t="n">
        <v>0</v>
      </c>
      <c r="L503" t="n">
        <v>0</v>
      </c>
      <c r="M503" t="n">
        <v>0</v>
      </c>
      <c r="N503" t="n">
        <v>0</v>
      </c>
      <c r="O503" t="n">
        <v>1</v>
      </c>
      <c r="P503" t="n">
        <v>0</v>
      </c>
      <c r="Q503" t="n">
        <v>1</v>
      </c>
      <c r="R503" s="2" t="inlineStr">
        <is>
          <t>Barrviolspindling</t>
        </is>
      </c>
      <c r="S503">
        <f>HYPERLINK("https://klasma.github.io/Logging_0192/artfynd/A 47110-2023 artfynd.xlsx", "A 47110-2023")</f>
        <v/>
      </c>
      <c r="T503">
        <f>HYPERLINK("https://klasma.github.io/Logging_0192/kartor/A 47110-2023 karta.png", "A 47110-2023")</f>
        <v/>
      </c>
      <c r="V503">
        <f>HYPERLINK("https://klasma.github.io/Logging_0192/klagomål/A 47110-2023 FSC-klagomål.docx", "A 47110-2023")</f>
        <v/>
      </c>
      <c r="W503">
        <f>HYPERLINK("https://klasma.github.io/Logging_0192/klagomålsmail/A 47110-2023 FSC-klagomål mail.docx", "A 47110-2023")</f>
        <v/>
      </c>
      <c r="X503">
        <f>HYPERLINK("https://klasma.github.io/Logging_0192/tillsyn/A 47110-2023 tillsynsbegäran.docx", "A 47110-2023")</f>
        <v/>
      </c>
      <c r="Y503">
        <f>HYPERLINK("https://klasma.github.io/Logging_0192/tillsynsmail/A 47110-2023 tillsynsbegäran mail.docx", "A 47110-2023")</f>
        <v/>
      </c>
    </row>
    <row r="504" ht="15" customHeight="1">
      <c r="A504" t="inlineStr">
        <is>
          <t>A 47711-2023</t>
        </is>
      </c>
      <c r="B504" s="1" t="n">
        <v>45198</v>
      </c>
      <c r="C504" s="1" t="n">
        <v>45693</v>
      </c>
      <c r="D504" t="inlineStr">
        <is>
          <t>STOCKHOLMS LÄN</t>
        </is>
      </c>
      <c r="E504" t="inlineStr">
        <is>
          <t>SÖDERTÄLJE</t>
        </is>
      </c>
      <c r="G504" t="n">
        <v>4.4</v>
      </c>
      <c r="H504" t="n">
        <v>1</v>
      </c>
      <c r="I504" t="n">
        <v>0</v>
      </c>
      <c r="J504" t="n">
        <v>0</v>
      </c>
      <c r="K504" t="n">
        <v>0</v>
      </c>
      <c r="L504" t="n">
        <v>0</v>
      </c>
      <c r="M504" t="n">
        <v>0</v>
      </c>
      <c r="N504" t="n">
        <v>0</v>
      </c>
      <c r="O504" t="n">
        <v>0</v>
      </c>
      <c r="P504" t="n">
        <v>0</v>
      </c>
      <c r="Q504" t="n">
        <v>1</v>
      </c>
      <c r="R504" s="2" t="inlineStr">
        <is>
          <t>Blåsippa</t>
        </is>
      </c>
      <c r="S504">
        <f>HYPERLINK("https://klasma.github.io/Logging_0181/artfynd/A 47711-2023 artfynd.xlsx", "A 47711-2023")</f>
        <v/>
      </c>
      <c r="T504">
        <f>HYPERLINK("https://klasma.github.io/Logging_0181/kartor/A 47711-2023 karta.png", "A 47711-2023")</f>
        <v/>
      </c>
      <c r="V504">
        <f>HYPERLINK("https://klasma.github.io/Logging_0181/klagomål/A 47711-2023 FSC-klagomål.docx", "A 47711-2023")</f>
        <v/>
      </c>
      <c r="W504">
        <f>HYPERLINK("https://klasma.github.io/Logging_0181/klagomålsmail/A 47711-2023 FSC-klagomål mail.docx", "A 47711-2023")</f>
        <v/>
      </c>
      <c r="X504">
        <f>HYPERLINK("https://klasma.github.io/Logging_0181/tillsyn/A 47711-2023 tillsynsbegäran.docx", "A 47711-2023")</f>
        <v/>
      </c>
      <c r="Y504">
        <f>HYPERLINK("https://klasma.github.io/Logging_0181/tillsynsmail/A 47711-2023 tillsynsbegäran mail.docx", "A 47711-2023")</f>
        <v/>
      </c>
    </row>
    <row r="505" ht="15" customHeight="1">
      <c r="A505" t="inlineStr">
        <is>
          <t>A 48131-2023</t>
        </is>
      </c>
      <c r="B505" s="1" t="n">
        <v>45205</v>
      </c>
      <c r="C505" s="1" t="n">
        <v>45693</v>
      </c>
      <c r="D505" t="inlineStr">
        <is>
          <t>STOCKHOLMS LÄN</t>
        </is>
      </c>
      <c r="E505" t="inlineStr">
        <is>
          <t>NORRTÄLJE</t>
        </is>
      </c>
      <c r="G505" t="n">
        <v>2.3</v>
      </c>
      <c r="H505" t="n">
        <v>0</v>
      </c>
      <c r="I505" t="n">
        <v>0</v>
      </c>
      <c r="J505" t="n">
        <v>1</v>
      </c>
      <c r="K505" t="n">
        <v>0</v>
      </c>
      <c r="L505" t="n">
        <v>0</v>
      </c>
      <c r="M505" t="n">
        <v>0</v>
      </c>
      <c r="N505" t="n">
        <v>0</v>
      </c>
      <c r="O505" t="n">
        <v>1</v>
      </c>
      <c r="P505" t="n">
        <v>0</v>
      </c>
      <c r="Q505" t="n">
        <v>1</v>
      </c>
      <c r="R505" s="2" t="inlineStr">
        <is>
          <t>Slåtterfibbla</t>
        </is>
      </c>
      <c r="S505">
        <f>HYPERLINK("https://klasma.github.io/Logging_0188/artfynd/A 48131-2023 artfynd.xlsx", "A 48131-2023")</f>
        <v/>
      </c>
      <c r="T505">
        <f>HYPERLINK("https://klasma.github.io/Logging_0188/kartor/A 48131-2023 karta.png", "A 48131-2023")</f>
        <v/>
      </c>
      <c r="V505">
        <f>HYPERLINK("https://klasma.github.io/Logging_0188/klagomål/A 48131-2023 FSC-klagomål.docx", "A 48131-2023")</f>
        <v/>
      </c>
      <c r="W505">
        <f>HYPERLINK("https://klasma.github.io/Logging_0188/klagomålsmail/A 48131-2023 FSC-klagomål mail.docx", "A 48131-2023")</f>
        <v/>
      </c>
      <c r="X505">
        <f>HYPERLINK("https://klasma.github.io/Logging_0188/tillsyn/A 48131-2023 tillsynsbegäran.docx", "A 48131-2023")</f>
        <v/>
      </c>
      <c r="Y505">
        <f>HYPERLINK("https://klasma.github.io/Logging_0188/tillsynsmail/A 48131-2023 tillsynsbegäran mail.docx", "A 48131-2023")</f>
        <v/>
      </c>
    </row>
    <row r="506" ht="15" customHeight="1">
      <c r="A506" t="inlineStr">
        <is>
          <t>A 49421-2023</t>
        </is>
      </c>
      <c r="B506" s="1" t="n">
        <v>45211</v>
      </c>
      <c r="C506" s="1" t="n">
        <v>45693</v>
      </c>
      <c r="D506" t="inlineStr">
        <is>
          <t>STOCKHOLMS LÄN</t>
        </is>
      </c>
      <c r="E506" t="inlineStr">
        <is>
          <t>HUDDINGE</t>
        </is>
      </c>
      <c r="F506" t="inlineStr">
        <is>
          <t>Kommuner</t>
        </is>
      </c>
      <c r="G506" t="n">
        <v>1.4</v>
      </c>
      <c r="H506" t="n">
        <v>1</v>
      </c>
      <c r="I506" t="n">
        <v>0</v>
      </c>
      <c r="J506" t="n">
        <v>0</v>
      </c>
      <c r="K506" t="n">
        <v>0</v>
      </c>
      <c r="L506" t="n">
        <v>1</v>
      </c>
      <c r="M506" t="n">
        <v>0</v>
      </c>
      <c r="N506" t="n">
        <v>0</v>
      </c>
      <c r="O506" t="n">
        <v>1</v>
      </c>
      <c r="P506" t="n">
        <v>1</v>
      </c>
      <c r="Q506" t="n">
        <v>1</v>
      </c>
      <c r="R506" s="2" t="inlineStr">
        <is>
          <t>Grönfink</t>
        </is>
      </c>
      <c r="S506">
        <f>HYPERLINK("https://klasma.github.io/Logging_0126/artfynd/A 49421-2023 artfynd.xlsx", "A 49421-2023")</f>
        <v/>
      </c>
      <c r="T506">
        <f>HYPERLINK("https://klasma.github.io/Logging_0126/kartor/A 49421-2023 karta.png", "A 49421-2023")</f>
        <v/>
      </c>
      <c r="V506">
        <f>HYPERLINK("https://klasma.github.io/Logging_0126/klagomål/A 49421-2023 FSC-klagomål.docx", "A 49421-2023")</f>
        <v/>
      </c>
      <c r="W506">
        <f>HYPERLINK("https://klasma.github.io/Logging_0126/klagomålsmail/A 49421-2023 FSC-klagomål mail.docx", "A 49421-2023")</f>
        <v/>
      </c>
      <c r="X506">
        <f>HYPERLINK("https://klasma.github.io/Logging_0126/tillsyn/A 49421-2023 tillsynsbegäran.docx", "A 49421-2023")</f>
        <v/>
      </c>
      <c r="Y506">
        <f>HYPERLINK("https://klasma.github.io/Logging_0126/tillsynsmail/A 49421-2023 tillsynsbegäran mail.docx", "A 49421-2023")</f>
        <v/>
      </c>
      <c r="Z506">
        <f>HYPERLINK("https://klasma.github.io/Logging_0126/fåglar/A 49421-2023 prioriterade fågelarter.docx", "A 49421-2023")</f>
        <v/>
      </c>
    </row>
    <row r="507" ht="15" customHeight="1">
      <c r="A507" t="inlineStr">
        <is>
          <t>A 51695-2023</t>
        </is>
      </c>
      <c r="B507" s="1" t="n">
        <v>45222</v>
      </c>
      <c r="C507" s="1" t="n">
        <v>45693</v>
      </c>
      <c r="D507" t="inlineStr">
        <is>
          <t>STOCKHOLMS LÄN</t>
        </is>
      </c>
      <c r="E507" t="inlineStr">
        <is>
          <t>NORRTÄLJE</t>
        </is>
      </c>
      <c r="G507" t="n">
        <v>4.9</v>
      </c>
      <c r="H507" t="n">
        <v>0</v>
      </c>
      <c r="I507" t="n">
        <v>1</v>
      </c>
      <c r="J507" t="n">
        <v>0</v>
      </c>
      <c r="K507" t="n">
        <v>0</v>
      </c>
      <c r="L507" t="n">
        <v>0</v>
      </c>
      <c r="M507" t="n">
        <v>0</v>
      </c>
      <c r="N507" t="n">
        <v>0</v>
      </c>
      <c r="O507" t="n">
        <v>0</v>
      </c>
      <c r="P507" t="n">
        <v>0</v>
      </c>
      <c r="Q507" t="n">
        <v>1</v>
      </c>
      <c r="R507" s="2" t="inlineStr">
        <is>
          <t>Fjällig taggsvamp s.str.</t>
        </is>
      </c>
      <c r="S507">
        <f>HYPERLINK("https://klasma.github.io/Logging_0188/artfynd/A 51695-2023 artfynd.xlsx", "A 51695-2023")</f>
        <v/>
      </c>
      <c r="T507">
        <f>HYPERLINK("https://klasma.github.io/Logging_0188/kartor/A 51695-2023 karta.png", "A 51695-2023")</f>
        <v/>
      </c>
      <c r="V507">
        <f>HYPERLINK("https://klasma.github.io/Logging_0188/klagomål/A 51695-2023 FSC-klagomål.docx", "A 51695-2023")</f>
        <v/>
      </c>
      <c r="W507">
        <f>HYPERLINK("https://klasma.github.io/Logging_0188/klagomålsmail/A 51695-2023 FSC-klagomål mail.docx", "A 51695-2023")</f>
        <v/>
      </c>
      <c r="X507">
        <f>HYPERLINK("https://klasma.github.io/Logging_0188/tillsyn/A 51695-2023 tillsynsbegäran.docx", "A 51695-2023")</f>
        <v/>
      </c>
      <c r="Y507">
        <f>HYPERLINK("https://klasma.github.io/Logging_0188/tillsynsmail/A 51695-2023 tillsynsbegäran mail.docx", "A 51695-2023")</f>
        <v/>
      </c>
    </row>
    <row r="508" ht="15" customHeight="1">
      <c r="A508" t="inlineStr">
        <is>
          <t>A 51909-2023</t>
        </is>
      </c>
      <c r="B508" s="1" t="n">
        <v>45223</v>
      </c>
      <c r="C508" s="1" t="n">
        <v>45693</v>
      </c>
      <c r="D508" t="inlineStr">
        <is>
          <t>STOCKHOLMS LÄN</t>
        </is>
      </c>
      <c r="E508" t="inlineStr">
        <is>
          <t>NORRTÄLJE</t>
        </is>
      </c>
      <c r="G508" t="n">
        <v>8.1</v>
      </c>
      <c r="H508" t="n">
        <v>1</v>
      </c>
      <c r="I508" t="n">
        <v>1</v>
      </c>
      <c r="J508" t="n">
        <v>0</v>
      </c>
      <c r="K508" t="n">
        <v>0</v>
      </c>
      <c r="L508" t="n">
        <v>0</v>
      </c>
      <c r="M508" t="n">
        <v>0</v>
      </c>
      <c r="N508" t="n">
        <v>0</v>
      </c>
      <c r="O508" t="n">
        <v>0</v>
      </c>
      <c r="P508" t="n">
        <v>0</v>
      </c>
      <c r="Q508" t="n">
        <v>1</v>
      </c>
      <c r="R508" s="2" t="inlineStr">
        <is>
          <t>Skogsknipprot</t>
        </is>
      </c>
      <c r="S508">
        <f>HYPERLINK("https://klasma.github.io/Logging_0188/artfynd/A 51909-2023 artfynd.xlsx", "A 51909-2023")</f>
        <v/>
      </c>
      <c r="T508">
        <f>HYPERLINK("https://klasma.github.io/Logging_0188/kartor/A 51909-2023 karta.png", "A 51909-2023")</f>
        <v/>
      </c>
      <c r="V508">
        <f>HYPERLINK("https://klasma.github.io/Logging_0188/klagomål/A 51909-2023 FSC-klagomål.docx", "A 51909-2023")</f>
        <v/>
      </c>
      <c r="W508">
        <f>HYPERLINK("https://klasma.github.io/Logging_0188/klagomålsmail/A 51909-2023 FSC-klagomål mail.docx", "A 51909-2023")</f>
        <v/>
      </c>
      <c r="X508">
        <f>HYPERLINK("https://klasma.github.io/Logging_0188/tillsyn/A 51909-2023 tillsynsbegäran.docx", "A 51909-2023")</f>
        <v/>
      </c>
      <c r="Y508">
        <f>HYPERLINK("https://klasma.github.io/Logging_0188/tillsynsmail/A 51909-2023 tillsynsbegäran mail.docx", "A 51909-2023")</f>
        <v/>
      </c>
    </row>
    <row r="509" ht="15" customHeight="1">
      <c r="A509" t="inlineStr">
        <is>
          <t>A 52508-2023</t>
        </is>
      </c>
      <c r="B509" s="1" t="n">
        <v>45225</v>
      </c>
      <c r="C509" s="1" t="n">
        <v>45693</v>
      </c>
      <c r="D509" t="inlineStr">
        <is>
          <t>STOCKHOLMS LÄN</t>
        </is>
      </c>
      <c r="E509" t="inlineStr">
        <is>
          <t>NORRTÄLJE</t>
        </is>
      </c>
      <c r="G509" t="n">
        <v>19.7</v>
      </c>
      <c r="H509" t="n">
        <v>1</v>
      </c>
      <c r="I509" t="n">
        <v>0</v>
      </c>
      <c r="J509" t="n">
        <v>0</v>
      </c>
      <c r="K509" t="n">
        <v>1</v>
      </c>
      <c r="L509" t="n">
        <v>0</v>
      </c>
      <c r="M509" t="n">
        <v>0</v>
      </c>
      <c r="N509" t="n">
        <v>0</v>
      </c>
      <c r="O509" t="n">
        <v>1</v>
      </c>
      <c r="P509" t="n">
        <v>1</v>
      </c>
      <c r="Q509" t="n">
        <v>1</v>
      </c>
      <c r="R509" s="2" t="inlineStr">
        <is>
          <t>Svärta</t>
        </is>
      </c>
      <c r="S509">
        <f>HYPERLINK("https://klasma.github.io/Logging_0188/artfynd/A 52508-2023 artfynd.xlsx", "A 52508-2023")</f>
        <v/>
      </c>
      <c r="T509">
        <f>HYPERLINK("https://klasma.github.io/Logging_0188/kartor/A 52508-2023 karta.png", "A 52508-2023")</f>
        <v/>
      </c>
      <c r="V509">
        <f>HYPERLINK("https://klasma.github.io/Logging_0188/klagomål/A 52508-2023 FSC-klagomål.docx", "A 52508-2023")</f>
        <v/>
      </c>
      <c r="W509">
        <f>HYPERLINK("https://klasma.github.io/Logging_0188/klagomålsmail/A 52508-2023 FSC-klagomål mail.docx", "A 52508-2023")</f>
        <v/>
      </c>
      <c r="X509">
        <f>HYPERLINK("https://klasma.github.io/Logging_0188/tillsyn/A 52508-2023 tillsynsbegäran.docx", "A 52508-2023")</f>
        <v/>
      </c>
      <c r="Y509">
        <f>HYPERLINK("https://klasma.github.io/Logging_0188/tillsynsmail/A 52508-2023 tillsynsbegäran mail.docx", "A 52508-2023")</f>
        <v/>
      </c>
    </row>
    <row r="510" ht="15" customHeight="1">
      <c r="A510" t="inlineStr">
        <is>
          <t>A 55767-2023</t>
        </is>
      </c>
      <c r="B510" s="1" t="n">
        <v>45239</v>
      </c>
      <c r="C510" s="1" t="n">
        <v>45693</v>
      </c>
      <c r="D510" t="inlineStr">
        <is>
          <t>STOCKHOLMS LÄN</t>
        </is>
      </c>
      <c r="E510" t="inlineStr">
        <is>
          <t>NORRTÄLJE</t>
        </is>
      </c>
      <c r="G510" t="n">
        <v>3.7</v>
      </c>
      <c r="H510" t="n">
        <v>0</v>
      </c>
      <c r="I510" t="n">
        <v>1</v>
      </c>
      <c r="J510" t="n">
        <v>0</v>
      </c>
      <c r="K510" t="n">
        <v>0</v>
      </c>
      <c r="L510" t="n">
        <v>0</v>
      </c>
      <c r="M510" t="n">
        <v>0</v>
      </c>
      <c r="N510" t="n">
        <v>0</v>
      </c>
      <c r="O510" t="n">
        <v>0</v>
      </c>
      <c r="P510" t="n">
        <v>0</v>
      </c>
      <c r="Q510" t="n">
        <v>1</v>
      </c>
      <c r="R510" s="2" t="inlineStr">
        <is>
          <t>Ögonpyrola</t>
        </is>
      </c>
      <c r="S510">
        <f>HYPERLINK("https://klasma.github.io/Logging_0188/artfynd/A 55767-2023 artfynd.xlsx", "A 55767-2023")</f>
        <v/>
      </c>
      <c r="T510">
        <f>HYPERLINK("https://klasma.github.io/Logging_0188/kartor/A 55767-2023 karta.png", "A 55767-2023")</f>
        <v/>
      </c>
      <c r="V510">
        <f>HYPERLINK("https://klasma.github.io/Logging_0188/klagomål/A 55767-2023 FSC-klagomål.docx", "A 55767-2023")</f>
        <v/>
      </c>
      <c r="W510">
        <f>HYPERLINK("https://klasma.github.io/Logging_0188/klagomålsmail/A 55767-2023 FSC-klagomål mail.docx", "A 55767-2023")</f>
        <v/>
      </c>
      <c r="X510">
        <f>HYPERLINK("https://klasma.github.io/Logging_0188/tillsyn/A 55767-2023 tillsynsbegäran.docx", "A 55767-2023")</f>
        <v/>
      </c>
      <c r="Y510">
        <f>HYPERLINK("https://klasma.github.io/Logging_0188/tillsynsmail/A 55767-2023 tillsynsbegäran mail.docx", "A 55767-2023")</f>
        <v/>
      </c>
    </row>
    <row r="511" ht="15" customHeight="1">
      <c r="A511" t="inlineStr">
        <is>
          <t>A 55872-2023</t>
        </is>
      </c>
      <c r="B511" s="1" t="n">
        <v>45239</v>
      </c>
      <c r="C511" s="1" t="n">
        <v>45693</v>
      </c>
      <c r="D511" t="inlineStr">
        <is>
          <t>STOCKHOLMS LÄN</t>
        </is>
      </c>
      <c r="E511" t="inlineStr">
        <is>
          <t>NYNÄSHAMN</t>
        </is>
      </c>
      <c r="F511" t="inlineStr">
        <is>
          <t>Kommuner</t>
        </is>
      </c>
      <c r="G511" t="n">
        <v>4.1</v>
      </c>
      <c r="H511" t="n">
        <v>0</v>
      </c>
      <c r="I511" t="n">
        <v>1</v>
      </c>
      <c r="J511" t="n">
        <v>0</v>
      </c>
      <c r="K511" t="n">
        <v>0</v>
      </c>
      <c r="L511" t="n">
        <v>0</v>
      </c>
      <c r="M511" t="n">
        <v>0</v>
      </c>
      <c r="N511" t="n">
        <v>0</v>
      </c>
      <c r="O511" t="n">
        <v>0</v>
      </c>
      <c r="P511" t="n">
        <v>0</v>
      </c>
      <c r="Q511" t="n">
        <v>1</v>
      </c>
      <c r="R511" s="2" t="inlineStr">
        <is>
          <t>Skogshakmossa</t>
        </is>
      </c>
      <c r="S511">
        <f>HYPERLINK("https://klasma.github.io/Logging_0192/artfynd/A 55872-2023 artfynd.xlsx", "A 55872-2023")</f>
        <v/>
      </c>
      <c r="T511">
        <f>HYPERLINK("https://klasma.github.io/Logging_0192/kartor/A 55872-2023 karta.png", "A 55872-2023")</f>
        <v/>
      </c>
      <c r="V511">
        <f>HYPERLINK("https://klasma.github.io/Logging_0192/klagomål/A 55872-2023 FSC-klagomål.docx", "A 55872-2023")</f>
        <v/>
      </c>
      <c r="W511">
        <f>HYPERLINK("https://klasma.github.io/Logging_0192/klagomålsmail/A 55872-2023 FSC-klagomål mail.docx", "A 55872-2023")</f>
        <v/>
      </c>
      <c r="X511">
        <f>HYPERLINK("https://klasma.github.io/Logging_0192/tillsyn/A 55872-2023 tillsynsbegäran.docx", "A 55872-2023")</f>
        <v/>
      </c>
      <c r="Y511">
        <f>HYPERLINK("https://klasma.github.io/Logging_0192/tillsynsmail/A 55872-2023 tillsynsbegäran mail.docx", "A 55872-2023")</f>
        <v/>
      </c>
    </row>
    <row r="512" ht="15" customHeight="1">
      <c r="A512" t="inlineStr">
        <is>
          <t>A 59580-2023</t>
        </is>
      </c>
      <c r="B512" s="1" t="n">
        <v>45254</v>
      </c>
      <c r="C512" s="1" t="n">
        <v>45693</v>
      </c>
      <c r="D512" t="inlineStr">
        <is>
          <t>STOCKHOLMS LÄN</t>
        </is>
      </c>
      <c r="E512" t="inlineStr">
        <is>
          <t>NORRTÄLJE</t>
        </is>
      </c>
      <c r="G512" t="n">
        <v>3.2</v>
      </c>
      <c r="H512" t="n">
        <v>0</v>
      </c>
      <c r="I512" t="n">
        <v>1</v>
      </c>
      <c r="J512" t="n">
        <v>0</v>
      </c>
      <c r="K512" t="n">
        <v>0</v>
      </c>
      <c r="L512" t="n">
        <v>0</v>
      </c>
      <c r="M512" t="n">
        <v>0</v>
      </c>
      <c r="N512" t="n">
        <v>0</v>
      </c>
      <c r="O512" t="n">
        <v>0</v>
      </c>
      <c r="P512" t="n">
        <v>0</v>
      </c>
      <c r="Q512" t="n">
        <v>1</v>
      </c>
      <c r="R512" s="2" t="inlineStr">
        <is>
          <t>Trådticka</t>
        </is>
      </c>
      <c r="S512">
        <f>HYPERLINK("https://klasma.github.io/Logging_0188/artfynd/A 59580-2023 artfynd.xlsx", "A 59580-2023")</f>
        <v/>
      </c>
      <c r="T512">
        <f>HYPERLINK("https://klasma.github.io/Logging_0188/kartor/A 59580-2023 karta.png", "A 59580-2023")</f>
        <v/>
      </c>
      <c r="V512">
        <f>HYPERLINK("https://klasma.github.io/Logging_0188/klagomål/A 59580-2023 FSC-klagomål.docx", "A 59580-2023")</f>
        <v/>
      </c>
      <c r="W512">
        <f>HYPERLINK("https://klasma.github.io/Logging_0188/klagomålsmail/A 59580-2023 FSC-klagomål mail.docx", "A 59580-2023")</f>
        <v/>
      </c>
      <c r="X512">
        <f>HYPERLINK("https://klasma.github.io/Logging_0188/tillsyn/A 59580-2023 tillsynsbegäran.docx", "A 59580-2023")</f>
        <v/>
      </c>
      <c r="Y512">
        <f>HYPERLINK("https://klasma.github.io/Logging_0188/tillsynsmail/A 59580-2023 tillsynsbegäran mail.docx", "A 59580-2023")</f>
        <v/>
      </c>
    </row>
    <row r="513" ht="15" customHeight="1">
      <c r="A513" t="inlineStr">
        <is>
          <t>A 60299-2023</t>
        </is>
      </c>
      <c r="B513" s="1" t="n">
        <v>45258</v>
      </c>
      <c r="C513" s="1" t="n">
        <v>45693</v>
      </c>
      <c r="D513" t="inlineStr">
        <is>
          <t>STOCKHOLMS LÄN</t>
        </is>
      </c>
      <c r="E513" t="inlineStr">
        <is>
          <t>HANINGE</t>
        </is>
      </c>
      <c r="G513" t="n">
        <v>1.3</v>
      </c>
      <c r="H513" t="n">
        <v>0</v>
      </c>
      <c r="I513" t="n">
        <v>1</v>
      </c>
      <c r="J513" t="n">
        <v>0</v>
      </c>
      <c r="K513" t="n">
        <v>0</v>
      </c>
      <c r="L513" t="n">
        <v>0</v>
      </c>
      <c r="M513" t="n">
        <v>0</v>
      </c>
      <c r="N513" t="n">
        <v>0</v>
      </c>
      <c r="O513" t="n">
        <v>0</v>
      </c>
      <c r="P513" t="n">
        <v>0</v>
      </c>
      <c r="Q513" t="n">
        <v>1</v>
      </c>
      <c r="R513" s="2" t="inlineStr">
        <is>
          <t>Mörk husmossa</t>
        </is>
      </c>
      <c r="S513">
        <f>HYPERLINK("https://klasma.github.io/Logging_0136/artfynd/A 60299-2023 artfynd.xlsx", "A 60299-2023")</f>
        <v/>
      </c>
      <c r="T513">
        <f>HYPERLINK("https://klasma.github.io/Logging_0136/kartor/A 60299-2023 karta.png", "A 60299-2023")</f>
        <v/>
      </c>
      <c r="V513">
        <f>HYPERLINK("https://klasma.github.io/Logging_0136/klagomål/A 60299-2023 FSC-klagomål.docx", "A 60299-2023")</f>
        <v/>
      </c>
      <c r="W513">
        <f>HYPERLINK("https://klasma.github.io/Logging_0136/klagomålsmail/A 60299-2023 FSC-klagomål mail.docx", "A 60299-2023")</f>
        <v/>
      </c>
      <c r="X513">
        <f>HYPERLINK("https://klasma.github.io/Logging_0136/tillsyn/A 60299-2023 tillsynsbegäran.docx", "A 60299-2023")</f>
        <v/>
      </c>
      <c r="Y513">
        <f>HYPERLINK("https://klasma.github.io/Logging_0136/tillsynsmail/A 60299-2023 tillsynsbegäran mail.docx", "A 60299-2023")</f>
        <v/>
      </c>
    </row>
    <row r="514" ht="15" customHeight="1">
      <c r="A514" t="inlineStr">
        <is>
          <t>A 60369-2023</t>
        </is>
      </c>
      <c r="B514" s="1" t="n">
        <v>45259</v>
      </c>
      <c r="C514" s="1" t="n">
        <v>45693</v>
      </c>
      <c r="D514" t="inlineStr">
        <is>
          <t>STOCKHOLMS LÄN</t>
        </is>
      </c>
      <c r="E514" t="inlineStr">
        <is>
          <t>HANINGE</t>
        </is>
      </c>
      <c r="G514" t="n">
        <v>2.9</v>
      </c>
      <c r="H514" t="n">
        <v>1</v>
      </c>
      <c r="I514" t="n">
        <v>0</v>
      </c>
      <c r="J514" t="n">
        <v>0</v>
      </c>
      <c r="K514" t="n">
        <v>0</v>
      </c>
      <c r="L514" t="n">
        <v>0</v>
      </c>
      <c r="M514" t="n">
        <v>0</v>
      </c>
      <c r="N514" t="n">
        <v>0</v>
      </c>
      <c r="O514" t="n">
        <v>0</v>
      </c>
      <c r="P514" t="n">
        <v>0</v>
      </c>
      <c r="Q514" t="n">
        <v>1</v>
      </c>
      <c r="R514" s="2" t="inlineStr">
        <is>
          <t>Mattlummer</t>
        </is>
      </c>
      <c r="S514">
        <f>HYPERLINK("https://klasma.github.io/Logging_0136/artfynd/A 60369-2023 artfynd.xlsx", "A 60369-2023")</f>
        <v/>
      </c>
      <c r="T514">
        <f>HYPERLINK("https://klasma.github.io/Logging_0136/kartor/A 60369-2023 karta.png", "A 60369-2023")</f>
        <v/>
      </c>
      <c r="V514">
        <f>HYPERLINK("https://klasma.github.io/Logging_0136/klagomål/A 60369-2023 FSC-klagomål.docx", "A 60369-2023")</f>
        <v/>
      </c>
      <c r="W514">
        <f>HYPERLINK("https://klasma.github.io/Logging_0136/klagomålsmail/A 60369-2023 FSC-klagomål mail.docx", "A 60369-2023")</f>
        <v/>
      </c>
      <c r="X514">
        <f>HYPERLINK("https://klasma.github.io/Logging_0136/tillsyn/A 60369-2023 tillsynsbegäran.docx", "A 60369-2023")</f>
        <v/>
      </c>
      <c r="Y514">
        <f>HYPERLINK("https://klasma.github.io/Logging_0136/tillsynsmail/A 60369-2023 tillsynsbegäran mail.docx", "A 60369-2023")</f>
        <v/>
      </c>
    </row>
    <row r="515" ht="15" customHeight="1">
      <c r="A515" t="inlineStr">
        <is>
          <t>A 62007-2023</t>
        </is>
      </c>
      <c r="B515" s="1" t="n">
        <v>45266</v>
      </c>
      <c r="C515" s="1" t="n">
        <v>45693</v>
      </c>
      <c r="D515" t="inlineStr">
        <is>
          <t>STOCKHOLMS LÄN</t>
        </is>
      </c>
      <c r="E515" t="inlineStr">
        <is>
          <t>NYNÄSHAMN</t>
        </is>
      </c>
      <c r="G515" t="n">
        <v>4.5</v>
      </c>
      <c r="H515" t="n">
        <v>0</v>
      </c>
      <c r="I515" t="n">
        <v>0</v>
      </c>
      <c r="J515" t="n">
        <v>1</v>
      </c>
      <c r="K515" t="n">
        <v>0</v>
      </c>
      <c r="L515" t="n">
        <v>0</v>
      </c>
      <c r="M515" t="n">
        <v>0</v>
      </c>
      <c r="N515" t="n">
        <v>0</v>
      </c>
      <c r="O515" t="n">
        <v>1</v>
      </c>
      <c r="P515" t="n">
        <v>0</v>
      </c>
      <c r="Q515" t="n">
        <v>1</v>
      </c>
      <c r="R515" s="2" t="inlineStr">
        <is>
          <t>Granticka</t>
        </is>
      </c>
      <c r="S515">
        <f>HYPERLINK("https://klasma.github.io/Logging_0192/artfynd/A 62007-2023 artfynd.xlsx", "A 62007-2023")</f>
        <v/>
      </c>
      <c r="T515">
        <f>HYPERLINK("https://klasma.github.io/Logging_0192/kartor/A 62007-2023 karta.png", "A 62007-2023")</f>
        <v/>
      </c>
      <c r="V515">
        <f>HYPERLINK("https://klasma.github.io/Logging_0192/klagomål/A 62007-2023 FSC-klagomål.docx", "A 62007-2023")</f>
        <v/>
      </c>
      <c r="W515">
        <f>HYPERLINK("https://klasma.github.io/Logging_0192/klagomålsmail/A 62007-2023 FSC-klagomål mail.docx", "A 62007-2023")</f>
        <v/>
      </c>
      <c r="X515">
        <f>HYPERLINK("https://klasma.github.io/Logging_0192/tillsyn/A 62007-2023 tillsynsbegäran.docx", "A 62007-2023")</f>
        <v/>
      </c>
      <c r="Y515">
        <f>HYPERLINK("https://klasma.github.io/Logging_0192/tillsynsmail/A 62007-2023 tillsynsbegäran mail.docx", "A 62007-2023")</f>
        <v/>
      </c>
    </row>
    <row r="516" ht="15" customHeight="1">
      <c r="A516" t="inlineStr">
        <is>
          <t>A 63851-2023</t>
        </is>
      </c>
      <c r="B516" s="1" t="n">
        <v>45278</v>
      </c>
      <c r="C516" s="1" t="n">
        <v>45693</v>
      </c>
      <c r="D516" t="inlineStr">
        <is>
          <t>STOCKHOLMS LÄN</t>
        </is>
      </c>
      <c r="E516" t="inlineStr">
        <is>
          <t>NORRTÄLJE</t>
        </is>
      </c>
      <c r="G516" t="n">
        <v>5.6</v>
      </c>
      <c r="H516" t="n">
        <v>1</v>
      </c>
      <c r="I516" t="n">
        <v>0</v>
      </c>
      <c r="J516" t="n">
        <v>0</v>
      </c>
      <c r="K516" t="n">
        <v>0</v>
      </c>
      <c r="L516" t="n">
        <v>0</v>
      </c>
      <c r="M516" t="n">
        <v>0</v>
      </c>
      <c r="N516" t="n">
        <v>0</v>
      </c>
      <c r="O516" t="n">
        <v>0</v>
      </c>
      <c r="P516" t="n">
        <v>0</v>
      </c>
      <c r="Q516" t="n">
        <v>1</v>
      </c>
      <c r="R516" s="2" t="inlineStr">
        <is>
          <t>Tjäder</t>
        </is>
      </c>
      <c r="S516">
        <f>HYPERLINK("https://klasma.github.io/Logging_0188/artfynd/A 63851-2023 artfynd.xlsx", "A 63851-2023")</f>
        <v/>
      </c>
      <c r="T516">
        <f>HYPERLINK("https://klasma.github.io/Logging_0188/kartor/A 63851-2023 karta.png", "A 63851-2023")</f>
        <v/>
      </c>
      <c r="V516">
        <f>HYPERLINK("https://klasma.github.io/Logging_0188/klagomål/A 63851-2023 FSC-klagomål.docx", "A 63851-2023")</f>
        <v/>
      </c>
      <c r="W516">
        <f>HYPERLINK("https://klasma.github.io/Logging_0188/klagomålsmail/A 63851-2023 FSC-klagomål mail.docx", "A 63851-2023")</f>
        <v/>
      </c>
      <c r="X516">
        <f>HYPERLINK("https://klasma.github.io/Logging_0188/tillsyn/A 63851-2023 tillsynsbegäran.docx", "A 63851-2023")</f>
        <v/>
      </c>
      <c r="Y516">
        <f>HYPERLINK("https://klasma.github.io/Logging_0188/tillsynsmail/A 63851-2023 tillsynsbegäran mail.docx", "A 63851-2023")</f>
        <v/>
      </c>
      <c r="Z516">
        <f>HYPERLINK("https://klasma.github.io/Logging_0188/fåglar/A 63851-2023 prioriterade fågelarter.docx", "A 63851-2023")</f>
        <v/>
      </c>
    </row>
    <row r="517" ht="15" customHeight="1">
      <c r="A517" t="inlineStr">
        <is>
          <t>A 64098-2023</t>
        </is>
      </c>
      <c r="B517" s="1" t="n">
        <v>45279</v>
      </c>
      <c r="C517" s="1" t="n">
        <v>45693</v>
      </c>
      <c r="D517" t="inlineStr">
        <is>
          <t>STOCKHOLMS LÄN</t>
        </is>
      </c>
      <c r="E517" t="inlineStr">
        <is>
          <t>UPPLANDS-BRO</t>
        </is>
      </c>
      <c r="G517" t="n">
        <v>0.3</v>
      </c>
      <c r="H517" t="n">
        <v>0</v>
      </c>
      <c r="I517" t="n">
        <v>0</v>
      </c>
      <c r="J517" t="n">
        <v>1</v>
      </c>
      <c r="K517" t="n">
        <v>0</v>
      </c>
      <c r="L517" t="n">
        <v>0</v>
      </c>
      <c r="M517" t="n">
        <v>0</v>
      </c>
      <c r="N517" t="n">
        <v>0</v>
      </c>
      <c r="O517" t="n">
        <v>1</v>
      </c>
      <c r="P517" t="n">
        <v>0</v>
      </c>
      <c r="Q517" t="n">
        <v>1</v>
      </c>
      <c r="R517" s="2" t="inlineStr">
        <is>
          <t>Skogsalmsdvärgmal</t>
        </is>
      </c>
      <c r="S517">
        <f>HYPERLINK("https://klasma.github.io/Logging_0139/artfynd/A 64098-2023 artfynd.xlsx", "A 64098-2023")</f>
        <v/>
      </c>
      <c r="T517">
        <f>HYPERLINK("https://klasma.github.io/Logging_0139/kartor/A 64098-2023 karta.png", "A 64098-2023")</f>
        <v/>
      </c>
      <c r="V517">
        <f>HYPERLINK("https://klasma.github.io/Logging_0139/klagomål/A 64098-2023 FSC-klagomål.docx", "A 64098-2023")</f>
        <v/>
      </c>
      <c r="W517">
        <f>HYPERLINK("https://klasma.github.io/Logging_0139/klagomålsmail/A 64098-2023 FSC-klagomål mail.docx", "A 64098-2023")</f>
        <v/>
      </c>
      <c r="X517">
        <f>HYPERLINK("https://klasma.github.io/Logging_0139/tillsyn/A 64098-2023 tillsynsbegäran.docx", "A 64098-2023")</f>
        <v/>
      </c>
      <c r="Y517">
        <f>HYPERLINK("https://klasma.github.io/Logging_0139/tillsynsmail/A 64098-2023 tillsynsbegäran mail.docx", "A 64098-2023")</f>
        <v/>
      </c>
    </row>
    <row r="518" ht="15" customHeight="1">
      <c r="A518" t="inlineStr">
        <is>
          <t>A 64196-2023</t>
        </is>
      </c>
      <c r="B518" s="1" t="n">
        <v>45279</v>
      </c>
      <c r="C518" s="1" t="n">
        <v>45693</v>
      </c>
      <c r="D518" t="inlineStr">
        <is>
          <t>STOCKHOLMS LÄN</t>
        </is>
      </c>
      <c r="E518" t="inlineStr">
        <is>
          <t>NYNÄSHAMN</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HYPERLINK("https://klasma.github.io/Logging_0192/artfynd/A 64196-2023 artfynd.xlsx", "A 64196-2023")</f>
        <v/>
      </c>
      <c r="T518">
        <f>HYPERLINK("https://klasma.github.io/Logging_0192/kartor/A 64196-2023 karta.png", "A 64196-2023")</f>
        <v/>
      </c>
      <c r="V518">
        <f>HYPERLINK("https://klasma.github.io/Logging_0192/klagomål/A 64196-2023 FSC-klagomål.docx", "A 64196-2023")</f>
        <v/>
      </c>
      <c r="W518">
        <f>HYPERLINK("https://klasma.github.io/Logging_0192/klagomålsmail/A 64196-2023 FSC-klagomål mail.docx", "A 64196-2023")</f>
        <v/>
      </c>
      <c r="X518">
        <f>HYPERLINK("https://klasma.github.io/Logging_0192/tillsyn/A 64196-2023 tillsynsbegäran.docx", "A 64196-2023")</f>
        <v/>
      </c>
      <c r="Y518">
        <f>HYPERLINK("https://klasma.github.io/Logging_0192/tillsynsmail/A 64196-2023 tillsynsbegäran mail.docx", "A 64196-2023")</f>
        <v/>
      </c>
    </row>
    <row r="519" ht="15" customHeight="1">
      <c r="A519" t="inlineStr">
        <is>
          <t>A 64345-2023</t>
        </is>
      </c>
      <c r="B519" s="1" t="n">
        <v>45280</v>
      </c>
      <c r="C519" s="1" t="n">
        <v>45693</v>
      </c>
      <c r="D519" t="inlineStr">
        <is>
          <t>STOCKHOLMS LÄN</t>
        </is>
      </c>
      <c r="E519" t="inlineStr">
        <is>
          <t>SIGTUNA</t>
        </is>
      </c>
      <c r="G519" t="n">
        <v>2.7</v>
      </c>
      <c r="H519" t="n">
        <v>1</v>
      </c>
      <c r="I519" t="n">
        <v>0</v>
      </c>
      <c r="J519" t="n">
        <v>0</v>
      </c>
      <c r="K519" t="n">
        <v>0</v>
      </c>
      <c r="L519" t="n">
        <v>0</v>
      </c>
      <c r="M519" t="n">
        <v>0</v>
      </c>
      <c r="N519" t="n">
        <v>0</v>
      </c>
      <c r="O519" t="n">
        <v>0</v>
      </c>
      <c r="P519" t="n">
        <v>0</v>
      </c>
      <c r="Q519" t="n">
        <v>1</v>
      </c>
      <c r="R519" s="2" t="inlineStr">
        <is>
          <t>Kungsfågel</t>
        </is>
      </c>
      <c r="S519">
        <f>HYPERLINK("https://klasma.github.io/Logging_0191/artfynd/A 64345-2023 artfynd.xlsx", "A 64345-2023")</f>
        <v/>
      </c>
      <c r="T519">
        <f>HYPERLINK("https://klasma.github.io/Logging_0191/kartor/A 64345-2023 karta.png", "A 64345-2023")</f>
        <v/>
      </c>
      <c r="V519">
        <f>HYPERLINK("https://klasma.github.io/Logging_0191/klagomål/A 64345-2023 FSC-klagomål.docx", "A 64345-2023")</f>
        <v/>
      </c>
      <c r="W519">
        <f>HYPERLINK("https://klasma.github.io/Logging_0191/klagomålsmail/A 64345-2023 FSC-klagomål mail.docx", "A 64345-2023")</f>
        <v/>
      </c>
      <c r="X519">
        <f>HYPERLINK("https://klasma.github.io/Logging_0191/tillsyn/A 64345-2023 tillsynsbegäran.docx", "A 64345-2023")</f>
        <v/>
      </c>
      <c r="Y519">
        <f>HYPERLINK("https://klasma.github.io/Logging_0191/tillsynsmail/A 64345-2023 tillsynsbegäran mail.docx", "A 64345-2023")</f>
        <v/>
      </c>
      <c r="Z519">
        <f>HYPERLINK("https://klasma.github.io/Logging_0191/fåglar/A 64345-2023 prioriterade fågelarter.docx", "A 64345-2023")</f>
        <v/>
      </c>
    </row>
    <row r="520" ht="15" customHeight="1">
      <c r="A520" t="inlineStr">
        <is>
          <t>A 64456-2023</t>
        </is>
      </c>
      <c r="B520" s="1" t="n">
        <v>45280</v>
      </c>
      <c r="C520" s="1" t="n">
        <v>45693</v>
      </c>
      <c r="D520" t="inlineStr">
        <is>
          <t>STOCKHOLMS LÄN</t>
        </is>
      </c>
      <c r="E520" t="inlineStr">
        <is>
          <t>NORRTÄLJE</t>
        </is>
      </c>
      <c r="G520" t="n">
        <v>2.5</v>
      </c>
      <c r="H520" t="n">
        <v>0</v>
      </c>
      <c r="I520" t="n">
        <v>1</v>
      </c>
      <c r="J520" t="n">
        <v>0</v>
      </c>
      <c r="K520" t="n">
        <v>0</v>
      </c>
      <c r="L520" t="n">
        <v>0</v>
      </c>
      <c r="M520" t="n">
        <v>0</v>
      </c>
      <c r="N520" t="n">
        <v>0</v>
      </c>
      <c r="O520" t="n">
        <v>0</v>
      </c>
      <c r="P520" t="n">
        <v>0</v>
      </c>
      <c r="Q520" t="n">
        <v>1</v>
      </c>
      <c r="R520" s="2" t="inlineStr">
        <is>
          <t>Rödgul trumpetsvamp</t>
        </is>
      </c>
      <c r="S520">
        <f>HYPERLINK("https://klasma.github.io/Logging_0188/artfynd/A 64456-2023 artfynd.xlsx", "A 64456-2023")</f>
        <v/>
      </c>
      <c r="T520">
        <f>HYPERLINK("https://klasma.github.io/Logging_0188/kartor/A 64456-2023 karta.png", "A 64456-2023")</f>
        <v/>
      </c>
      <c r="V520">
        <f>HYPERLINK("https://klasma.github.io/Logging_0188/klagomål/A 64456-2023 FSC-klagomål.docx", "A 64456-2023")</f>
        <v/>
      </c>
      <c r="W520">
        <f>HYPERLINK("https://klasma.github.io/Logging_0188/klagomålsmail/A 64456-2023 FSC-klagomål mail.docx", "A 64456-2023")</f>
        <v/>
      </c>
      <c r="X520">
        <f>HYPERLINK("https://klasma.github.io/Logging_0188/tillsyn/A 64456-2023 tillsynsbegäran.docx", "A 64456-2023")</f>
        <v/>
      </c>
      <c r="Y520">
        <f>HYPERLINK("https://klasma.github.io/Logging_0188/tillsynsmail/A 64456-2023 tillsynsbegäran mail.docx", "A 64456-2023")</f>
        <v/>
      </c>
    </row>
    <row r="521" ht="15" customHeight="1">
      <c r="A521" t="inlineStr">
        <is>
          <t>A 64441-2023</t>
        </is>
      </c>
      <c r="B521" s="1" t="n">
        <v>45280</v>
      </c>
      <c r="C521" s="1" t="n">
        <v>45693</v>
      </c>
      <c r="D521" t="inlineStr">
        <is>
          <t>STOCKHOLMS LÄN</t>
        </is>
      </c>
      <c r="E521" t="inlineStr">
        <is>
          <t>UPPLANDS VÄSBY</t>
        </is>
      </c>
      <c r="G521" t="n">
        <v>6.4</v>
      </c>
      <c r="H521" t="n">
        <v>0</v>
      </c>
      <c r="I521" t="n">
        <v>0</v>
      </c>
      <c r="J521" t="n">
        <v>1</v>
      </c>
      <c r="K521" t="n">
        <v>0</v>
      </c>
      <c r="L521" t="n">
        <v>0</v>
      </c>
      <c r="M521" t="n">
        <v>0</v>
      </c>
      <c r="N521" t="n">
        <v>0</v>
      </c>
      <c r="O521" t="n">
        <v>1</v>
      </c>
      <c r="P521" t="n">
        <v>0</v>
      </c>
      <c r="Q521" t="n">
        <v>1</v>
      </c>
      <c r="R521" s="2" t="inlineStr">
        <is>
          <t>Säfferot</t>
        </is>
      </c>
      <c r="S521">
        <f>HYPERLINK("https://klasma.github.io/Logging_0114/artfynd/A 64441-2023 artfynd.xlsx", "A 64441-2023")</f>
        <v/>
      </c>
      <c r="T521">
        <f>HYPERLINK("https://klasma.github.io/Logging_0114/kartor/A 64441-2023 karta.png", "A 64441-2023")</f>
        <v/>
      </c>
      <c r="V521">
        <f>HYPERLINK("https://klasma.github.io/Logging_0114/klagomål/A 64441-2023 FSC-klagomål.docx", "A 64441-2023")</f>
        <v/>
      </c>
      <c r="W521">
        <f>HYPERLINK("https://klasma.github.io/Logging_0114/klagomålsmail/A 64441-2023 FSC-klagomål mail.docx", "A 64441-2023")</f>
        <v/>
      </c>
      <c r="X521">
        <f>HYPERLINK("https://klasma.github.io/Logging_0114/tillsyn/A 64441-2023 tillsynsbegäran.docx", "A 64441-2023")</f>
        <v/>
      </c>
      <c r="Y521">
        <f>HYPERLINK("https://klasma.github.io/Logging_0114/tillsynsmail/A 64441-2023 tillsynsbegäran mail.docx", "A 64441-2023")</f>
        <v/>
      </c>
    </row>
    <row r="522" ht="15" customHeight="1">
      <c r="A522" t="inlineStr">
        <is>
          <t>A 3952-2024</t>
        </is>
      </c>
      <c r="B522" s="1" t="n">
        <v>45322</v>
      </c>
      <c r="C522" s="1" t="n">
        <v>45693</v>
      </c>
      <c r="D522" t="inlineStr">
        <is>
          <t>STOCKHOLMS LÄN</t>
        </is>
      </c>
      <c r="E522" t="inlineStr">
        <is>
          <t>HANINGE</t>
        </is>
      </c>
      <c r="G522" t="n">
        <v>1.7</v>
      </c>
      <c r="H522" t="n">
        <v>1</v>
      </c>
      <c r="I522" t="n">
        <v>0</v>
      </c>
      <c r="J522" t="n">
        <v>0</v>
      </c>
      <c r="K522" t="n">
        <v>0</v>
      </c>
      <c r="L522" t="n">
        <v>0</v>
      </c>
      <c r="M522" t="n">
        <v>0</v>
      </c>
      <c r="N522" t="n">
        <v>0</v>
      </c>
      <c r="O522" t="n">
        <v>0</v>
      </c>
      <c r="P522" t="n">
        <v>0</v>
      </c>
      <c r="Q522" t="n">
        <v>1</v>
      </c>
      <c r="R522" s="2" t="inlineStr">
        <is>
          <t>Sångsvan</t>
        </is>
      </c>
      <c r="S522">
        <f>HYPERLINK("https://klasma.github.io/Logging_0136/artfynd/A 3952-2024 artfynd.xlsx", "A 3952-2024")</f>
        <v/>
      </c>
      <c r="T522">
        <f>HYPERLINK("https://klasma.github.io/Logging_0136/kartor/A 3952-2024 karta.png", "A 3952-2024")</f>
        <v/>
      </c>
      <c r="V522">
        <f>HYPERLINK("https://klasma.github.io/Logging_0136/klagomål/A 3952-2024 FSC-klagomål.docx", "A 3952-2024")</f>
        <v/>
      </c>
      <c r="W522">
        <f>HYPERLINK("https://klasma.github.io/Logging_0136/klagomålsmail/A 3952-2024 FSC-klagomål mail.docx", "A 3952-2024")</f>
        <v/>
      </c>
      <c r="X522">
        <f>HYPERLINK("https://klasma.github.io/Logging_0136/tillsyn/A 3952-2024 tillsynsbegäran.docx", "A 3952-2024")</f>
        <v/>
      </c>
      <c r="Y522">
        <f>HYPERLINK("https://klasma.github.io/Logging_0136/tillsynsmail/A 3952-2024 tillsynsbegäran mail.docx", "A 3952-2024")</f>
        <v/>
      </c>
      <c r="Z522">
        <f>HYPERLINK("https://klasma.github.io/Logging_0136/fåglar/A 3952-2024 prioriterade fågelarter.docx", "A 3952-2024")</f>
        <v/>
      </c>
    </row>
    <row r="523" ht="15" customHeight="1">
      <c r="A523" t="inlineStr">
        <is>
          <t>A 4730-2024</t>
        </is>
      </c>
      <c r="B523" s="1" t="n">
        <v>45328</v>
      </c>
      <c r="C523" s="1" t="n">
        <v>45693</v>
      </c>
      <c r="D523" t="inlineStr">
        <is>
          <t>STOCKHOLMS LÄN</t>
        </is>
      </c>
      <c r="E523" t="inlineStr">
        <is>
          <t>NORRTÄLJE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HYPERLINK("https://klasma.github.io/Logging_0188/artfynd/A 4730-2024 artfynd.xlsx", "A 4730-2024")</f>
        <v/>
      </c>
      <c r="T523">
        <f>HYPERLINK("https://klasma.github.io/Logging_0188/kartor/A 4730-2024 karta.png", "A 4730-2024")</f>
        <v/>
      </c>
      <c r="V523">
        <f>HYPERLINK("https://klasma.github.io/Logging_0188/klagomål/A 4730-2024 FSC-klagomål.docx", "A 4730-2024")</f>
        <v/>
      </c>
      <c r="W523">
        <f>HYPERLINK("https://klasma.github.io/Logging_0188/klagomålsmail/A 4730-2024 FSC-klagomål mail.docx", "A 4730-2024")</f>
        <v/>
      </c>
      <c r="X523">
        <f>HYPERLINK("https://klasma.github.io/Logging_0188/tillsyn/A 4730-2024 tillsynsbegäran.docx", "A 4730-2024")</f>
        <v/>
      </c>
      <c r="Y523">
        <f>HYPERLINK("https://klasma.github.io/Logging_0188/tillsynsmail/A 4730-2024 tillsynsbegäran mail.docx", "A 4730-2024")</f>
        <v/>
      </c>
    </row>
    <row r="524" ht="15" customHeight="1">
      <c r="A524" t="inlineStr">
        <is>
          <t>A 5946-2024</t>
        </is>
      </c>
      <c r="B524" s="1" t="n">
        <v>45336</v>
      </c>
      <c r="C524" s="1" t="n">
        <v>45693</v>
      </c>
      <c r="D524" t="inlineStr">
        <is>
          <t>STOCKHOLMS LÄN</t>
        </is>
      </c>
      <c r="E524" t="inlineStr">
        <is>
          <t>NYNÄSHAMN</t>
        </is>
      </c>
      <c r="G524" t="n">
        <v>15</v>
      </c>
      <c r="H524" t="n">
        <v>0</v>
      </c>
      <c r="I524" t="n">
        <v>1</v>
      </c>
      <c r="J524" t="n">
        <v>0</v>
      </c>
      <c r="K524" t="n">
        <v>0</v>
      </c>
      <c r="L524" t="n">
        <v>0</v>
      </c>
      <c r="M524" t="n">
        <v>0</v>
      </c>
      <c r="N524" t="n">
        <v>0</v>
      </c>
      <c r="O524" t="n">
        <v>0</v>
      </c>
      <c r="P524" t="n">
        <v>0</v>
      </c>
      <c r="Q524" t="n">
        <v>1</v>
      </c>
      <c r="R524" s="2" t="inlineStr">
        <is>
          <t>Grönpyrola</t>
        </is>
      </c>
      <c r="S524">
        <f>HYPERLINK("https://klasma.github.io/Logging_0192/artfynd/A 5946-2024 artfynd.xlsx", "A 5946-2024")</f>
        <v/>
      </c>
      <c r="T524">
        <f>HYPERLINK("https://klasma.github.io/Logging_0192/kartor/A 5946-2024 karta.png", "A 5946-2024")</f>
        <v/>
      </c>
      <c r="V524">
        <f>HYPERLINK("https://klasma.github.io/Logging_0192/klagomål/A 5946-2024 FSC-klagomål.docx", "A 5946-2024")</f>
        <v/>
      </c>
      <c r="W524">
        <f>HYPERLINK("https://klasma.github.io/Logging_0192/klagomålsmail/A 5946-2024 FSC-klagomål mail.docx", "A 5946-2024")</f>
        <v/>
      </c>
      <c r="X524">
        <f>HYPERLINK("https://klasma.github.io/Logging_0192/tillsyn/A 5946-2024 tillsynsbegäran.docx", "A 5946-2024")</f>
        <v/>
      </c>
      <c r="Y524">
        <f>HYPERLINK("https://klasma.github.io/Logging_0192/tillsynsmail/A 5946-2024 tillsynsbegäran mail.docx", "A 5946-2024")</f>
        <v/>
      </c>
    </row>
    <row r="525" ht="15" customHeight="1">
      <c r="A525" t="inlineStr">
        <is>
          <t>A 6412-2024</t>
        </is>
      </c>
      <c r="B525" s="1" t="n">
        <v>45338</v>
      </c>
      <c r="C525" s="1" t="n">
        <v>45693</v>
      </c>
      <c r="D525" t="inlineStr">
        <is>
          <t>STOCKHOLMS LÄN</t>
        </is>
      </c>
      <c r="E525" t="inlineStr">
        <is>
          <t>VÄRMDÖ</t>
        </is>
      </c>
      <c r="G525" t="n">
        <v>2.4</v>
      </c>
      <c r="H525" t="n">
        <v>1</v>
      </c>
      <c r="I525" t="n">
        <v>1</v>
      </c>
      <c r="J525" t="n">
        <v>0</v>
      </c>
      <c r="K525" t="n">
        <v>0</v>
      </c>
      <c r="L525" t="n">
        <v>0</v>
      </c>
      <c r="M525" t="n">
        <v>0</v>
      </c>
      <c r="N525" t="n">
        <v>0</v>
      </c>
      <c r="O525" t="n">
        <v>0</v>
      </c>
      <c r="P525" t="n">
        <v>0</v>
      </c>
      <c r="Q525" t="n">
        <v>1</v>
      </c>
      <c r="R525" s="2" t="inlineStr">
        <is>
          <t>Skogsknipprot</t>
        </is>
      </c>
      <c r="S525">
        <f>HYPERLINK("https://klasma.github.io/Logging_0120/artfynd/A 6412-2024 artfynd.xlsx", "A 6412-2024")</f>
        <v/>
      </c>
      <c r="T525">
        <f>HYPERLINK("https://klasma.github.io/Logging_0120/kartor/A 6412-2024 karta.png", "A 6412-2024")</f>
        <v/>
      </c>
      <c r="V525">
        <f>HYPERLINK("https://klasma.github.io/Logging_0120/klagomål/A 6412-2024 FSC-klagomål.docx", "A 6412-2024")</f>
        <v/>
      </c>
      <c r="W525">
        <f>HYPERLINK("https://klasma.github.io/Logging_0120/klagomålsmail/A 6412-2024 FSC-klagomål mail.docx", "A 6412-2024")</f>
        <v/>
      </c>
      <c r="X525">
        <f>HYPERLINK("https://klasma.github.io/Logging_0120/tillsyn/A 6412-2024 tillsynsbegäran.docx", "A 6412-2024")</f>
        <v/>
      </c>
      <c r="Y525">
        <f>HYPERLINK("https://klasma.github.io/Logging_0120/tillsynsmail/A 6412-2024 tillsynsbegäran mail.docx", "A 6412-2024")</f>
        <v/>
      </c>
    </row>
    <row r="526" ht="15" customHeight="1">
      <c r="A526" t="inlineStr">
        <is>
          <t>A 6950-2024</t>
        </is>
      </c>
      <c r="B526" s="1" t="n">
        <v>45343</v>
      </c>
      <c r="C526" s="1" t="n">
        <v>45693</v>
      </c>
      <c r="D526" t="inlineStr">
        <is>
          <t>STOCKHOLMS LÄN</t>
        </is>
      </c>
      <c r="E526" t="inlineStr">
        <is>
          <t>NORRTÄLJE</t>
        </is>
      </c>
      <c r="G526" t="n">
        <v>26.8</v>
      </c>
      <c r="H526" t="n">
        <v>1</v>
      </c>
      <c r="I526" t="n">
        <v>0</v>
      </c>
      <c r="J526" t="n">
        <v>0</v>
      </c>
      <c r="K526" t="n">
        <v>0</v>
      </c>
      <c r="L526" t="n">
        <v>0</v>
      </c>
      <c r="M526" t="n">
        <v>0</v>
      </c>
      <c r="N526" t="n">
        <v>0</v>
      </c>
      <c r="O526" t="n">
        <v>0</v>
      </c>
      <c r="P526" t="n">
        <v>0</v>
      </c>
      <c r="Q526" t="n">
        <v>1</v>
      </c>
      <c r="R526" s="2" t="inlineStr">
        <is>
          <t>Blåsippa</t>
        </is>
      </c>
      <c r="S526">
        <f>HYPERLINK("https://klasma.github.io/Logging_0188/artfynd/A 6950-2024 artfynd.xlsx", "A 6950-2024")</f>
        <v/>
      </c>
      <c r="T526">
        <f>HYPERLINK("https://klasma.github.io/Logging_0188/kartor/A 6950-2024 karta.png", "A 6950-2024")</f>
        <v/>
      </c>
      <c r="V526">
        <f>HYPERLINK("https://klasma.github.io/Logging_0188/klagomål/A 6950-2024 FSC-klagomål.docx", "A 6950-2024")</f>
        <v/>
      </c>
      <c r="W526">
        <f>HYPERLINK("https://klasma.github.io/Logging_0188/klagomålsmail/A 6950-2024 FSC-klagomål mail.docx", "A 6950-2024")</f>
        <v/>
      </c>
      <c r="X526">
        <f>HYPERLINK("https://klasma.github.io/Logging_0188/tillsyn/A 6950-2024 tillsynsbegäran.docx", "A 6950-2024")</f>
        <v/>
      </c>
      <c r="Y526">
        <f>HYPERLINK("https://klasma.github.io/Logging_0188/tillsynsmail/A 6950-2024 tillsynsbegäran mail.docx", "A 6950-2024")</f>
        <v/>
      </c>
    </row>
    <row r="527" ht="15" customHeight="1">
      <c r="A527" t="inlineStr">
        <is>
          <t>A 11388-2024</t>
        </is>
      </c>
      <c r="B527" s="1" t="n">
        <v>45372</v>
      </c>
      <c r="C527" s="1" t="n">
        <v>45693</v>
      </c>
      <c r="D527" t="inlineStr">
        <is>
          <t>STOCKHOLMS LÄN</t>
        </is>
      </c>
      <c r="E527" t="inlineStr">
        <is>
          <t>NYKVARN</t>
        </is>
      </c>
      <c r="G527" t="n">
        <v>4</v>
      </c>
      <c r="H527" t="n">
        <v>0</v>
      </c>
      <c r="I527" t="n">
        <v>0</v>
      </c>
      <c r="J527" t="n">
        <v>1</v>
      </c>
      <c r="K527" t="n">
        <v>0</v>
      </c>
      <c r="L527" t="n">
        <v>0</v>
      </c>
      <c r="M527" t="n">
        <v>0</v>
      </c>
      <c r="N527" t="n">
        <v>0</v>
      </c>
      <c r="O527" t="n">
        <v>1</v>
      </c>
      <c r="P527" t="n">
        <v>0</v>
      </c>
      <c r="Q527" t="n">
        <v>1</v>
      </c>
      <c r="R527" s="2" t="inlineStr">
        <is>
          <t>Igelkott</t>
        </is>
      </c>
      <c r="S527">
        <f>HYPERLINK("https://klasma.github.io/Logging_0140/artfynd/A 11388-2024 artfynd.xlsx", "A 11388-2024")</f>
        <v/>
      </c>
      <c r="T527">
        <f>HYPERLINK("https://klasma.github.io/Logging_0140/kartor/A 11388-2024 karta.png", "A 11388-2024")</f>
        <v/>
      </c>
      <c r="V527">
        <f>HYPERLINK("https://klasma.github.io/Logging_0140/klagomål/A 11388-2024 FSC-klagomål.docx", "A 11388-2024")</f>
        <v/>
      </c>
      <c r="W527">
        <f>HYPERLINK("https://klasma.github.io/Logging_0140/klagomålsmail/A 11388-2024 FSC-klagomål mail.docx", "A 11388-2024")</f>
        <v/>
      </c>
      <c r="X527">
        <f>HYPERLINK("https://klasma.github.io/Logging_0140/tillsyn/A 11388-2024 tillsynsbegäran.docx", "A 11388-2024")</f>
        <v/>
      </c>
      <c r="Y527">
        <f>HYPERLINK("https://klasma.github.io/Logging_0140/tillsynsmail/A 11388-2024 tillsynsbegäran mail.docx", "A 11388-2024")</f>
        <v/>
      </c>
    </row>
    <row r="528" ht="15" customHeight="1">
      <c r="A528" t="inlineStr">
        <is>
          <t>A 12968-2024</t>
        </is>
      </c>
      <c r="B528" s="1" t="n">
        <v>45385</v>
      </c>
      <c r="C528" s="1" t="n">
        <v>45693</v>
      </c>
      <c r="D528" t="inlineStr">
        <is>
          <t>STOCKHOLMS LÄN</t>
        </is>
      </c>
      <c r="E528" t="inlineStr">
        <is>
          <t>SÖDERTÄLJE</t>
        </is>
      </c>
      <c r="F528" t="inlineStr">
        <is>
          <t>Kommuner</t>
        </is>
      </c>
      <c r="G528" t="n">
        <v>5.5</v>
      </c>
      <c r="H528" t="n">
        <v>0</v>
      </c>
      <c r="I528" t="n">
        <v>0</v>
      </c>
      <c r="J528" t="n">
        <v>0</v>
      </c>
      <c r="K528" t="n">
        <v>0</v>
      </c>
      <c r="L528" t="n">
        <v>1</v>
      </c>
      <c r="M528" t="n">
        <v>0</v>
      </c>
      <c r="N528" t="n">
        <v>0</v>
      </c>
      <c r="O528" t="n">
        <v>1</v>
      </c>
      <c r="P528" t="n">
        <v>1</v>
      </c>
      <c r="Q528" t="n">
        <v>1</v>
      </c>
      <c r="R528" s="2" t="inlineStr">
        <is>
          <t>Ask</t>
        </is>
      </c>
      <c r="S528">
        <f>HYPERLINK("https://klasma.github.io/Logging_0181/artfynd/A 12968-2024 artfynd.xlsx", "A 12968-2024")</f>
        <v/>
      </c>
      <c r="T528">
        <f>HYPERLINK("https://klasma.github.io/Logging_0181/kartor/A 12968-2024 karta.png", "A 12968-2024")</f>
        <v/>
      </c>
      <c r="V528">
        <f>HYPERLINK("https://klasma.github.io/Logging_0181/klagomål/A 12968-2024 FSC-klagomål.docx", "A 12968-2024")</f>
        <v/>
      </c>
      <c r="W528">
        <f>HYPERLINK("https://klasma.github.io/Logging_0181/klagomålsmail/A 12968-2024 FSC-klagomål mail.docx", "A 12968-2024")</f>
        <v/>
      </c>
      <c r="X528">
        <f>HYPERLINK("https://klasma.github.io/Logging_0181/tillsyn/A 12968-2024 tillsynsbegäran.docx", "A 12968-2024")</f>
        <v/>
      </c>
      <c r="Y528">
        <f>HYPERLINK("https://klasma.github.io/Logging_0181/tillsynsmail/A 12968-2024 tillsynsbegäran mail.docx", "A 12968-2024")</f>
        <v/>
      </c>
    </row>
    <row r="529" ht="15" customHeight="1">
      <c r="A529" t="inlineStr">
        <is>
          <t>A 13136-2024</t>
        </is>
      </c>
      <c r="B529" s="1" t="n">
        <v>45386</v>
      </c>
      <c r="C529" s="1" t="n">
        <v>45693</v>
      </c>
      <c r="D529" t="inlineStr">
        <is>
          <t>STOCKHOLMS LÄN</t>
        </is>
      </c>
      <c r="E529" t="inlineStr">
        <is>
          <t>NYKVARN</t>
        </is>
      </c>
      <c r="F529" t="inlineStr">
        <is>
          <t>Sveaskog</t>
        </is>
      </c>
      <c r="G529" t="n">
        <v>6.2</v>
      </c>
      <c r="H529" t="n">
        <v>0</v>
      </c>
      <c r="I529" t="n">
        <v>0</v>
      </c>
      <c r="J529" t="n">
        <v>1</v>
      </c>
      <c r="K529" t="n">
        <v>0</v>
      </c>
      <c r="L529" t="n">
        <v>0</v>
      </c>
      <c r="M529" t="n">
        <v>0</v>
      </c>
      <c r="N529" t="n">
        <v>0</v>
      </c>
      <c r="O529" t="n">
        <v>1</v>
      </c>
      <c r="P529" t="n">
        <v>0</v>
      </c>
      <c r="Q529" t="n">
        <v>1</v>
      </c>
      <c r="R529" s="2" t="inlineStr">
        <is>
          <t>Motaggsvamp</t>
        </is>
      </c>
      <c r="S529">
        <f>HYPERLINK("https://klasma.github.io/Logging_0140/artfynd/A 13136-2024 artfynd.xlsx", "A 13136-2024")</f>
        <v/>
      </c>
      <c r="T529">
        <f>HYPERLINK("https://klasma.github.io/Logging_0140/kartor/A 13136-2024 karta.png", "A 13136-2024")</f>
        <v/>
      </c>
      <c r="V529">
        <f>HYPERLINK("https://klasma.github.io/Logging_0140/klagomål/A 13136-2024 FSC-klagomål.docx", "A 13136-2024")</f>
        <v/>
      </c>
      <c r="W529">
        <f>HYPERLINK("https://klasma.github.io/Logging_0140/klagomålsmail/A 13136-2024 FSC-klagomål mail.docx", "A 13136-2024")</f>
        <v/>
      </c>
      <c r="X529">
        <f>HYPERLINK("https://klasma.github.io/Logging_0140/tillsyn/A 13136-2024 tillsynsbegäran.docx", "A 13136-2024")</f>
        <v/>
      </c>
      <c r="Y529">
        <f>HYPERLINK("https://klasma.github.io/Logging_0140/tillsynsmail/A 13136-2024 tillsynsbegäran mail.docx", "A 13136-2024")</f>
        <v/>
      </c>
    </row>
    <row r="530" ht="15" customHeight="1">
      <c r="A530" t="inlineStr">
        <is>
          <t>A 14506-2024</t>
        </is>
      </c>
      <c r="B530" s="1" t="n">
        <v>45394</v>
      </c>
      <c r="C530" s="1" t="n">
        <v>45693</v>
      </c>
      <c r="D530" t="inlineStr">
        <is>
          <t>STOCKHOLMS LÄN</t>
        </is>
      </c>
      <c r="E530" t="inlineStr">
        <is>
          <t>VALLENTUNA</t>
        </is>
      </c>
      <c r="G530" t="n">
        <v>13.2</v>
      </c>
      <c r="H530" t="n">
        <v>0</v>
      </c>
      <c r="I530" t="n">
        <v>0</v>
      </c>
      <c r="J530" t="n">
        <v>0</v>
      </c>
      <c r="K530" t="n">
        <v>1</v>
      </c>
      <c r="L530" t="n">
        <v>0</v>
      </c>
      <c r="M530" t="n">
        <v>0</v>
      </c>
      <c r="N530" t="n">
        <v>0</v>
      </c>
      <c r="O530" t="n">
        <v>1</v>
      </c>
      <c r="P530" t="n">
        <v>1</v>
      </c>
      <c r="Q530" t="n">
        <v>1</v>
      </c>
      <c r="R530" s="2" t="inlineStr">
        <is>
          <t>Violgubbe</t>
        </is>
      </c>
      <c r="S530">
        <f>HYPERLINK("https://klasma.github.io/Logging_0115/artfynd/A 14506-2024 artfynd.xlsx", "A 14506-2024")</f>
        <v/>
      </c>
      <c r="T530">
        <f>HYPERLINK("https://klasma.github.io/Logging_0115/kartor/A 14506-2024 karta.png", "A 14506-2024")</f>
        <v/>
      </c>
      <c r="V530">
        <f>HYPERLINK("https://klasma.github.io/Logging_0115/klagomål/A 14506-2024 FSC-klagomål.docx", "A 14506-2024")</f>
        <v/>
      </c>
      <c r="W530">
        <f>HYPERLINK("https://klasma.github.io/Logging_0115/klagomålsmail/A 14506-2024 FSC-klagomål mail.docx", "A 14506-2024")</f>
        <v/>
      </c>
      <c r="X530">
        <f>HYPERLINK("https://klasma.github.io/Logging_0115/tillsyn/A 14506-2024 tillsynsbegäran.docx", "A 14506-2024")</f>
        <v/>
      </c>
      <c r="Y530">
        <f>HYPERLINK("https://klasma.github.io/Logging_0115/tillsynsmail/A 14506-2024 tillsynsbegäran mail.docx", "A 14506-2024")</f>
        <v/>
      </c>
    </row>
    <row r="531" ht="15" customHeight="1">
      <c r="A531" t="inlineStr">
        <is>
          <t>A 14508-2024</t>
        </is>
      </c>
      <c r="B531" s="1" t="n">
        <v>45394</v>
      </c>
      <c r="C531" s="1" t="n">
        <v>45693</v>
      </c>
      <c r="D531" t="inlineStr">
        <is>
          <t>STOCKHOLMS LÄN</t>
        </is>
      </c>
      <c r="E531" t="inlineStr">
        <is>
          <t>VALLENTUNA</t>
        </is>
      </c>
      <c r="G531" t="n">
        <v>1.7</v>
      </c>
      <c r="H531" t="n">
        <v>1</v>
      </c>
      <c r="I531" t="n">
        <v>0</v>
      </c>
      <c r="J531" t="n">
        <v>1</v>
      </c>
      <c r="K531" t="n">
        <v>0</v>
      </c>
      <c r="L531" t="n">
        <v>0</v>
      </c>
      <c r="M531" t="n">
        <v>0</v>
      </c>
      <c r="N531" t="n">
        <v>0</v>
      </c>
      <c r="O531" t="n">
        <v>1</v>
      </c>
      <c r="P531" t="n">
        <v>0</v>
      </c>
      <c r="Q531" t="n">
        <v>1</v>
      </c>
      <c r="R531" s="2" t="inlineStr">
        <is>
          <t>Mindre hackspett</t>
        </is>
      </c>
      <c r="S531">
        <f>HYPERLINK("https://klasma.github.io/Logging_0115/artfynd/A 14508-2024 artfynd.xlsx", "A 14508-2024")</f>
        <v/>
      </c>
      <c r="T531">
        <f>HYPERLINK("https://klasma.github.io/Logging_0115/kartor/A 14508-2024 karta.png", "A 14508-2024")</f>
        <v/>
      </c>
      <c r="V531">
        <f>HYPERLINK("https://klasma.github.io/Logging_0115/klagomål/A 14508-2024 FSC-klagomål.docx", "A 14508-2024")</f>
        <v/>
      </c>
      <c r="W531">
        <f>HYPERLINK("https://klasma.github.io/Logging_0115/klagomålsmail/A 14508-2024 FSC-klagomål mail.docx", "A 14508-2024")</f>
        <v/>
      </c>
      <c r="X531">
        <f>HYPERLINK("https://klasma.github.io/Logging_0115/tillsyn/A 14508-2024 tillsynsbegäran.docx", "A 14508-2024")</f>
        <v/>
      </c>
      <c r="Y531">
        <f>HYPERLINK("https://klasma.github.io/Logging_0115/tillsynsmail/A 14508-2024 tillsynsbegäran mail.docx", "A 14508-2024")</f>
        <v/>
      </c>
      <c r="Z531">
        <f>HYPERLINK("https://klasma.github.io/Logging_0115/fåglar/A 14508-2024 prioriterade fågelarter.docx", "A 14508-2024")</f>
        <v/>
      </c>
    </row>
    <row r="532" ht="15" customHeight="1">
      <c r="A532" t="inlineStr">
        <is>
          <t>A 14511-2024</t>
        </is>
      </c>
      <c r="B532" s="1" t="n">
        <v>45394</v>
      </c>
      <c r="C532" s="1" t="n">
        <v>45693</v>
      </c>
      <c r="D532" t="inlineStr">
        <is>
          <t>STOCKHOLMS LÄN</t>
        </is>
      </c>
      <c r="E532" t="inlineStr">
        <is>
          <t>VALLENTUNA</t>
        </is>
      </c>
      <c r="G532" t="n">
        <v>2.7</v>
      </c>
      <c r="H532" t="n">
        <v>1</v>
      </c>
      <c r="I532" t="n">
        <v>0</v>
      </c>
      <c r="J532" t="n">
        <v>0</v>
      </c>
      <c r="K532" t="n">
        <v>1</v>
      </c>
      <c r="L532" t="n">
        <v>0</v>
      </c>
      <c r="M532" t="n">
        <v>0</v>
      </c>
      <c r="N532" t="n">
        <v>0</v>
      </c>
      <c r="O532" t="n">
        <v>1</v>
      </c>
      <c r="P532" t="n">
        <v>1</v>
      </c>
      <c r="Q532" t="n">
        <v>1</v>
      </c>
      <c r="R532" s="2" t="inlineStr">
        <is>
          <t>Knärot</t>
        </is>
      </c>
      <c r="S532">
        <f>HYPERLINK("https://klasma.github.io/Logging_0115/artfynd/A 14511-2024 artfynd.xlsx", "A 14511-2024")</f>
        <v/>
      </c>
      <c r="T532">
        <f>HYPERLINK("https://klasma.github.io/Logging_0115/kartor/A 14511-2024 karta.png", "A 14511-2024")</f>
        <v/>
      </c>
      <c r="U532">
        <f>HYPERLINK("https://klasma.github.io/Logging_0115/knärot/A 14511-2024 karta knärot.png", "A 14511-2024")</f>
        <v/>
      </c>
      <c r="V532">
        <f>HYPERLINK("https://klasma.github.io/Logging_0115/klagomål/A 14511-2024 FSC-klagomål.docx", "A 14511-2024")</f>
        <v/>
      </c>
      <c r="W532">
        <f>HYPERLINK("https://klasma.github.io/Logging_0115/klagomålsmail/A 14511-2024 FSC-klagomål mail.docx", "A 14511-2024")</f>
        <v/>
      </c>
      <c r="X532">
        <f>HYPERLINK("https://klasma.github.io/Logging_0115/tillsyn/A 14511-2024 tillsynsbegäran.docx", "A 14511-2024")</f>
        <v/>
      </c>
      <c r="Y532">
        <f>HYPERLINK("https://klasma.github.io/Logging_0115/tillsynsmail/A 14511-2024 tillsynsbegäran mail.docx", "A 14511-2024")</f>
        <v/>
      </c>
    </row>
    <row r="533" ht="15" customHeight="1">
      <c r="A533" t="inlineStr">
        <is>
          <t>A 19793-2024</t>
        </is>
      </c>
      <c r="B533" s="1" t="n">
        <v>45432</v>
      </c>
      <c r="C533" s="1" t="n">
        <v>45693</v>
      </c>
      <c r="D533" t="inlineStr">
        <is>
          <t>STOCKHOLMS LÄN</t>
        </is>
      </c>
      <c r="E533" t="inlineStr">
        <is>
          <t>SÖDERTÄLJE</t>
        </is>
      </c>
      <c r="F533" t="inlineStr">
        <is>
          <t>Övriga Aktiebolag</t>
        </is>
      </c>
      <c r="G533" t="n">
        <v>4.1</v>
      </c>
      <c r="H533" t="n">
        <v>0</v>
      </c>
      <c r="I533" t="n">
        <v>1</v>
      </c>
      <c r="J533" t="n">
        <v>0</v>
      </c>
      <c r="K533" t="n">
        <v>0</v>
      </c>
      <c r="L533" t="n">
        <v>0</v>
      </c>
      <c r="M533" t="n">
        <v>0</v>
      </c>
      <c r="N533" t="n">
        <v>0</v>
      </c>
      <c r="O533" t="n">
        <v>0</v>
      </c>
      <c r="P533" t="n">
        <v>0</v>
      </c>
      <c r="Q533" t="n">
        <v>1</v>
      </c>
      <c r="R533" s="2" t="inlineStr">
        <is>
          <t>Fjällig taggsvamp s.str.</t>
        </is>
      </c>
      <c r="S533">
        <f>HYPERLINK("https://klasma.github.io/Logging_0181/artfynd/A 19793-2024 artfynd.xlsx", "A 19793-2024")</f>
        <v/>
      </c>
      <c r="T533">
        <f>HYPERLINK("https://klasma.github.io/Logging_0181/kartor/A 19793-2024 karta.png", "A 19793-2024")</f>
        <v/>
      </c>
      <c r="V533">
        <f>HYPERLINK("https://klasma.github.io/Logging_0181/klagomål/A 19793-2024 FSC-klagomål.docx", "A 19793-2024")</f>
        <v/>
      </c>
      <c r="W533">
        <f>HYPERLINK("https://klasma.github.io/Logging_0181/klagomålsmail/A 19793-2024 FSC-klagomål mail.docx", "A 19793-2024")</f>
        <v/>
      </c>
      <c r="X533">
        <f>HYPERLINK("https://klasma.github.io/Logging_0181/tillsyn/A 19793-2024 tillsynsbegäran.docx", "A 19793-2024")</f>
        <v/>
      </c>
      <c r="Y533">
        <f>HYPERLINK("https://klasma.github.io/Logging_0181/tillsynsmail/A 19793-2024 tillsynsbegäran mail.docx", "A 19793-2024")</f>
        <v/>
      </c>
    </row>
    <row r="534" ht="15" customHeight="1">
      <c r="A534" t="inlineStr">
        <is>
          <t>A 20468-2024</t>
        </is>
      </c>
      <c r="B534" s="1" t="n">
        <v>45435</v>
      </c>
      <c r="C534" s="1" t="n">
        <v>45693</v>
      </c>
      <c r="D534" t="inlineStr">
        <is>
          <t>STOCKHOLMS LÄN</t>
        </is>
      </c>
      <c r="E534" t="inlineStr">
        <is>
          <t>NORRTÄLJE</t>
        </is>
      </c>
      <c r="G534" t="n">
        <v>2.2</v>
      </c>
      <c r="H534" t="n">
        <v>0</v>
      </c>
      <c r="I534" t="n">
        <v>0</v>
      </c>
      <c r="J534" t="n">
        <v>0</v>
      </c>
      <c r="K534" t="n">
        <v>0</v>
      </c>
      <c r="L534" t="n">
        <v>1</v>
      </c>
      <c r="M534" t="n">
        <v>0</v>
      </c>
      <c r="N534" t="n">
        <v>0</v>
      </c>
      <c r="O534" t="n">
        <v>1</v>
      </c>
      <c r="P534" t="n">
        <v>1</v>
      </c>
      <c r="Q534" t="n">
        <v>1</v>
      </c>
      <c r="R534" s="2" t="inlineStr">
        <is>
          <t>Fältgentiana</t>
        </is>
      </c>
      <c r="S534">
        <f>HYPERLINK("https://klasma.github.io/Logging_0188/artfynd/A 20468-2024 artfynd.xlsx", "A 20468-2024")</f>
        <v/>
      </c>
      <c r="T534">
        <f>HYPERLINK("https://klasma.github.io/Logging_0188/kartor/A 20468-2024 karta.png", "A 20468-2024")</f>
        <v/>
      </c>
      <c r="V534">
        <f>HYPERLINK("https://klasma.github.io/Logging_0188/klagomål/A 20468-2024 FSC-klagomål.docx", "A 20468-2024")</f>
        <v/>
      </c>
      <c r="W534">
        <f>HYPERLINK("https://klasma.github.io/Logging_0188/klagomålsmail/A 20468-2024 FSC-klagomål mail.docx", "A 20468-2024")</f>
        <v/>
      </c>
      <c r="X534">
        <f>HYPERLINK("https://klasma.github.io/Logging_0188/tillsyn/A 20468-2024 tillsynsbegäran.docx", "A 20468-2024")</f>
        <v/>
      </c>
      <c r="Y534">
        <f>HYPERLINK("https://klasma.github.io/Logging_0188/tillsynsmail/A 20468-2024 tillsynsbegäran mail.docx", "A 20468-2024")</f>
        <v/>
      </c>
    </row>
    <row r="535" ht="15" customHeight="1">
      <c r="A535" t="inlineStr">
        <is>
          <t>A 22830-2024</t>
        </is>
      </c>
      <c r="B535" s="1" t="n">
        <v>45448</v>
      </c>
      <c r="C535" s="1" t="n">
        <v>45693</v>
      </c>
      <c r="D535" t="inlineStr">
        <is>
          <t>STOCKHOLMS LÄN</t>
        </is>
      </c>
      <c r="E535" t="inlineStr">
        <is>
          <t>VALLENTUNA</t>
        </is>
      </c>
      <c r="G535" t="n">
        <v>0.3</v>
      </c>
      <c r="H535" t="n">
        <v>0</v>
      </c>
      <c r="I535" t="n">
        <v>0</v>
      </c>
      <c r="J535" t="n">
        <v>1</v>
      </c>
      <c r="K535" t="n">
        <v>0</v>
      </c>
      <c r="L535" t="n">
        <v>0</v>
      </c>
      <c r="M535" t="n">
        <v>0</v>
      </c>
      <c r="N535" t="n">
        <v>0</v>
      </c>
      <c r="O535" t="n">
        <v>1</v>
      </c>
      <c r="P535" t="n">
        <v>0</v>
      </c>
      <c r="Q535" t="n">
        <v>1</v>
      </c>
      <c r="R535" s="2" t="inlineStr">
        <is>
          <t>Tallticka</t>
        </is>
      </c>
      <c r="S535">
        <f>HYPERLINK("https://klasma.github.io/Logging_0115/artfynd/A 22830-2024 artfynd.xlsx", "A 22830-2024")</f>
        <v/>
      </c>
      <c r="T535">
        <f>HYPERLINK("https://klasma.github.io/Logging_0115/kartor/A 22830-2024 karta.png", "A 22830-2024")</f>
        <v/>
      </c>
      <c r="V535">
        <f>HYPERLINK("https://klasma.github.io/Logging_0115/klagomål/A 22830-2024 FSC-klagomål.docx", "A 22830-2024")</f>
        <v/>
      </c>
      <c r="W535">
        <f>HYPERLINK("https://klasma.github.io/Logging_0115/klagomålsmail/A 22830-2024 FSC-klagomål mail.docx", "A 22830-2024")</f>
        <v/>
      </c>
      <c r="X535">
        <f>HYPERLINK("https://klasma.github.io/Logging_0115/tillsyn/A 22830-2024 tillsynsbegäran.docx", "A 22830-2024")</f>
        <v/>
      </c>
      <c r="Y535">
        <f>HYPERLINK("https://klasma.github.io/Logging_0115/tillsynsmail/A 22830-2024 tillsynsbegäran mail.docx", "A 22830-2024")</f>
        <v/>
      </c>
    </row>
    <row r="536" ht="15" customHeight="1">
      <c r="A536" t="inlineStr">
        <is>
          <t>A 23146-2024</t>
        </is>
      </c>
      <c r="B536" s="1" t="n">
        <v>45450</v>
      </c>
      <c r="C536" s="1" t="n">
        <v>45693</v>
      </c>
      <c r="D536" t="inlineStr">
        <is>
          <t>STOCKHOLMS LÄN</t>
        </is>
      </c>
      <c r="E536" t="inlineStr">
        <is>
          <t>NORRTÄLJE</t>
        </is>
      </c>
      <c r="F536" t="inlineStr">
        <is>
          <t>Kommuner</t>
        </is>
      </c>
      <c r="G536" t="n">
        <v>6</v>
      </c>
      <c r="H536" t="n">
        <v>0</v>
      </c>
      <c r="I536" t="n">
        <v>0</v>
      </c>
      <c r="J536" t="n">
        <v>1</v>
      </c>
      <c r="K536" t="n">
        <v>0</v>
      </c>
      <c r="L536" t="n">
        <v>0</v>
      </c>
      <c r="M536" t="n">
        <v>0</v>
      </c>
      <c r="N536" t="n">
        <v>0</v>
      </c>
      <c r="O536" t="n">
        <v>1</v>
      </c>
      <c r="P536" t="n">
        <v>0</v>
      </c>
      <c r="Q536" t="n">
        <v>1</v>
      </c>
      <c r="R536" s="2" t="inlineStr">
        <is>
          <t>Motaggsvamp</t>
        </is>
      </c>
      <c r="S536">
        <f>HYPERLINK("https://klasma.github.io/Logging_0188/artfynd/A 23146-2024 artfynd.xlsx", "A 23146-2024")</f>
        <v/>
      </c>
      <c r="T536">
        <f>HYPERLINK("https://klasma.github.io/Logging_0188/kartor/A 23146-2024 karta.png", "A 23146-2024")</f>
        <v/>
      </c>
      <c r="V536">
        <f>HYPERLINK("https://klasma.github.io/Logging_0188/klagomål/A 23146-2024 FSC-klagomål.docx", "A 23146-2024")</f>
        <v/>
      </c>
      <c r="W536">
        <f>HYPERLINK("https://klasma.github.io/Logging_0188/klagomålsmail/A 23146-2024 FSC-klagomål mail.docx", "A 23146-2024")</f>
        <v/>
      </c>
      <c r="X536">
        <f>HYPERLINK("https://klasma.github.io/Logging_0188/tillsyn/A 23146-2024 tillsynsbegäran.docx", "A 23146-2024")</f>
        <v/>
      </c>
      <c r="Y536">
        <f>HYPERLINK("https://klasma.github.io/Logging_0188/tillsynsmail/A 23146-2024 tillsynsbegäran mail.docx", "A 23146-2024")</f>
        <v/>
      </c>
    </row>
    <row r="537" ht="15" customHeight="1">
      <c r="A537" t="inlineStr">
        <is>
          <t>A 23099-2024</t>
        </is>
      </c>
      <c r="B537" s="1" t="n">
        <v>45450</v>
      </c>
      <c r="C537" s="1" t="n">
        <v>45693</v>
      </c>
      <c r="D537" t="inlineStr">
        <is>
          <t>STOCKHOLMS LÄN</t>
        </is>
      </c>
      <c r="E537" t="inlineStr">
        <is>
          <t>UPPLANDS-BRO</t>
        </is>
      </c>
      <c r="F537" t="inlineStr">
        <is>
          <t>Övriga statliga verk och myndigheter</t>
        </is>
      </c>
      <c r="G537" t="n">
        <v>0.7</v>
      </c>
      <c r="H537" t="n">
        <v>0</v>
      </c>
      <c r="I537" t="n">
        <v>0</v>
      </c>
      <c r="J537" t="n">
        <v>1</v>
      </c>
      <c r="K537" t="n">
        <v>0</v>
      </c>
      <c r="L537" t="n">
        <v>0</v>
      </c>
      <c r="M537" t="n">
        <v>0</v>
      </c>
      <c r="N537" t="n">
        <v>0</v>
      </c>
      <c r="O537" t="n">
        <v>1</v>
      </c>
      <c r="P537" t="n">
        <v>0</v>
      </c>
      <c r="Q537" t="n">
        <v>1</v>
      </c>
      <c r="R537" s="2" t="inlineStr">
        <is>
          <t>Mindre bastardsvärmare</t>
        </is>
      </c>
      <c r="S537">
        <f>HYPERLINK("https://klasma.github.io/Logging_0139/artfynd/A 23099-2024 artfynd.xlsx", "A 23099-2024")</f>
        <v/>
      </c>
      <c r="T537">
        <f>HYPERLINK("https://klasma.github.io/Logging_0139/kartor/A 23099-2024 karta.png", "A 23099-2024")</f>
        <v/>
      </c>
      <c r="V537">
        <f>HYPERLINK("https://klasma.github.io/Logging_0139/klagomål/A 23099-2024 FSC-klagomål.docx", "A 23099-2024")</f>
        <v/>
      </c>
      <c r="W537">
        <f>HYPERLINK("https://klasma.github.io/Logging_0139/klagomålsmail/A 23099-2024 FSC-klagomål mail.docx", "A 23099-2024")</f>
        <v/>
      </c>
      <c r="X537">
        <f>HYPERLINK("https://klasma.github.io/Logging_0139/tillsyn/A 23099-2024 tillsynsbegäran.docx", "A 23099-2024")</f>
        <v/>
      </c>
      <c r="Y537">
        <f>HYPERLINK("https://klasma.github.io/Logging_0139/tillsynsmail/A 23099-2024 tillsynsbegäran mail.docx", "A 23099-2024")</f>
        <v/>
      </c>
    </row>
    <row r="538" ht="15" customHeight="1">
      <c r="A538" t="inlineStr">
        <is>
          <t>A 24577-2024</t>
        </is>
      </c>
      <c r="B538" s="1" t="n">
        <v>45460</v>
      </c>
      <c r="C538" s="1" t="n">
        <v>45693</v>
      </c>
      <c r="D538" t="inlineStr">
        <is>
          <t>STOCKHOLMS LÄN</t>
        </is>
      </c>
      <c r="E538" t="inlineStr">
        <is>
          <t>NORRTÄLJE</t>
        </is>
      </c>
      <c r="G538" t="n">
        <v>3.8</v>
      </c>
      <c r="H538" t="n">
        <v>0</v>
      </c>
      <c r="I538" t="n">
        <v>1</v>
      </c>
      <c r="J538" t="n">
        <v>0</v>
      </c>
      <c r="K538" t="n">
        <v>0</v>
      </c>
      <c r="L538" t="n">
        <v>0</v>
      </c>
      <c r="M538" t="n">
        <v>0</v>
      </c>
      <c r="N538" t="n">
        <v>0</v>
      </c>
      <c r="O538" t="n">
        <v>0</v>
      </c>
      <c r="P538" t="n">
        <v>0</v>
      </c>
      <c r="Q538" t="n">
        <v>1</v>
      </c>
      <c r="R538" s="2" t="inlineStr">
        <is>
          <t>Rostfläck</t>
        </is>
      </c>
      <c r="S538">
        <f>HYPERLINK("https://klasma.github.io/Logging_0188/artfynd/A 24577-2024 artfynd.xlsx", "A 24577-2024")</f>
        <v/>
      </c>
      <c r="T538">
        <f>HYPERLINK("https://klasma.github.io/Logging_0188/kartor/A 24577-2024 karta.png", "A 24577-2024")</f>
        <v/>
      </c>
      <c r="V538">
        <f>HYPERLINK("https://klasma.github.io/Logging_0188/klagomål/A 24577-2024 FSC-klagomål.docx", "A 24577-2024")</f>
        <v/>
      </c>
      <c r="W538">
        <f>HYPERLINK("https://klasma.github.io/Logging_0188/klagomålsmail/A 24577-2024 FSC-klagomål mail.docx", "A 24577-2024")</f>
        <v/>
      </c>
      <c r="X538">
        <f>HYPERLINK("https://klasma.github.io/Logging_0188/tillsyn/A 24577-2024 tillsynsbegäran.docx", "A 24577-2024")</f>
        <v/>
      </c>
      <c r="Y538">
        <f>HYPERLINK("https://klasma.github.io/Logging_0188/tillsynsmail/A 24577-2024 tillsynsbegäran mail.docx", "A 24577-2024")</f>
        <v/>
      </c>
    </row>
    <row r="539" ht="15" customHeight="1">
      <c r="A539" t="inlineStr">
        <is>
          <t>A 24528-2024</t>
        </is>
      </c>
      <c r="B539" s="1" t="n">
        <v>45460</v>
      </c>
      <c r="C539" s="1" t="n">
        <v>45693</v>
      </c>
      <c r="D539" t="inlineStr">
        <is>
          <t>STOCKHOLMS LÄN</t>
        </is>
      </c>
      <c r="E539" t="inlineStr">
        <is>
          <t>NORRTÄLJE</t>
        </is>
      </c>
      <c r="G539" t="n">
        <v>1.4</v>
      </c>
      <c r="H539" t="n">
        <v>1</v>
      </c>
      <c r="I539" t="n">
        <v>0</v>
      </c>
      <c r="J539" t="n">
        <v>0</v>
      </c>
      <c r="K539" t="n">
        <v>1</v>
      </c>
      <c r="L539" t="n">
        <v>0</v>
      </c>
      <c r="M539" t="n">
        <v>0</v>
      </c>
      <c r="N539" t="n">
        <v>0</v>
      </c>
      <c r="O539" t="n">
        <v>1</v>
      </c>
      <c r="P539" t="n">
        <v>1</v>
      </c>
      <c r="Q539" t="n">
        <v>1</v>
      </c>
      <c r="R539" s="2" t="inlineStr">
        <is>
          <t>Hällebräcka</t>
        </is>
      </c>
      <c r="S539">
        <f>HYPERLINK("https://klasma.github.io/Logging_0188/artfynd/A 24528-2024 artfynd.xlsx", "A 24528-2024")</f>
        <v/>
      </c>
      <c r="T539">
        <f>HYPERLINK("https://klasma.github.io/Logging_0188/kartor/A 24528-2024 karta.png", "A 24528-2024")</f>
        <v/>
      </c>
      <c r="V539">
        <f>HYPERLINK("https://klasma.github.io/Logging_0188/klagomål/A 24528-2024 FSC-klagomål.docx", "A 24528-2024")</f>
        <v/>
      </c>
      <c r="W539">
        <f>HYPERLINK("https://klasma.github.io/Logging_0188/klagomålsmail/A 24528-2024 FSC-klagomål mail.docx", "A 24528-2024")</f>
        <v/>
      </c>
      <c r="X539">
        <f>HYPERLINK("https://klasma.github.io/Logging_0188/tillsyn/A 24528-2024 tillsynsbegäran.docx", "A 24528-2024")</f>
        <v/>
      </c>
      <c r="Y539">
        <f>HYPERLINK("https://klasma.github.io/Logging_0188/tillsynsmail/A 24528-2024 tillsynsbegäran mail.docx", "A 24528-2024")</f>
        <v/>
      </c>
    </row>
    <row r="540" ht="15" customHeight="1">
      <c r="A540" t="inlineStr">
        <is>
          <t>A 25335-2024</t>
        </is>
      </c>
      <c r="B540" s="1" t="n">
        <v>45462</v>
      </c>
      <c r="C540" s="1" t="n">
        <v>45693</v>
      </c>
      <c r="D540" t="inlineStr">
        <is>
          <t>STOCKHOLMS LÄN</t>
        </is>
      </c>
      <c r="E540" t="inlineStr">
        <is>
          <t>SIGTUNA</t>
        </is>
      </c>
      <c r="G540" t="n">
        <v>3.8</v>
      </c>
      <c r="H540" t="n">
        <v>1</v>
      </c>
      <c r="I540" t="n">
        <v>0</v>
      </c>
      <c r="J540" t="n">
        <v>0</v>
      </c>
      <c r="K540" t="n">
        <v>0</v>
      </c>
      <c r="L540" t="n">
        <v>0</v>
      </c>
      <c r="M540" t="n">
        <v>0</v>
      </c>
      <c r="N540" t="n">
        <v>0</v>
      </c>
      <c r="O540" t="n">
        <v>0</v>
      </c>
      <c r="P540" t="n">
        <v>0</v>
      </c>
      <c r="Q540" t="n">
        <v>1</v>
      </c>
      <c r="R540" s="2" t="inlineStr">
        <is>
          <t>Vanlig groda</t>
        </is>
      </c>
      <c r="S540">
        <f>HYPERLINK("https://klasma.github.io/Logging_0191/artfynd/A 25335-2024 artfynd.xlsx", "A 25335-2024")</f>
        <v/>
      </c>
      <c r="T540">
        <f>HYPERLINK("https://klasma.github.io/Logging_0191/kartor/A 25335-2024 karta.png", "A 25335-2024")</f>
        <v/>
      </c>
      <c r="V540">
        <f>HYPERLINK("https://klasma.github.io/Logging_0191/klagomål/A 25335-2024 FSC-klagomål.docx", "A 25335-2024")</f>
        <v/>
      </c>
      <c r="W540">
        <f>HYPERLINK("https://klasma.github.io/Logging_0191/klagomålsmail/A 25335-2024 FSC-klagomål mail.docx", "A 25335-2024")</f>
        <v/>
      </c>
      <c r="X540">
        <f>HYPERLINK("https://klasma.github.io/Logging_0191/tillsyn/A 25335-2024 tillsynsbegäran.docx", "A 25335-2024")</f>
        <v/>
      </c>
      <c r="Y540">
        <f>HYPERLINK("https://klasma.github.io/Logging_0191/tillsynsmail/A 25335-2024 tillsynsbegäran mail.docx", "A 25335-2024")</f>
        <v/>
      </c>
    </row>
    <row r="541" ht="15" customHeight="1">
      <c r="A541" t="inlineStr">
        <is>
          <t>A 25612-2024</t>
        </is>
      </c>
      <c r="B541" s="1" t="n">
        <v>45463</v>
      </c>
      <c r="C541" s="1" t="n">
        <v>45693</v>
      </c>
      <c r="D541" t="inlineStr">
        <is>
          <t>STOCKHOLMS LÄN</t>
        </is>
      </c>
      <c r="E541" t="inlineStr">
        <is>
          <t>NACKA</t>
        </is>
      </c>
      <c r="G541" t="n">
        <v>1.5</v>
      </c>
      <c r="H541" t="n">
        <v>0</v>
      </c>
      <c r="I541" t="n">
        <v>1</v>
      </c>
      <c r="J541" t="n">
        <v>0</v>
      </c>
      <c r="K541" t="n">
        <v>0</v>
      </c>
      <c r="L541" t="n">
        <v>0</v>
      </c>
      <c r="M541" t="n">
        <v>0</v>
      </c>
      <c r="N541" t="n">
        <v>0</v>
      </c>
      <c r="O541" t="n">
        <v>0</v>
      </c>
      <c r="P541" t="n">
        <v>0</v>
      </c>
      <c r="Q541" t="n">
        <v>1</v>
      </c>
      <c r="R541" s="2" t="inlineStr">
        <is>
          <t>Tibast</t>
        </is>
      </c>
      <c r="S541">
        <f>HYPERLINK("https://klasma.github.io/Logging_0182/artfynd/A 25612-2024 artfynd.xlsx", "A 25612-2024")</f>
        <v/>
      </c>
      <c r="T541">
        <f>HYPERLINK("https://klasma.github.io/Logging_0182/kartor/A 25612-2024 karta.png", "A 25612-2024")</f>
        <v/>
      </c>
      <c r="V541">
        <f>HYPERLINK("https://klasma.github.io/Logging_0182/klagomål/A 25612-2024 FSC-klagomål.docx", "A 25612-2024")</f>
        <v/>
      </c>
      <c r="W541">
        <f>HYPERLINK("https://klasma.github.io/Logging_0182/klagomålsmail/A 25612-2024 FSC-klagomål mail.docx", "A 25612-2024")</f>
        <v/>
      </c>
      <c r="X541">
        <f>HYPERLINK("https://klasma.github.io/Logging_0182/tillsyn/A 25612-2024 tillsynsbegäran.docx", "A 25612-2024")</f>
        <v/>
      </c>
      <c r="Y541">
        <f>HYPERLINK("https://klasma.github.io/Logging_0182/tillsynsmail/A 25612-2024 tillsynsbegäran mail.docx", "A 25612-2024")</f>
        <v/>
      </c>
    </row>
    <row r="542" ht="15" customHeight="1">
      <c r="A542" t="inlineStr">
        <is>
          <t>A 26120-2024</t>
        </is>
      </c>
      <c r="B542" s="1" t="n">
        <v>45468</v>
      </c>
      <c r="C542" s="1" t="n">
        <v>45693</v>
      </c>
      <c r="D542" t="inlineStr">
        <is>
          <t>STOCKHOLMS LÄN</t>
        </is>
      </c>
      <c r="E542" t="inlineStr">
        <is>
          <t>NORRTÄLJE</t>
        </is>
      </c>
      <c r="G542" t="n">
        <v>1.8</v>
      </c>
      <c r="H542" t="n">
        <v>0</v>
      </c>
      <c r="I542" t="n">
        <v>0</v>
      </c>
      <c r="J542" t="n">
        <v>1</v>
      </c>
      <c r="K542" t="n">
        <v>0</v>
      </c>
      <c r="L542" t="n">
        <v>0</v>
      </c>
      <c r="M542" t="n">
        <v>0</v>
      </c>
      <c r="N542" t="n">
        <v>0</v>
      </c>
      <c r="O542" t="n">
        <v>1</v>
      </c>
      <c r="P542" t="n">
        <v>0</v>
      </c>
      <c r="Q542" t="n">
        <v>1</v>
      </c>
      <c r="R542" s="2" t="inlineStr">
        <is>
          <t>Majviva</t>
        </is>
      </c>
      <c r="S542">
        <f>HYPERLINK("https://klasma.github.io/Logging_0188/artfynd/A 26120-2024 artfynd.xlsx", "A 26120-2024")</f>
        <v/>
      </c>
      <c r="T542">
        <f>HYPERLINK("https://klasma.github.io/Logging_0188/kartor/A 26120-2024 karta.png", "A 26120-2024")</f>
        <v/>
      </c>
      <c r="V542">
        <f>HYPERLINK("https://klasma.github.io/Logging_0188/klagomål/A 26120-2024 FSC-klagomål.docx", "A 26120-2024")</f>
        <v/>
      </c>
      <c r="W542">
        <f>HYPERLINK("https://klasma.github.io/Logging_0188/klagomålsmail/A 26120-2024 FSC-klagomål mail.docx", "A 26120-2024")</f>
        <v/>
      </c>
      <c r="X542">
        <f>HYPERLINK("https://klasma.github.io/Logging_0188/tillsyn/A 26120-2024 tillsynsbegäran.docx", "A 26120-2024")</f>
        <v/>
      </c>
      <c r="Y542">
        <f>HYPERLINK("https://klasma.github.io/Logging_0188/tillsynsmail/A 26120-2024 tillsynsbegäran mail.docx", "A 26120-2024")</f>
        <v/>
      </c>
    </row>
    <row r="543" ht="15" customHeight="1">
      <c r="A543" t="inlineStr">
        <is>
          <t>A 27538-2024</t>
        </is>
      </c>
      <c r="B543" s="1" t="n">
        <v>45474</v>
      </c>
      <c r="C543" s="1" t="n">
        <v>45693</v>
      </c>
      <c r="D543" t="inlineStr">
        <is>
          <t>STOCKHOLMS LÄN</t>
        </is>
      </c>
      <c r="E543" t="inlineStr">
        <is>
          <t>NORRTÄLJE</t>
        </is>
      </c>
      <c r="G543" t="n">
        <v>1.5</v>
      </c>
      <c r="H543" t="n">
        <v>1</v>
      </c>
      <c r="I543" t="n">
        <v>1</v>
      </c>
      <c r="J543" t="n">
        <v>0</v>
      </c>
      <c r="K543" t="n">
        <v>0</v>
      </c>
      <c r="L543" t="n">
        <v>0</v>
      </c>
      <c r="M543" t="n">
        <v>0</v>
      </c>
      <c r="N543" t="n">
        <v>0</v>
      </c>
      <c r="O543" t="n">
        <v>0</v>
      </c>
      <c r="P543" t="n">
        <v>0</v>
      </c>
      <c r="Q543" t="n">
        <v>1</v>
      </c>
      <c r="R543" s="2" t="inlineStr">
        <is>
          <t>Skogsknipprot</t>
        </is>
      </c>
      <c r="S543">
        <f>HYPERLINK("https://klasma.github.io/Logging_0188/artfynd/A 27538-2024 artfynd.xlsx", "A 27538-2024")</f>
        <v/>
      </c>
      <c r="T543">
        <f>HYPERLINK("https://klasma.github.io/Logging_0188/kartor/A 27538-2024 karta.png", "A 27538-2024")</f>
        <v/>
      </c>
      <c r="V543">
        <f>HYPERLINK("https://klasma.github.io/Logging_0188/klagomål/A 27538-2024 FSC-klagomål.docx", "A 27538-2024")</f>
        <v/>
      </c>
      <c r="W543">
        <f>HYPERLINK("https://klasma.github.io/Logging_0188/klagomålsmail/A 27538-2024 FSC-klagomål mail.docx", "A 27538-2024")</f>
        <v/>
      </c>
      <c r="X543">
        <f>HYPERLINK("https://klasma.github.io/Logging_0188/tillsyn/A 27538-2024 tillsynsbegäran.docx", "A 27538-2024")</f>
        <v/>
      </c>
      <c r="Y543">
        <f>HYPERLINK("https://klasma.github.io/Logging_0188/tillsynsmail/A 27538-2024 tillsynsbegäran mail.docx", "A 27538-2024")</f>
        <v/>
      </c>
    </row>
    <row r="544" ht="15" customHeight="1">
      <c r="A544" t="inlineStr">
        <is>
          <t>A 28817-2024</t>
        </is>
      </c>
      <c r="B544" s="1" t="n">
        <v>45478</v>
      </c>
      <c r="C544" s="1" t="n">
        <v>45693</v>
      </c>
      <c r="D544" t="inlineStr">
        <is>
          <t>STOCKHOLMS LÄN</t>
        </is>
      </c>
      <c r="E544" t="inlineStr">
        <is>
          <t>UPPLANDS-BRO</t>
        </is>
      </c>
      <c r="F544" t="inlineStr">
        <is>
          <t>Allmännings- och besparingsskogar</t>
        </is>
      </c>
      <c r="G544" t="n">
        <v>3.7</v>
      </c>
      <c r="H544" t="n">
        <v>0</v>
      </c>
      <c r="I544" t="n">
        <v>0</v>
      </c>
      <c r="J544" t="n">
        <v>1</v>
      </c>
      <c r="K544" t="n">
        <v>0</v>
      </c>
      <c r="L544" t="n">
        <v>0</v>
      </c>
      <c r="M544" t="n">
        <v>0</v>
      </c>
      <c r="N544" t="n">
        <v>0</v>
      </c>
      <c r="O544" t="n">
        <v>1</v>
      </c>
      <c r="P544" t="n">
        <v>0</v>
      </c>
      <c r="Q544" t="n">
        <v>1</v>
      </c>
      <c r="R544" s="2" t="inlineStr">
        <is>
          <t>Tallticka</t>
        </is>
      </c>
      <c r="S544">
        <f>HYPERLINK("https://klasma.github.io/Logging_0139/artfynd/A 28817-2024 artfynd.xlsx", "A 28817-2024")</f>
        <v/>
      </c>
      <c r="T544">
        <f>HYPERLINK("https://klasma.github.io/Logging_0139/kartor/A 28817-2024 karta.png", "A 28817-2024")</f>
        <v/>
      </c>
      <c r="V544">
        <f>HYPERLINK("https://klasma.github.io/Logging_0139/klagomål/A 28817-2024 FSC-klagomål.docx", "A 28817-2024")</f>
        <v/>
      </c>
      <c r="W544">
        <f>HYPERLINK("https://klasma.github.io/Logging_0139/klagomålsmail/A 28817-2024 FSC-klagomål mail.docx", "A 28817-2024")</f>
        <v/>
      </c>
      <c r="X544">
        <f>HYPERLINK("https://klasma.github.io/Logging_0139/tillsyn/A 28817-2024 tillsynsbegäran.docx", "A 28817-2024")</f>
        <v/>
      </c>
      <c r="Y544">
        <f>HYPERLINK("https://klasma.github.io/Logging_0139/tillsynsmail/A 28817-2024 tillsynsbegäran mail.docx", "A 28817-2024")</f>
        <v/>
      </c>
    </row>
    <row r="545" ht="15" customHeight="1">
      <c r="A545" t="inlineStr">
        <is>
          <t>A 30721-2024</t>
        </is>
      </c>
      <c r="B545" s="1" t="n">
        <v>45496</v>
      </c>
      <c r="C545" s="1" t="n">
        <v>45693</v>
      </c>
      <c r="D545" t="inlineStr">
        <is>
          <t>STOCKHOLMS LÄN</t>
        </is>
      </c>
      <c r="E545" t="inlineStr">
        <is>
          <t>UPPLANDS-BRO</t>
        </is>
      </c>
      <c r="G545" t="n">
        <v>1.9</v>
      </c>
      <c r="H545" t="n">
        <v>0</v>
      </c>
      <c r="I545" t="n">
        <v>0</v>
      </c>
      <c r="J545" t="n">
        <v>1</v>
      </c>
      <c r="K545" t="n">
        <v>0</v>
      </c>
      <c r="L545" t="n">
        <v>0</v>
      </c>
      <c r="M545" t="n">
        <v>0</v>
      </c>
      <c r="N545" t="n">
        <v>0</v>
      </c>
      <c r="O545" t="n">
        <v>1</v>
      </c>
      <c r="P545" t="n">
        <v>0</v>
      </c>
      <c r="Q545" t="n">
        <v>1</v>
      </c>
      <c r="R545" s="2" t="inlineStr">
        <is>
          <t>Persiljespindling</t>
        </is>
      </c>
      <c r="S545">
        <f>HYPERLINK("https://klasma.github.io/Logging_0139/artfynd/A 30721-2024 artfynd.xlsx", "A 30721-2024")</f>
        <v/>
      </c>
      <c r="T545">
        <f>HYPERLINK("https://klasma.github.io/Logging_0139/kartor/A 30721-2024 karta.png", "A 30721-2024")</f>
        <v/>
      </c>
      <c r="V545">
        <f>HYPERLINK("https://klasma.github.io/Logging_0139/klagomål/A 30721-2024 FSC-klagomål.docx", "A 30721-2024")</f>
        <v/>
      </c>
      <c r="W545">
        <f>HYPERLINK("https://klasma.github.io/Logging_0139/klagomålsmail/A 30721-2024 FSC-klagomål mail.docx", "A 30721-2024")</f>
        <v/>
      </c>
      <c r="X545">
        <f>HYPERLINK("https://klasma.github.io/Logging_0139/tillsyn/A 30721-2024 tillsynsbegäran.docx", "A 30721-2024")</f>
        <v/>
      </c>
      <c r="Y545">
        <f>HYPERLINK("https://klasma.github.io/Logging_0139/tillsynsmail/A 30721-2024 tillsynsbegäran mail.docx", "A 30721-2024")</f>
        <v/>
      </c>
    </row>
    <row r="546" ht="15" customHeight="1">
      <c r="A546" t="inlineStr">
        <is>
          <t>A 31006-2024</t>
        </is>
      </c>
      <c r="B546" s="1" t="n">
        <v>45499</v>
      </c>
      <c r="C546" s="1" t="n">
        <v>45693</v>
      </c>
      <c r="D546" t="inlineStr">
        <is>
          <t>STOCKHOLMS LÄN</t>
        </is>
      </c>
      <c r="E546" t="inlineStr">
        <is>
          <t>SÖDERTÄLJE</t>
        </is>
      </c>
      <c r="F546" t="inlineStr">
        <is>
          <t>Kommuner</t>
        </is>
      </c>
      <c r="G546" t="n">
        <v>2.7</v>
      </c>
      <c r="H546" t="n">
        <v>0</v>
      </c>
      <c r="I546" t="n">
        <v>1</v>
      </c>
      <c r="J546" t="n">
        <v>0</v>
      </c>
      <c r="K546" t="n">
        <v>0</v>
      </c>
      <c r="L546" t="n">
        <v>0</v>
      </c>
      <c r="M546" t="n">
        <v>0</v>
      </c>
      <c r="N546" t="n">
        <v>0</v>
      </c>
      <c r="O546" t="n">
        <v>0</v>
      </c>
      <c r="P546" t="n">
        <v>0</v>
      </c>
      <c r="Q546" t="n">
        <v>1</v>
      </c>
      <c r="R546" s="2" t="inlineStr">
        <is>
          <t>Mindre märgborre</t>
        </is>
      </c>
      <c r="S546">
        <f>HYPERLINK("https://klasma.github.io/Logging_0181/artfynd/A 31006-2024 artfynd.xlsx", "A 31006-2024")</f>
        <v/>
      </c>
      <c r="T546">
        <f>HYPERLINK("https://klasma.github.io/Logging_0181/kartor/A 31006-2024 karta.png", "A 31006-2024")</f>
        <v/>
      </c>
      <c r="V546">
        <f>HYPERLINK("https://klasma.github.io/Logging_0181/klagomål/A 31006-2024 FSC-klagomål.docx", "A 31006-2024")</f>
        <v/>
      </c>
      <c r="W546">
        <f>HYPERLINK("https://klasma.github.io/Logging_0181/klagomålsmail/A 31006-2024 FSC-klagomål mail.docx", "A 31006-2024")</f>
        <v/>
      </c>
      <c r="X546">
        <f>HYPERLINK("https://klasma.github.io/Logging_0181/tillsyn/A 31006-2024 tillsynsbegäran.docx", "A 31006-2024")</f>
        <v/>
      </c>
      <c r="Y546">
        <f>HYPERLINK("https://klasma.github.io/Logging_0181/tillsynsmail/A 31006-2024 tillsynsbegäran mail.docx", "A 31006-2024")</f>
        <v/>
      </c>
    </row>
    <row r="547" ht="15" customHeight="1">
      <c r="A547" t="inlineStr">
        <is>
          <t>A 31371-2024</t>
        </is>
      </c>
      <c r="B547" s="1" t="n">
        <v>45505</v>
      </c>
      <c r="C547" s="1" t="n">
        <v>45693</v>
      </c>
      <c r="D547" t="inlineStr">
        <is>
          <t>STOCKHOLMS LÄN</t>
        </is>
      </c>
      <c r="E547" t="inlineStr">
        <is>
          <t>SÖDERTÄLJE</t>
        </is>
      </c>
      <c r="F547" t="inlineStr">
        <is>
          <t>Kommuner</t>
        </is>
      </c>
      <c r="G547" t="n">
        <v>3.5</v>
      </c>
      <c r="H547" t="n">
        <v>0</v>
      </c>
      <c r="I547" t="n">
        <v>0</v>
      </c>
      <c r="J547" t="n">
        <v>1</v>
      </c>
      <c r="K547" t="n">
        <v>0</v>
      </c>
      <c r="L547" t="n">
        <v>0</v>
      </c>
      <c r="M547" t="n">
        <v>0</v>
      </c>
      <c r="N547" t="n">
        <v>0</v>
      </c>
      <c r="O547" t="n">
        <v>1</v>
      </c>
      <c r="P547" t="n">
        <v>0</v>
      </c>
      <c r="Q547" t="n">
        <v>1</v>
      </c>
      <c r="R547" s="2" t="inlineStr">
        <is>
          <t>Dofttaggsvamp</t>
        </is>
      </c>
      <c r="S547">
        <f>HYPERLINK("https://klasma.github.io/Logging_0181/artfynd/A 31371-2024 artfynd.xlsx", "A 31371-2024")</f>
        <v/>
      </c>
      <c r="T547">
        <f>HYPERLINK("https://klasma.github.io/Logging_0181/kartor/A 31371-2024 karta.png", "A 31371-2024")</f>
        <v/>
      </c>
      <c r="V547">
        <f>HYPERLINK("https://klasma.github.io/Logging_0181/klagomål/A 31371-2024 FSC-klagomål.docx", "A 31371-2024")</f>
        <v/>
      </c>
      <c r="W547">
        <f>HYPERLINK("https://klasma.github.io/Logging_0181/klagomålsmail/A 31371-2024 FSC-klagomål mail.docx", "A 31371-2024")</f>
        <v/>
      </c>
      <c r="X547">
        <f>HYPERLINK("https://klasma.github.io/Logging_0181/tillsyn/A 31371-2024 tillsynsbegäran.docx", "A 31371-2024")</f>
        <v/>
      </c>
      <c r="Y547">
        <f>HYPERLINK("https://klasma.github.io/Logging_0181/tillsynsmail/A 31371-2024 tillsynsbegäran mail.docx", "A 31371-2024")</f>
        <v/>
      </c>
    </row>
    <row r="548" ht="15" customHeight="1">
      <c r="A548" t="inlineStr">
        <is>
          <t>A 33751-2024</t>
        </is>
      </c>
      <c r="B548" s="1" t="n">
        <v>45520</v>
      </c>
      <c r="C548" s="1" t="n">
        <v>45693</v>
      </c>
      <c r="D548" t="inlineStr">
        <is>
          <t>STOCKHOLMS LÄN</t>
        </is>
      </c>
      <c r="E548" t="inlineStr">
        <is>
          <t>SIGTUNA</t>
        </is>
      </c>
      <c r="F548" t="inlineStr">
        <is>
          <t>Allmännings- och besparingsskogar</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HYPERLINK("https://klasma.github.io/Logging_0191/artfynd/A 33751-2024 artfynd.xlsx", "A 33751-2024")</f>
        <v/>
      </c>
      <c r="T548">
        <f>HYPERLINK("https://klasma.github.io/Logging_0191/kartor/A 33751-2024 karta.png", "A 33751-2024")</f>
        <v/>
      </c>
      <c r="V548">
        <f>HYPERLINK("https://klasma.github.io/Logging_0191/klagomål/A 33751-2024 FSC-klagomål.docx", "A 33751-2024")</f>
        <v/>
      </c>
      <c r="W548">
        <f>HYPERLINK("https://klasma.github.io/Logging_0191/klagomålsmail/A 33751-2024 FSC-klagomål mail.docx", "A 33751-2024")</f>
        <v/>
      </c>
      <c r="X548">
        <f>HYPERLINK("https://klasma.github.io/Logging_0191/tillsyn/A 33751-2024 tillsynsbegäran.docx", "A 33751-2024")</f>
        <v/>
      </c>
      <c r="Y548">
        <f>HYPERLINK("https://klasma.github.io/Logging_0191/tillsynsmail/A 33751-2024 tillsynsbegäran mail.docx", "A 33751-2024")</f>
        <v/>
      </c>
      <c r="Z548">
        <f>HYPERLINK("https://klasma.github.io/Logging_0191/fåglar/A 33751-2024 prioriterade fågelarter.docx", "A 33751-2024")</f>
        <v/>
      </c>
    </row>
    <row r="549" ht="15" customHeight="1">
      <c r="A549" t="inlineStr">
        <is>
          <t>A 35013-2024</t>
        </is>
      </c>
      <c r="B549" s="1" t="n">
        <v>45527</v>
      </c>
      <c r="C549" s="1" t="n">
        <v>45693</v>
      </c>
      <c r="D549" t="inlineStr">
        <is>
          <t>STOCKHOLMS LÄN</t>
        </is>
      </c>
      <c r="E549" t="inlineStr">
        <is>
          <t>SÖDERTÄLJE</t>
        </is>
      </c>
      <c r="F549" t="inlineStr">
        <is>
          <t>Sveaskog</t>
        </is>
      </c>
      <c r="G549" t="n">
        <v>5.8</v>
      </c>
      <c r="H549" t="n">
        <v>0</v>
      </c>
      <c r="I549" t="n">
        <v>1</v>
      </c>
      <c r="J549" t="n">
        <v>0</v>
      </c>
      <c r="K549" t="n">
        <v>0</v>
      </c>
      <c r="L549" t="n">
        <v>0</v>
      </c>
      <c r="M549" t="n">
        <v>0</v>
      </c>
      <c r="N549" t="n">
        <v>0</v>
      </c>
      <c r="O549" t="n">
        <v>0</v>
      </c>
      <c r="P549" t="n">
        <v>0</v>
      </c>
      <c r="Q549" t="n">
        <v>1</v>
      </c>
      <c r="R549" s="2" t="inlineStr">
        <is>
          <t>Platt fjädermossa</t>
        </is>
      </c>
      <c r="S549">
        <f>HYPERLINK("https://klasma.github.io/Logging_0181/artfynd/A 35013-2024 artfynd.xlsx", "A 35013-2024")</f>
        <v/>
      </c>
      <c r="T549">
        <f>HYPERLINK("https://klasma.github.io/Logging_0181/kartor/A 35013-2024 karta.png", "A 35013-2024")</f>
        <v/>
      </c>
      <c r="V549">
        <f>HYPERLINK("https://klasma.github.io/Logging_0181/klagomål/A 35013-2024 FSC-klagomål.docx", "A 35013-2024")</f>
        <v/>
      </c>
      <c r="W549">
        <f>HYPERLINK("https://klasma.github.io/Logging_0181/klagomålsmail/A 35013-2024 FSC-klagomål mail.docx", "A 35013-2024")</f>
        <v/>
      </c>
      <c r="X549">
        <f>HYPERLINK("https://klasma.github.io/Logging_0181/tillsyn/A 35013-2024 tillsynsbegäran.docx", "A 35013-2024")</f>
        <v/>
      </c>
      <c r="Y549">
        <f>HYPERLINK("https://klasma.github.io/Logging_0181/tillsynsmail/A 35013-2024 tillsynsbegäran mail.docx", "A 35013-2024")</f>
        <v/>
      </c>
    </row>
    <row r="550" ht="15" customHeight="1">
      <c r="A550" t="inlineStr">
        <is>
          <t>A 35764-2024</t>
        </is>
      </c>
      <c r="B550" s="1" t="n">
        <v>45532</v>
      </c>
      <c r="C550" s="1" t="n">
        <v>45693</v>
      </c>
      <c r="D550" t="inlineStr">
        <is>
          <t>STOCKHOLMS LÄN</t>
        </is>
      </c>
      <c r="E550" t="inlineStr">
        <is>
          <t>NORRTÄLJE</t>
        </is>
      </c>
      <c r="G550" t="n">
        <v>14.2</v>
      </c>
      <c r="H550" t="n">
        <v>1</v>
      </c>
      <c r="I550" t="n">
        <v>0</v>
      </c>
      <c r="J550" t="n">
        <v>0</v>
      </c>
      <c r="K550" t="n">
        <v>1</v>
      </c>
      <c r="L550" t="n">
        <v>0</v>
      </c>
      <c r="M550" t="n">
        <v>0</v>
      </c>
      <c r="N550" t="n">
        <v>0</v>
      </c>
      <c r="O550" t="n">
        <v>1</v>
      </c>
      <c r="P550" t="n">
        <v>1</v>
      </c>
      <c r="Q550" t="n">
        <v>1</v>
      </c>
      <c r="R550" s="2" t="inlineStr">
        <is>
          <t>Knärot</t>
        </is>
      </c>
      <c r="S550">
        <f>HYPERLINK("https://klasma.github.io/Logging_0188/artfynd/A 35764-2024 artfynd.xlsx", "A 35764-2024")</f>
        <v/>
      </c>
      <c r="T550">
        <f>HYPERLINK("https://klasma.github.io/Logging_0188/kartor/A 35764-2024 karta.png", "A 35764-2024")</f>
        <v/>
      </c>
      <c r="U550">
        <f>HYPERLINK("https://klasma.github.io/Logging_0188/knärot/A 35764-2024 karta knärot.png", "A 35764-2024")</f>
        <v/>
      </c>
      <c r="V550">
        <f>HYPERLINK("https://klasma.github.io/Logging_0188/klagomål/A 35764-2024 FSC-klagomål.docx", "A 35764-2024")</f>
        <v/>
      </c>
      <c r="W550">
        <f>HYPERLINK("https://klasma.github.io/Logging_0188/klagomålsmail/A 35764-2024 FSC-klagomål mail.docx", "A 35764-2024")</f>
        <v/>
      </c>
      <c r="X550">
        <f>HYPERLINK("https://klasma.github.io/Logging_0188/tillsyn/A 35764-2024 tillsynsbegäran.docx", "A 35764-2024")</f>
        <v/>
      </c>
      <c r="Y550">
        <f>HYPERLINK("https://klasma.github.io/Logging_0188/tillsynsmail/A 35764-2024 tillsynsbegäran mail.docx", "A 35764-2024")</f>
        <v/>
      </c>
    </row>
    <row r="551" ht="15" customHeight="1">
      <c r="A551" t="inlineStr">
        <is>
          <t>A 37529-2024</t>
        </is>
      </c>
      <c r="B551" s="1" t="n">
        <v>45541</v>
      </c>
      <c r="C551" s="1" t="n">
        <v>45693</v>
      </c>
      <c r="D551" t="inlineStr">
        <is>
          <t>STOCKHOLMS LÄN</t>
        </is>
      </c>
      <c r="E551" t="inlineStr">
        <is>
          <t>SÖDERTÄLJE</t>
        </is>
      </c>
      <c r="G551" t="n">
        <v>3.7</v>
      </c>
      <c r="H551" t="n">
        <v>0</v>
      </c>
      <c r="I551" t="n">
        <v>1</v>
      </c>
      <c r="J551" t="n">
        <v>0</v>
      </c>
      <c r="K551" t="n">
        <v>0</v>
      </c>
      <c r="L551" t="n">
        <v>0</v>
      </c>
      <c r="M551" t="n">
        <v>0</v>
      </c>
      <c r="N551" t="n">
        <v>0</v>
      </c>
      <c r="O551" t="n">
        <v>0</v>
      </c>
      <c r="P551" t="n">
        <v>0</v>
      </c>
      <c r="Q551" t="n">
        <v>1</v>
      </c>
      <c r="R551" s="2" t="inlineStr">
        <is>
          <t>Blåmossa</t>
        </is>
      </c>
      <c r="S551">
        <f>HYPERLINK("https://klasma.github.io/Logging_0181/artfynd/A 37529-2024 artfynd.xlsx", "A 37529-2024")</f>
        <v/>
      </c>
      <c r="T551">
        <f>HYPERLINK("https://klasma.github.io/Logging_0181/kartor/A 37529-2024 karta.png", "A 37529-2024")</f>
        <v/>
      </c>
      <c r="V551">
        <f>HYPERLINK("https://klasma.github.io/Logging_0181/klagomål/A 37529-2024 FSC-klagomål.docx", "A 37529-2024")</f>
        <v/>
      </c>
      <c r="W551">
        <f>HYPERLINK("https://klasma.github.io/Logging_0181/klagomålsmail/A 37529-2024 FSC-klagomål mail.docx", "A 37529-2024")</f>
        <v/>
      </c>
      <c r="X551">
        <f>HYPERLINK("https://klasma.github.io/Logging_0181/tillsyn/A 37529-2024 tillsynsbegäran.docx", "A 37529-2024")</f>
        <v/>
      </c>
      <c r="Y551">
        <f>HYPERLINK("https://klasma.github.io/Logging_0181/tillsynsmail/A 37529-2024 tillsynsbegäran mail.docx", "A 37529-2024")</f>
        <v/>
      </c>
    </row>
    <row r="552" ht="15" customHeight="1">
      <c r="A552" t="inlineStr">
        <is>
          <t>A 37574-2024</t>
        </is>
      </c>
      <c r="B552" s="1" t="n">
        <v>45541</v>
      </c>
      <c r="C552" s="1" t="n">
        <v>45693</v>
      </c>
      <c r="D552" t="inlineStr">
        <is>
          <t>STOCKHOLMS LÄN</t>
        </is>
      </c>
      <c r="E552" t="inlineStr">
        <is>
          <t>SÖDERTÄLJE</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HYPERLINK("https://klasma.github.io/Logging_0181/artfynd/A 37574-2024 artfynd.xlsx", "A 37574-2024")</f>
        <v/>
      </c>
      <c r="T552">
        <f>HYPERLINK("https://klasma.github.io/Logging_0181/kartor/A 37574-2024 karta.png", "A 37574-2024")</f>
        <v/>
      </c>
      <c r="V552">
        <f>HYPERLINK("https://klasma.github.io/Logging_0181/klagomål/A 37574-2024 FSC-klagomål.docx", "A 37574-2024")</f>
        <v/>
      </c>
      <c r="W552">
        <f>HYPERLINK("https://klasma.github.io/Logging_0181/klagomålsmail/A 37574-2024 FSC-klagomål mail.docx", "A 37574-2024")</f>
        <v/>
      </c>
      <c r="X552">
        <f>HYPERLINK("https://klasma.github.io/Logging_0181/tillsyn/A 37574-2024 tillsynsbegäran.docx", "A 37574-2024")</f>
        <v/>
      </c>
      <c r="Y552">
        <f>HYPERLINK("https://klasma.github.io/Logging_0181/tillsynsmail/A 37574-2024 tillsynsbegäran mail.docx", "A 37574-2024")</f>
        <v/>
      </c>
    </row>
    <row r="553" ht="15" customHeight="1">
      <c r="A553" t="inlineStr">
        <is>
          <t>A 37918-2024</t>
        </is>
      </c>
      <c r="B553" s="1" t="n">
        <v>45544</v>
      </c>
      <c r="C553" s="1" t="n">
        <v>45693</v>
      </c>
      <c r="D553" t="inlineStr">
        <is>
          <t>STOCKHOLMS LÄN</t>
        </is>
      </c>
      <c r="E553" t="inlineStr">
        <is>
          <t>NORRTÄLJE</t>
        </is>
      </c>
      <c r="F553" t="inlineStr">
        <is>
          <t>Holmen skog AB</t>
        </is>
      </c>
      <c r="G553" t="n">
        <v>8.4</v>
      </c>
      <c r="H553" t="n">
        <v>1</v>
      </c>
      <c r="I553" t="n">
        <v>0</v>
      </c>
      <c r="J553" t="n">
        <v>0</v>
      </c>
      <c r="K553" t="n">
        <v>0</v>
      </c>
      <c r="L553" t="n">
        <v>1</v>
      </c>
      <c r="M553" t="n">
        <v>0</v>
      </c>
      <c r="N553" t="n">
        <v>0</v>
      </c>
      <c r="O553" t="n">
        <v>1</v>
      </c>
      <c r="P553" t="n">
        <v>1</v>
      </c>
      <c r="Q553" t="n">
        <v>1</v>
      </c>
      <c r="R553" s="2" t="inlineStr">
        <is>
          <t>Asknätfjäril</t>
        </is>
      </c>
      <c r="S553">
        <f>HYPERLINK("https://klasma.github.io/Logging_0188/artfynd/A 37918-2024 artfynd.xlsx", "A 37918-2024")</f>
        <v/>
      </c>
      <c r="T553">
        <f>HYPERLINK("https://klasma.github.io/Logging_0188/kartor/A 37918-2024 karta.png", "A 37918-2024")</f>
        <v/>
      </c>
      <c r="V553">
        <f>HYPERLINK("https://klasma.github.io/Logging_0188/klagomål/A 37918-2024 FSC-klagomål.docx", "A 37918-2024")</f>
        <v/>
      </c>
      <c r="W553">
        <f>HYPERLINK("https://klasma.github.io/Logging_0188/klagomålsmail/A 37918-2024 FSC-klagomål mail.docx", "A 37918-2024")</f>
        <v/>
      </c>
      <c r="X553">
        <f>HYPERLINK("https://klasma.github.io/Logging_0188/tillsyn/A 37918-2024 tillsynsbegäran.docx", "A 37918-2024")</f>
        <v/>
      </c>
      <c r="Y553">
        <f>HYPERLINK("https://klasma.github.io/Logging_0188/tillsynsmail/A 37918-2024 tillsynsbegäran mail.docx", "A 37918-2024")</f>
        <v/>
      </c>
    </row>
    <row r="554" ht="15" customHeight="1">
      <c r="A554" t="inlineStr">
        <is>
          <t>A 39752-2024</t>
        </is>
      </c>
      <c r="B554" s="1" t="n">
        <v>45552</v>
      </c>
      <c r="C554" s="1" t="n">
        <v>45693</v>
      </c>
      <c r="D554" t="inlineStr">
        <is>
          <t>STOCKHOLMS LÄN</t>
        </is>
      </c>
      <c r="E554" t="inlineStr">
        <is>
          <t>UPPLANDS-BRO</t>
        </is>
      </c>
      <c r="G554" t="n">
        <v>7.2</v>
      </c>
      <c r="H554" t="n">
        <v>1</v>
      </c>
      <c r="I554" t="n">
        <v>0</v>
      </c>
      <c r="J554" t="n">
        <v>1</v>
      </c>
      <c r="K554" t="n">
        <v>0</v>
      </c>
      <c r="L554" t="n">
        <v>0</v>
      </c>
      <c r="M554" t="n">
        <v>0</v>
      </c>
      <c r="N554" t="n">
        <v>0</v>
      </c>
      <c r="O554" t="n">
        <v>1</v>
      </c>
      <c r="P554" t="n">
        <v>0</v>
      </c>
      <c r="Q554" t="n">
        <v>1</v>
      </c>
      <c r="R554" s="2" t="inlineStr">
        <is>
          <t>Talltita</t>
        </is>
      </c>
      <c r="S554">
        <f>HYPERLINK("https://klasma.github.io/Logging_0139/artfynd/A 39752-2024 artfynd.xlsx", "A 39752-2024")</f>
        <v/>
      </c>
      <c r="T554">
        <f>HYPERLINK("https://klasma.github.io/Logging_0139/kartor/A 39752-2024 karta.png", "A 39752-2024")</f>
        <v/>
      </c>
      <c r="V554">
        <f>HYPERLINK("https://klasma.github.io/Logging_0139/klagomål/A 39752-2024 FSC-klagomål.docx", "A 39752-2024")</f>
        <v/>
      </c>
      <c r="W554">
        <f>HYPERLINK("https://klasma.github.io/Logging_0139/klagomålsmail/A 39752-2024 FSC-klagomål mail.docx", "A 39752-2024")</f>
        <v/>
      </c>
      <c r="X554">
        <f>HYPERLINK("https://klasma.github.io/Logging_0139/tillsyn/A 39752-2024 tillsynsbegäran.docx", "A 39752-2024")</f>
        <v/>
      </c>
      <c r="Y554">
        <f>HYPERLINK("https://klasma.github.io/Logging_0139/tillsynsmail/A 39752-2024 tillsynsbegäran mail.docx", "A 39752-2024")</f>
        <v/>
      </c>
      <c r="Z554">
        <f>HYPERLINK("https://klasma.github.io/Logging_0139/fåglar/A 39752-2024 prioriterade fågelarter.docx", "A 39752-2024")</f>
        <v/>
      </c>
    </row>
    <row r="555" ht="15" customHeight="1">
      <c r="A555" t="inlineStr">
        <is>
          <t>A 40806-2024</t>
        </is>
      </c>
      <c r="B555" s="1" t="n">
        <v>45558</v>
      </c>
      <c r="C555" s="1" t="n">
        <v>45693</v>
      </c>
      <c r="D555" t="inlineStr">
        <is>
          <t>STOCKHOLMS LÄN</t>
        </is>
      </c>
      <c r="E555" t="inlineStr">
        <is>
          <t>NYNÄSHAMN</t>
        </is>
      </c>
      <c r="G555" t="n">
        <v>7.2</v>
      </c>
      <c r="H555" t="n">
        <v>0</v>
      </c>
      <c r="I555" t="n">
        <v>0</v>
      </c>
      <c r="J555" t="n">
        <v>1</v>
      </c>
      <c r="K555" t="n">
        <v>0</v>
      </c>
      <c r="L555" t="n">
        <v>0</v>
      </c>
      <c r="M555" t="n">
        <v>0</v>
      </c>
      <c r="N555" t="n">
        <v>0</v>
      </c>
      <c r="O555" t="n">
        <v>1</v>
      </c>
      <c r="P555" t="n">
        <v>0</v>
      </c>
      <c r="Q555" t="n">
        <v>1</v>
      </c>
      <c r="R555" s="2" t="inlineStr">
        <is>
          <t>Kandelabersvamp</t>
        </is>
      </c>
      <c r="S555">
        <f>HYPERLINK("https://klasma.github.io/Logging_0192/artfynd/A 40806-2024 artfynd.xlsx", "A 40806-2024")</f>
        <v/>
      </c>
      <c r="T555">
        <f>HYPERLINK("https://klasma.github.io/Logging_0192/kartor/A 40806-2024 karta.png", "A 40806-2024")</f>
        <v/>
      </c>
      <c r="V555">
        <f>HYPERLINK("https://klasma.github.io/Logging_0192/klagomål/A 40806-2024 FSC-klagomål.docx", "A 40806-2024")</f>
        <v/>
      </c>
      <c r="W555">
        <f>HYPERLINK("https://klasma.github.io/Logging_0192/klagomålsmail/A 40806-2024 FSC-klagomål mail.docx", "A 40806-2024")</f>
        <v/>
      </c>
      <c r="X555">
        <f>HYPERLINK("https://klasma.github.io/Logging_0192/tillsyn/A 40806-2024 tillsynsbegäran.docx", "A 40806-2024")</f>
        <v/>
      </c>
      <c r="Y555">
        <f>HYPERLINK("https://klasma.github.io/Logging_0192/tillsynsmail/A 40806-2024 tillsynsbegäran mail.docx", "A 40806-2024")</f>
        <v/>
      </c>
    </row>
    <row r="556" ht="15" customHeight="1">
      <c r="A556" t="inlineStr">
        <is>
          <t>A 40986-2024</t>
        </is>
      </c>
      <c r="B556" s="1" t="n">
        <v>45558</v>
      </c>
      <c r="C556" s="1" t="n">
        <v>45693</v>
      </c>
      <c r="D556" t="inlineStr">
        <is>
          <t>STOCKHOLMS LÄN</t>
        </is>
      </c>
      <c r="E556" t="inlineStr">
        <is>
          <t>SÖDERTÄLJE</t>
        </is>
      </c>
      <c r="G556" t="n">
        <v>4.4</v>
      </c>
      <c r="H556" t="n">
        <v>0</v>
      </c>
      <c r="I556" t="n">
        <v>0</v>
      </c>
      <c r="J556" t="n">
        <v>0</v>
      </c>
      <c r="K556" t="n">
        <v>1</v>
      </c>
      <c r="L556" t="n">
        <v>0</v>
      </c>
      <c r="M556" t="n">
        <v>0</v>
      </c>
      <c r="N556" t="n">
        <v>0</v>
      </c>
      <c r="O556" t="n">
        <v>1</v>
      </c>
      <c r="P556" t="n">
        <v>1</v>
      </c>
      <c r="Q556" t="n">
        <v>1</v>
      </c>
      <c r="R556" s="2" t="inlineStr">
        <is>
          <t>Vit kattost</t>
        </is>
      </c>
      <c r="S556">
        <f>HYPERLINK("https://klasma.github.io/Logging_0181/artfynd/A 40986-2024 artfynd.xlsx", "A 40986-2024")</f>
        <v/>
      </c>
      <c r="T556">
        <f>HYPERLINK("https://klasma.github.io/Logging_0181/kartor/A 40986-2024 karta.png", "A 40986-2024")</f>
        <v/>
      </c>
      <c r="V556">
        <f>HYPERLINK("https://klasma.github.io/Logging_0181/klagomål/A 40986-2024 FSC-klagomål.docx", "A 40986-2024")</f>
        <v/>
      </c>
      <c r="W556">
        <f>HYPERLINK("https://klasma.github.io/Logging_0181/klagomålsmail/A 40986-2024 FSC-klagomål mail.docx", "A 40986-2024")</f>
        <v/>
      </c>
      <c r="X556">
        <f>HYPERLINK("https://klasma.github.io/Logging_0181/tillsyn/A 40986-2024 tillsynsbegäran.docx", "A 40986-2024")</f>
        <v/>
      </c>
      <c r="Y556">
        <f>HYPERLINK("https://klasma.github.io/Logging_0181/tillsynsmail/A 40986-2024 tillsynsbegäran mail.docx", "A 40986-2024")</f>
        <v/>
      </c>
    </row>
    <row r="557" ht="15" customHeight="1">
      <c r="A557" t="inlineStr">
        <is>
          <t>A 44547-2024</t>
        </is>
      </c>
      <c r="B557" s="1" t="n">
        <v>45574</v>
      </c>
      <c r="C557" s="1" t="n">
        <v>45693</v>
      </c>
      <c r="D557" t="inlineStr">
        <is>
          <t>STOCKHOLMS LÄN</t>
        </is>
      </c>
      <c r="E557" t="inlineStr">
        <is>
          <t>NORRTÄLJE</t>
        </is>
      </c>
      <c r="G557" t="n">
        <v>11.1</v>
      </c>
      <c r="H557" t="n">
        <v>0</v>
      </c>
      <c r="I557" t="n">
        <v>0</v>
      </c>
      <c r="J557" t="n">
        <v>1</v>
      </c>
      <c r="K557" t="n">
        <v>0</v>
      </c>
      <c r="L557" t="n">
        <v>0</v>
      </c>
      <c r="M557" t="n">
        <v>0</v>
      </c>
      <c r="N557" t="n">
        <v>0</v>
      </c>
      <c r="O557" t="n">
        <v>1</v>
      </c>
      <c r="P557" t="n">
        <v>0</v>
      </c>
      <c r="Q557" t="n">
        <v>1</v>
      </c>
      <c r="R557" s="2" t="inlineStr">
        <is>
          <t>Skogsklocka</t>
        </is>
      </c>
      <c r="S557">
        <f>HYPERLINK("https://klasma.github.io/Logging_0188/artfynd/A 44547-2024 artfynd.xlsx", "A 44547-2024")</f>
        <v/>
      </c>
      <c r="T557">
        <f>HYPERLINK("https://klasma.github.io/Logging_0188/kartor/A 44547-2024 karta.png", "A 44547-2024")</f>
        <v/>
      </c>
      <c r="V557">
        <f>HYPERLINK("https://klasma.github.io/Logging_0188/klagomål/A 44547-2024 FSC-klagomål.docx", "A 44547-2024")</f>
        <v/>
      </c>
      <c r="W557">
        <f>HYPERLINK("https://klasma.github.io/Logging_0188/klagomålsmail/A 44547-2024 FSC-klagomål mail.docx", "A 44547-2024")</f>
        <v/>
      </c>
      <c r="X557">
        <f>HYPERLINK("https://klasma.github.io/Logging_0188/tillsyn/A 44547-2024 tillsynsbegäran.docx", "A 44547-2024")</f>
        <v/>
      </c>
      <c r="Y557">
        <f>HYPERLINK("https://klasma.github.io/Logging_0188/tillsynsmail/A 44547-2024 tillsynsbegäran mail.docx", "A 44547-2024")</f>
        <v/>
      </c>
    </row>
    <row r="558" ht="15" customHeight="1">
      <c r="A558" t="inlineStr">
        <is>
          <t>A 47262-2024</t>
        </is>
      </c>
      <c r="B558" s="1" t="n">
        <v>45586</v>
      </c>
      <c r="C558" s="1" t="n">
        <v>45693</v>
      </c>
      <c r="D558" t="inlineStr">
        <is>
          <t>STOCKHOLMS LÄN</t>
        </is>
      </c>
      <c r="E558" t="inlineStr">
        <is>
          <t>SALEM</t>
        </is>
      </c>
      <c r="G558" t="n">
        <v>2</v>
      </c>
      <c r="H558" t="n">
        <v>1</v>
      </c>
      <c r="I558" t="n">
        <v>0</v>
      </c>
      <c r="J558" t="n">
        <v>1</v>
      </c>
      <c r="K558" t="n">
        <v>0</v>
      </c>
      <c r="L558" t="n">
        <v>0</v>
      </c>
      <c r="M558" t="n">
        <v>0</v>
      </c>
      <c r="N558" t="n">
        <v>0</v>
      </c>
      <c r="O558" t="n">
        <v>1</v>
      </c>
      <c r="P558" t="n">
        <v>0</v>
      </c>
      <c r="Q558" t="n">
        <v>1</v>
      </c>
      <c r="R558" s="2" t="inlineStr">
        <is>
          <t>Spillkråka</t>
        </is>
      </c>
      <c r="S558">
        <f>HYPERLINK("https://klasma.github.io/Logging_0128/artfynd/A 47262-2024 artfynd.xlsx", "A 47262-2024")</f>
        <v/>
      </c>
      <c r="T558">
        <f>HYPERLINK("https://klasma.github.io/Logging_0128/kartor/A 47262-2024 karta.png", "A 47262-2024")</f>
        <v/>
      </c>
      <c r="V558">
        <f>HYPERLINK("https://klasma.github.io/Logging_0128/klagomål/A 47262-2024 FSC-klagomål.docx", "A 47262-2024")</f>
        <v/>
      </c>
      <c r="W558">
        <f>HYPERLINK("https://klasma.github.io/Logging_0128/klagomålsmail/A 47262-2024 FSC-klagomål mail.docx", "A 47262-2024")</f>
        <v/>
      </c>
      <c r="X558">
        <f>HYPERLINK("https://klasma.github.io/Logging_0128/tillsyn/A 47262-2024 tillsynsbegäran.docx", "A 47262-2024")</f>
        <v/>
      </c>
      <c r="Y558">
        <f>HYPERLINK("https://klasma.github.io/Logging_0128/tillsynsmail/A 47262-2024 tillsynsbegäran mail.docx", "A 47262-2024")</f>
        <v/>
      </c>
      <c r="Z558">
        <f>HYPERLINK("https://klasma.github.io/Logging_0128/fåglar/A 47262-2024 prioriterade fågelarter.docx", "A 47262-2024")</f>
        <v/>
      </c>
    </row>
    <row r="559" ht="15" customHeight="1">
      <c r="A559" t="inlineStr">
        <is>
          <t>A 50435-2024</t>
        </is>
      </c>
      <c r="B559" s="1" t="n">
        <v>45601</v>
      </c>
      <c r="C559" s="1" t="n">
        <v>45693</v>
      </c>
      <c r="D559" t="inlineStr">
        <is>
          <t>STOCKHOLMS LÄN</t>
        </is>
      </c>
      <c r="E559" t="inlineStr">
        <is>
          <t>VALLENTUNA</t>
        </is>
      </c>
      <c r="F559" t="inlineStr">
        <is>
          <t>Allmännings- och besparingsskogar</t>
        </is>
      </c>
      <c r="G559" t="n">
        <v>2.3</v>
      </c>
      <c r="H559" t="n">
        <v>0</v>
      </c>
      <c r="I559" t="n">
        <v>1</v>
      </c>
      <c r="J559" t="n">
        <v>0</v>
      </c>
      <c r="K559" t="n">
        <v>0</v>
      </c>
      <c r="L559" t="n">
        <v>0</v>
      </c>
      <c r="M559" t="n">
        <v>0</v>
      </c>
      <c r="N559" t="n">
        <v>0</v>
      </c>
      <c r="O559" t="n">
        <v>0</v>
      </c>
      <c r="P559" t="n">
        <v>0</v>
      </c>
      <c r="Q559" t="n">
        <v>1</v>
      </c>
      <c r="R559" s="2" t="inlineStr">
        <is>
          <t>Tibast</t>
        </is>
      </c>
      <c r="S559">
        <f>HYPERLINK("https://klasma.github.io/Logging_0115/artfynd/A 50435-2024 artfynd.xlsx", "A 50435-2024")</f>
        <v/>
      </c>
      <c r="T559">
        <f>HYPERLINK("https://klasma.github.io/Logging_0115/kartor/A 50435-2024 karta.png", "A 50435-2024")</f>
        <v/>
      </c>
      <c r="V559">
        <f>HYPERLINK("https://klasma.github.io/Logging_0115/klagomål/A 50435-2024 FSC-klagomål.docx", "A 50435-2024")</f>
        <v/>
      </c>
      <c r="W559">
        <f>HYPERLINK("https://klasma.github.io/Logging_0115/klagomålsmail/A 50435-2024 FSC-klagomål mail.docx", "A 50435-2024")</f>
        <v/>
      </c>
      <c r="X559">
        <f>HYPERLINK("https://klasma.github.io/Logging_0115/tillsyn/A 50435-2024 tillsynsbegäran.docx", "A 50435-2024")</f>
        <v/>
      </c>
      <c r="Y559">
        <f>HYPERLINK("https://klasma.github.io/Logging_0115/tillsynsmail/A 50435-2024 tillsynsbegäran mail.docx", "A 50435-2024")</f>
        <v/>
      </c>
    </row>
    <row r="560" ht="15" customHeight="1">
      <c r="A560" t="inlineStr">
        <is>
          <t>A 52363-2024</t>
        </is>
      </c>
      <c r="B560" s="1" t="n">
        <v>45609</v>
      </c>
      <c r="C560" s="1" t="n">
        <v>45693</v>
      </c>
      <c r="D560" t="inlineStr">
        <is>
          <t>STOCKHOLMS LÄN</t>
        </is>
      </c>
      <c r="E560" t="inlineStr">
        <is>
          <t>NORRTÄLJE</t>
        </is>
      </c>
      <c r="G560" t="n">
        <v>9.199999999999999</v>
      </c>
      <c r="H560" t="n">
        <v>1</v>
      </c>
      <c r="I560" t="n">
        <v>0</v>
      </c>
      <c r="J560" t="n">
        <v>0</v>
      </c>
      <c r="K560" t="n">
        <v>0</v>
      </c>
      <c r="L560" t="n">
        <v>0</v>
      </c>
      <c r="M560" t="n">
        <v>0</v>
      </c>
      <c r="N560" t="n">
        <v>0</v>
      </c>
      <c r="O560" t="n">
        <v>0</v>
      </c>
      <c r="P560" t="n">
        <v>0</v>
      </c>
      <c r="Q560" t="n">
        <v>1</v>
      </c>
      <c r="R560" s="2" t="inlineStr">
        <is>
          <t>Revlummer</t>
        </is>
      </c>
      <c r="S560">
        <f>HYPERLINK("https://klasma.github.io/Logging_0188/artfynd/A 52363-2024 artfynd.xlsx", "A 52363-2024")</f>
        <v/>
      </c>
      <c r="T560">
        <f>HYPERLINK("https://klasma.github.io/Logging_0188/kartor/A 52363-2024 karta.png", "A 52363-2024")</f>
        <v/>
      </c>
      <c r="V560">
        <f>HYPERLINK("https://klasma.github.io/Logging_0188/klagomål/A 52363-2024 FSC-klagomål.docx", "A 52363-2024")</f>
        <v/>
      </c>
      <c r="W560">
        <f>HYPERLINK("https://klasma.github.io/Logging_0188/klagomålsmail/A 52363-2024 FSC-klagomål mail.docx", "A 52363-2024")</f>
        <v/>
      </c>
      <c r="X560">
        <f>HYPERLINK("https://klasma.github.io/Logging_0188/tillsyn/A 52363-2024 tillsynsbegäran.docx", "A 52363-2024")</f>
        <v/>
      </c>
      <c r="Y560">
        <f>HYPERLINK("https://klasma.github.io/Logging_0188/tillsynsmail/A 52363-2024 tillsynsbegäran mail.docx", "A 52363-2024")</f>
        <v/>
      </c>
    </row>
    <row r="561" ht="15" customHeight="1">
      <c r="A561" t="inlineStr">
        <is>
          <t>A 52545-2024</t>
        </is>
      </c>
      <c r="B561" s="1" t="n">
        <v>45609</v>
      </c>
      <c r="C561" s="1" t="n">
        <v>45693</v>
      </c>
      <c r="D561" t="inlineStr">
        <is>
          <t>STOCKHOLMS LÄN</t>
        </is>
      </c>
      <c r="E561" t="inlineStr">
        <is>
          <t>EKERÖ</t>
        </is>
      </c>
      <c r="G561" t="n">
        <v>2.8</v>
      </c>
      <c r="H561" t="n">
        <v>1</v>
      </c>
      <c r="I561" t="n">
        <v>1</v>
      </c>
      <c r="J561" t="n">
        <v>0</v>
      </c>
      <c r="K561" t="n">
        <v>0</v>
      </c>
      <c r="L561" t="n">
        <v>0</v>
      </c>
      <c r="M561" t="n">
        <v>0</v>
      </c>
      <c r="N561" t="n">
        <v>0</v>
      </c>
      <c r="O561" t="n">
        <v>0</v>
      </c>
      <c r="P561" t="n">
        <v>0</v>
      </c>
      <c r="Q561" t="n">
        <v>1</v>
      </c>
      <c r="R561" s="2" t="inlineStr">
        <is>
          <t>Grön sköldmossa</t>
        </is>
      </c>
      <c r="S561">
        <f>HYPERLINK("https://klasma.github.io/Logging_0125/artfynd/A 52545-2024 artfynd.xlsx", "A 52545-2024")</f>
        <v/>
      </c>
      <c r="T561">
        <f>HYPERLINK("https://klasma.github.io/Logging_0125/kartor/A 52545-2024 karta.png", "A 52545-2024")</f>
        <v/>
      </c>
      <c r="V561">
        <f>HYPERLINK("https://klasma.github.io/Logging_0125/klagomål/A 52545-2024 FSC-klagomål.docx", "A 52545-2024")</f>
        <v/>
      </c>
      <c r="W561">
        <f>HYPERLINK("https://klasma.github.io/Logging_0125/klagomålsmail/A 52545-2024 FSC-klagomål mail.docx", "A 52545-2024")</f>
        <v/>
      </c>
      <c r="X561">
        <f>HYPERLINK("https://klasma.github.io/Logging_0125/tillsyn/A 52545-2024 tillsynsbegäran.docx", "A 52545-2024")</f>
        <v/>
      </c>
      <c r="Y561">
        <f>HYPERLINK("https://klasma.github.io/Logging_0125/tillsynsmail/A 52545-2024 tillsynsbegäran mail.docx", "A 52545-2024")</f>
        <v/>
      </c>
    </row>
    <row r="562" ht="15" customHeight="1">
      <c r="A562" t="inlineStr">
        <is>
          <t>A 52611-2024</t>
        </is>
      </c>
      <c r="B562" s="1" t="n">
        <v>45609</v>
      </c>
      <c r="C562" s="1" t="n">
        <v>45693</v>
      </c>
      <c r="D562" t="inlineStr">
        <is>
          <t>STOCKHOLMS LÄN</t>
        </is>
      </c>
      <c r="E562" t="inlineStr">
        <is>
          <t>NORRTÄLJE</t>
        </is>
      </c>
      <c r="G562" t="n">
        <v>10.6</v>
      </c>
      <c r="H562" t="n">
        <v>1</v>
      </c>
      <c r="I562" t="n">
        <v>0</v>
      </c>
      <c r="J562" t="n">
        <v>0</v>
      </c>
      <c r="K562" t="n">
        <v>0</v>
      </c>
      <c r="L562" t="n">
        <v>0</v>
      </c>
      <c r="M562" t="n">
        <v>0</v>
      </c>
      <c r="N562" t="n">
        <v>0</v>
      </c>
      <c r="O562" t="n">
        <v>0</v>
      </c>
      <c r="P562" t="n">
        <v>0</v>
      </c>
      <c r="Q562" t="n">
        <v>1</v>
      </c>
      <c r="R562" s="2" t="inlineStr">
        <is>
          <t>Blåsippa</t>
        </is>
      </c>
      <c r="S562">
        <f>HYPERLINK("https://klasma.github.io/Logging_0188/artfynd/A 52611-2024 artfynd.xlsx", "A 52611-2024")</f>
        <v/>
      </c>
      <c r="T562">
        <f>HYPERLINK("https://klasma.github.io/Logging_0188/kartor/A 52611-2024 karta.png", "A 52611-2024")</f>
        <v/>
      </c>
      <c r="V562">
        <f>HYPERLINK("https://klasma.github.io/Logging_0188/klagomål/A 52611-2024 FSC-klagomål.docx", "A 52611-2024")</f>
        <v/>
      </c>
      <c r="W562">
        <f>HYPERLINK("https://klasma.github.io/Logging_0188/klagomålsmail/A 52611-2024 FSC-klagomål mail.docx", "A 52611-2024")</f>
        <v/>
      </c>
      <c r="X562">
        <f>HYPERLINK("https://klasma.github.io/Logging_0188/tillsyn/A 52611-2024 tillsynsbegäran.docx", "A 52611-2024")</f>
        <v/>
      </c>
      <c r="Y562">
        <f>HYPERLINK("https://klasma.github.io/Logging_0188/tillsynsmail/A 52611-2024 tillsynsbegäran mail.docx", "A 52611-2024")</f>
        <v/>
      </c>
    </row>
    <row r="563" ht="15" customHeight="1">
      <c r="A563" t="inlineStr">
        <is>
          <t>A 52791-2024</t>
        </is>
      </c>
      <c r="B563" s="1" t="n">
        <v>45610</v>
      </c>
      <c r="C563" s="1" t="n">
        <v>45693</v>
      </c>
      <c r="D563" t="inlineStr">
        <is>
          <t>STOCKHOLMS LÄN</t>
        </is>
      </c>
      <c r="E563" t="inlineStr">
        <is>
          <t>SÖDERTÄLJE</t>
        </is>
      </c>
      <c r="G563" t="n">
        <v>0.7</v>
      </c>
      <c r="H563" t="n">
        <v>1</v>
      </c>
      <c r="I563" t="n">
        <v>0</v>
      </c>
      <c r="J563" t="n">
        <v>1</v>
      </c>
      <c r="K563" t="n">
        <v>0</v>
      </c>
      <c r="L563" t="n">
        <v>0</v>
      </c>
      <c r="M563" t="n">
        <v>0</v>
      </c>
      <c r="N563" t="n">
        <v>0</v>
      </c>
      <c r="O563" t="n">
        <v>1</v>
      </c>
      <c r="P563" t="n">
        <v>0</v>
      </c>
      <c r="Q563" t="n">
        <v>1</v>
      </c>
      <c r="R563" s="2" t="inlineStr">
        <is>
          <t>Spillkråka</t>
        </is>
      </c>
      <c r="S563">
        <f>HYPERLINK("https://klasma.github.io/Logging_0181/artfynd/A 52791-2024 artfynd.xlsx", "A 52791-2024")</f>
        <v/>
      </c>
      <c r="T563">
        <f>HYPERLINK("https://klasma.github.io/Logging_0181/kartor/A 52791-2024 karta.png", "A 52791-2024")</f>
        <v/>
      </c>
      <c r="U563">
        <f>HYPERLINK("https://klasma.github.io/Logging_0181/knärot/A 52791-2024 karta knärot.png", "A 52791-2024")</f>
        <v/>
      </c>
      <c r="V563">
        <f>HYPERLINK("https://klasma.github.io/Logging_0181/klagomål/A 52791-2024 FSC-klagomål.docx", "A 52791-2024")</f>
        <v/>
      </c>
      <c r="W563">
        <f>HYPERLINK("https://klasma.github.io/Logging_0181/klagomålsmail/A 52791-2024 FSC-klagomål mail.docx", "A 52791-2024")</f>
        <v/>
      </c>
      <c r="X563">
        <f>HYPERLINK("https://klasma.github.io/Logging_0181/tillsyn/A 52791-2024 tillsynsbegäran.docx", "A 52791-2024")</f>
        <v/>
      </c>
      <c r="Y563">
        <f>HYPERLINK("https://klasma.github.io/Logging_0181/tillsynsmail/A 52791-2024 tillsynsbegäran mail.docx", "A 52791-2024")</f>
        <v/>
      </c>
      <c r="Z563">
        <f>HYPERLINK("https://klasma.github.io/Logging_0181/fåglar/A 52791-2024 prioriterade fågelarter.docx", "A 52791-2024")</f>
        <v/>
      </c>
    </row>
    <row r="564" ht="15" customHeight="1">
      <c r="A564" t="inlineStr">
        <is>
          <t>A 52924-2024</t>
        </is>
      </c>
      <c r="B564" s="1" t="n">
        <v>45610</v>
      </c>
      <c r="C564" s="1" t="n">
        <v>45693</v>
      </c>
      <c r="D564" t="inlineStr">
        <is>
          <t>STOCKHOLMS LÄN</t>
        </is>
      </c>
      <c r="E564" t="inlineStr">
        <is>
          <t>NYNÄSHAMN</t>
        </is>
      </c>
      <c r="G564" t="n">
        <v>3</v>
      </c>
      <c r="H564" t="n">
        <v>1</v>
      </c>
      <c r="I564" t="n">
        <v>0</v>
      </c>
      <c r="J564" t="n">
        <v>1</v>
      </c>
      <c r="K564" t="n">
        <v>0</v>
      </c>
      <c r="L564" t="n">
        <v>0</v>
      </c>
      <c r="M564" t="n">
        <v>0</v>
      </c>
      <c r="N564" t="n">
        <v>0</v>
      </c>
      <c r="O564" t="n">
        <v>1</v>
      </c>
      <c r="P564" t="n">
        <v>0</v>
      </c>
      <c r="Q564" t="n">
        <v>1</v>
      </c>
      <c r="R564" s="2" t="inlineStr">
        <is>
          <t>Spillkråka</t>
        </is>
      </c>
      <c r="S564">
        <f>HYPERLINK("https://klasma.github.io/Logging_0192/artfynd/A 52924-2024 artfynd.xlsx", "A 52924-2024")</f>
        <v/>
      </c>
      <c r="T564">
        <f>HYPERLINK("https://klasma.github.io/Logging_0192/kartor/A 52924-2024 karta.png", "A 52924-2024")</f>
        <v/>
      </c>
      <c r="V564">
        <f>HYPERLINK("https://klasma.github.io/Logging_0192/klagomål/A 52924-2024 FSC-klagomål.docx", "A 52924-2024")</f>
        <v/>
      </c>
      <c r="W564">
        <f>HYPERLINK("https://klasma.github.io/Logging_0192/klagomålsmail/A 52924-2024 FSC-klagomål mail.docx", "A 52924-2024")</f>
        <v/>
      </c>
      <c r="X564">
        <f>HYPERLINK("https://klasma.github.io/Logging_0192/tillsyn/A 52924-2024 tillsynsbegäran.docx", "A 52924-2024")</f>
        <v/>
      </c>
      <c r="Y564">
        <f>HYPERLINK("https://klasma.github.io/Logging_0192/tillsynsmail/A 52924-2024 tillsynsbegäran mail.docx", "A 52924-2024")</f>
        <v/>
      </c>
      <c r="Z564">
        <f>HYPERLINK("https://klasma.github.io/Logging_0192/fåglar/A 52924-2024 prioriterade fågelarter.docx", "A 52924-2024")</f>
        <v/>
      </c>
    </row>
    <row r="565" ht="15" customHeight="1">
      <c r="A565" t="inlineStr">
        <is>
          <t>A 56792-2024</t>
        </is>
      </c>
      <c r="B565" s="1" t="n">
        <v>45628</v>
      </c>
      <c r="C565" s="1" t="n">
        <v>45693</v>
      </c>
      <c r="D565" t="inlineStr">
        <is>
          <t>STOCKHOLMS LÄN</t>
        </is>
      </c>
      <c r="E565" t="inlineStr">
        <is>
          <t>NORRTÄLJE</t>
        </is>
      </c>
      <c r="G565" t="n">
        <v>9.699999999999999</v>
      </c>
      <c r="H565" t="n">
        <v>0</v>
      </c>
      <c r="I565" t="n">
        <v>0</v>
      </c>
      <c r="J565" t="n">
        <v>1</v>
      </c>
      <c r="K565" t="n">
        <v>0</v>
      </c>
      <c r="L565" t="n">
        <v>0</v>
      </c>
      <c r="M565" t="n">
        <v>0</v>
      </c>
      <c r="N565" t="n">
        <v>0</v>
      </c>
      <c r="O565" t="n">
        <v>1</v>
      </c>
      <c r="P565" t="n">
        <v>0</v>
      </c>
      <c r="Q565" t="n">
        <v>1</v>
      </c>
      <c r="R565" s="2" t="inlineStr">
        <is>
          <t>Kandelabersvamp</t>
        </is>
      </c>
      <c r="S565">
        <f>HYPERLINK("https://klasma.github.io/Logging_0188/artfynd/A 56792-2024 artfynd.xlsx", "A 56792-2024")</f>
        <v/>
      </c>
      <c r="T565">
        <f>HYPERLINK("https://klasma.github.io/Logging_0188/kartor/A 56792-2024 karta.png", "A 56792-2024")</f>
        <v/>
      </c>
      <c r="V565">
        <f>HYPERLINK("https://klasma.github.io/Logging_0188/klagomål/A 56792-2024 FSC-klagomål.docx", "A 56792-2024")</f>
        <v/>
      </c>
      <c r="W565">
        <f>HYPERLINK("https://klasma.github.io/Logging_0188/klagomålsmail/A 56792-2024 FSC-klagomål mail.docx", "A 56792-2024")</f>
        <v/>
      </c>
      <c r="X565">
        <f>HYPERLINK("https://klasma.github.io/Logging_0188/tillsyn/A 56792-2024 tillsynsbegäran.docx", "A 56792-2024")</f>
        <v/>
      </c>
      <c r="Y565">
        <f>HYPERLINK("https://klasma.github.io/Logging_0188/tillsynsmail/A 56792-2024 tillsynsbegäran mail.docx", "A 56792-2024")</f>
        <v/>
      </c>
    </row>
    <row r="566" ht="15" customHeight="1">
      <c r="A566" t="inlineStr">
        <is>
          <t>A 62129-2024</t>
        </is>
      </c>
      <c r="B566" s="1" t="n">
        <v>45646</v>
      </c>
      <c r="C566" s="1" t="n">
        <v>45693</v>
      </c>
      <c r="D566" t="inlineStr">
        <is>
          <t>STOCKHOLMS LÄN</t>
        </is>
      </c>
      <c r="E566" t="inlineStr">
        <is>
          <t>NORRTÄLJE</t>
        </is>
      </c>
      <c r="G566" t="n">
        <v>5.9</v>
      </c>
      <c r="H566" t="n">
        <v>0</v>
      </c>
      <c r="I566" t="n">
        <v>1</v>
      </c>
      <c r="J566" t="n">
        <v>0</v>
      </c>
      <c r="K566" t="n">
        <v>0</v>
      </c>
      <c r="L566" t="n">
        <v>0</v>
      </c>
      <c r="M566" t="n">
        <v>0</v>
      </c>
      <c r="N566" t="n">
        <v>0</v>
      </c>
      <c r="O566" t="n">
        <v>0</v>
      </c>
      <c r="P566" t="n">
        <v>0</v>
      </c>
      <c r="Q566" t="n">
        <v>1</v>
      </c>
      <c r="R566" s="2" t="inlineStr">
        <is>
          <t>Bronshjon</t>
        </is>
      </c>
      <c r="S566">
        <f>HYPERLINK("https://klasma.github.io/Logging_0188/artfynd/A 62129-2024 artfynd.xlsx", "A 62129-2024")</f>
        <v/>
      </c>
      <c r="T566">
        <f>HYPERLINK("https://klasma.github.io/Logging_0188/kartor/A 62129-2024 karta.png", "A 62129-2024")</f>
        <v/>
      </c>
      <c r="V566">
        <f>HYPERLINK("https://klasma.github.io/Logging_0188/klagomål/A 62129-2024 FSC-klagomål.docx", "A 62129-2024")</f>
        <v/>
      </c>
      <c r="W566">
        <f>HYPERLINK("https://klasma.github.io/Logging_0188/klagomålsmail/A 62129-2024 FSC-klagomål mail.docx", "A 62129-2024")</f>
        <v/>
      </c>
      <c r="X566">
        <f>HYPERLINK("https://klasma.github.io/Logging_0188/tillsyn/A 62129-2024 tillsynsbegäran.docx", "A 62129-2024")</f>
        <v/>
      </c>
      <c r="Y566">
        <f>HYPERLINK("https://klasma.github.io/Logging_0188/tillsynsmail/A 62129-2024 tillsynsbegäran mail.docx", "A 62129-2024")</f>
        <v/>
      </c>
    </row>
    <row r="567" ht="15" customHeight="1">
      <c r="A567" t="inlineStr">
        <is>
          <t>A 1793-2025</t>
        </is>
      </c>
      <c r="B567" s="1" t="n">
        <v>45671</v>
      </c>
      <c r="C567" s="1" t="n">
        <v>45693</v>
      </c>
      <c r="D567" t="inlineStr">
        <is>
          <t>STOCKHOLMS LÄN</t>
        </is>
      </c>
      <c r="E567" t="inlineStr">
        <is>
          <t>EKERÖ</t>
        </is>
      </c>
      <c r="G567" t="n">
        <v>1.7</v>
      </c>
      <c r="H567" t="n">
        <v>1</v>
      </c>
      <c r="I567" t="n">
        <v>0</v>
      </c>
      <c r="J567" t="n">
        <v>0</v>
      </c>
      <c r="K567" t="n">
        <v>0</v>
      </c>
      <c r="L567" t="n">
        <v>0</v>
      </c>
      <c r="M567" t="n">
        <v>0</v>
      </c>
      <c r="N567" t="n">
        <v>0</v>
      </c>
      <c r="O567" t="n">
        <v>0</v>
      </c>
      <c r="P567" t="n">
        <v>0</v>
      </c>
      <c r="Q567" t="n">
        <v>1</v>
      </c>
      <c r="R567" s="2" t="inlineStr">
        <is>
          <t>Mistel</t>
        </is>
      </c>
      <c r="S567">
        <f>HYPERLINK("https://klasma.github.io/Logging_0125/artfynd/A 1793-2025 artfynd.xlsx", "A 1793-2025")</f>
        <v/>
      </c>
      <c r="T567">
        <f>HYPERLINK("https://klasma.github.io/Logging_0125/kartor/A 1793-2025 karta.png", "A 1793-2025")</f>
        <v/>
      </c>
      <c r="V567">
        <f>HYPERLINK("https://klasma.github.io/Logging_0125/klagomål/A 1793-2025 FSC-klagomål.docx", "A 1793-2025")</f>
        <v/>
      </c>
      <c r="W567">
        <f>HYPERLINK("https://klasma.github.io/Logging_0125/klagomålsmail/A 1793-2025 FSC-klagomål mail.docx", "A 1793-2025")</f>
        <v/>
      </c>
      <c r="X567">
        <f>HYPERLINK("https://klasma.github.io/Logging_0125/tillsyn/A 1793-2025 tillsynsbegäran.docx", "A 1793-2025")</f>
        <v/>
      </c>
      <c r="Y567">
        <f>HYPERLINK("https://klasma.github.io/Logging_0125/tillsynsmail/A 1793-2025 tillsynsbegäran mail.docx", "A 1793-2025")</f>
        <v/>
      </c>
    </row>
    <row r="568" ht="15" customHeight="1">
      <c r="A568" t="inlineStr">
        <is>
          <t>A 2238-2025</t>
        </is>
      </c>
      <c r="B568" s="1" t="n">
        <v>45672</v>
      </c>
      <c r="C568" s="1" t="n">
        <v>45693</v>
      </c>
      <c r="D568" t="inlineStr">
        <is>
          <t>STOCKHOLMS LÄN</t>
        </is>
      </c>
      <c r="E568" t="inlineStr">
        <is>
          <t>HANINGE</t>
        </is>
      </c>
      <c r="G568" t="n">
        <v>1</v>
      </c>
      <c r="H568" t="n">
        <v>1</v>
      </c>
      <c r="I568" t="n">
        <v>0</v>
      </c>
      <c r="J568" t="n">
        <v>0</v>
      </c>
      <c r="K568" t="n">
        <v>0</v>
      </c>
      <c r="L568" t="n">
        <v>0</v>
      </c>
      <c r="M568" t="n">
        <v>0</v>
      </c>
      <c r="N568" t="n">
        <v>0</v>
      </c>
      <c r="O568" t="n">
        <v>0</v>
      </c>
      <c r="P568" t="n">
        <v>0</v>
      </c>
      <c r="Q568" t="n">
        <v>1</v>
      </c>
      <c r="R568" s="2" t="inlineStr">
        <is>
          <t>Revlummer</t>
        </is>
      </c>
      <c r="S568">
        <f>HYPERLINK("https://klasma.github.io/Logging_0136/artfynd/A 2238-2025 artfynd.xlsx", "A 2238-2025")</f>
        <v/>
      </c>
      <c r="T568">
        <f>HYPERLINK("https://klasma.github.io/Logging_0136/kartor/A 2238-2025 karta.png", "A 2238-2025")</f>
        <v/>
      </c>
      <c r="V568">
        <f>HYPERLINK("https://klasma.github.io/Logging_0136/klagomål/A 2238-2025 FSC-klagomål.docx", "A 2238-2025")</f>
        <v/>
      </c>
      <c r="W568">
        <f>HYPERLINK("https://klasma.github.io/Logging_0136/klagomålsmail/A 2238-2025 FSC-klagomål mail.docx", "A 2238-2025")</f>
        <v/>
      </c>
      <c r="X568">
        <f>HYPERLINK("https://klasma.github.io/Logging_0136/tillsyn/A 2238-2025 tillsynsbegäran.docx", "A 2238-2025")</f>
        <v/>
      </c>
      <c r="Y568">
        <f>HYPERLINK("https://klasma.github.io/Logging_0136/tillsynsmail/A 2238-2025 tillsynsbegäran mail.docx", "A 2238-2025")</f>
        <v/>
      </c>
    </row>
    <row r="569" ht="15" customHeight="1">
      <c r="A569" t="inlineStr">
        <is>
          <t>A 3116-2025</t>
        </is>
      </c>
      <c r="B569" s="1" t="n">
        <v>45678</v>
      </c>
      <c r="C569" s="1" t="n">
        <v>45693</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45693</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45693</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45693</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45693</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45693</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45693</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45693</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45693</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45693</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45693</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45693</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45693</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45693</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45693</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45693</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45693</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45693</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45693</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45693</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45693</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45693</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45693</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45693</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45693</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45693</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45693</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45693</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45693</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45693</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45693</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45693</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45693</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45693</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45693</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45693</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45693</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45693</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45693</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45693</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45693</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45693</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45693</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45693</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45693</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45693</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45693</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45693</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45693</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45693</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45693</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45693</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45693</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45693</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45693</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45693</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45693</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45693</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45693</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45693</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45693</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45693</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45693</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45693</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45693</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45693</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45693</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45693</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45693</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45693</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45693</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45693</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45693</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45693</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45693</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45693</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45693</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45693</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45693</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45693</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45693</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45693</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45693</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45693</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45693</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45693</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45693</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45693</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45693</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45693</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45693</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45693</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45693</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45693</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45693</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45693</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45693</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45693</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45693</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45693</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45693</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45693</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45693</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45693</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45693</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45693</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45693</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45693</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45693</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45693</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45693</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45693</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45693</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45693</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45693</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45693</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45693</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45693</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45693</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45693</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45693</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45693</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45693</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45693</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45693</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45693</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45693</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45693</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45693</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45693</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45693</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45693</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45693</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45693</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45693</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45693</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45693</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45693</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45693</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45693</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45693</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45693</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45693</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45693</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45693</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45693</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45693</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45693</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45693</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45693</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45693</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45693</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45693</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45693</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45693</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45693</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45693</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45693</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45693</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45693</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45693</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45693</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45693</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45693</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45693</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45693</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45693</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45693</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45693</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45693</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45693</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45693</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45693</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45693</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45693</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45693</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45693</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45693</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45693</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45693</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45693</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45693</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45693</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45693</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45693</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45693</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45693</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45693</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45693</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45693</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45693</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45693</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45693</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45693</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45693</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45693</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45693</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45693</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45693</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45693</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45693</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45693</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45693</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45693</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45693</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45693</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45693</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45693</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45693</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45693</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45693</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45693</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45693</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45693</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45693</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45693</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45693</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45693</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45693</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45693</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45693</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45693</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45693</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45693</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45693</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45693</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45693</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45693</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45693</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45693</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45693</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45693</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45693</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45693</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45693</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45693</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45693</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45693</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45693</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45693</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45693</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45693</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45693</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45693</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45693</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45693</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45693</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45693</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45693</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45693</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45693</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45693</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45693</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45693</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45693</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45693</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45693</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45693</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45693</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45693</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45693</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45693</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45693</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45693</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45693</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45693</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45693</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45693</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45693</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45693</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45693</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45693</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45693</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45693</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45693</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45693</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45693</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45693</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45693</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45693</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45693</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45693</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45693</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45693</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45693</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45693</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45693</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45693</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45693</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45693</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45693</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45693</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45693</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45693</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45693</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45693</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45693</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45693</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45693</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45693</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45693</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45693</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45693</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45693</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45693</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45693</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45693</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45693</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45693</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45693</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45693</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45693</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45693</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45693</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45693</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45693</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45693</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45693</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45693</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45693</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45693</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45693</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45693</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45693</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45693</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45693</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45693</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45693</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45693</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45693</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45693</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45693</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45693</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45693</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45693</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45693</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45693</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45693</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45693</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45693</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45693</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45693</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45693</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45693</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45693</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45693</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45693</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45693</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45693</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45693</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45693</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45693</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45693</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45693</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45693</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45693</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45693</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45693</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45693</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45693</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45693</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45693</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45693</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45693</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45693</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45693</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45693</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45693</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45693</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45693</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45693</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45693</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45693</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45693</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45693</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45693</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45693</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45693</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45693</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45693</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45693</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45693</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45693</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45693</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45693</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45693</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45693</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45693</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45693</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45693</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45693</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45693</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45693</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45693</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45693</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45693</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45693</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45693</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45693</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45693</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45693</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45693</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45693</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45693</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45693</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45693</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45693</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45693</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45693</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45693</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45693</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45693</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45693</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45693</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45693</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45693</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45693</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45693</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45693</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45693</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45693</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45693</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45693</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45693</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45693</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45693</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45693</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45693</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45693</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45693</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45693</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45693</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45693</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45693</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45693</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45693</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45693</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45693</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45693</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45693</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45693</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45693</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45693</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45693</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45693</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45693</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45693</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45693</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45693</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45693</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45693</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45693</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45693</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45693</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45693</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45693</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45693</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45693</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45693</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45693</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45693</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45693</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45693</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45693</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45693</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45693</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45693</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45693</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45693</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45693</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45693</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45693</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45693</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45693</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45693</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45693</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45693</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45693</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45693</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45693</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45693</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45693</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45693</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45693</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45693</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45693</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45693</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45693</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45693</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45693</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45693</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45693</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45693</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45693</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45693</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45693</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45693</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45693</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45693</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45693</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45693</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45693</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45693</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45693</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45693</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45693</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45693</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45693</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45693</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45693</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45693</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45693</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45693</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45693</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45693</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45693</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45693</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45693</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45693</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45693</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45693</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45693</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45693</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45693</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45693</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45693</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45693</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45693</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45693</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45693</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45693</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45693</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45693</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45693</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45693</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45693</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45693</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45693</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45693</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45693</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45693</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45693</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45693</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45693</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45693</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45693</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45693</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45693</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45693</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45693</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45693</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45693</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45693</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45693</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45693</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45693</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45693</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45693</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45693</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45693</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45693</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45693</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45693</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45693</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45693</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45693</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45693</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45693</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45693</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45693</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45693</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45693</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45693</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45693</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45693</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45693</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45693</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45693</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45693</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45693</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45693</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45693</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45693</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45693</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45693</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45693</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45693</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45693</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45693</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45693</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45693</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45693</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45693</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45693</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45693</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45693</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45693</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45693</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45693</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45693</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45693</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45693</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45693</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45693</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45693</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45693</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45693</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45693</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45693</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45693</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45693</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45693</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45693</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45693</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45693</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45693</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45693</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45693</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45693</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45693</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45693</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45693</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45693</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45693</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45693</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45693</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45693</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45693</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45693</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45693</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45693</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45693</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45693</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45693</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45693</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45693</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45693</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45693</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45693</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45693</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45693</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45693</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45693</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45693</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45693</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45693</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45693</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45693</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45693</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45693</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45693</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45693</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45693</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45693</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45693</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45693</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45693</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45693</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45693</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45693</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45693</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45693</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45693</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45693</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45693</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45693</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45693</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45693</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45693</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45693</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45693</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45693</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45693</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45693</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45693</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45693</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45693</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45693</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45693</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45693</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45693</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45693</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45693</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45693</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45693</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45693</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45693</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45693</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45693</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45693</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45693</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45693</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45693</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45693</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45693</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45693</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45693</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45693</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45693</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45693</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45693</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45693</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45693</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45693</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45693</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45693</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45693</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45693</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45693</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45693</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45693</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45693</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45693</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45693</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45693</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45693</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45693</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45693</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45693</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45693</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45693</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45693</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45693</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45693</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45693</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45693</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45693</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45693</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45693</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45693</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45693</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45693</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45693</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45693</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45693</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45693</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45693</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45693</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45693</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45693</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45693</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45693</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45693</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45693</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45693</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45693</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45693</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45693</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45693</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45693</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45693</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45693</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45693</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45693</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45693</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45693</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45693</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45693</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45693</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45693</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45693</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45693</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45693</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45693</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45693</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45693</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45693</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45693</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45693</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45693</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45693</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45693</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45693</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45693</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45693</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45693</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45693</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45693</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45693</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45693</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45693</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45693</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45693</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45693</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45693</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45693</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45693</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45693</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45693</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45693</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45693</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45693</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45693</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45693</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45693</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45693</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45693</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45693</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45693</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45693</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45693</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45693</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45693</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45693</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45693</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45693</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45693</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45693</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45693</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45693</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45693</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45693</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45693</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45693</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45693</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45693</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45693</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45693</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45693</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45693</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45693</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45693</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45693</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45693</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45693</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45693</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45693</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45693</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45693</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45693</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45693</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45693</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45693</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45693</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45693</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45693</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45693</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45693</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45693</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45693</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45693</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45693</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45693</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45693</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45693</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45693</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45693</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45693</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45693</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45693</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45693</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45693</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45693</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45693</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45693</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45693</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45693</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45693</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45693</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45693</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45693</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45693</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45693</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45693</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45693</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45693</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45693</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45693</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45693</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45693</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45693</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45693</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45693</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45693</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45693</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45693</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45693</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45693</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45693</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45693</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45693</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45693</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45693</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45693</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45693</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45693</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45693</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45693</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45693</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45693</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45693</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45693</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45693</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45693</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45693</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45693</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45693</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45693</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45693</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45693</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45693</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45693</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45693</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45693</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45693</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45693</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45693</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45693</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45693</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45693</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45693</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45693</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45693</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45693</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45693</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45693</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45693</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45693</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45693</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45693</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45693</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45693</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45693</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45693</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45693</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45693</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45693</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45693</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45693</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45693</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45693</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45693</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45693</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45693</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45693</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45693</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45693</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45693</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45693</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45693</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45693</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45693</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45693</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45693</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45693</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45693</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45693</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45693</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45693</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45693</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45693</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45693</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45693</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45693</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45693</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45693</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45693</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45693</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45693</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45693</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45693</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45693</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45693</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45693</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45693</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45693</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45693</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45693</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45693</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45693</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45693</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45693</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45693</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45693</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45693</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45693</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45693</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45693</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45693</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45693</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45693</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45693</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45693</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45693</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45693</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45693</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45693</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45693</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45693</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45693</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45693</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45693</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45693</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45693</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45693</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45693</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45693</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45693</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45693</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45693</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45693</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45693</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45693</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45693</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45693</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45693</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45693</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45693</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45693</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45693</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45693</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45693</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45693</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45693</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45693</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45693</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45693</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45693</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45693</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45693</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45693</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45693</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45693</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45693</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45693</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45693</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45693</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45693</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45693</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45693</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45693</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45693</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45693</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45693</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45693</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45693</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45693</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45693</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45693</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45693</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45693</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45693</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45693</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45693</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45693</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45693</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45693</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45693</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45693</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45693</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45693</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45693</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45693</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45693</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45693</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45693</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45693</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45693</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45693</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45693</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45693</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45693</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45693</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45693</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45693</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45693</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45693</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45693</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45693</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45693</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45693</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45693</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45693</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45693</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45693</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45693</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45693</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45693</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45693</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45693</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45693</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45693</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45693</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45693</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45693</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45693</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45693</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45693</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45693</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45693</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45693</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45693</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45693</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45693</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45693</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45693</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45693</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45693</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45693</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45693</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45693</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45693</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45693</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45693</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45693</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45693</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45693</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45693</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45693</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45693</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45693</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45693</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45693</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45693</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45693</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45693</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45693</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45693</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45693</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45693</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45693</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45693</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45693</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45693</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45693</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45693</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45693</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45693</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45693</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45693</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45693</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45693</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45693</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45693</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45693</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45693</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45693</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45693</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45693</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45693</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45693</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45693</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45693</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45693</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45693</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45693</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45693</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45693</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45693</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45693</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45693</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45693</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45693</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45693</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45693</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45693</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45693</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45693</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45693</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45693</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45693</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45693</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45693</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45693</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45693</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45693</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45693</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45693</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45693</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45693</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45693</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45693</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45693</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45693</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45693</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45693</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45693</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45693</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45693</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45693</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45693</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45693</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45693</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45693</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45693</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45693</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45693</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45693</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45693</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45693</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45693</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45693</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45693</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45693</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45693</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45693</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45693</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45693</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45693</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45693</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45693</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45693</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45693</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45693</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45693</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45693</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45693</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45693</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45693</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45693</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45693</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45693</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45693</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45693</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45693</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45693</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45693</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45693</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45693</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45693</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45693</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45693</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45693</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45693</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45693</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45693</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45693</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45693</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45693</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45693</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45693</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45693</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45693</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45693</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45693</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45693</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45693</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45693</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45693</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45693</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45693</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45693</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45693</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45693</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45693</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45693</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45693</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45693</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45693</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45693</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45693</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45693</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45693</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45693</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45693</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45693</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45693</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45693</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45693</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45693</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45693</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45693</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45693</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45693</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45693</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45693</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45693</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45693</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45693</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45693</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45693</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45693</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45693</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45693</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45693</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45693</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45693</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45693</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45693</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45693</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45693</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45693</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45693</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45693</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45693</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45693</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45693</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45693</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45693</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45693</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45693</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45693</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45693</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45693</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45693</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45693</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45693</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45693</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45693</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45693</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45693</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45693</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45693</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45693</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45693</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45693</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45693</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45693</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45693</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45693</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45693</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45693</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45693</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45693</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45693</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45693</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45693</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45693</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45693</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45693</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45693</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45693</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45693</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45693</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45693</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45693</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45693</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45693</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45693</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45693</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45693</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45693</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45693</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45693</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45693</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45693</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45693</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45693</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45693</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45693</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45693</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45693</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45693</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45693</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45693</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45693</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45693</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45693</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45693</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45693</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45693</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45693</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45693</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45693</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45693</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45693</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45693</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45693</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45693</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45693</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45693</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45693</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45693</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45693</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45693</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45693</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45693</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45693</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45693</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45693</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45693</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45693</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45693</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45693</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45693</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45693</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45693</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45693</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45693</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45693</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45693</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45693</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45693</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45693</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45693</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45693</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45693</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45693</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45693</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45693</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45693</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45693</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45693</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45693</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45693</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45693</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45693</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45693</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45693</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45693</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45693</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45693</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45693</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45693</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45693</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45693</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45693</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45693</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45693</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45693</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45693</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45693</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45693</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45693</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45693</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45693</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45693</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45693</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45693</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45693</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45693</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45693</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45693</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45693</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45693</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45693</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45693</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45693</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45693</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45693</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45693</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45693</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45693</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45693</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45693</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45693</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45693</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45693</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45693</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45693</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45693</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45693</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45693</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45693</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45693</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45693</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45693</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45693</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45693</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45693</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45693</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45693</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45693</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45693</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45693</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45693</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45693</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45693</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45693</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45693</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45693</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45693</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45693</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45693</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45693</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45693</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45693</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45693</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45693</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45693</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45693</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45693</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45693</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45693</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45693</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45693</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45693</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45693</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45693</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45693</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45693</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45693</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45693</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45693</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45693</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45693</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45693</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45693</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45693</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45693</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45693</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45693</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45693</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45693</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45693</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45693</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45693</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45693</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45693</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45693</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45693</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45693</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45693</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45693</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45693</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45693</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45693</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45693</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45693</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45693</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45693</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45693</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45693</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45693</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45693</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45693</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45693</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45693</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45693</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45693</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45693</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45693</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45693</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45693</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45693</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45693</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45693</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45693</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45693</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45693</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45693</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45693</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45693</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45693</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45693</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45693</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45693</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45693</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45693</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45693</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45693</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45693</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45693</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45693</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45693</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45693</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45693</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45693</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45693</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45693</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45693</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45693</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45693</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45693</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45693</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45693</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45693</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45693</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45693</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45693</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45693</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45693</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45693</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45693</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45693</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45693</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45693</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45693</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45693</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45693</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45693</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45693</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45693</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45693</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45693</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45693</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45693</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45693</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45693</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45693</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45693</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45693</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45693</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45693</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45693</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45693</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45693</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45693</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45693</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45693</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45693</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45693</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45693</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45693</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45693</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45693</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45693</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45693</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45693</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45693</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45693</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45693</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45693</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45693</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45693</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45693</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45693</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45693</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45693</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45693</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45693</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45693</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45693</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45693</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45693</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45693</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45693</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45693</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45693</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45693</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45693</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45693</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45693</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45693</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45693</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45693</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45693</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45693</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45693</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45693</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45693</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45693</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45693</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45693</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45693</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45693</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45693</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45693</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45693</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45693</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45693</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45693</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45693</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45693</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45693</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45693</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45693</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45693</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45693</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45693</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45693</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45693</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45693</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45693</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45693</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45693</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45693</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45693</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45693</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45693</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45693</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45693</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45693</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45693</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45693</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45693</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45693</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45693</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45693</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45693</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45693</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45693</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45693</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45693</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45693</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45693</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45693</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45693</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45693</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45693</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45693</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45693</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45693</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45693</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45693</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45693</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45693</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45693</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45693</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45693</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45693</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45693</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45693</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45693</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45693</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45693</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45693</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45693</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45693</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45693</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45693</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45693</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45693</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45693</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45693</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45693</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45693</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45693</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45693</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45693</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45693</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45693</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45693</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45693</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45693</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45693</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45693</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45693</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45693</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45693</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45693</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45693</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45693</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45693</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45693</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45693</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45693</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45693</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45693</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45693</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45693</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45693</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45693</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45693</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45693</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45693</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45693</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45693</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45693</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45693</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45693</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45693</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45693</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45693</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45693</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45693</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45693</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45693</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45693</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45693</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45693</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45693</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45693</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45693</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45693</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45693</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45693</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45693</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45693</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45693</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45693</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45693</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45693</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45693</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45693</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45693</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45693</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45693</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45693</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45693</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45693</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45693</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45693</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45693</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45693</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45693</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45693</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45693</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45693</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45693</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45693</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45693</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45693</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45693</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45693</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45693</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45693</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45693</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45693</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45693</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45693</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45693</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45693</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45693</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45693</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45693</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45693</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45693</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45693</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45693</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45693</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45693</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45693</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45693</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45693</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45693</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45693</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45693</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45693</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45693</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45693</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45693</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45693</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45693</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45693</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45693</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45693</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45693</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45693</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45693</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45693</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45693</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45693</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45693</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45693</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45693</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45693</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45693</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45693</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45693</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45693</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45693</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45693</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45693</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45693</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45693</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45693</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45693</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45693</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45693</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45693</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45693</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45693</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45693</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45693</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45693</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45693</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45693</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45693</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45693</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45693</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45693</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45693</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45693</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45693</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45693</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45693</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45693</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45693</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45693</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45693</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45693</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45693</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45693</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45693</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45693</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45693</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45693</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45693</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45693</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45693</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45693</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45693</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45693</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45693</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45693</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45693</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45693</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45693</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45693</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45693</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45693</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45693</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45693</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45693</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45693</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45693</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45693</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45693</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45693</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45693</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45693</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45693</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45693</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45693</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45693</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45693</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45693</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45693</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45693</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45693</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45693</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45693</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45693</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45693</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45693</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45693</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45693</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45693</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45693</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45693</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45693</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45693</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45693</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45693</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45693</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45693</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45693</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45693</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45693</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45693</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45693</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45693</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45693</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45693</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45693</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45693</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45693</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45693</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45693</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45693</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45693</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45693</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45693</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45693</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45693</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45693</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45693</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45693</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45693</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45693</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45693</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45693</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45693</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45693</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45693</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45693</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45693</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45693</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45693</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45693</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45693</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45693</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45693</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45693</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45693</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45693</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45693</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45693</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45693</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45693</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45693</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45693</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45693</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45693</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45693</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45693</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45693</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45693</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45693</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45693</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45693</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45693</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45693</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45693</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45693</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45693</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45693</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45693</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45693</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45693</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45693</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45693</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45693</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45693</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45693</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45693</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45693</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45693</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45693</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45693</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45693</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45693</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45693</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45693</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45693</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45693</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45693</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45693</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45693</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45693</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45693</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45693</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45693</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45693</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45693</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45693</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45693</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45693</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45693</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45693</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45693</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45693</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45693</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45693</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45693</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45693</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45693</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45693</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45693</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45693</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45693</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45693</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45693</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45693</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45693</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45693</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45693</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45693</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45693</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45693</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45693</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45693</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45693</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45693</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45693</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45693</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45693</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45693</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45693</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45693</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45693</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45693</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45693</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45693</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45693</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45693</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45693</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45693</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45693</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45693</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45693</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45693</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45693</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45693</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45693</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45693</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45693</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45693</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45693</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45693</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45693</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45693</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45693</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45693</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45693</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45693</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45693</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45693</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45693</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45693</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45693</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45693</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45693</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45693</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45693</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45693</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45693</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45693</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45693</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45693</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45693</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45693</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45693</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45693</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45693</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45693</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45693</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45693</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45693</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45693</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45693</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45693</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45693</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45693</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45693</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45693</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45693</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45693</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45693</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45693</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45693</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45693</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45693</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45693</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45693</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45693</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45693</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45693</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45693</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45693</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45693</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45693</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45693</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45693</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45693</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45693</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45693</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45693</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45693</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45693</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45693</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45693</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45693</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45693</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45693</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45693</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45693</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45693</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45693</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45693</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45693</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45693</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45693</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45693</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45693</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45693</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45693</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45693</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45693</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45693</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45693</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45693</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45693</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45693</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45693</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45693</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45693</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45693</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45693</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45693</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45693</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45693</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45693</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45693</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45693</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45693</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45693</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45693</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45693</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45693</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45693</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45693</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45693</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45693</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45693</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45693</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45693</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45693</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45693</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45693</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45693</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45693</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45693</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45693</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45693</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45693</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45693</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45693</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45693</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45693</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45693</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45693</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45693</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45693</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45693</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45693</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45693</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45693</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45693</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45693</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45693</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45693</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45693</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45693</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45693</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45693</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45693</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45693</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45693</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45693</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45693</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45693</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45693</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45693</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45693</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45693</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45693</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45693</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45693</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45693</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45693</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45693</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45693</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45693</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45693</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45693</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45693</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45693</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45693</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45693</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45693</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45693</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45693</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45693</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45693</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45693</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45693</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45693</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45693</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45693</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45693</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45693</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45693</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45693</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45693</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45693</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45693</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45693</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45693</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45693</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45693</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45693</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45693</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45693</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45693</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45693</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45693</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45693</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45693</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45693</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45693</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45693</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45693</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45693</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45693</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45693</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45693</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45693</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45693</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45693</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45693</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45693</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45693</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45693</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45693</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45693</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45693</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45693</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45693</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45693</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45693</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45693</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45693</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45693</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45693</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45693</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45693</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45693</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45693</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45693</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45693</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45693</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45693</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45693</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45693</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45693</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45693</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45693</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45693</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45693</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45693</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45693</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45693</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45693</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45693</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45693</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45693</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45693</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45693</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45693</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45693</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45693</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45693</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45693</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45693</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45693</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45693</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45693</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45693</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45693</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45693</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45693</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45693</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45693</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45693</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45693</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45693</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45693</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45693</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45693</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45693</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45693</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45693</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45693</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45693</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45693</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45693</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45693</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45693</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45693</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45693</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45693</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45693</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45693</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45693</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45693</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45693</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45693</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45693</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45693</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45693</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45693</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45693</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45693</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45693</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45693</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45693</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45693</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45693</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45693</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45693</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45693</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45693</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45693</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45693</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45693</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45693</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45693</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45693</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45693</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45693</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45693</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45693</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45693</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45693</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45693</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45693</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45693</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45693</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45693</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45693</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45693</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45693</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45693</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45693</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45693</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45693</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45693</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45693</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45693</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45693</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45693</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45693</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45693</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45693</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45693</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45693</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45693</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45693</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45693</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45693</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45693</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45693</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45693</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45693</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45693</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45693</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45693</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45693</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45693</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45693</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45693</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45693</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45693</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45693</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45693</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45693</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45693</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45693</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45693</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45693</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45693</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45693</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45693</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45693</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45693</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45693</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45693</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45693</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45693</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45693</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45693</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45693</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45693</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45693</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45693</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45693</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45693</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45693</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45693</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45693</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45693</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45693</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45693</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45693</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45693</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45693</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45693</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45693</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45693</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45693</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45693</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45693</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45693</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45693</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45693</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45693</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45693</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45693</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45693</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45693</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45693</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45693</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45693</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45693</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45693</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45693</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45693</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45693</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45693</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45693</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45693</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45693</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45693</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45693</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45693</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45693</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45693</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45693</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45693</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45693</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45693</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45693</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45693</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45693</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45693</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45693</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45693</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45693</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45693</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45693</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45693</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45693</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45693</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45693</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45693</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45693</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45693</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45693</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45693</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45693</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45693</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45693</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45693</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45693</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45693</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45693</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45693</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45693</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45693</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45693</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45693</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45693</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45693</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45693</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45693</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45693</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45693</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45693</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45693</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45693</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45693</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45693</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45693</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45693</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45693</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45693</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45693</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45693</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45693</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45693</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45693</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45693</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45693</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45693</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45693</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45693</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45693</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45693</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45693</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45693</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45693</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45693</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45693</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45693</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45693</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45693</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45693</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45693</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45693</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45693</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45693</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45693</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45693</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45693</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45693</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45693</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45693</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45693</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45693</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45693</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45693</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45693</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45693</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45693</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45693</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45693</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45693</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45693</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45693</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45693</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45693</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45693</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45693</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45693</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45693</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45693</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45693</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45693</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45693</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45693</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45693</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45693</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45693</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45693</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45693</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45693</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45693</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45693</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45693</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45693</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45693</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45693</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45693</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45693</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45693</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45693</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45693</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45693</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45693</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45693</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45693</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45693</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45693</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45693</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45693</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45693</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45693</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45693</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45693</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45693</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45693</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45693</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45693</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45693</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45693</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45693</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45693</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45693</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45693</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45693</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45693</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45693</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45693</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45693</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45693</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45693</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45693</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45693</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45693</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45693</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45693</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45693</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45693</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45693</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45693</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45693</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45693</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45693</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45693</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45693</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45693</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45693</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45693</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45693</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45693</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45693</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45693</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45693</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45693</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45693</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45693</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45693</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45693</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45693</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45693</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45693</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45693</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45693</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45693</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45693</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45693</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45693</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45693</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45693</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45693</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45693</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45693</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45693</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45693</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45693</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45693</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45693</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45693</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45693</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45693</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45693</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45693</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45693</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45693</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45693</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45693</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45693</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45693</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45693</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45693</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45693</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45693</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45693</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45693</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45693</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45693</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45693</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45693</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45693</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45693</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45693</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45693</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45693</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45693</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45693</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45693</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45693</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45693</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45693</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45693</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45693</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45693</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45693</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45693</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45693</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45693</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45693</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45693</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45693</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45693</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45693</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45693</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45693</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45693</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45693</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45693</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45693</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45693</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45693</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45693</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45693</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45693</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45693</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45693</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45693</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45693</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45693</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45693</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45693</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45693</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45693</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45693</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45693</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45693</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45693</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45693</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45693</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45693</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45693</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45693</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45693</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45693</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45693</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45693</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45693</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45693</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45693</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45693</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45693</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45693</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45693</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45693</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45693</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45693</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45693</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45693</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45693</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45693</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45693</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45693</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45693</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45693</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45693</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45693</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45693</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45693</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45693</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45693</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45693</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45693</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45693</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45693</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45693</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45693</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45693</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45693</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45693</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45693</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45693</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45693</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45693</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45693</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45693</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45693</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45693</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45693</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45693</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45693</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45693</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45693</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45693</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45693</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45693</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45693</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45693</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45693</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45693</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45693</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45693</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45693</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45693</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45693</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45693</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45693</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45693</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45693</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45693</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45693</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45693</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45693</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45693</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45693</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45693</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45693</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45693</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45693</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45693</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45693</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45693</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45693</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45693</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45693</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45693</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45693</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45693</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45693</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45693</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45693</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45693</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45693</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45693</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45693</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45693</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45693</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45693</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45693</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45693</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45693</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45693</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45693</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45693</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45693</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45693</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45693</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45693</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45693</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45693</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45693</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45693</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45693</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45693</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45693</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45693</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45693</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45693</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45693</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45693</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45693</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45693</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45693</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45693</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45693</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45693</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45693</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45693</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45693</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45693</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45693</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45693</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45693</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45693</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45693</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45693</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45693</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45693</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45693</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45693</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45693</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45693</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45693</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45693</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45693</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45693</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45693</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45693</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45693</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45693</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45693</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45693</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45693</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45693</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45693</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45693</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45693</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45693</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45693</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45693</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45693</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45693</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45693</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45693</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45693</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45693</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45693</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45693</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45693</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45693</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45693</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45693</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45693</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45693</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45693</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45693</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45693</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45693</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45693</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45693</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45693</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45693</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45693</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45693</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45693</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45693</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45693</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45693</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45693</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45693</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45693</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45693</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45693</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45693</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45693</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45693</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45693</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45693</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45693</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45693</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45693</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45693</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45693</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45693</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45693</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45693</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45693</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45693</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45693</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45693</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45693</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45693</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45693</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45693</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45693</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45693</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45693</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45693</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45693</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45693</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45693</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45693</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45693</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45693</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45693</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45693</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45693</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45693</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45693</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45693</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45693</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45693</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45693</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45693</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45693</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45693</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45693</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45693</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45693</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45693</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45693</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45693</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45693</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45693</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45693</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45693</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45693</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45693</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45693</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45693</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45693</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45693</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45693</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45693</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45693</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45693</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45693</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45693</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45693</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45693</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45693</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45693</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45693</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45693</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45693</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45693</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45693</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45693</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45693</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45693</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45693</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45693</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45693</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45693</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45693</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45693</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45693</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45693</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45693</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45693</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45693</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45693</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45693</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45693</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45693</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45693</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45693</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45693</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45693</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45693</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45693</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45693</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45693</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45693</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45693</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45693</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45693</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45693</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45693</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45693</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45693</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45693</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45693</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45693</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45693</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45693</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45693</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45693</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45693</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45693</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45693</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45693</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45693</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45693</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45693</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45693</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45693</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45693</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45693</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45693</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45693</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45693</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45693</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45693</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45693</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45693</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45693</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45693</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45693</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45693</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45693</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45693</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45693</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45693</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45693</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45693</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45693</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45693</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45693</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45693</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45693</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45693</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45693</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45693</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45693</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45693</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45693</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45693</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45693</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45693</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45693</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45693</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45693</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45693</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45693</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45693</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45693</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45693</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45693</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45693</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45693</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45693</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45693</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45693</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45693</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45693</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45693</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45693</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45693</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45693</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45693</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45693</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45693</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45693</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45693</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45693</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45693</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45693</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45693</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45693</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45693</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45693</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45693</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45693</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45693</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45693</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45693</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45693</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45693</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45693</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45693</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45693</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45693</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45693</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45693</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45693</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45693</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45693</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45693</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45693</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45693</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45693</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45693</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45693</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45693</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45693</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45693</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45693</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45693</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45693</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45693</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45693</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45693</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45693</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45693</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45693</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45693</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45693</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45693</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45693</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45693</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45693</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45693</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45693</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45693</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45693</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45693</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45693</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45693</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45693</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45693</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45693</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45693</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45693</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45693</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45693</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45693</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45693</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45693</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45693</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45693</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45693</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45693</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45693</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45693</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45693</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45693</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45693</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45693</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45693</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45693</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45693</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45693</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45693</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45693</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45693</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45693</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45693</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45693</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45693</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45693</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45693</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45693</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45693</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45693</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45693</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45693</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45693</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45693</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45693</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45693</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45693</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45693</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45693</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45693</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45693</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45693</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45693</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45693</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45693</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45693</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45693</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45693</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45693</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45693</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45693</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45693</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45693</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45693</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45693</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45693</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45693</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45693</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45693</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45693</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45693</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45693</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45693</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45693</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45693</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45693</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45693</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45693</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45693</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45693</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45693</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45693</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45693</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45693</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45693</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45693</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45693</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45693</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45693</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45693</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45693</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45693</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45693</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45693</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45693</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45693</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45693</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45693</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45693</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45693</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45693</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45693</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45693</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45693</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45693</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45693</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45693</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45693</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45693</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45693</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45693</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45693</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45693</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45693</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45693</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45693</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45693</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45693</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45693</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45693</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45693</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45693</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45693</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45693</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45693</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45693</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45693</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45693</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45693</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45693</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45693</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45693</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45693</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45693</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45693</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45693</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45693</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45693</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45693</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45693</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45693</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45693</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45693</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45693</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45693</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45693</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45693</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45693</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45693</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45693</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45693</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45693</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45693</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45693</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45693</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45693</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45693</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45693</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45693</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45693</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45693</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45693</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45693</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45693</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45693</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45693</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45693</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45693</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45693</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45693</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45693</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45693</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45693</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45693</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45693</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45693</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45693</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45693</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45693</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45693</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45693</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45693</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45693</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45693</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45693</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45693</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45693</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45693</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45693</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45693</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45693</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45693</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45693</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45693</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45693</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45693</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45693</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45693</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45693</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45693</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45693</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45693</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45693</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45693</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45693</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45693</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45693</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45693</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45693</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45693</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45693</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45693</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45693</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45693</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45693</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45693</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45693</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45693</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45693</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45693</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652-2025</t>
        </is>
      </c>
      <c r="B3948" s="1" t="n">
        <v>45664</v>
      </c>
      <c r="C3948" s="1" t="n">
        <v>45693</v>
      </c>
      <c r="D3948" t="inlineStr">
        <is>
          <t>STOCKHOLMS LÄN</t>
        </is>
      </c>
      <c r="E3948" t="inlineStr">
        <is>
          <t>NORRTÄLJE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45693</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45693</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45693</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1240-2025</t>
        </is>
      </c>
      <c r="B3952" s="1" t="n">
        <v>45667</v>
      </c>
      <c r="C3952" s="1" t="n">
        <v>45693</v>
      </c>
      <c r="D3952" t="inlineStr">
        <is>
          <t>STOCKHOLMS LÄN</t>
        </is>
      </c>
      <c r="E3952" t="inlineStr">
        <is>
          <t>BOTKYRKA</t>
        </is>
      </c>
      <c r="F3952" t="inlineStr">
        <is>
          <t>Övriga Aktiebolag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1283-2025</t>
        </is>
      </c>
      <c r="B3953" s="1" t="n">
        <v>45667</v>
      </c>
      <c r="C3953" s="1" t="n">
        <v>45693</v>
      </c>
      <c r="D3953" t="inlineStr">
        <is>
          <t>STOCKHOLMS LÄN</t>
        </is>
      </c>
      <c r="E3953" t="inlineStr">
        <is>
          <t>NORRTÄLJE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1360-2025</t>
        </is>
      </c>
      <c r="B3954" s="1" t="n">
        <v>45667</v>
      </c>
      <c r="C3954" s="1" t="n">
        <v>45693</v>
      </c>
      <c r="D3954" t="inlineStr">
        <is>
          <t>STOCKHOLMS LÄN</t>
        </is>
      </c>
      <c r="E3954" t="inlineStr">
        <is>
          <t>NORRTÄLJE</t>
        </is>
      </c>
      <c r="F3954" t="inlineStr">
        <is>
          <t>Kyrkan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45693</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1453-2025</t>
        </is>
      </c>
      <c r="B3956" s="1" t="n">
        <v>45670</v>
      </c>
      <c r="C3956" s="1" t="n">
        <v>45693</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45693</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1628-2025</t>
        </is>
      </c>
      <c r="B3958" s="1" t="n">
        <v>45670</v>
      </c>
      <c r="C3958" s="1" t="n">
        <v>45693</v>
      </c>
      <c r="D3958" t="inlineStr">
        <is>
          <t>STOCKHOLMS LÄN</t>
        </is>
      </c>
      <c r="E3958" t="inlineStr">
        <is>
          <t>SIGTUNA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1890-2025</t>
        </is>
      </c>
      <c r="B3959" s="1" t="n">
        <v>45671</v>
      </c>
      <c r="C3959" s="1" t="n">
        <v>45693</v>
      </c>
      <c r="D3959" t="inlineStr">
        <is>
          <t>STOCKHOLMS LÄN</t>
        </is>
      </c>
      <c r="E3959" t="inlineStr">
        <is>
          <t>NORRTÄLJE</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1759-2025</t>
        </is>
      </c>
      <c r="B3960" s="1" t="n">
        <v>45671</v>
      </c>
      <c r="C3960" s="1" t="n">
        <v>45693</v>
      </c>
      <c r="D3960" t="inlineStr">
        <is>
          <t>STOCKHOLMS LÄN</t>
        </is>
      </c>
      <c r="E3960" t="inlineStr">
        <is>
          <t>SÖDERTÄLJE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45693</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2127-2025</t>
        </is>
      </c>
      <c r="B3962" s="1" t="n">
        <v>45672</v>
      </c>
      <c r="C3962" s="1" t="n">
        <v>45693</v>
      </c>
      <c r="D3962" t="inlineStr">
        <is>
          <t>STOCKHOLMS LÄN</t>
        </is>
      </c>
      <c r="E3962" t="inlineStr">
        <is>
          <t>NORRTÄLJE</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2153-2025</t>
        </is>
      </c>
      <c r="B3963" s="1" t="n">
        <v>45672</v>
      </c>
      <c r="C3963" s="1" t="n">
        <v>45693</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45693</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2898-2025</t>
        </is>
      </c>
      <c r="B3965" s="1" t="n">
        <v>45677</v>
      </c>
      <c r="C3965" s="1" t="n">
        <v>45693</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2896-2025</t>
        </is>
      </c>
      <c r="B3966" s="1" t="n">
        <v>45677</v>
      </c>
      <c r="C3966" s="1" t="n">
        <v>45693</v>
      </c>
      <c r="D3966" t="inlineStr">
        <is>
          <t>STOCKHOLMS LÄN</t>
        </is>
      </c>
      <c r="E3966" t="inlineStr">
        <is>
          <t>SIGTUNA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45693</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3117-2025</t>
        </is>
      </c>
      <c r="B3968" s="1" t="n">
        <v>45678</v>
      </c>
      <c r="C3968" s="1" t="n">
        <v>45693</v>
      </c>
      <c r="D3968" t="inlineStr">
        <is>
          <t>STOCKHOLMS LÄN</t>
        </is>
      </c>
      <c r="E3968" t="inlineStr">
        <is>
          <t>NORRTÄLJE</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3021-2025</t>
        </is>
      </c>
      <c r="B3969" s="1" t="n">
        <v>45678</v>
      </c>
      <c r="C3969" s="1" t="n">
        <v>45693</v>
      </c>
      <c r="D3969" t="inlineStr">
        <is>
          <t>STOCKHOLMS LÄN</t>
        </is>
      </c>
      <c r="E3969" t="inlineStr">
        <is>
          <t>BOTKYRKA</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45693</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3189-2025</t>
        </is>
      </c>
      <c r="B3971" s="1" t="n">
        <v>45679</v>
      </c>
      <c r="C3971" s="1" t="n">
        <v>45693</v>
      </c>
      <c r="D3971" t="inlineStr">
        <is>
          <t>STOCKHOLMS LÄN</t>
        </is>
      </c>
      <c r="E3971" t="inlineStr">
        <is>
          <t>VALLENTUNA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45693</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3341-2025</t>
        </is>
      </c>
      <c r="B3973" s="1" t="n">
        <v>45679</v>
      </c>
      <c r="C3973" s="1" t="n">
        <v>45693</v>
      </c>
      <c r="D3973" t="inlineStr">
        <is>
          <t>STOCKHOLMS LÄN</t>
        </is>
      </c>
      <c r="E3973" t="inlineStr">
        <is>
          <t>NYNÄSHAMN</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3283-2025</t>
        </is>
      </c>
      <c r="B3974" s="1" t="n">
        <v>45679</v>
      </c>
      <c r="C3974" s="1" t="n">
        <v>45693</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3426-2025</t>
        </is>
      </c>
      <c r="B3975" s="1" t="n">
        <v>45680</v>
      </c>
      <c r="C3975" s="1" t="n">
        <v>45693</v>
      </c>
      <c r="D3975" t="inlineStr">
        <is>
          <t>STOCKHOLMS LÄN</t>
        </is>
      </c>
      <c r="E3975" t="inlineStr">
        <is>
          <t>NORRTÄLJE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3462-2025</t>
        </is>
      </c>
      <c r="B3976" s="1" t="n">
        <v>45680</v>
      </c>
      <c r="C3976" s="1" t="n">
        <v>45693</v>
      </c>
      <c r="D3976" t="inlineStr">
        <is>
          <t>STOCKHOLMS LÄN</t>
        </is>
      </c>
      <c r="E3976" t="inlineStr">
        <is>
          <t>SÖDERTÄLJE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45693</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45693</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45693</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45693</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4195-2025</t>
        </is>
      </c>
      <c r="B3981" s="1" t="n">
        <v>45685</v>
      </c>
      <c r="C3981" s="1" t="n">
        <v>45693</v>
      </c>
      <c r="D3981" t="inlineStr">
        <is>
          <t>STOCKHOLMS LÄN</t>
        </is>
      </c>
      <c r="E3981" t="inlineStr">
        <is>
          <t>NORRTÄLJE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4219-2025</t>
        </is>
      </c>
      <c r="B3982" s="1" t="n">
        <v>45685</v>
      </c>
      <c r="C3982" s="1" t="n">
        <v>45693</v>
      </c>
      <c r="D3982" t="inlineStr">
        <is>
          <t>STOCKHOLMS LÄN</t>
        </is>
      </c>
      <c r="E3982" t="inlineStr">
        <is>
          <t>NYNÄSHAMN</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4148-2025</t>
        </is>
      </c>
      <c r="B3983" s="1" t="n">
        <v>45685</v>
      </c>
      <c r="C3983" s="1" t="n">
        <v>45693</v>
      </c>
      <c r="D3983" t="inlineStr">
        <is>
          <t>STOCKHOLMS LÄN</t>
        </is>
      </c>
      <c r="E3983" t="inlineStr">
        <is>
          <t>NORRTÄLJE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4164-2025</t>
        </is>
      </c>
      <c r="B3984" s="1" t="n">
        <v>45685</v>
      </c>
      <c r="C3984" s="1" t="n">
        <v>45693</v>
      </c>
      <c r="D3984" t="inlineStr">
        <is>
          <t>STOCKHOLMS LÄN</t>
        </is>
      </c>
      <c r="E3984" t="inlineStr">
        <is>
          <t>NORRTÄLJE</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4183-2025</t>
        </is>
      </c>
      <c r="B3985" s="1" t="n">
        <v>45685</v>
      </c>
      <c r="C3985" s="1" t="n">
        <v>45693</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45693</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4484-2025</t>
        </is>
      </c>
      <c r="B3987" s="1" t="n">
        <v>45686</v>
      </c>
      <c r="C3987" s="1" t="n">
        <v>45693</v>
      </c>
      <c r="D3987" t="inlineStr">
        <is>
          <t>STOCKHOLMS LÄN</t>
        </is>
      </c>
      <c r="E3987" t="inlineStr">
        <is>
          <t>NORRTÄLJE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4415-2025</t>
        </is>
      </c>
      <c r="B3988" s="1" t="n">
        <v>45686</v>
      </c>
      <c r="C3988" s="1" t="n">
        <v>45693</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4498-2025</t>
        </is>
      </c>
      <c r="B3989" s="1" t="n">
        <v>45686</v>
      </c>
      <c r="C3989" s="1" t="n">
        <v>45693</v>
      </c>
      <c r="D3989" t="inlineStr">
        <is>
          <t>STOCKHOLMS LÄN</t>
        </is>
      </c>
      <c r="E3989" t="inlineStr">
        <is>
          <t>NORRTÄLJE</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45693</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4581-2025</t>
        </is>
      </c>
      <c r="B3991" s="1" t="n">
        <v>45687</v>
      </c>
      <c r="C3991" s="1" t="n">
        <v>45693</v>
      </c>
      <c r="D3991" t="inlineStr">
        <is>
          <t>STOCKHOLMS LÄN</t>
        </is>
      </c>
      <c r="E3991" t="inlineStr">
        <is>
          <t>NORRTÄLJE</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45693</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45693</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45693</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45693</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5279-2025</t>
        </is>
      </c>
      <c r="B3996" s="1" t="n">
        <v>45692</v>
      </c>
      <c r="C3996" s="1" t="n">
        <v>45693</v>
      </c>
      <c r="D3996" t="inlineStr">
        <is>
          <t>STOCKHOLMS LÄN</t>
        </is>
      </c>
      <c r="E3996" t="inlineStr">
        <is>
          <t>ÖSTERÅKER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5389-2025</t>
        </is>
      </c>
      <c r="B3997" s="1" t="n">
        <v>45692</v>
      </c>
      <c r="C3997" s="1" t="n">
        <v>45693</v>
      </c>
      <c r="D3997" t="inlineStr">
        <is>
          <t>STOCKHOLMS LÄN</t>
        </is>
      </c>
      <c r="E3997" t="inlineStr">
        <is>
          <t>NORRTÄLJE</t>
        </is>
      </c>
      <c r="G3997" t="n">
        <v>0.8</v>
      </c>
      <c r="H3997" t="n">
        <v>0</v>
      </c>
      <c r="I3997" t="n">
        <v>0</v>
      </c>
      <c r="J3997" t="n">
        <v>0</v>
      </c>
      <c r="K3997" t="n">
        <v>0</v>
      </c>
      <c r="L3997" t="n">
        <v>0</v>
      </c>
      <c r="M3997" t="n">
        <v>0</v>
      </c>
      <c r="N3997" t="n">
        <v>0</v>
      </c>
      <c r="O3997" t="n">
        <v>0</v>
      </c>
      <c r="P3997" t="n">
        <v>0</v>
      </c>
      <c r="Q3997" t="n">
        <v>0</v>
      </c>
      <c r="R3997" s="2" t="inlineStr"/>
    </row>
    <row r="3998">
      <c r="A3998" t="inlineStr">
        <is>
          <t>A 5286-2025</t>
        </is>
      </c>
      <c r="B3998" s="1" t="n">
        <v>45692</v>
      </c>
      <c r="C3998" s="1" t="n">
        <v>45693</v>
      </c>
      <c r="D3998" t="inlineStr">
        <is>
          <t>STOCKHOLMS LÄN</t>
        </is>
      </c>
      <c r="E3998" t="inlineStr">
        <is>
          <t>ÖSTERÅKER</t>
        </is>
      </c>
      <c r="G3998" t="n">
        <v>11.2</v>
      </c>
      <c r="H3998" t="n">
        <v>0</v>
      </c>
      <c r="I3998" t="n">
        <v>0</v>
      </c>
      <c r="J3998" t="n">
        <v>0</v>
      </c>
      <c r="K3998" t="n">
        <v>0</v>
      </c>
      <c r="L3998" t="n">
        <v>0</v>
      </c>
      <c r="M3998" t="n">
        <v>0</v>
      </c>
      <c r="N3998" t="n">
        <v>0</v>
      </c>
      <c r="O3998" t="n">
        <v>0</v>
      </c>
      <c r="P3998" t="n">
        <v>0</v>
      </c>
      <c r="Q3998" t="n">
        <v>0</v>
      </c>
      <c r="R3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2025-02-05T16:18:31Z</dcterms:created>
  <dcterms:modified xmlns:dcterms="http://purl.org/dc/terms/" xmlns:xsi="http://www.w3.org/2001/XMLSchema-instance" xsi:type="dcterms:W3CDTF">2025-02-05T16:18:34Z</dcterms:modified>
</cp:coreProperties>
</file>
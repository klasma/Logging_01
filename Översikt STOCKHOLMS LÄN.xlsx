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46033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46033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46033</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46033</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46033</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46033</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46033</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46033</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46033</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46033</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21837-2025</t>
        </is>
      </c>
      <c r="B23" s="1" t="n">
        <v>45784.32179398148</v>
      </c>
      <c r="C23" s="1" t="n">
        <v>46033</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46033</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46033</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60941-2025</t>
        </is>
      </c>
      <c r="B26" s="1" t="n">
        <v>45999.64359953703</v>
      </c>
      <c r="C26" s="1" t="n">
        <v>46033</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56024-2025</t>
        </is>
      </c>
      <c r="B27" s="1" t="n">
        <v>45973</v>
      </c>
      <c r="C27" s="1" t="n">
        <v>46033</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67868-2021</t>
        </is>
      </c>
      <c r="B28" s="1" t="n">
        <v>44525</v>
      </c>
      <c r="C28" s="1" t="n">
        <v>46033</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3152-2025</t>
        </is>
      </c>
      <c r="B29" s="1" t="n">
        <v>45679</v>
      </c>
      <c r="C29" s="1" t="n">
        <v>46033</v>
      </c>
      <c r="D29" t="inlineStr">
        <is>
          <t>STOCKHOLMS LÄN</t>
        </is>
      </c>
      <c r="E29" t="inlineStr">
        <is>
          <t>HANINGE</t>
        </is>
      </c>
      <c r="G29" t="n">
        <v>2.2</v>
      </c>
      <c r="H29" t="n">
        <v>9</v>
      </c>
      <c r="I29" t="n">
        <v>9</v>
      </c>
      <c r="J29" t="n">
        <v>6</v>
      </c>
      <c r="K29" t="n">
        <v>2</v>
      </c>
      <c r="L29" t="n">
        <v>0</v>
      </c>
      <c r="M29" t="n">
        <v>0</v>
      </c>
      <c r="N29" t="n">
        <v>0</v>
      </c>
      <c r="O29" t="n">
        <v>8</v>
      </c>
      <c r="P29" t="n">
        <v>2</v>
      </c>
      <c r="Q29" t="n">
        <v>21</v>
      </c>
      <c r="R29"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9">
        <f>HYPERLINK("https://klasma.github.io/Logging_0136/artfynd/A 3152-2025 artfynd.xlsx", "A 3152-2025")</f>
        <v/>
      </c>
      <c r="T29">
        <f>HYPERLINK("https://klasma.github.io/Logging_0136/kartor/A 3152-2025 karta.png", "A 3152-2025")</f>
        <v/>
      </c>
      <c r="U29">
        <f>HYPERLINK("https://klasma.github.io/Logging_0136/knärot/A 3152-2025 karta knärot.png", "A 3152-2025")</f>
        <v/>
      </c>
      <c r="V29">
        <f>HYPERLINK("https://klasma.github.io/Logging_0136/klagomål/A 3152-2025 FSC-klagomål.docx", "A 3152-2025")</f>
        <v/>
      </c>
      <c r="W29">
        <f>HYPERLINK("https://klasma.github.io/Logging_0136/klagomålsmail/A 3152-2025 FSC-klagomål mail.docx", "A 3152-2025")</f>
        <v/>
      </c>
      <c r="X29">
        <f>HYPERLINK("https://klasma.github.io/Logging_0136/tillsyn/A 3152-2025 tillsynsbegäran.docx", "A 3152-2025")</f>
        <v/>
      </c>
      <c r="Y29">
        <f>HYPERLINK("https://klasma.github.io/Logging_0136/tillsynsmail/A 3152-2025 tillsynsbegäran mail.docx", "A 3152-2025")</f>
        <v/>
      </c>
      <c r="Z29">
        <f>HYPERLINK("https://klasma.github.io/Logging_0136/fåglar/A 3152-2025 prioriterade fågelarter.docx", "A 3152-2025")</f>
        <v/>
      </c>
    </row>
    <row r="30" ht="15" customHeight="1">
      <c r="A30" t="inlineStr">
        <is>
          <t>A 44309-2025</t>
        </is>
      </c>
      <c r="B30" s="1" t="n">
        <v>45916.38128472222</v>
      </c>
      <c r="C30" s="1" t="n">
        <v>46033</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46033</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46033</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46033</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46033</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46033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46033</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46033</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46033</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46033</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46033</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46033</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46033</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46033</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21927-2025</t>
        </is>
      </c>
      <c r="B44" s="1" t="n">
        <v>45784.54878472222</v>
      </c>
      <c r="C44" s="1" t="n">
        <v>46033</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46004-2023</t>
        </is>
      </c>
      <c r="B45" s="1" t="n">
        <v>45196</v>
      </c>
      <c r="C45" s="1" t="n">
        <v>46033</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56792-2025</t>
        </is>
      </c>
      <c r="B46" s="1" t="n">
        <v>45978</v>
      </c>
      <c r="C46" s="1" t="n">
        <v>46033</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639-2026</t>
        </is>
      </c>
      <c r="B47" s="1" t="n">
        <v>46029</v>
      </c>
      <c r="C47" s="1" t="n">
        <v>46033</v>
      </c>
      <c r="D47" t="inlineStr">
        <is>
          <t>STOCKHOLMS LÄN</t>
        </is>
      </c>
      <c r="E47" t="inlineStr">
        <is>
          <t>NORRTÄLJE</t>
        </is>
      </c>
      <c r="G47" t="n">
        <v>24.7</v>
      </c>
      <c r="H47" t="n">
        <v>12</v>
      </c>
      <c r="I47" t="n">
        <v>0</v>
      </c>
      <c r="J47" t="n">
        <v>5</v>
      </c>
      <c r="K47" t="n">
        <v>1</v>
      </c>
      <c r="L47" t="n">
        <v>0</v>
      </c>
      <c r="M47" t="n">
        <v>0</v>
      </c>
      <c r="N47" t="n">
        <v>0</v>
      </c>
      <c r="O47" t="n">
        <v>6</v>
      </c>
      <c r="P47" t="n">
        <v>1</v>
      </c>
      <c r="Q47" t="n">
        <v>12</v>
      </c>
      <c r="R47" s="2" t="inlineStr">
        <is>
          <t>Stare
Entita
Gulsparv
Nordfladdermus
Rödvingetrast
Talltita
Enkelbeckasin
Grönsiska
Järnsparv
Kungsfågel
Större brunfladdermus
Blåsippa</t>
        </is>
      </c>
      <c r="S47">
        <f>HYPERLINK("https://klasma.github.io/Logging_0188/artfynd/A 639-2026 artfynd.xlsx", "A 639-2026")</f>
        <v/>
      </c>
      <c r="T47">
        <f>HYPERLINK("https://klasma.github.io/Logging_0188/kartor/A 639-2026 karta.png", "A 639-2026")</f>
        <v/>
      </c>
      <c r="V47">
        <f>HYPERLINK("https://klasma.github.io/Logging_0188/klagomål/A 639-2026 FSC-klagomål.docx", "A 639-2026")</f>
        <v/>
      </c>
      <c r="W47">
        <f>HYPERLINK("https://klasma.github.io/Logging_0188/klagomålsmail/A 639-2026 FSC-klagomål mail.docx", "A 639-2026")</f>
        <v/>
      </c>
      <c r="X47">
        <f>HYPERLINK("https://klasma.github.io/Logging_0188/tillsyn/A 639-2026 tillsynsbegäran.docx", "A 639-2026")</f>
        <v/>
      </c>
      <c r="Y47">
        <f>HYPERLINK("https://klasma.github.io/Logging_0188/tillsynsmail/A 639-2026 tillsynsbegäran mail.docx", "A 639-2026")</f>
        <v/>
      </c>
      <c r="Z47">
        <f>HYPERLINK("https://klasma.github.io/Logging_0188/fåglar/A 639-2026 prioriterade fågelarter.docx", "A 639-2026")</f>
        <v/>
      </c>
    </row>
    <row r="48" ht="15" customHeight="1">
      <c r="A48" t="inlineStr">
        <is>
          <t>A 22924-2025</t>
        </is>
      </c>
      <c r="B48" s="1" t="n">
        <v>45790.4418287037</v>
      </c>
      <c r="C48" s="1" t="n">
        <v>46033</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46033</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3472-2023</t>
        </is>
      </c>
      <c r="B50" s="1" t="n">
        <v>44949</v>
      </c>
      <c r="C50" s="1" t="n">
        <v>46033</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3155-2025</t>
        </is>
      </c>
      <c r="B51" s="1" t="n">
        <v>45679.31876157408</v>
      </c>
      <c r="C51" s="1" t="n">
        <v>46033</v>
      </c>
      <c r="D51" t="inlineStr">
        <is>
          <t>STOCKHOLMS LÄN</t>
        </is>
      </c>
      <c r="E51" t="inlineStr">
        <is>
          <t>HANINGE</t>
        </is>
      </c>
      <c r="G51" t="n">
        <v>17.7</v>
      </c>
      <c r="H51" t="n">
        <v>3</v>
      </c>
      <c r="I51" t="n">
        <v>6</v>
      </c>
      <c r="J51" t="n">
        <v>4</v>
      </c>
      <c r="K51" t="n">
        <v>0</v>
      </c>
      <c r="L51" t="n">
        <v>0</v>
      </c>
      <c r="M51" t="n">
        <v>0</v>
      </c>
      <c r="N51" t="n">
        <v>0</v>
      </c>
      <c r="O51" t="n">
        <v>4</v>
      </c>
      <c r="P51" t="n">
        <v>0</v>
      </c>
      <c r="Q51" t="n">
        <v>11</v>
      </c>
      <c r="R51" s="2" t="inlineStr">
        <is>
          <t>Granticka
Kandelabersvamp
Spillkråka
Vedtrappmossa
Brandticka
Grön sköldmossa
Grönpyrola
Mörk husmossa
Rödgul trumpetsvamp
Sårläka
Blåsippa</t>
        </is>
      </c>
      <c r="S51">
        <f>HYPERLINK("https://klasma.github.io/Logging_0136/artfynd/A 3155-2025 artfynd.xlsx", "A 3155-2025")</f>
        <v/>
      </c>
      <c r="T51">
        <f>HYPERLINK("https://klasma.github.io/Logging_0136/kartor/A 3155-2025 karta.png", "A 3155-2025")</f>
        <v/>
      </c>
      <c r="V51">
        <f>HYPERLINK("https://klasma.github.io/Logging_0136/klagomål/A 3155-2025 FSC-klagomål.docx", "A 3155-2025")</f>
        <v/>
      </c>
      <c r="W51">
        <f>HYPERLINK("https://klasma.github.io/Logging_0136/klagomålsmail/A 3155-2025 FSC-klagomål mail.docx", "A 3155-2025")</f>
        <v/>
      </c>
      <c r="X51">
        <f>HYPERLINK("https://klasma.github.io/Logging_0136/tillsyn/A 3155-2025 tillsynsbegäran.docx", "A 3155-2025")</f>
        <v/>
      </c>
      <c r="Y51">
        <f>HYPERLINK("https://klasma.github.io/Logging_0136/tillsynsmail/A 3155-2025 tillsynsbegäran mail.docx", "A 3155-2025")</f>
        <v/>
      </c>
      <c r="Z51">
        <f>HYPERLINK("https://klasma.github.io/Logging_0136/fåglar/A 3155-2025 prioriterade fågelarter.docx", "A 3155-2025")</f>
        <v/>
      </c>
    </row>
    <row r="52" ht="15" customHeight="1">
      <c r="A52" t="inlineStr">
        <is>
          <t>A 43913-2021</t>
        </is>
      </c>
      <c r="B52" s="1" t="n">
        <v>44434</v>
      </c>
      <c r="C52" s="1" t="n">
        <v>46033</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46033</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46033</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46033</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46033</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46033</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46033</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50326-2024</t>
        </is>
      </c>
      <c r="B59" s="1" t="n">
        <v>45600</v>
      </c>
      <c r="C59" s="1" t="n">
        <v>46033</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61292-2025</t>
        </is>
      </c>
      <c r="B60" s="1" t="n">
        <v>46000.75015046296</v>
      </c>
      <c r="C60" s="1" t="n">
        <v>46033</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13137-2022</t>
        </is>
      </c>
      <c r="B61" s="1" t="n">
        <v>44643</v>
      </c>
      <c r="C61" s="1" t="n">
        <v>46033</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46033</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46033</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52815-2021</t>
        </is>
      </c>
      <c r="B64" s="1" t="n">
        <v>44467</v>
      </c>
      <c r="C64" s="1" t="n">
        <v>46033</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46033</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46033</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42612-2025</t>
        </is>
      </c>
      <c r="B67" s="1" t="n">
        <v>45905.70087962963</v>
      </c>
      <c r="C67" s="1" t="n">
        <v>46033</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25732-2025</t>
        </is>
      </c>
      <c r="B68" s="1" t="n">
        <v>45800</v>
      </c>
      <c r="C68" s="1" t="n">
        <v>46033</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6162-2025</t>
        </is>
      </c>
      <c r="B69" s="1" t="n">
        <v>45698</v>
      </c>
      <c r="C69" s="1" t="n">
        <v>46033</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46033</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59582-2024</t>
        </is>
      </c>
      <c r="B71" s="1" t="n">
        <v>45638</v>
      </c>
      <c r="C71" s="1" t="n">
        <v>46033</v>
      </c>
      <c r="D71" t="inlineStr">
        <is>
          <t>STOCKHOLMS LÄN</t>
        </is>
      </c>
      <c r="E71" t="inlineStr">
        <is>
          <t>NORRTÄLJE</t>
        </is>
      </c>
      <c r="F71" t="inlineStr">
        <is>
          <t>Holmen skog AB</t>
        </is>
      </c>
      <c r="G71" t="n">
        <v>2.7</v>
      </c>
      <c r="H71" t="n">
        <v>3</v>
      </c>
      <c r="I71" t="n">
        <v>4</v>
      </c>
      <c r="J71" t="n">
        <v>3</v>
      </c>
      <c r="K71" t="n">
        <v>0</v>
      </c>
      <c r="L71" t="n">
        <v>0</v>
      </c>
      <c r="M71" t="n">
        <v>0</v>
      </c>
      <c r="N71" t="n">
        <v>0</v>
      </c>
      <c r="O71" t="n">
        <v>3</v>
      </c>
      <c r="P71" t="n">
        <v>0</v>
      </c>
      <c r="Q71" t="n">
        <v>8</v>
      </c>
      <c r="R71" s="2" t="inlineStr">
        <is>
          <t>Duvhök
Skogshare
Spillkråka
Bronshjon
Granbräken
Spädstarr
Vågbandad barkbock
Revlummer</t>
        </is>
      </c>
      <c r="S71">
        <f>HYPERLINK("https://klasma.github.io/Logging_0188/artfynd/A 59582-2024 artfynd.xlsx", "A 59582-2024")</f>
        <v/>
      </c>
      <c r="T71">
        <f>HYPERLINK("https://klasma.github.io/Logging_0188/kartor/A 59582-2024 karta.png", "A 59582-2024")</f>
        <v/>
      </c>
      <c r="V71">
        <f>HYPERLINK("https://klasma.github.io/Logging_0188/klagomål/A 59582-2024 FSC-klagomål.docx", "A 59582-2024")</f>
        <v/>
      </c>
      <c r="W71">
        <f>HYPERLINK("https://klasma.github.io/Logging_0188/klagomålsmail/A 59582-2024 FSC-klagomål mail.docx", "A 59582-2024")</f>
        <v/>
      </c>
      <c r="X71">
        <f>HYPERLINK("https://klasma.github.io/Logging_0188/tillsyn/A 59582-2024 tillsynsbegäran.docx", "A 59582-2024")</f>
        <v/>
      </c>
      <c r="Y71">
        <f>HYPERLINK("https://klasma.github.io/Logging_0188/tillsynsmail/A 59582-2024 tillsynsbegäran mail.docx", "A 59582-2024")</f>
        <v/>
      </c>
      <c r="Z71">
        <f>HYPERLINK("https://klasma.github.io/Logging_0188/fåglar/A 59582-2024 prioriterade fågelarter.docx", "A 59582-2024")</f>
        <v/>
      </c>
    </row>
    <row r="72" ht="15" customHeight="1">
      <c r="A72" t="inlineStr">
        <is>
          <t>A 47951-2025</t>
        </is>
      </c>
      <c r="B72" s="1" t="n">
        <v>45932.58491898148</v>
      </c>
      <c r="C72" s="1" t="n">
        <v>46033</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46033</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27838-2021</t>
        </is>
      </c>
      <c r="B74" s="1" t="n">
        <v>44354</v>
      </c>
      <c r="C74" s="1" t="n">
        <v>46033</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46033</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46033</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46033</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36955-2024</t>
        </is>
      </c>
      <c r="B78" s="1" t="n">
        <v>45538</v>
      </c>
      <c r="C78" s="1" t="n">
        <v>46033</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49130-2025</t>
        </is>
      </c>
      <c r="B79" s="1" t="n">
        <v>45937.89643518518</v>
      </c>
      <c r="C79" s="1" t="n">
        <v>46033</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62573-2025</t>
        </is>
      </c>
      <c r="B80" s="1" t="n">
        <v>46007.73069444444</v>
      </c>
      <c r="C80" s="1" t="n">
        <v>46033</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46033</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35012-2024</t>
        </is>
      </c>
      <c r="B82" s="1" t="n">
        <v>45527</v>
      </c>
      <c r="C82" s="1" t="n">
        <v>46033</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31015-2024</t>
        </is>
      </c>
      <c r="B83" s="1" t="n">
        <v>45499</v>
      </c>
      <c r="C83" s="1" t="n">
        <v>46033</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46033</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48514-2025</t>
        </is>
      </c>
      <c r="B85" s="1" t="n">
        <v>45936</v>
      </c>
      <c r="C85" s="1" t="n">
        <v>46033</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47346-2021</t>
        </is>
      </c>
      <c r="B86" s="1" t="n">
        <v>44447</v>
      </c>
      <c r="C86" s="1" t="n">
        <v>46033</v>
      </c>
      <c r="D86" t="inlineStr">
        <is>
          <t>STOCKHOLMS LÄN</t>
        </is>
      </c>
      <c r="E86" t="inlineStr">
        <is>
          <t>NORRTÄLJE</t>
        </is>
      </c>
      <c r="G86" t="n">
        <v>5.5</v>
      </c>
      <c r="H86" t="n">
        <v>1</v>
      </c>
      <c r="I86" t="n">
        <v>4</v>
      </c>
      <c r="J86" t="n">
        <v>0</v>
      </c>
      <c r="K86" t="n">
        <v>2</v>
      </c>
      <c r="L86" t="n">
        <v>0</v>
      </c>
      <c r="M86" t="n">
        <v>0</v>
      </c>
      <c r="N86" t="n">
        <v>0</v>
      </c>
      <c r="O86" t="n">
        <v>2</v>
      </c>
      <c r="P86" t="n">
        <v>2</v>
      </c>
      <c r="Q86" t="n">
        <v>7</v>
      </c>
      <c r="R86" s="2" t="inlineStr">
        <is>
          <t>Grangråticka
Violgubbe
Anisspindling
Fjällig taggsvamp s.str.
Skarp dropptaggsvamp
Toppvaxing
Revlummer</t>
        </is>
      </c>
      <c r="S86">
        <f>HYPERLINK("https://klasma.github.io/Logging_0188/artfynd/A 47346-2021 artfynd.xlsx", "A 47346-2021")</f>
        <v/>
      </c>
      <c r="T86">
        <f>HYPERLINK("https://klasma.github.io/Logging_0188/kartor/A 47346-2021 karta.png", "A 47346-2021")</f>
        <v/>
      </c>
      <c r="V86">
        <f>HYPERLINK("https://klasma.github.io/Logging_0188/klagomål/A 47346-2021 FSC-klagomål.docx", "A 47346-2021")</f>
        <v/>
      </c>
      <c r="W86">
        <f>HYPERLINK("https://klasma.github.io/Logging_0188/klagomålsmail/A 47346-2021 FSC-klagomål mail.docx", "A 47346-2021")</f>
        <v/>
      </c>
      <c r="X86">
        <f>HYPERLINK("https://klasma.github.io/Logging_0188/tillsyn/A 47346-2021 tillsynsbegäran.docx", "A 47346-2021")</f>
        <v/>
      </c>
      <c r="Y86">
        <f>HYPERLINK("https://klasma.github.io/Logging_0188/tillsynsmail/A 47346-2021 tillsynsbegäran mail.docx", "A 47346-2021")</f>
        <v/>
      </c>
    </row>
    <row r="87" ht="15" customHeight="1">
      <c r="A87" t="inlineStr">
        <is>
          <t>A 13933-2022</t>
        </is>
      </c>
      <c r="B87" s="1" t="n">
        <v>44650</v>
      </c>
      <c r="C87" s="1" t="n">
        <v>46033</v>
      </c>
      <c r="D87" t="inlineStr">
        <is>
          <t>STOCKHOLMS LÄN</t>
        </is>
      </c>
      <c r="E87" t="inlineStr">
        <is>
          <t>NORRTÄLJE</t>
        </is>
      </c>
      <c r="G87" t="n">
        <v>4.4</v>
      </c>
      <c r="H87" t="n">
        <v>3</v>
      </c>
      <c r="I87" t="n">
        <v>5</v>
      </c>
      <c r="J87" t="n">
        <v>1</v>
      </c>
      <c r="K87" t="n">
        <v>0</v>
      </c>
      <c r="L87" t="n">
        <v>0</v>
      </c>
      <c r="M87" t="n">
        <v>0</v>
      </c>
      <c r="N87" t="n">
        <v>0</v>
      </c>
      <c r="O87" t="n">
        <v>1</v>
      </c>
      <c r="P87" t="n">
        <v>0</v>
      </c>
      <c r="Q87" t="n">
        <v>7</v>
      </c>
      <c r="R87" s="2" t="inlineStr">
        <is>
          <t>Ullticka
Grön sköldmossa
Nästrot
Skogshakmossa
Tibast
Ögonpyrola
Blåsippa</t>
        </is>
      </c>
      <c r="S87">
        <f>HYPERLINK("https://klasma.github.io/Logging_0188/artfynd/A 13933-2022 artfynd.xlsx", "A 13933-2022")</f>
        <v/>
      </c>
      <c r="T87">
        <f>HYPERLINK("https://klasma.github.io/Logging_0188/kartor/A 13933-2022 karta.png", "A 13933-2022")</f>
        <v/>
      </c>
      <c r="V87">
        <f>HYPERLINK("https://klasma.github.io/Logging_0188/klagomål/A 13933-2022 FSC-klagomål.docx", "A 13933-2022")</f>
        <v/>
      </c>
      <c r="W87">
        <f>HYPERLINK("https://klasma.github.io/Logging_0188/klagomålsmail/A 13933-2022 FSC-klagomål mail.docx", "A 13933-2022")</f>
        <v/>
      </c>
      <c r="X87">
        <f>HYPERLINK("https://klasma.github.io/Logging_0188/tillsyn/A 13933-2022 tillsynsbegäran.docx", "A 13933-2022")</f>
        <v/>
      </c>
      <c r="Y87">
        <f>HYPERLINK("https://klasma.github.io/Logging_0188/tillsynsmail/A 13933-2022 tillsynsbegäran mail.docx", "A 13933-2022")</f>
        <v/>
      </c>
    </row>
    <row r="88" ht="15" customHeight="1">
      <c r="A88" t="inlineStr">
        <is>
          <t>A 695-2023</t>
        </is>
      </c>
      <c r="B88" s="1" t="n">
        <v>44930</v>
      </c>
      <c r="C88" s="1" t="n">
        <v>46033</v>
      </c>
      <c r="D88" t="inlineStr">
        <is>
          <t>STOCKHOLMS LÄN</t>
        </is>
      </c>
      <c r="E88" t="inlineStr">
        <is>
          <t>BOTKYRKA</t>
        </is>
      </c>
      <c r="G88" t="n">
        <v>13.6</v>
      </c>
      <c r="H88" t="n">
        <v>7</v>
      </c>
      <c r="I88" t="n">
        <v>0</v>
      </c>
      <c r="J88" t="n">
        <v>3</v>
      </c>
      <c r="K88" t="n">
        <v>0</v>
      </c>
      <c r="L88" t="n">
        <v>0</v>
      </c>
      <c r="M88" t="n">
        <v>0</v>
      </c>
      <c r="N88" t="n">
        <v>0</v>
      </c>
      <c r="O88" t="n">
        <v>3</v>
      </c>
      <c r="P88" t="n">
        <v>0</v>
      </c>
      <c r="Q88" t="n">
        <v>7</v>
      </c>
      <c r="R88" s="2" t="inlineStr">
        <is>
          <t>Brunlångöra
Gulsparv
Nordfladdermus
Dvärgpipistrell
Kungsfågel
Större brunfladdermus
Vattenfladdermus</t>
        </is>
      </c>
      <c r="S88">
        <f>HYPERLINK("https://klasma.github.io/Logging_0127/artfynd/A 695-2023 artfynd.xlsx", "A 695-2023")</f>
        <v/>
      </c>
      <c r="T88">
        <f>HYPERLINK("https://klasma.github.io/Logging_0127/kartor/A 695-2023 karta.png", "A 695-2023")</f>
        <v/>
      </c>
      <c r="V88">
        <f>HYPERLINK("https://klasma.github.io/Logging_0127/klagomål/A 695-2023 FSC-klagomål.docx", "A 695-2023")</f>
        <v/>
      </c>
      <c r="W88">
        <f>HYPERLINK("https://klasma.github.io/Logging_0127/klagomålsmail/A 695-2023 FSC-klagomål mail.docx", "A 695-2023")</f>
        <v/>
      </c>
      <c r="X88">
        <f>HYPERLINK("https://klasma.github.io/Logging_0127/tillsyn/A 695-2023 tillsynsbegäran.docx", "A 695-2023")</f>
        <v/>
      </c>
      <c r="Y88">
        <f>HYPERLINK("https://klasma.github.io/Logging_0127/tillsynsmail/A 695-2023 tillsynsbegäran mail.docx", "A 695-2023")</f>
        <v/>
      </c>
      <c r="Z88">
        <f>HYPERLINK("https://klasma.github.io/Logging_0127/fåglar/A 695-2023 prioriterade fågelarter.docx", "A 695-2023")</f>
        <v/>
      </c>
    </row>
    <row r="89" ht="15" customHeight="1">
      <c r="A89" t="inlineStr">
        <is>
          <t>A 12772-2021</t>
        </is>
      </c>
      <c r="B89" s="1" t="n">
        <v>44270</v>
      </c>
      <c r="C89" s="1" t="n">
        <v>46033</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46033</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46033</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52616-2021</t>
        </is>
      </c>
      <c r="B92" s="1" t="n">
        <v>44463</v>
      </c>
      <c r="C92" s="1" t="n">
        <v>46033</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11405-2024</t>
        </is>
      </c>
      <c r="B93" s="1" t="n">
        <v>45372</v>
      </c>
      <c r="C93" s="1" t="n">
        <v>46033</v>
      </c>
      <c r="D93" t="inlineStr">
        <is>
          <t>STOCKHOLMS LÄN</t>
        </is>
      </c>
      <c r="E93" t="inlineStr">
        <is>
          <t>VAXHOLM</t>
        </is>
      </c>
      <c r="F93" t="inlineStr">
        <is>
          <t>Övriga statliga verk och myndigheter</t>
        </is>
      </c>
      <c r="G93" t="n">
        <v>11.6</v>
      </c>
      <c r="H93" t="n">
        <v>2</v>
      </c>
      <c r="I93" t="n">
        <v>3</v>
      </c>
      <c r="J93" t="n">
        <v>1</v>
      </c>
      <c r="K93" t="n">
        <v>1</v>
      </c>
      <c r="L93" t="n">
        <v>0</v>
      </c>
      <c r="M93" t="n">
        <v>0</v>
      </c>
      <c r="N93" t="n">
        <v>0</v>
      </c>
      <c r="O93" t="n">
        <v>2</v>
      </c>
      <c r="P93" t="n">
        <v>1</v>
      </c>
      <c r="Q93" t="n">
        <v>6</v>
      </c>
      <c r="R93" s="2" t="inlineStr">
        <is>
          <t>Knärot
Ullticka
Bronshjon
Grönpyrola
Vågbandad barkbock
Revlummer</t>
        </is>
      </c>
      <c r="S93">
        <f>HYPERLINK("https://klasma.github.io/Logging_0187/artfynd/A 11405-2024 artfynd.xlsx", "A 11405-2024")</f>
        <v/>
      </c>
      <c r="T93">
        <f>HYPERLINK("https://klasma.github.io/Logging_0187/kartor/A 11405-2024 karta.png", "A 11405-2024")</f>
        <v/>
      </c>
      <c r="U93">
        <f>HYPERLINK("https://klasma.github.io/Logging_0187/knärot/A 11405-2024 karta knärot.png", "A 11405-2024")</f>
        <v/>
      </c>
      <c r="V93">
        <f>HYPERLINK("https://klasma.github.io/Logging_0187/klagomål/A 11405-2024 FSC-klagomål.docx", "A 11405-2024")</f>
        <v/>
      </c>
      <c r="W93">
        <f>HYPERLINK("https://klasma.github.io/Logging_0187/klagomålsmail/A 11405-2024 FSC-klagomål mail.docx", "A 11405-2024")</f>
        <v/>
      </c>
      <c r="X93">
        <f>HYPERLINK("https://klasma.github.io/Logging_0187/tillsyn/A 11405-2024 tillsynsbegäran.docx", "A 11405-2024")</f>
        <v/>
      </c>
      <c r="Y93">
        <f>HYPERLINK("https://klasma.github.io/Logging_0187/tillsynsmail/A 11405-2024 tillsynsbegäran mail.docx", "A 11405-2024")</f>
        <v/>
      </c>
    </row>
    <row r="94" ht="15" customHeight="1">
      <c r="A94" t="inlineStr">
        <is>
          <t>A 39620-2023</t>
        </is>
      </c>
      <c r="B94" s="1" t="n">
        <v>45163</v>
      </c>
      <c r="C94" s="1" t="n">
        <v>46033</v>
      </c>
      <c r="D94" t="inlineStr">
        <is>
          <t>STOCKHOLMS LÄN</t>
        </is>
      </c>
      <c r="E94" t="inlineStr">
        <is>
          <t>SIGTUNA</t>
        </is>
      </c>
      <c r="G94" t="n">
        <v>2</v>
      </c>
      <c r="H94" t="n">
        <v>6</v>
      </c>
      <c r="I94" t="n">
        <v>0</v>
      </c>
      <c r="J94" t="n">
        <v>2</v>
      </c>
      <c r="K94" t="n">
        <v>0</v>
      </c>
      <c r="L94" t="n">
        <v>1</v>
      </c>
      <c r="M94" t="n">
        <v>0</v>
      </c>
      <c r="N94" t="n">
        <v>0</v>
      </c>
      <c r="O94" t="n">
        <v>3</v>
      </c>
      <c r="P94" t="n">
        <v>1</v>
      </c>
      <c r="Q94" t="n">
        <v>6</v>
      </c>
      <c r="R94" s="2" t="inlineStr">
        <is>
          <t>Grönfink
Duvhök
Talltita
Gröngöling
Grönsiska
Kungsfågel</t>
        </is>
      </c>
      <c r="S94">
        <f>HYPERLINK("https://klasma.github.io/Logging_0191/artfynd/A 39620-2023 artfynd.xlsx", "A 39620-2023")</f>
        <v/>
      </c>
      <c r="T94">
        <f>HYPERLINK("https://klasma.github.io/Logging_0191/kartor/A 39620-2023 karta.png", "A 39620-2023")</f>
        <v/>
      </c>
      <c r="V94">
        <f>HYPERLINK("https://klasma.github.io/Logging_0191/klagomål/A 39620-2023 FSC-klagomål.docx", "A 39620-2023")</f>
        <v/>
      </c>
      <c r="W94">
        <f>HYPERLINK("https://klasma.github.io/Logging_0191/klagomålsmail/A 39620-2023 FSC-klagomål mail.docx", "A 39620-2023")</f>
        <v/>
      </c>
      <c r="X94">
        <f>HYPERLINK("https://klasma.github.io/Logging_0191/tillsyn/A 39620-2023 tillsynsbegäran.docx", "A 39620-2023")</f>
        <v/>
      </c>
      <c r="Y94">
        <f>HYPERLINK("https://klasma.github.io/Logging_0191/tillsynsmail/A 39620-2023 tillsynsbegäran mail.docx", "A 39620-2023")</f>
        <v/>
      </c>
      <c r="Z94">
        <f>HYPERLINK("https://klasma.github.io/Logging_0191/fåglar/A 39620-2023 prioriterade fågelarter.docx", "A 39620-2023")</f>
        <v/>
      </c>
    </row>
    <row r="95" ht="15" customHeight="1">
      <c r="A95" t="inlineStr">
        <is>
          <t>A 60416-2025</t>
        </is>
      </c>
      <c r="B95" s="1" t="n">
        <v>45995.45151620371</v>
      </c>
      <c r="C95" s="1" t="n">
        <v>46033</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34528-2025</t>
        </is>
      </c>
      <c r="B96" s="1" t="n">
        <v>45847.48436342592</v>
      </c>
      <c r="C96" s="1" t="n">
        <v>46033</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47697-2023</t>
        </is>
      </c>
      <c r="B97" s="1" t="n">
        <v>45198</v>
      </c>
      <c r="C97" s="1" t="n">
        <v>46033</v>
      </c>
      <c r="D97" t="inlineStr">
        <is>
          <t>STOCKHOLMS LÄN</t>
        </is>
      </c>
      <c r="E97" t="inlineStr">
        <is>
          <t>SÖDERTÄLJE</t>
        </is>
      </c>
      <c r="G97" t="n">
        <v>2.1</v>
      </c>
      <c r="H97" t="n">
        <v>2</v>
      </c>
      <c r="I97" t="n">
        <v>2</v>
      </c>
      <c r="J97" t="n">
        <v>2</v>
      </c>
      <c r="K97" t="n">
        <v>0</v>
      </c>
      <c r="L97" t="n">
        <v>0</v>
      </c>
      <c r="M97" t="n">
        <v>0</v>
      </c>
      <c r="N97" t="n">
        <v>0</v>
      </c>
      <c r="O97" t="n">
        <v>2</v>
      </c>
      <c r="P97" t="n">
        <v>0</v>
      </c>
      <c r="Q97" t="n">
        <v>6</v>
      </c>
      <c r="R97" s="2" t="inlineStr">
        <is>
          <t>Garnlav
Motaggsvamp
Fjällig taggsvamp s.str.
Rödgul trumpetsvamp
Tjäder
Blåsippa</t>
        </is>
      </c>
      <c r="S97">
        <f>HYPERLINK("https://klasma.github.io/Logging_0181/artfynd/A 47697-2023 artfynd.xlsx", "A 47697-2023")</f>
        <v/>
      </c>
      <c r="T97">
        <f>HYPERLINK("https://klasma.github.io/Logging_0181/kartor/A 47697-2023 karta.png", "A 47697-2023")</f>
        <v/>
      </c>
      <c r="V97">
        <f>HYPERLINK("https://klasma.github.io/Logging_0181/klagomål/A 47697-2023 FSC-klagomål.docx", "A 47697-2023")</f>
        <v/>
      </c>
      <c r="W97">
        <f>HYPERLINK("https://klasma.github.io/Logging_0181/klagomålsmail/A 47697-2023 FSC-klagomål mail.docx", "A 47697-2023")</f>
        <v/>
      </c>
      <c r="X97">
        <f>HYPERLINK("https://klasma.github.io/Logging_0181/tillsyn/A 47697-2023 tillsynsbegäran.docx", "A 47697-2023")</f>
        <v/>
      </c>
      <c r="Y97">
        <f>HYPERLINK("https://klasma.github.io/Logging_0181/tillsynsmail/A 47697-2023 tillsynsbegäran mail.docx", "A 47697-2023")</f>
        <v/>
      </c>
      <c r="Z97">
        <f>HYPERLINK("https://klasma.github.io/Logging_0181/fåglar/A 47697-2023 prioriterade fågelarter.docx", "A 47697-2023")</f>
        <v/>
      </c>
    </row>
    <row r="98" ht="15" customHeight="1">
      <c r="A98" t="inlineStr">
        <is>
          <t>A 39613-2023</t>
        </is>
      </c>
      <c r="B98" s="1" t="n">
        <v>45163</v>
      </c>
      <c r="C98" s="1" t="n">
        <v>46033</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57411-2025</t>
        </is>
      </c>
      <c r="B99" s="1" t="n">
        <v>45980.4487037037</v>
      </c>
      <c r="C99" s="1" t="n">
        <v>46033</v>
      </c>
      <c r="D99" t="inlineStr">
        <is>
          <t>STOCKHOLMS LÄN</t>
        </is>
      </c>
      <c r="E99" t="inlineStr">
        <is>
          <t>SÖDERTÄLJE</t>
        </is>
      </c>
      <c r="G99" t="n">
        <v>3.5</v>
      </c>
      <c r="H99" t="n">
        <v>2</v>
      </c>
      <c r="I99" t="n">
        <v>4</v>
      </c>
      <c r="J99" t="n">
        <v>1</v>
      </c>
      <c r="K99" t="n">
        <v>0</v>
      </c>
      <c r="L99" t="n">
        <v>0</v>
      </c>
      <c r="M99" t="n">
        <v>0</v>
      </c>
      <c r="N99" t="n">
        <v>0</v>
      </c>
      <c r="O99" t="n">
        <v>1</v>
      </c>
      <c r="P99" t="n">
        <v>0</v>
      </c>
      <c r="Q99" t="n">
        <v>6</v>
      </c>
      <c r="R99" s="2" t="inlineStr">
        <is>
          <t>Ullticka
Grön sköldmossa
Grönpyrola
Jättesvampmal
Trådticka
Blåsippa</t>
        </is>
      </c>
      <c r="S99">
        <f>HYPERLINK("https://klasma.github.io/Logging_0181/artfynd/A 57411-2025 artfynd.xlsx", "A 57411-2025")</f>
        <v/>
      </c>
      <c r="T99">
        <f>HYPERLINK("https://klasma.github.io/Logging_0181/kartor/A 57411-2025 karta.png", "A 57411-2025")</f>
        <v/>
      </c>
      <c r="V99">
        <f>HYPERLINK("https://klasma.github.io/Logging_0181/klagomål/A 57411-2025 FSC-klagomål.docx", "A 57411-2025")</f>
        <v/>
      </c>
      <c r="W99">
        <f>HYPERLINK("https://klasma.github.io/Logging_0181/klagomålsmail/A 57411-2025 FSC-klagomål mail.docx", "A 57411-2025")</f>
        <v/>
      </c>
      <c r="X99">
        <f>HYPERLINK("https://klasma.github.io/Logging_0181/tillsyn/A 57411-2025 tillsynsbegäran.docx", "A 57411-2025")</f>
        <v/>
      </c>
      <c r="Y99">
        <f>HYPERLINK("https://klasma.github.io/Logging_0181/tillsynsmail/A 57411-2025 tillsynsbegäran mail.docx", "A 57411-2025")</f>
        <v/>
      </c>
    </row>
    <row r="100" ht="15" customHeight="1">
      <c r="A100" t="inlineStr">
        <is>
          <t>A 52616-2021</t>
        </is>
      </c>
      <c r="B100" s="1" t="n">
        <v>44463</v>
      </c>
      <c r="C100" s="1" t="n">
        <v>46033</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36244-2024</t>
        </is>
      </c>
      <c r="B101" s="1" t="n">
        <v>45534</v>
      </c>
      <c r="C101" s="1" t="n">
        <v>46033</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60057-2023</t>
        </is>
      </c>
      <c r="B102" s="1" t="n">
        <v>45257</v>
      </c>
      <c r="C102" s="1" t="n">
        <v>46033</v>
      </c>
      <c r="D102" t="inlineStr">
        <is>
          <t>STOCKHOLMS LÄN</t>
        </is>
      </c>
      <c r="E102" t="inlineStr">
        <is>
          <t>NYNÄSHAMN</t>
        </is>
      </c>
      <c r="G102" t="n">
        <v>2.3</v>
      </c>
      <c r="H102" t="n">
        <v>5</v>
      </c>
      <c r="I102" t="n">
        <v>1</v>
      </c>
      <c r="J102" t="n">
        <v>3</v>
      </c>
      <c r="K102" t="n">
        <v>1</v>
      </c>
      <c r="L102" t="n">
        <v>1</v>
      </c>
      <c r="M102" t="n">
        <v>0</v>
      </c>
      <c r="N102" t="n">
        <v>0</v>
      </c>
      <c r="O102" t="n">
        <v>5</v>
      </c>
      <c r="P102" t="n">
        <v>2</v>
      </c>
      <c r="Q102" t="n">
        <v>6</v>
      </c>
      <c r="R102" s="2" t="inlineStr">
        <is>
          <t>Grönfink
Stare
Björktrast
Havsörn
Rödvingetrast
Tibast</t>
        </is>
      </c>
      <c r="S102">
        <f>HYPERLINK("https://klasma.github.io/Logging_0192/artfynd/A 60057-2023 artfynd.xlsx", "A 60057-2023")</f>
        <v/>
      </c>
      <c r="T102">
        <f>HYPERLINK("https://klasma.github.io/Logging_0192/kartor/A 60057-2023 karta.png", "A 60057-2023")</f>
        <v/>
      </c>
      <c r="V102">
        <f>HYPERLINK("https://klasma.github.io/Logging_0192/klagomål/A 60057-2023 FSC-klagomål.docx", "A 60057-2023")</f>
        <v/>
      </c>
      <c r="W102">
        <f>HYPERLINK("https://klasma.github.io/Logging_0192/klagomålsmail/A 60057-2023 FSC-klagomål mail.docx", "A 60057-2023")</f>
        <v/>
      </c>
      <c r="X102">
        <f>HYPERLINK("https://klasma.github.io/Logging_0192/tillsyn/A 60057-2023 tillsynsbegäran.docx", "A 60057-2023")</f>
        <v/>
      </c>
      <c r="Y102">
        <f>HYPERLINK("https://klasma.github.io/Logging_0192/tillsynsmail/A 60057-2023 tillsynsbegäran mail.docx", "A 60057-2023")</f>
        <v/>
      </c>
      <c r="Z102">
        <f>HYPERLINK("https://klasma.github.io/Logging_0192/fåglar/A 60057-2023 prioriterade fågelarter.docx", "A 60057-2023")</f>
        <v/>
      </c>
    </row>
    <row r="103" ht="15" customHeight="1">
      <c r="A103" t="inlineStr">
        <is>
          <t>A 24599-2022</t>
        </is>
      </c>
      <c r="B103" s="1" t="n">
        <v>44727</v>
      </c>
      <c r="C103" s="1" t="n">
        <v>46033</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97-2024</t>
        </is>
      </c>
      <c r="B104" s="1" t="n">
        <v>45293</v>
      </c>
      <c r="C104" s="1" t="n">
        <v>46033</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46033</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46033</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46033</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30687-2025</t>
        </is>
      </c>
      <c r="B108" s="1" t="n">
        <v>45831.53390046296</v>
      </c>
      <c r="C108" s="1" t="n">
        <v>46033</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46033</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46033</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34573-2025</t>
        </is>
      </c>
      <c r="B111" s="1" t="n">
        <v>45846</v>
      </c>
      <c r="C111" s="1" t="n">
        <v>46033</v>
      </c>
      <c r="D111" t="inlineStr">
        <is>
          <t>STOCKHOLMS LÄN</t>
        </is>
      </c>
      <c r="E111" t="inlineStr">
        <is>
          <t>NYNÄSHAMN</t>
        </is>
      </c>
      <c r="F111" t="inlineStr">
        <is>
          <t>Kommuner</t>
        </is>
      </c>
      <c r="G111" t="n">
        <v>7.3</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34573-2025 artfynd.xlsx", "A 34573-2025")</f>
        <v/>
      </c>
      <c r="T111">
        <f>HYPERLINK("https://klasma.github.io/Logging_0192/kartor/A 34573-2025 karta.png", "A 34573-2025")</f>
        <v/>
      </c>
      <c r="V111">
        <f>HYPERLINK("https://klasma.github.io/Logging_0192/klagomål/A 34573-2025 FSC-klagomål.docx", "A 34573-2025")</f>
        <v/>
      </c>
      <c r="W111">
        <f>HYPERLINK("https://klasma.github.io/Logging_0192/klagomålsmail/A 34573-2025 FSC-klagomål mail.docx", "A 34573-2025")</f>
        <v/>
      </c>
      <c r="X111">
        <f>HYPERLINK("https://klasma.github.io/Logging_0192/tillsyn/A 34573-2025 tillsynsbegäran.docx", "A 34573-2025")</f>
        <v/>
      </c>
      <c r="Y111">
        <f>HYPERLINK("https://klasma.github.io/Logging_0192/tillsynsmail/A 34573-2025 tillsynsbegäran mail.docx", "A 34573-2025")</f>
        <v/>
      </c>
    </row>
    <row r="112" ht="15" customHeight="1">
      <c r="A112" t="inlineStr">
        <is>
          <t>A 45595-2025</t>
        </is>
      </c>
      <c r="B112" s="1" t="n">
        <v>45922</v>
      </c>
      <c r="C112" s="1" t="n">
        <v>46033</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3444-2023</t>
        </is>
      </c>
      <c r="B113" s="1" t="n">
        <v>44949</v>
      </c>
      <c r="C113" s="1" t="n">
        <v>46033</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36854-2025</t>
        </is>
      </c>
      <c r="B114" s="1" t="n">
        <v>45874.40010416666</v>
      </c>
      <c r="C114" s="1" t="n">
        <v>46033</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72111-2021</t>
        </is>
      </c>
      <c r="B115" s="1" t="n">
        <v>44544</v>
      </c>
      <c r="C115" s="1" t="n">
        <v>46033</v>
      </c>
      <c r="D115" t="inlineStr">
        <is>
          <t>STOCKHOLMS LÄN</t>
        </is>
      </c>
      <c r="E115" t="inlineStr">
        <is>
          <t>NORRTÄLJE</t>
        </is>
      </c>
      <c r="G115" t="n">
        <v>5.1</v>
      </c>
      <c r="H115" t="n">
        <v>1</v>
      </c>
      <c r="I115" t="n">
        <v>3</v>
      </c>
      <c r="J115" t="n">
        <v>1</v>
      </c>
      <c r="K115" t="n">
        <v>0</v>
      </c>
      <c r="L115" t="n">
        <v>0</v>
      </c>
      <c r="M115" t="n">
        <v>0</v>
      </c>
      <c r="N115" t="n">
        <v>0</v>
      </c>
      <c r="O115" t="n">
        <v>1</v>
      </c>
      <c r="P115" t="n">
        <v>0</v>
      </c>
      <c r="Q115" t="n">
        <v>5</v>
      </c>
      <c r="R115" s="2" t="inlineStr">
        <is>
          <t>Lunglav
Scharlakansvårskål agg.
Sårläka
Vårärt
Blåsippa</t>
        </is>
      </c>
      <c r="S115">
        <f>HYPERLINK("https://klasma.github.io/Logging_0188/artfynd/A 72111-2021 artfynd.xlsx", "A 72111-2021")</f>
        <v/>
      </c>
      <c r="T115">
        <f>HYPERLINK("https://klasma.github.io/Logging_0188/kartor/A 72111-2021 karta.png", "A 72111-2021")</f>
        <v/>
      </c>
      <c r="V115">
        <f>HYPERLINK("https://klasma.github.io/Logging_0188/klagomål/A 72111-2021 FSC-klagomål.docx", "A 72111-2021")</f>
        <v/>
      </c>
      <c r="W115">
        <f>HYPERLINK("https://klasma.github.io/Logging_0188/klagomålsmail/A 72111-2021 FSC-klagomål mail.docx", "A 72111-2021")</f>
        <v/>
      </c>
      <c r="X115">
        <f>HYPERLINK("https://klasma.github.io/Logging_0188/tillsyn/A 72111-2021 tillsynsbegäran.docx", "A 72111-2021")</f>
        <v/>
      </c>
      <c r="Y115">
        <f>HYPERLINK("https://klasma.github.io/Logging_0188/tillsynsmail/A 72111-2021 tillsynsbegäran mail.docx", "A 72111-2021")</f>
        <v/>
      </c>
    </row>
    <row r="116" ht="15" customHeight="1">
      <c r="A116" t="inlineStr">
        <is>
          <t>A 15804-2025</t>
        </is>
      </c>
      <c r="B116" s="1" t="n">
        <v>45748.6521875</v>
      </c>
      <c r="C116" s="1" t="n">
        <v>46033</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56791-2025</t>
        </is>
      </c>
      <c r="B117" s="1" t="n">
        <v>45978</v>
      </c>
      <c r="C117" s="1" t="n">
        <v>46033</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52259-2024</t>
        </is>
      </c>
      <c r="B118" s="1" t="n">
        <v>45608.6471875</v>
      </c>
      <c r="C118" s="1" t="n">
        <v>46033</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46033</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52884-2022</t>
        </is>
      </c>
      <c r="B120" s="1" t="n">
        <v>44872</v>
      </c>
      <c r="C120" s="1" t="n">
        <v>46033</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46033</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21730-2025</t>
        </is>
      </c>
      <c r="B122" s="1" t="n">
        <v>45783.58123842593</v>
      </c>
      <c r="C122" s="1" t="n">
        <v>46033</v>
      </c>
      <c r="D122" t="inlineStr">
        <is>
          <t>STOCKHOLMS LÄN</t>
        </is>
      </c>
      <c r="E122" t="inlineStr">
        <is>
          <t>NORRTÄLJE</t>
        </is>
      </c>
      <c r="G122" t="n">
        <v>4.2</v>
      </c>
      <c r="H122" t="n">
        <v>2</v>
      </c>
      <c r="I122" t="n">
        <v>2</v>
      </c>
      <c r="J122" t="n">
        <v>0</v>
      </c>
      <c r="K122" t="n">
        <v>0</v>
      </c>
      <c r="L122" t="n">
        <v>0</v>
      </c>
      <c r="M122" t="n">
        <v>0</v>
      </c>
      <c r="N122" t="n">
        <v>0</v>
      </c>
      <c r="O122" t="n">
        <v>0</v>
      </c>
      <c r="P122" t="n">
        <v>0</v>
      </c>
      <c r="Q122" t="n">
        <v>4</v>
      </c>
      <c r="R122" s="2" t="inlineStr">
        <is>
          <t>Blåmossa
Brandticka
Blåsippa
Revlummer</t>
        </is>
      </c>
      <c r="S122">
        <f>HYPERLINK("https://klasma.github.io/Logging_0188/artfynd/A 21730-2025 artfynd.xlsx", "A 21730-2025")</f>
        <v/>
      </c>
      <c r="T122">
        <f>HYPERLINK("https://klasma.github.io/Logging_0188/kartor/A 21730-2025 karta.png", "A 21730-2025")</f>
        <v/>
      </c>
      <c r="V122">
        <f>HYPERLINK("https://klasma.github.io/Logging_0188/klagomål/A 21730-2025 FSC-klagomål.docx", "A 21730-2025")</f>
        <v/>
      </c>
      <c r="W122">
        <f>HYPERLINK("https://klasma.github.io/Logging_0188/klagomålsmail/A 21730-2025 FSC-klagomål mail.docx", "A 21730-2025")</f>
        <v/>
      </c>
      <c r="X122">
        <f>HYPERLINK("https://klasma.github.io/Logging_0188/tillsyn/A 21730-2025 tillsynsbegäran.docx", "A 21730-2025")</f>
        <v/>
      </c>
      <c r="Y122">
        <f>HYPERLINK("https://klasma.github.io/Logging_0188/tillsynsmail/A 21730-2025 tillsynsbegäran mail.docx", "A 21730-2025")</f>
        <v/>
      </c>
    </row>
    <row r="123" ht="15" customHeight="1">
      <c r="A123" t="inlineStr">
        <is>
          <t>A 73783-2021</t>
        </is>
      </c>
      <c r="B123" s="1" t="n">
        <v>44552</v>
      </c>
      <c r="C123" s="1" t="n">
        <v>46033</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46033</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25687-2025</t>
        </is>
      </c>
      <c r="B125" s="1" t="n">
        <v>45800</v>
      </c>
      <c r="C125" s="1" t="n">
        <v>46033</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10876-2025</t>
        </is>
      </c>
      <c r="B126" s="1" t="n">
        <v>45722</v>
      </c>
      <c r="C126" s="1" t="n">
        <v>46033</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8500-2022</t>
        </is>
      </c>
      <c r="B127" s="1" t="n">
        <v>44613</v>
      </c>
      <c r="C127" s="1" t="n">
        <v>46033</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47212-2025</t>
        </is>
      </c>
      <c r="B128" s="1" t="n">
        <v>45930</v>
      </c>
      <c r="C128" s="1" t="n">
        <v>46033</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72305-2021</t>
        </is>
      </c>
      <c r="B129" s="1" t="n">
        <v>44545</v>
      </c>
      <c r="C129" s="1" t="n">
        <v>46033</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34521-2025</t>
        </is>
      </c>
      <c r="B130" s="1" t="n">
        <v>45847.47052083333</v>
      </c>
      <c r="C130" s="1" t="n">
        <v>46033</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61763-2025</t>
        </is>
      </c>
      <c r="B131" s="1" t="n">
        <v>46002.62600694445</v>
      </c>
      <c r="C131" s="1" t="n">
        <v>46033</v>
      </c>
      <c r="D131" t="inlineStr">
        <is>
          <t>STOCKHOLMS LÄN</t>
        </is>
      </c>
      <c r="E131" t="inlineStr">
        <is>
          <t>VALLENTUNA</t>
        </is>
      </c>
      <c r="G131" t="n">
        <v>6.9</v>
      </c>
      <c r="H131" t="n">
        <v>2</v>
      </c>
      <c r="I131" t="n">
        <v>2</v>
      </c>
      <c r="J131" t="n">
        <v>1</v>
      </c>
      <c r="K131" t="n">
        <v>0</v>
      </c>
      <c r="L131" t="n">
        <v>0</v>
      </c>
      <c r="M131" t="n">
        <v>0</v>
      </c>
      <c r="N131" t="n">
        <v>0</v>
      </c>
      <c r="O131" t="n">
        <v>1</v>
      </c>
      <c r="P131" t="n">
        <v>0</v>
      </c>
      <c r="Q131" t="n">
        <v>4</v>
      </c>
      <c r="R131" s="2" t="inlineStr">
        <is>
          <t>Talltita
Björksplintborre
Blomkålssvamp
Kungsfågel</t>
        </is>
      </c>
      <c r="S131">
        <f>HYPERLINK("https://klasma.github.io/Logging_0115/artfynd/A 61763-2025 artfynd.xlsx", "A 61763-2025")</f>
        <v/>
      </c>
      <c r="T131">
        <f>HYPERLINK("https://klasma.github.io/Logging_0115/kartor/A 61763-2025 karta.png", "A 61763-2025")</f>
        <v/>
      </c>
      <c r="V131">
        <f>HYPERLINK("https://klasma.github.io/Logging_0115/klagomål/A 61763-2025 FSC-klagomål.docx", "A 61763-2025")</f>
        <v/>
      </c>
      <c r="W131">
        <f>HYPERLINK("https://klasma.github.io/Logging_0115/klagomålsmail/A 61763-2025 FSC-klagomål mail.docx", "A 61763-2025")</f>
        <v/>
      </c>
      <c r="X131">
        <f>HYPERLINK("https://klasma.github.io/Logging_0115/tillsyn/A 61763-2025 tillsynsbegäran.docx", "A 61763-2025")</f>
        <v/>
      </c>
      <c r="Y131">
        <f>HYPERLINK("https://klasma.github.io/Logging_0115/tillsynsmail/A 61763-2025 tillsynsbegäran mail.docx", "A 61763-2025")</f>
        <v/>
      </c>
      <c r="Z131">
        <f>HYPERLINK("https://klasma.github.io/Logging_0115/fåglar/A 61763-2025 prioriterade fågelarter.docx", "A 61763-2025")</f>
        <v/>
      </c>
    </row>
    <row r="132" ht="15" customHeight="1">
      <c r="A132" t="inlineStr">
        <is>
          <t>A 14771-2022</t>
        </is>
      </c>
      <c r="B132" s="1" t="n">
        <v>44656</v>
      </c>
      <c r="C132" s="1" t="n">
        <v>46033</v>
      </c>
      <c r="D132" t="inlineStr">
        <is>
          <t>STOCKHOLMS LÄN</t>
        </is>
      </c>
      <c r="E132" t="inlineStr">
        <is>
          <t>SÖDERTÄLJE</t>
        </is>
      </c>
      <c r="G132" t="n">
        <v>3.8</v>
      </c>
      <c r="H132" t="n">
        <v>3</v>
      </c>
      <c r="I132" t="n">
        <v>1</v>
      </c>
      <c r="J132" t="n">
        <v>0</v>
      </c>
      <c r="K132" t="n">
        <v>0</v>
      </c>
      <c r="L132" t="n">
        <v>0</v>
      </c>
      <c r="M132" t="n">
        <v>0</v>
      </c>
      <c r="N132" t="n">
        <v>0</v>
      </c>
      <c r="O132" t="n">
        <v>0</v>
      </c>
      <c r="P132" t="n">
        <v>0</v>
      </c>
      <c r="Q132" t="n">
        <v>4</v>
      </c>
      <c r="R132" s="2" t="inlineStr">
        <is>
          <t>Grönpyrola
Vanlig groda
Vanlig padda
Revlummer</t>
        </is>
      </c>
      <c r="S132">
        <f>HYPERLINK("https://klasma.github.io/Logging_0181/artfynd/A 14771-2022 artfynd.xlsx", "A 14771-2022")</f>
        <v/>
      </c>
      <c r="T132">
        <f>HYPERLINK("https://klasma.github.io/Logging_0181/kartor/A 14771-2022 karta.png", "A 14771-2022")</f>
        <v/>
      </c>
      <c r="V132">
        <f>HYPERLINK("https://klasma.github.io/Logging_0181/klagomål/A 14771-2022 FSC-klagomål.docx", "A 14771-2022")</f>
        <v/>
      </c>
      <c r="W132">
        <f>HYPERLINK("https://klasma.github.io/Logging_0181/klagomålsmail/A 14771-2022 FSC-klagomål mail.docx", "A 14771-2022")</f>
        <v/>
      </c>
      <c r="X132">
        <f>HYPERLINK("https://klasma.github.io/Logging_0181/tillsyn/A 14771-2022 tillsynsbegäran.docx", "A 14771-2022")</f>
        <v/>
      </c>
      <c r="Y132">
        <f>HYPERLINK("https://klasma.github.io/Logging_0181/tillsynsmail/A 14771-2022 tillsynsbegäran mail.docx", "A 14771-2022")</f>
        <v/>
      </c>
    </row>
    <row r="133" ht="15" customHeight="1">
      <c r="A133" t="inlineStr">
        <is>
          <t>A 4384-2022</t>
        </is>
      </c>
      <c r="B133" s="1" t="n">
        <v>44589</v>
      </c>
      <c r="C133" s="1" t="n">
        <v>46033</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24052-2021</t>
        </is>
      </c>
      <c r="B134" s="1" t="n">
        <v>44336</v>
      </c>
      <c r="C134" s="1" t="n">
        <v>46033</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46033</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46033</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46033</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11714-2021</t>
        </is>
      </c>
      <c r="B138" s="1" t="n">
        <v>44265</v>
      </c>
      <c r="C138" s="1" t="n">
        <v>46033</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46033</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41371-2021</t>
        </is>
      </c>
      <c r="B140" s="1" t="n">
        <v>44424</v>
      </c>
      <c r="C140" s="1" t="n">
        <v>46033</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46033</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46033</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46033</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46033</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46033</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46033</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45113-2022</t>
        </is>
      </c>
      <c r="B147" s="1" t="n">
        <v>44843</v>
      </c>
      <c r="C147" s="1" t="n">
        <v>46033</v>
      </c>
      <c r="D147" t="inlineStr">
        <is>
          <t>STOCKHOLMS LÄN</t>
        </is>
      </c>
      <c r="E147" t="inlineStr">
        <is>
          <t>NORRTÄLJE</t>
        </is>
      </c>
      <c r="G147" t="n">
        <v>1.7</v>
      </c>
      <c r="H147" t="n">
        <v>0</v>
      </c>
      <c r="I147" t="n">
        <v>1</v>
      </c>
      <c r="J147" t="n">
        <v>1</v>
      </c>
      <c r="K147" t="n">
        <v>1</v>
      </c>
      <c r="L147" t="n">
        <v>0</v>
      </c>
      <c r="M147" t="n">
        <v>0</v>
      </c>
      <c r="N147" t="n">
        <v>0</v>
      </c>
      <c r="O147" t="n">
        <v>2</v>
      </c>
      <c r="P147" t="n">
        <v>1</v>
      </c>
      <c r="Q147" t="n">
        <v>3</v>
      </c>
      <c r="R147" s="2" t="inlineStr">
        <is>
          <t>Violett fingersvamp
Kandelabersvamp
Slät lönnlav</t>
        </is>
      </c>
      <c r="S147">
        <f>HYPERLINK("https://klasma.github.io/Logging_0188/artfynd/A 45113-2022 artfynd.xlsx", "A 45113-2022")</f>
        <v/>
      </c>
      <c r="T147">
        <f>HYPERLINK("https://klasma.github.io/Logging_0188/kartor/A 45113-2022 karta.png", "A 45113-2022")</f>
        <v/>
      </c>
      <c r="V147">
        <f>HYPERLINK("https://klasma.github.io/Logging_0188/klagomål/A 45113-2022 FSC-klagomål.docx", "A 45113-2022")</f>
        <v/>
      </c>
      <c r="W147">
        <f>HYPERLINK("https://klasma.github.io/Logging_0188/klagomålsmail/A 45113-2022 FSC-klagomål mail.docx", "A 45113-2022")</f>
        <v/>
      </c>
      <c r="X147">
        <f>HYPERLINK("https://klasma.github.io/Logging_0188/tillsyn/A 45113-2022 tillsynsbegäran.docx", "A 45113-2022")</f>
        <v/>
      </c>
      <c r="Y147">
        <f>HYPERLINK("https://klasma.github.io/Logging_0188/tillsynsmail/A 45113-2022 tillsynsbegäran mail.docx", "A 45113-2022")</f>
        <v/>
      </c>
    </row>
    <row r="148" ht="15" customHeight="1">
      <c r="A148" t="inlineStr">
        <is>
          <t>A 43900-2021</t>
        </is>
      </c>
      <c r="B148" s="1" t="n">
        <v>44434</v>
      </c>
      <c r="C148" s="1" t="n">
        <v>46033</v>
      </c>
      <c r="D148" t="inlineStr">
        <is>
          <t>STOCKHOLMS LÄN</t>
        </is>
      </c>
      <c r="E148" t="inlineStr">
        <is>
          <t>BOTKYRKA</t>
        </is>
      </c>
      <c r="F148" t="inlineStr">
        <is>
          <t>Kommuner</t>
        </is>
      </c>
      <c r="G148" t="n">
        <v>3.1</v>
      </c>
      <c r="H148" t="n">
        <v>0</v>
      </c>
      <c r="I148" t="n">
        <v>1</v>
      </c>
      <c r="J148" t="n">
        <v>2</v>
      </c>
      <c r="K148" t="n">
        <v>0</v>
      </c>
      <c r="L148" t="n">
        <v>0</v>
      </c>
      <c r="M148" t="n">
        <v>0</v>
      </c>
      <c r="N148" t="n">
        <v>0</v>
      </c>
      <c r="O148" t="n">
        <v>2</v>
      </c>
      <c r="P148" t="n">
        <v>0</v>
      </c>
      <c r="Q148" t="n">
        <v>3</v>
      </c>
      <c r="R148" s="2" t="inlineStr">
        <is>
          <t>Motaggsvamp
Ullticka
Brandticka</t>
        </is>
      </c>
      <c r="S148">
        <f>HYPERLINK("https://klasma.github.io/Logging_0127/artfynd/A 43900-2021 artfynd.xlsx", "A 43900-2021")</f>
        <v/>
      </c>
      <c r="T148">
        <f>HYPERLINK("https://klasma.github.io/Logging_0127/kartor/A 43900-2021 karta.png", "A 43900-2021")</f>
        <v/>
      </c>
      <c r="V148">
        <f>HYPERLINK("https://klasma.github.io/Logging_0127/klagomål/A 43900-2021 FSC-klagomål.docx", "A 43900-2021")</f>
        <v/>
      </c>
      <c r="W148">
        <f>HYPERLINK("https://klasma.github.io/Logging_0127/klagomålsmail/A 43900-2021 FSC-klagomål mail.docx", "A 43900-2021")</f>
        <v/>
      </c>
      <c r="X148">
        <f>HYPERLINK("https://klasma.github.io/Logging_0127/tillsyn/A 43900-2021 tillsynsbegäran.docx", "A 43900-2021")</f>
        <v/>
      </c>
      <c r="Y148">
        <f>HYPERLINK("https://klasma.github.io/Logging_0127/tillsynsmail/A 43900-2021 tillsynsbegäran mail.docx", "A 43900-2021")</f>
        <v/>
      </c>
    </row>
    <row r="149" ht="15" customHeight="1">
      <c r="A149" t="inlineStr">
        <is>
          <t>A 28836-2022</t>
        </is>
      </c>
      <c r="B149" s="1" t="n">
        <v>44749</v>
      </c>
      <c r="C149" s="1" t="n">
        <v>46033</v>
      </c>
      <c r="D149" t="inlineStr">
        <is>
          <t>STOCKHOLMS LÄN</t>
        </is>
      </c>
      <c r="E149" t="inlineStr">
        <is>
          <t>NORRTÄLJE</t>
        </is>
      </c>
      <c r="G149" t="n">
        <v>25</v>
      </c>
      <c r="H149" t="n">
        <v>2</v>
      </c>
      <c r="I149" t="n">
        <v>0</v>
      </c>
      <c r="J149" t="n">
        <v>2</v>
      </c>
      <c r="K149" t="n">
        <v>0</v>
      </c>
      <c r="L149" t="n">
        <v>0</v>
      </c>
      <c r="M149" t="n">
        <v>0</v>
      </c>
      <c r="N149" t="n">
        <v>0</v>
      </c>
      <c r="O149" t="n">
        <v>2</v>
      </c>
      <c r="P149" t="n">
        <v>0</v>
      </c>
      <c r="Q149" t="n">
        <v>3</v>
      </c>
      <c r="R149" s="2" t="inlineStr">
        <is>
          <t>Backklöver
Svartvit flugsnappare
Skogsödla</t>
        </is>
      </c>
      <c r="S149">
        <f>HYPERLINK("https://klasma.github.io/Logging_0188/artfynd/A 28836-2022 artfynd.xlsx", "A 28836-2022")</f>
        <v/>
      </c>
      <c r="T149">
        <f>HYPERLINK("https://klasma.github.io/Logging_0188/kartor/A 28836-2022 karta.png", "A 28836-2022")</f>
        <v/>
      </c>
      <c r="V149">
        <f>HYPERLINK("https://klasma.github.io/Logging_0188/klagomål/A 28836-2022 FSC-klagomål.docx", "A 28836-2022")</f>
        <v/>
      </c>
      <c r="W149">
        <f>HYPERLINK("https://klasma.github.io/Logging_0188/klagomålsmail/A 28836-2022 FSC-klagomål mail.docx", "A 28836-2022")</f>
        <v/>
      </c>
      <c r="X149">
        <f>HYPERLINK("https://klasma.github.io/Logging_0188/tillsyn/A 28836-2022 tillsynsbegäran.docx", "A 28836-2022")</f>
        <v/>
      </c>
      <c r="Y149">
        <f>HYPERLINK("https://klasma.github.io/Logging_0188/tillsynsmail/A 28836-2022 tillsynsbegäran mail.docx", "A 28836-2022")</f>
        <v/>
      </c>
      <c r="Z149">
        <f>HYPERLINK("https://klasma.github.io/Logging_0188/fåglar/A 28836-2022 prioriterade fågelarter.docx", "A 28836-2022")</f>
        <v/>
      </c>
    </row>
    <row r="150" ht="15" customHeight="1">
      <c r="A150" t="inlineStr">
        <is>
          <t>A 14560-2021</t>
        </is>
      </c>
      <c r="B150" s="1" t="n">
        <v>44279</v>
      </c>
      <c r="C150" s="1" t="n">
        <v>46033</v>
      </c>
      <c r="D150" t="inlineStr">
        <is>
          <t>STOCKHOLMS LÄN</t>
        </is>
      </c>
      <c r="E150" t="inlineStr">
        <is>
          <t>NORRTÄLJE</t>
        </is>
      </c>
      <c r="G150" t="n">
        <v>1.8</v>
      </c>
      <c r="H150" t="n">
        <v>0</v>
      </c>
      <c r="I150" t="n">
        <v>2</v>
      </c>
      <c r="J150" t="n">
        <v>1</v>
      </c>
      <c r="K150" t="n">
        <v>0</v>
      </c>
      <c r="L150" t="n">
        <v>0</v>
      </c>
      <c r="M150" t="n">
        <v>0</v>
      </c>
      <c r="N150" t="n">
        <v>0</v>
      </c>
      <c r="O150" t="n">
        <v>1</v>
      </c>
      <c r="P150" t="n">
        <v>0</v>
      </c>
      <c r="Q150" t="n">
        <v>3</v>
      </c>
      <c r="R150" s="2" t="inlineStr">
        <is>
          <t>Vit vedfingersvamp
Stor aspticka
Vedticka</t>
        </is>
      </c>
      <c r="S150">
        <f>HYPERLINK("https://klasma.github.io/Logging_0188/artfynd/A 14560-2021 artfynd.xlsx", "A 14560-2021")</f>
        <v/>
      </c>
      <c r="T150">
        <f>HYPERLINK("https://klasma.github.io/Logging_0188/kartor/A 14560-2021 karta.png", "A 14560-2021")</f>
        <v/>
      </c>
      <c r="V150">
        <f>HYPERLINK("https://klasma.github.io/Logging_0188/klagomål/A 14560-2021 FSC-klagomål.docx", "A 14560-2021")</f>
        <v/>
      </c>
      <c r="W150">
        <f>HYPERLINK("https://klasma.github.io/Logging_0188/klagomålsmail/A 14560-2021 FSC-klagomål mail.docx", "A 14560-2021")</f>
        <v/>
      </c>
      <c r="X150">
        <f>HYPERLINK("https://klasma.github.io/Logging_0188/tillsyn/A 14560-2021 tillsynsbegäran.docx", "A 14560-2021")</f>
        <v/>
      </c>
      <c r="Y150">
        <f>HYPERLINK("https://klasma.github.io/Logging_0188/tillsynsmail/A 14560-2021 tillsynsbegäran mail.docx", "A 14560-2021")</f>
        <v/>
      </c>
    </row>
    <row r="151" ht="15" customHeight="1">
      <c r="A151" t="inlineStr">
        <is>
          <t>A 13237-2023</t>
        </is>
      </c>
      <c r="B151" s="1" t="n">
        <v>45002</v>
      </c>
      <c r="C151" s="1" t="n">
        <v>46033</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46033</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22400-2025</t>
        </is>
      </c>
      <c r="B153" s="1" t="n">
        <v>45786.53068287037</v>
      </c>
      <c r="C153" s="1" t="n">
        <v>46033</v>
      </c>
      <c r="D153" t="inlineStr">
        <is>
          <t>STOCKHOLMS LÄN</t>
        </is>
      </c>
      <c r="E153" t="inlineStr">
        <is>
          <t>SIGTUNA</t>
        </is>
      </c>
      <c r="G153" t="n">
        <v>8.9</v>
      </c>
      <c r="H153" t="n">
        <v>2</v>
      </c>
      <c r="I153" t="n">
        <v>0</v>
      </c>
      <c r="J153" t="n">
        <v>2</v>
      </c>
      <c r="K153" t="n">
        <v>0</v>
      </c>
      <c r="L153" t="n">
        <v>0</v>
      </c>
      <c r="M153" t="n">
        <v>0</v>
      </c>
      <c r="N153" t="n">
        <v>0</v>
      </c>
      <c r="O153" t="n">
        <v>2</v>
      </c>
      <c r="P153" t="n">
        <v>0</v>
      </c>
      <c r="Q153" t="n">
        <v>3</v>
      </c>
      <c r="R153" s="2" t="inlineStr">
        <is>
          <t>Slåtterfibbla
Spillkråka
Nattviol</t>
        </is>
      </c>
      <c r="S153">
        <f>HYPERLINK("https://klasma.github.io/Logging_0191/artfynd/A 22400-2025 artfynd.xlsx", "A 22400-2025")</f>
        <v/>
      </c>
      <c r="T153">
        <f>HYPERLINK("https://klasma.github.io/Logging_0191/kartor/A 22400-2025 karta.png", "A 22400-2025")</f>
        <v/>
      </c>
      <c r="V153">
        <f>HYPERLINK("https://klasma.github.io/Logging_0191/klagomål/A 22400-2025 FSC-klagomål.docx", "A 22400-2025")</f>
        <v/>
      </c>
      <c r="W153">
        <f>HYPERLINK("https://klasma.github.io/Logging_0191/klagomålsmail/A 22400-2025 FSC-klagomål mail.docx", "A 22400-2025")</f>
        <v/>
      </c>
      <c r="X153">
        <f>HYPERLINK("https://klasma.github.io/Logging_0191/tillsyn/A 22400-2025 tillsynsbegäran.docx", "A 22400-2025")</f>
        <v/>
      </c>
      <c r="Y153">
        <f>HYPERLINK("https://klasma.github.io/Logging_0191/tillsynsmail/A 22400-2025 tillsynsbegäran mail.docx", "A 22400-2025")</f>
        <v/>
      </c>
      <c r="Z153">
        <f>HYPERLINK("https://klasma.github.io/Logging_0191/fåglar/A 22400-2025 prioriterade fågelarter.docx", "A 22400-2025")</f>
        <v/>
      </c>
    </row>
    <row r="154" ht="15" customHeight="1">
      <c r="A154" t="inlineStr">
        <is>
          <t>A 27971-2022</t>
        </is>
      </c>
      <c r="B154" s="1" t="n">
        <v>44744</v>
      </c>
      <c r="C154" s="1" t="n">
        <v>46033</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47707-2023</t>
        </is>
      </c>
      <c r="B155" s="1" t="n">
        <v>45203</v>
      </c>
      <c r="C155" s="1" t="n">
        <v>46033</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46033</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22716-2025</t>
        </is>
      </c>
      <c r="B157" s="1" t="n">
        <v>45789.56619212963</v>
      </c>
      <c r="C157" s="1" t="n">
        <v>46033</v>
      </c>
      <c r="D157" t="inlineStr">
        <is>
          <t>STOCKHOLMS LÄN</t>
        </is>
      </c>
      <c r="E157" t="inlineStr">
        <is>
          <t>NYNÄSHAMN</t>
        </is>
      </c>
      <c r="F157" t="inlineStr">
        <is>
          <t>Kommuner</t>
        </is>
      </c>
      <c r="G157" t="n">
        <v>2</v>
      </c>
      <c r="H157" t="n">
        <v>1</v>
      </c>
      <c r="I157" t="n">
        <v>2</v>
      </c>
      <c r="J157" t="n">
        <v>0</v>
      </c>
      <c r="K157" t="n">
        <v>0</v>
      </c>
      <c r="L157" t="n">
        <v>0</v>
      </c>
      <c r="M157" t="n">
        <v>0</v>
      </c>
      <c r="N157" t="n">
        <v>0</v>
      </c>
      <c r="O157" t="n">
        <v>0</v>
      </c>
      <c r="P157" t="n">
        <v>0</v>
      </c>
      <c r="Q157" t="n">
        <v>3</v>
      </c>
      <c r="R157" s="2" t="inlineStr">
        <is>
          <t>Björksplintborre
Stekelbock
Revlummer</t>
        </is>
      </c>
      <c r="S157">
        <f>HYPERLINK("https://klasma.github.io/Logging_0192/artfynd/A 22716-2025 artfynd.xlsx", "A 22716-2025")</f>
        <v/>
      </c>
      <c r="T157">
        <f>HYPERLINK("https://klasma.github.io/Logging_0192/kartor/A 22716-2025 karta.png", "A 22716-2025")</f>
        <v/>
      </c>
      <c r="V157">
        <f>HYPERLINK("https://klasma.github.io/Logging_0192/klagomål/A 22716-2025 FSC-klagomål.docx", "A 22716-2025")</f>
        <v/>
      </c>
      <c r="W157">
        <f>HYPERLINK("https://klasma.github.io/Logging_0192/klagomålsmail/A 22716-2025 FSC-klagomål mail.docx", "A 22716-2025")</f>
        <v/>
      </c>
      <c r="X157">
        <f>HYPERLINK("https://klasma.github.io/Logging_0192/tillsyn/A 22716-2025 tillsynsbegäran.docx", "A 22716-2025")</f>
        <v/>
      </c>
      <c r="Y157">
        <f>HYPERLINK("https://klasma.github.io/Logging_0192/tillsynsmail/A 22716-2025 tillsynsbegäran mail.docx", "A 22716-2025")</f>
        <v/>
      </c>
    </row>
    <row r="158" ht="15" customHeight="1">
      <c r="A158" t="inlineStr">
        <is>
          <t>A 54110-2024</t>
        </is>
      </c>
      <c r="B158" s="1" t="n">
        <v>45616.54866898148</v>
      </c>
      <c r="C158" s="1" t="n">
        <v>46033</v>
      </c>
      <c r="D158" t="inlineStr">
        <is>
          <t>STOCKHOLMS LÄN</t>
        </is>
      </c>
      <c r="E158" t="inlineStr">
        <is>
          <t>NORRTÄLJE</t>
        </is>
      </c>
      <c r="G158" t="n">
        <v>6.7</v>
      </c>
      <c r="H158" t="n">
        <v>2</v>
      </c>
      <c r="I158" t="n">
        <v>0</v>
      </c>
      <c r="J158" t="n">
        <v>1</v>
      </c>
      <c r="K158" t="n">
        <v>0</v>
      </c>
      <c r="L158" t="n">
        <v>0</v>
      </c>
      <c r="M158" t="n">
        <v>0</v>
      </c>
      <c r="N158" t="n">
        <v>0</v>
      </c>
      <c r="O158" t="n">
        <v>1</v>
      </c>
      <c r="P158" t="n">
        <v>0</v>
      </c>
      <c r="Q158" t="n">
        <v>3</v>
      </c>
      <c r="R158" s="2" t="inlineStr">
        <is>
          <t>Klasefibbla
Nattviol
Gullviva</t>
        </is>
      </c>
      <c r="S158">
        <f>HYPERLINK("https://klasma.github.io/Logging_0188/artfynd/A 54110-2024 artfynd.xlsx", "A 54110-2024")</f>
        <v/>
      </c>
      <c r="T158">
        <f>HYPERLINK("https://klasma.github.io/Logging_0188/kartor/A 54110-2024 karta.png", "A 54110-2024")</f>
        <v/>
      </c>
      <c r="V158">
        <f>HYPERLINK("https://klasma.github.io/Logging_0188/klagomål/A 54110-2024 FSC-klagomål.docx", "A 54110-2024")</f>
        <v/>
      </c>
      <c r="W158">
        <f>HYPERLINK("https://klasma.github.io/Logging_0188/klagomålsmail/A 54110-2024 FSC-klagomål mail.docx", "A 54110-2024")</f>
        <v/>
      </c>
      <c r="X158">
        <f>HYPERLINK("https://klasma.github.io/Logging_0188/tillsyn/A 54110-2024 tillsynsbegäran.docx", "A 54110-2024")</f>
        <v/>
      </c>
      <c r="Y158">
        <f>HYPERLINK("https://klasma.github.io/Logging_0188/tillsynsmail/A 54110-2024 tillsynsbegäran mail.docx", "A 54110-2024")</f>
        <v/>
      </c>
    </row>
    <row r="159" ht="15" customHeight="1">
      <c r="A159" t="inlineStr">
        <is>
          <t>A 25270-2025</t>
        </is>
      </c>
      <c r="B159" s="1" t="n">
        <v>45800</v>
      </c>
      <c r="C159" s="1" t="n">
        <v>46033</v>
      </c>
      <c r="D159" t="inlineStr">
        <is>
          <t>STOCKHOLMS LÄN</t>
        </is>
      </c>
      <c r="E159" t="inlineStr">
        <is>
          <t>NORRTÄLJE</t>
        </is>
      </c>
      <c r="F159" t="inlineStr">
        <is>
          <t>Övriga Aktiebolag</t>
        </is>
      </c>
      <c r="G159" t="n">
        <v>30</v>
      </c>
      <c r="H159" t="n">
        <v>0</v>
      </c>
      <c r="I159" t="n">
        <v>2</v>
      </c>
      <c r="J159" t="n">
        <v>1</v>
      </c>
      <c r="K159" t="n">
        <v>0</v>
      </c>
      <c r="L159" t="n">
        <v>0</v>
      </c>
      <c r="M159" t="n">
        <v>0</v>
      </c>
      <c r="N159" t="n">
        <v>0</v>
      </c>
      <c r="O159" t="n">
        <v>1</v>
      </c>
      <c r="P159" t="n">
        <v>0</v>
      </c>
      <c r="Q159" t="n">
        <v>3</v>
      </c>
      <c r="R159" s="2" t="inlineStr">
        <is>
          <t>Kandelabersvamp
Fjällig taggsvamp s.str.
Skarp dropptaggsvamp</t>
        </is>
      </c>
      <c r="S159">
        <f>HYPERLINK("https://klasma.github.io/Logging_0188/artfynd/A 25270-2025 artfynd.xlsx", "A 25270-2025")</f>
        <v/>
      </c>
      <c r="T159">
        <f>HYPERLINK("https://klasma.github.io/Logging_0188/kartor/A 25270-2025 karta.png", "A 25270-2025")</f>
        <v/>
      </c>
      <c r="V159">
        <f>HYPERLINK("https://klasma.github.io/Logging_0188/klagomål/A 25270-2025 FSC-klagomål.docx", "A 25270-2025")</f>
        <v/>
      </c>
      <c r="W159">
        <f>HYPERLINK("https://klasma.github.io/Logging_0188/klagomålsmail/A 25270-2025 FSC-klagomål mail.docx", "A 25270-2025")</f>
        <v/>
      </c>
      <c r="X159">
        <f>HYPERLINK("https://klasma.github.io/Logging_0188/tillsyn/A 25270-2025 tillsynsbegäran.docx", "A 25270-2025")</f>
        <v/>
      </c>
      <c r="Y159">
        <f>HYPERLINK("https://klasma.github.io/Logging_0188/tillsynsmail/A 25270-2025 tillsynsbegäran mail.docx", "A 25270-2025")</f>
        <v/>
      </c>
    </row>
    <row r="160" ht="15" customHeight="1">
      <c r="A160" t="inlineStr">
        <is>
          <t>A 33166-2023</t>
        </is>
      </c>
      <c r="B160" s="1" t="n">
        <v>45126</v>
      </c>
      <c r="C160" s="1" t="n">
        <v>46033</v>
      </c>
      <c r="D160" t="inlineStr">
        <is>
          <t>STOCKHOLMS LÄN</t>
        </is>
      </c>
      <c r="E160" t="inlineStr">
        <is>
          <t>VÄRMDÖ</t>
        </is>
      </c>
      <c r="G160" t="n">
        <v>3.8</v>
      </c>
      <c r="H160" t="n">
        <v>0</v>
      </c>
      <c r="I160" t="n">
        <v>0</v>
      </c>
      <c r="J160" t="n">
        <v>3</v>
      </c>
      <c r="K160" t="n">
        <v>0</v>
      </c>
      <c r="L160" t="n">
        <v>0</v>
      </c>
      <c r="M160" t="n">
        <v>0</v>
      </c>
      <c r="N160" t="n">
        <v>0</v>
      </c>
      <c r="O160" t="n">
        <v>3</v>
      </c>
      <c r="P160" t="n">
        <v>0</v>
      </c>
      <c r="Q160" t="n">
        <v>3</v>
      </c>
      <c r="R160" s="2" t="inlineStr">
        <is>
          <t>Backklöver
Gullklöver
Vippärt</t>
        </is>
      </c>
      <c r="S160">
        <f>HYPERLINK("https://klasma.github.io/Logging_0120/artfynd/A 33166-2023 artfynd.xlsx", "A 33166-2023")</f>
        <v/>
      </c>
      <c r="T160">
        <f>HYPERLINK("https://klasma.github.io/Logging_0120/kartor/A 33166-2023 karta.png", "A 33166-2023")</f>
        <v/>
      </c>
      <c r="V160">
        <f>HYPERLINK("https://klasma.github.io/Logging_0120/klagomål/A 33166-2023 FSC-klagomål.docx", "A 33166-2023")</f>
        <v/>
      </c>
      <c r="W160">
        <f>HYPERLINK("https://klasma.github.io/Logging_0120/klagomålsmail/A 33166-2023 FSC-klagomål mail.docx", "A 33166-2023")</f>
        <v/>
      </c>
      <c r="X160">
        <f>HYPERLINK("https://klasma.github.io/Logging_0120/tillsyn/A 33166-2023 tillsynsbegäran.docx", "A 33166-2023")</f>
        <v/>
      </c>
      <c r="Y160">
        <f>HYPERLINK("https://klasma.github.io/Logging_0120/tillsynsmail/A 33166-2023 tillsynsbegäran mail.docx", "A 33166-2023")</f>
        <v/>
      </c>
    </row>
    <row r="161" ht="15" customHeight="1">
      <c r="A161" t="inlineStr">
        <is>
          <t>A 34717-2025</t>
        </is>
      </c>
      <c r="B161" s="1" t="n">
        <v>45848</v>
      </c>
      <c r="C161" s="1" t="n">
        <v>46033</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29185-2025</t>
        </is>
      </c>
      <c r="B162" s="1" t="n">
        <v>45821</v>
      </c>
      <c r="C162" s="1" t="n">
        <v>46033</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48717-2024</t>
        </is>
      </c>
      <c r="B163" s="1" t="n">
        <v>45593</v>
      </c>
      <c r="C163" s="1" t="n">
        <v>46033</v>
      </c>
      <c r="D163" t="inlineStr">
        <is>
          <t>STOCKHOLMS LÄN</t>
        </is>
      </c>
      <c r="E163" t="inlineStr">
        <is>
          <t>VALLENTUNA</t>
        </is>
      </c>
      <c r="G163" t="n">
        <v>6.2</v>
      </c>
      <c r="H163" t="n">
        <v>1</v>
      </c>
      <c r="I163" t="n">
        <v>0</v>
      </c>
      <c r="J163" t="n">
        <v>2</v>
      </c>
      <c r="K163" t="n">
        <v>0</v>
      </c>
      <c r="L163" t="n">
        <v>0</v>
      </c>
      <c r="M163" t="n">
        <v>0</v>
      </c>
      <c r="N163" t="n">
        <v>0</v>
      </c>
      <c r="O163" t="n">
        <v>2</v>
      </c>
      <c r="P163" t="n">
        <v>0</v>
      </c>
      <c r="Q163" t="n">
        <v>3</v>
      </c>
      <c r="R163" s="2" t="inlineStr">
        <is>
          <t>Granticka
Ullticka
Kungsfågel</t>
        </is>
      </c>
      <c r="S163">
        <f>HYPERLINK("https://klasma.github.io/Logging_0115/artfynd/A 48717-2024 artfynd.xlsx", "A 48717-2024")</f>
        <v/>
      </c>
      <c r="T163">
        <f>HYPERLINK("https://klasma.github.io/Logging_0115/kartor/A 48717-2024 karta.png", "A 48717-2024")</f>
        <v/>
      </c>
      <c r="V163">
        <f>HYPERLINK("https://klasma.github.io/Logging_0115/klagomål/A 48717-2024 FSC-klagomål.docx", "A 48717-2024")</f>
        <v/>
      </c>
      <c r="W163">
        <f>HYPERLINK("https://klasma.github.io/Logging_0115/klagomålsmail/A 48717-2024 FSC-klagomål mail.docx", "A 48717-2024")</f>
        <v/>
      </c>
      <c r="X163">
        <f>HYPERLINK("https://klasma.github.io/Logging_0115/tillsyn/A 48717-2024 tillsynsbegäran.docx", "A 48717-2024")</f>
        <v/>
      </c>
      <c r="Y163">
        <f>HYPERLINK("https://klasma.github.io/Logging_0115/tillsynsmail/A 48717-2024 tillsynsbegäran mail.docx", "A 48717-2024")</f>
        <v/>
      </c>
      <c r="Z163">
        <f>HYPERLINK("https://klasma.github.io/Logging_0115/fåglar/A 48717-2024 prioriterade fågelarter.docx", "A 48717-2024")</f>
        <v/>
      </c>
    </row>
    <row r="164" ht="15" customHeight="1">
      <c r="A164" t="inlineStr">
        <is>
          <t>A 14220-2025</t>
        </is>
      </c>
      <c r="B164" s="1" t="n">
        <v>45740</v>
      </c>
      <c r="C164" s="1" t="n">
        <v>46033</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31577-2025</t>
        </is>
      </c>
      <c r="B165" s="1" t="n">
        <v>45833.67671296297</v>
      </c>
      <c r="C165" s="1" t="n">
        <v>46033</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17342-2025</t>
        </is>
      </c>
      <c r="B166" s="1" t="n">
        <v>45756</v>
      </c>
      <c r="C166" s="1" t="n">
        <v>46033</v>
      </c>
      <c r="D166" t="inlineStr">
        <is>
          <t>STOCKHOLMS LÄN</t>
        </is>
      </c>
      <c r="E166" t="inlineStr">
        <is>
          <t>VALLENTUNA</t>
        </is>
      </c>
      <c r="F166" t="inlineStr">
        <is>
          <t>Övriga Aktiebolag</t>
        </is>
      </c>
      <c r="G166" t="n">
        <v>3.9</v>
      </c>
      <c r="H166" t="n">
        <v>1</v>
      </c>
      <c r="I166" t="n">
        <v>2</v>
      </c>
      <c r="J166" t="n">
        <v>1</v>
      </c>
      <c r="K166" t="n">
        <v>0</v>
      </c>
      <c r="L166" t="n">
        <v>0</v>
      </c>
      <c r="M166" t="n">
        <v>0</v>
      </c>
      <c r="N166" t="n">
        <v>0</v>
      </c>
      <c r="O166" t="n">
        <v>1</v>
      </c>
      <c r="P166" t="n">
        <v>0</v>
      </c>
      <c r="Q166" t="n">
        <v>3</v>
      </c>
      <c r="R166" s="2" t="inlineStr">
        <is>
          <t>Spillkråka
Mindre märgborre
Vågbandad barkbock</t>
        </is>
      </c>
      <c r="S166">
        <f>HYPERLINK("https://klasma.github.io/Logging_0115/artfynd/A 17342-2025 artfynd.xlsx", "A 17342-2025")</f>
        <v/>
      </c>
      <c r="T166">
        <f>HYPERLINK("https://klasma.github.io/Logging_0115/kartor/A 17342-2025 karta.png", "A 17342-2025")</f>
        <v/>
      </c>
      <c r="V166">
        <f>HYPERLINK("https://klasma.github.io/Logging_0115/klagomål/A 17342-2025 FSC-klagomål.docx", "A 17342-2025")</f>
        <v/>
      </c>
      <c r="W166">
        <f>HYPERLINK("https://klasma.github.io/Logging_0115/klagomålsmail/A 17342-2025 FSC-klagomål mail.docx", "A 17342-2025")</f>
        <v/>
      </c>
      <c r="X166">
        <f>HYPERLINK("https://klasma.github.io/Logging_0115/tillsyn/A 17342-2025 tillsynsbegäran.docx", "A 17342-2025")</f>
        <v/>
      </c>
      <c r="Y166">
        <f>HYPERLINK("https://klasma.github.io/Logging_0115/tillsynsmail/A 17342-2025 tillsynsbegäran mail.docx", "A 17342-2025")</f>
        <v/>
      </c>
      <c r="Z166">
        <f>HYPERLINK("https://klasma.github.io/Logging_0115/fåglar/A 17342-2025 prioriterade fågelarter.docx", "A 17342-2025")</f>
        <v/>
      </c>
    </row>
    <row r="167" ht="15" customHeight="1">
      <c r="A167" t="inlineStr">
        <is>
          <t>A 49850-2025</t>
        </is>
      </c>
      <c r="B167" s="1" t="n">
        <v>45940.48542824074</v>
      </c>
      <c r="C167" s="1" t="n">
        <v>46033</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52726-2025</t>
        </is>
      </c>
      <c r="B168" s="1" t="n">
        <v>45957.34722222222</v>
      </c>
      <c r="C168" s="1" t="n">
        <v>46033</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34524-2025</t>
        </is>
      </c>
      <c r="B169" s="1" t="n">
        <v>45847.47685185185</v>
      </c>
      <c r="C169" s="1" t="n">
        <v>46033</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2851-2023</t>
        </is>
      </c>
      <c r="B170" s="1" t="n">
        <v>44945</v>
      </c>
      <c r="C170" s="1" t="n">
        <v>46033</v>
      </c>
      <c r="D170" t="inlineStr">
        <is>
          <t>STOCKHOLMS LÄN</t>
        </is>
      </c>
      <c r="E170" t="inlineStr">
        <is>
          <t>NORRTÄLJE</t>
        </is>
      </c>
      <c r="G170" t="n">
        <v>5.8</v>
      </c>
      <c r="H170" t="n">
        <v>1</v>
      </c>
      <c r="I170" t="n">
        <v>1</v>
      </c>
      <c r="J170" t="n">
        <v>2</v>
      </c>
      <c r="K170" t="n">
        <v>0</v>
      </c>
      <c r="L170" t="n">
        <v>0</v>
      </c>
      <c r="M170" t="n">
        <v>0</v>
      </c>
      <c r="N170" t="n">
        <v>0</v>
      </c>
      <c r="O170" t="n">
        <v>2</v>
      </c>
      <c r="P170" t="n">
        <v>0</v>
      </c>
      <c r="Q170" t="n">
        <v>3</v>
      </c>
      <c r="R170" s="2" t="inlineStr">
        <is>
          <t>Gulsparv
Vedflikmossa
Terpentinmossa</t>
        </is>
      </c>
      <c r="S170">
        <f>HYPERLINK("https://klasma.github.io/Logging_0188/artfynd/A 2851-2023 artfynd.xlsx", "A 2851-2023")</f>
        <v/>
      </c>
      <c r="T170">
        <f>HYPERLINK("https://klasma.github.io/Logging_0188/kartor/A 2851-2023 karta.png", "A 2851-2023")</f>
        <v/>
      </c>
      <c r="V170">
        <f>HYPERLINK("https://klasma.github.io/Logging_0188/klagomål/A 2851-2023 FSC-klagomål.docx", "A 2851-2023")</f>
        <v/>
      </c>
      <c r="W170">
        <f>HYPERLINK("https://klasma.github.io/Logging_0188/klagomålsmail/A 2851-2023 FSC-klagomål mail.docx", "A 2851-2023")</f>
        <v/>
      </c>
      <c r="X170">
        <f>HYPERLINK("https://klasma.github.io/Logging_0188/tillsyn/A 2851-2023 tillsynsbegäran.docx", "A 2851-2023")</f>
        <v/>
      </c>
      <c r="Y170">
        <f>HYPERLINK("https://klasma.github.io/Logging_0188/tillsynsmail/A 2851-2023 tillsynsbegäran mail.docx", "A 2851-2023")</f>
        <v/>
      </c>
      <c r="Z170">
        <f>HYPERLINK("https://klasma.github.io/Logging_0188/fåglar/A 2851-2023 prioriterade fågelarter.docx", "A 2851-2023")</f>
        <v/>
      </c>
    </row>
    <row r="171" ht="15" customHeight="1">
      <c r="A171" t="inlineStr">
        <is>
          <t>A 9956-2021</t>
        </is>
      </c>
      <c r="B171" s="1" t="n">
        <v>44252</v>
      </c>
      <c r="C171" s="1" t="n">
        <v>46033</v>
      </c>
      <c r="D171" t="inlineStr">
        <is>
          <t>STOCKHOLMS LÄN</t>
        </is>
      </c>
      <c r="E171" t="inlineStr">
        <is>
          <t>UPPLANDS-BRO</t>
        </is>
      </c>
      <c r="F171" t="inlineStr">
        <is>
          <t>Kyrkan</t>
        </is>
      </c>
      <c r="G171" t="n">
        <v>3.4</v>
      </c>
      <c r="H171" t="n">
        <v>0</v>
      </c>
      <c r="I171" t="n">
        <v>1</v>
      </c>
      <c r="J171" t="n">
        <v>2</v>
      </c>
      <c r="K171" t="n">
        <v>0</v>
      </c>
      <c r="L171" t="n">
        <v>0</v>
      </c>
      <c r="M171" t="n">
        <v>0</v>
      </c>
      <c r="N171" t="n">
        <v>0</v>
      </c>
      <c r="O171" t="n">
        <v>2</v>
      </c>
      <c r="P171" t="n">
        <v>0</v>
      </c>
      <c r="Q171" t="n">
        <v>3</v>
      </c>
      <c r="R171" s="2" t="inlineStr">
        <is>
          <t>Dofttaggsvamp
Orange taggsvamp
Svavelriska</t>
        </is>
      </c>
      <c r="S171">
        <f>HYPERLINK("https://klasma.github.io/Logging_0139/artfynd/A 9956-2021 artfynd.xlsx", "A 9956-2021")</f>
        <v/>
      </c>
      <c r="T171">
        <f>HYPERLINK("https://klasma.github.io/Logging_0139/kartor/A 9956-2021 karta.png", "A 9956-2021")</f>
        <v/>
      </c>
      <c r="V171">
        <f>HYPERLINK("https://klasma.github.io/Logging_0139/klagomål/A 9956-2021 FSC-klagomål.docx", "A 9956-2021")</f>
        <v/>
      </c>
      <c r="W171">
        <f>HYPERLINK("https://klasma.github.io/Logging_0139/klagomålsmail/A 9956-2021 FSC-klagomål mail.docx", "A 9956-2021")</f>
        <v/>
      </c>
      <c r="X171">
        <f>HYPERLINK("https://klasma.github.io/Logging_0139/tillsyn/A 9956-2021 tillsynsbegäran.docx", "A 9956-2021")</f>
        <v/>
      </c>
      <c r="Y171">
        <f>HYPERLINK("https://klasma.github.io/Logging_0139/tillsynsmail/A 9956-2021 tillsynsbegäran mail.docx", "A 9956-2021")</f>
        <v/>
      </c>
    </row>
    <row r="172" ht="15" customHeight="1">
      <c r="A172" t="inlineStr">
        <is>
          <t>A 61288-2025</t>
        </is>
      </c>
      <c r="B172" s="1" t="n">
        <v>46000.73247685185</v>
      </c>
      <c r="C172" s="1" t="n">
        <v>46033</v>
      </c>
      <c r="D172" t="inlineStr">
        <is>
          <t>STOCKHOLMS LÄN</t>
        </is>
      </c>
      <c r="E172" t="inlineStr">
        <is>
          <t>NORRTÄLJE</t>
        </is>
      </c>
      <c r="G172" t="n">
        <v>2</v>
      </c>
      <c r="H172" t="n">
        <v>2</v>
      </c>
      <c r="I172" t="n">
        <v>1</v>
      </c>
      <c r="J172" t="n">
        <v>0</v>
      </c>
      <c r="K172" t="n">
        <v>1</v>
      </c>
      <c r="L172" t="n">
        <v>0</v>
      </c>
      <c r="M172" t="n">
        <v>0</v>
      </c>
      <c r="N172" t="n">
        <v>0</v>
      </c>
      <c r="O172" t="n">
        <v>1</v>
      </c>
      <c r="P172" t="n">
        <v>1</v>
      </c>
      <c r="Q172" t="n">
        <v>3</v>
      </c>
      <c r="R172" s="2" t="inlineStr">
        <is>
          <t>Knärot
Kattfotslav
Kungsfågel</t>
        </is>
      </c>
      <c r="S172">
        <f>HYPERLINK("https://klasma.github.io/Logging_0188/artfynd/A 61288-2025 artfynd.xlsx", "A 61288-2025")</f>
        <v/>
      </c>
      <c r="T172">
        <f>HYPERLINK("https://klasma.github.io/Logging_0188/kartor/A 61288-2025 karta.png", "A 61288-2025")</f>
        <v/>
      </c>
      <c r="U172">
        <f>HYPERLINK("https://klasma.github.io/Logging_0188/knärot/A 61288-2025 karta knärot.png", "A 61288-2025")</f>
        <v/>
      </c>
      <c r="V172">
        <f>HYPERLINK("https://klasma.github.io/Logging_0188/klagomål/A 61288-2025 FSC-klagomål.docx", "A 61288-2025")</f>
        <v/>
      </c>
      <c r="W172">
        <f>HYPERLINK("https://klasma.github.io/Logging_0188/klagomålsmail/A 61288-2025 FSC-klagomål mail.docx", "A 61288-2025")</f>
        <v/>
      </c>
      <c r="X172">
        <f>HYPERLINK("https://klasma.github.io/Logging_0188/tillsyn/A 61288-2025 tillsynsbegäran.docx", "A 61288-2025")</f>
        <v/>
      </c>
      <c r="Y172">
        <f>HYPERLINK("https://klasma.github.io/Logging_0188/tillsynsmail/A 61288-2025 tillsynsbegäran mail.docx", "A 61288-2025")</f>
        <v/>
      </c>
      <c r="Z172">
        <f>HYPERLINK("https://klasma.github.io/Logging_0188/fåglar/A 61288-2025 prioriterade fågelarter.docx", "A 61288-2025")</f>
        <v/>
      </c>
    </row>
    <row r="173" ht="15" customHeight="1">
      <c r="A173" t="inlineStr">
        <is>
          <t>A 36131-2025</t>
        </is>
      </c>
      <c r="B173" s="1" t="n">
        <v>45866.62395833333</v>
      </c>
      <c r="C173" s="1" t="n">
        <v>46033</v>
      </c>
      <c r="D173" t="inlineStr">
        <is>
          <t>STOCKHOLMS LÄN</t>
        </is>
      </c>
      <c r="E173" t="inlineStr">
        <is>
          <t>NYNÄSHAMN</t>
        </is>
      </c>
      <c r="G173" t="n">
        <v>5.2</v>
      </c>
      <c r="H173" t="n">
        <v>1</v>
      </c>
      <c r="I173" t="n">
        <v>1</v>
      </c>
      <c r="J173" t="n">
        <v>1</v>
      </c>
      <c r="K173" t="n">
        <v>0</v>
      </c>
      <c r="L173" t="n">
        <v>0</v>
      </c>
      <c r="M173" t="n">
        <v>0</v>
      </c>
      <c r="N173" t="n">
        <v>0</v>
      </c>
      <c r="O173" t="n">
        <v>1</v>
      </c>
      <c r="P173" t="n">
        <v>0</v>
      </c>
      <c r="Q173" t="n">
        <v>3</v>
      </c>
      <c r="R173" s="2" t="inlineStr">
        <is>
          <t>Vedskivlav
Fällmossa
Blåsippa</t>
        </is>
      </c>
      <c r="S173">
        <f>HYPERLINK("https://klasma.github.io/Logging_0192/artfynd/A 36131-2025 artfynd.xlsx", "A 36131-2025")</f>
        <v/>
      </c>
      <c r="T173">
        <f>HYPERLINK("https://klasma.github.io/Logging_0192/kartor/A 36131-2025 karta.png", "A 36131-2025")</f>
        <v/>
      </c>
      <c r="V173">
        <f>HYPERLINK("https://klasma.github.io/Logging_0192/klagomål/A 36131-2025 FSC-klagomål.docx", "A 36131-2025")</f>
        <v/>
      </c>
      <c r="W173">
        <f>HYPERLINK("https://klasma.github.io/Logging_0192/klagomålsmail/A 36131-2025 FSC-klagomål mail.docx", "A 36131-2025")</f>
        <v/>
      </c>
      <c r="X173">
        <f>HYPERLINK("https://klasma.github.io/Logging_0192/tillsyn/A 36131-2025 tillsynsbegäran.docx", "A 36131-2025")</f>
        <v/>
      </c>
      <c r="Y173">
        <f>HYPERLINK("https://klasma.github.io/Logging_0192/tillsynsmail/A 36131-2025 tillsynsbegäran mail.docx", "A 36131-2025")</f>
        <v/>
      </c>
    </row>
    <row r="174" ht="15" customHeight="1">
      <c r="A174" t="inlineStr">
        <is>
          <t>A 12620-2022</t>
        </is>
      </c>
      <c r="B174" s="1" t="n">
        <v>44638</v>
      </c>
      <c r="C174" s="1" t="n">
        <v>46033</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46033</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46033</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31335-2021</t>
        </is>
      </c>
      <c r="B177" s="1" t="n">
        <v>44368</v>
      </c>
      <c r="C177" s="1" t="n">
        <v>46033</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20185-2022</t>
        </is>
      </c>
      <c r="B178" s="1" t="n">
        <v>44698</v>
      </c>
      <c r="C178" s="1" t="n">
        <v>46033</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37456-2023</t>
        </is>
      </c>
      <c r="B179" s="1" t="n">
        <v>45156</v>
      </c>
      <c r="C179" s="1" t="n">
        <v>46033</v>
      </c>
      <c r="D179" t="inlineStr">
        <is>
          <t>STOCKHOLMS LÄN</t>
        </is>
      </c>
      <c r="E179" t="inlineStr">
        <is>
          <t>VALLENTUNA</t>
        </is>
      </c>
      <c r="F179" t="inlineStr">
        <is>
          <t>Övriga Aktiebolag</t>
        </is>
      </c>
      <c r="G179" t="n">
        <v>3.3</v>
      </c>
      <c r="H179" t="n">
        <v>1</v>
      </c>
      <c r="I179" t="n">
        <v>2</v>
      </c>
      <c r="J179" t="n">
        <v>0</v>
      </c>
      <c r="K179" t="n">
        <v>0</v>
      </c>
      <c r="L179" t="n">
        <v>0</v>
      </c>
      <c r="M179" t="n">
        <v>0</v>
      </c>
      <c r="N179" t="n">
        <v>0</v>
      </c>
      <c r="O179" t="n">
        <v>0</v>
      </c>
      <c r="P179" t="n">
        <v>0</v>
      </c>
      <c r="Q179" t="n">
        <v>3</v>
      </c>
      <c r="R179" s="2" t="inlineStr">
        <is>
          <t>Skarp dropptaggsvamp
Tjockfotad fingersvamp
Blåsippa</t>
        </is>
      </c>
      <c r="S179">
        <f>HYPERLINK("https://klasma.github.io/Logging_0115/artfynd/A 37456-2023 artfynd.xlsx", "A 37456-2023")</f>
        <v/>
      </c>
      <c r="T179">
        <f>HYPERLINK("https://klasma.github.io/Logging_0115/kartor/A 37456-2023 karta.png", "A 37456-2023")</f>
        <v/>
      </c>
      <c r="V179">
        <f>HYPERLINK("https://klasma.github.io/Logging_0115/klagomål/A 37456-2023 FSC-klagomål.docx", "A 37456-2023")</f>
        <v/>
      </c>
      <c r="W179">
        <f>HYPERLINK("https://klasma.github.io/Logging_0115/klagomålsmail/A 37456-2023 FSC-klagomål mail.docx", "A 37456-2023")</f>
        <v/>
      </c>
      <c r="X179">
        <f>HYPERLINK("https://klasma.github.io/Logging_0115/tillsyn/A 37456-2023 tillsynsbegäran.docx", "A 37456-2023")</f>
        <v/>
      </c>
      <c r="Y179">
        <f>HYPERLINK("https://klasma.github.io/Logging_0115/tillsynsmail/A 37456-2023 tillsynsbegäran mail.docx", "A 37456-2023")</f>
        <v/>
      </c>
    </row>
    <row r="180" ht="15" customHeight="1">
      <c r="A180" t="inlineStr">
        <is>
          <t>A 52133-2022</t>
        </is>
      </c>
      <c r="B180" s="1" t="n">
        <v>44868</v>
      </c>
      <c r="C180" s="1" t="n">
        <v>46033</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46033</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46033</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46033</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4634-2021</t>
        </is>
      </c>
      <c r="B184" s="1" t="n">
        <v>44224</v>
      </c>
      <c r="C184" s="1" t="n">
        <v>46033</v>
      </c>
      <c r="D184" t="inlineStr">
        <is>
          <t>STOCKHOLMS LÄN</t>
        </is>
      </c>
      <c r="E184" t="inlineStr">
        <is>
          <t>NORRTÄLJE</t>
        </is>
      </c>
      <c r="G184" t="n">
        <v>3.7</v>
      </c>
      <c r="H184" t="n">
        <v>2</v>
      </c>
      <c r="I184" t="n">
        <v>1</v>
      </c>
      <c r="J184" t="n">
        <v>0</v>
      </c>
      <c r="K184" t="n">
        <v>0</v>
      </c>
      <c r="L184" t="n">
        <v>0</v>
      </c>
      <c r="M184" t="n">
        <v>0</v>
      </c>
      <c r="N184" t="n">
        <v>0</v>
      </c>
      <c r="O184" t="n">
        <v>0</v>
      </c>
      <c r="P184" t="n">
        <v>0</v>
      </c>
      <c r="Q184" t="n">
        <v>2</v>
      </c>
      <c r="R184" s="2" t="inlineStr">
        <is>
          <t>Grön sköldmossa
Tjäder</t>
        </is>
      </c>
      <c r="S184">
        <f>HYPERLINK("https://klasma.github.io/Logging_0188/artfynd/A 4634-2021 artfynd.xlsx", "A 4634-2021")</f>
        <v/>
      </c>
      <c r="T184">
        <f>HYPERLINK("https://klasma.github.io/Logging_0188/kartor/A 4634-2021 karta.png", "A 4634-2021")</f>
        <v/>
      </c>
      <c r="V184">
        <f>HYPERLINK("https://klasma.github.io/Logging_0188/klagomål/A 4634-2021 FSC-klagomål.docx", "A 4634-2021")</f>
        <v/>
      </c>
      <c r="W184">
        <f>HYPERLINK("https://klasma.github.io/Logging_0188/klagomålsmail/A 4634-2021 FSC-klagomål mail.docx", "A 4634-2021")</f>
        <v/>
      </c>
      <c r="X184">
        <f>HYPERLINK("https://klasma.github.io/Logging_0188/tillsyn/A 4634-2021 tillsynsbegäran.docx", "A 4634-2021")</f>
        <v/>
      </c>
      <c r="Y184">
        <f>HYPERLINK("https://klasma.github.io/Logging_0188/tillsynsmail/A 4634-2021 tillsynsbegäran mail.docx", "A 4634-2021")</f>
        <v/>
      </c>
      <c r="Z184">
        <f>HYPERLINK("https://klasma.github.io/Logging_0188/fåglar/A 4634-2021 prioriterade fågelarter.docx", "A 4634-2021")</f>
        <v/>
      </c>
    </row>
    <row r="185" ht="15" customHeight="1">
      <c r="A185" t="inlineStr">
        <is>
          <t>A 58676-2021</t>
        </is>
      </c>
      <c r="B185" s="1" t="n">
        <v>44489</v>
      </c>
      <c r="C185" s="1" t="n">
        <v>46033</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2294-2021</t>
        </is>
      </c>
      <c r="B186" s="1" t="n">
        <v>44212</v>
      </c>
      <c r="C186" s="1" t="n">
        <v>46033</v>
      </c>
      <c r="D186" t="inlineStr">
        <is>
          <t>STOCKHOLMS LÄN</t>
        </is>
      </c>
      <c r="E186" t="inlineStr">
        <is>
          <t>NYNÄSHAMN</t>
        </is>
      </c>
      <c r="G186" t="n">
        <v>22.1</v>
      </c>
      <c r="H186" t="n">
        <v>0</v>
      </c>
      <c r="I186" t="n">
        <v>0</v>
      </c>
      <c r="J186" t="n">
        <v>2</v>
      </c>
      <c r="K186" t="n">
        <v>0</v>
      </c>
      <c r="L186" t="n">
        <v>0</v>
      </c>
      <c r="M186" t="n">
        <v>0</v>
      </c>
      <c r="N186" t="n">
        <v>0</v>
      </c>
      <c r="O186" t="n">
        <v>2</v>
      </c>
      <c r="P186" t="n">
        <v>0</v>
      </c>
      <c r="Q186" t="n">
        <v>2</v>
      </c>
      <c r="R186" s="2" t="inlineStr">
        <is>
          <t>Solvända
Ängsskära</t>
        </is>
      </c>
      <c r="S186">
        <f>HYPERLINK("https://klasma.github.io/Logging_0192/artfynd/A 2294-2021 artfynd.xlsx", "A 2294-2021")</f>
        <v/>
      </c>
      <c r="T186">
        <f>HYPERLINK("https://klasma.github.io/Logging_0192/kartor/A 2294-2021 karta.png", "A 2294-2021")</f>
        <v/>
      </c>
      <c r="V186">
        <f>HYPERLINK("https://klasma.github.io/Logging_0192/klagomål/A 2294-2021 FSC-klagomål.docx", "A 2294-2021")</f>
        <v/>
      </c>
      <c r="W186">
        <f>HYPERLINK("https://klasma.github.io/Logging_0192/klagomålsmail/A 2294-2021 FSC-klagomål mail.docx", "A 2294-2021")</f>
        <v/>
      </c>
      <c r="X186">
        <f>HYPERLINK("https://klasma.github.io/Logging_0192/tillsyn/A 2294-2021 tillsynsbegäran.docx", "A 2294-2021")</f>
        <v/>
      </c>
      <c r="Y186">
        <f>HYPERLINK("https://klasma.github.io/Logging_0192/tillsynsmail/A 2294-2021 tillsynsbegäran mail.docx", "A 2294-2021")</f>
        <v/>
      </c>
    </row>
    <row r="187" ht="15" customHeight="1">
      <c r="A187" t="inlineStr">
        <is>
          <t>A 16084-2021</t>
        </is>
      </c>
      <c r="B187" s="1" t="n">
        <v>44288</v>
      </c>
      <c r="C187" s="1" t="n">
        <v>46033</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46033</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46033</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46033</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46033</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46033</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46033</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46033</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46033</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46033</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50697-2025</t>
        </is>
      </c>
      <c r="B197" s="1" t="n">
        <v>45945.90854166666</v>
      </c>
      <c r="C197" s="1" t="n">
        <v>46033</v>
      </c>
      <c r="D197" t="inlineStr">
        <is>
          <t>STOCKHOLMS LÄN</t>
        </is>
      </c>
      <c r="E197" t="inlineStr">
        <is>
          <t>NORRTÄLJE</t>
        </is>
      </c>
      <c r="G197" t="n">
        <v>5.5</v>
      </c>
      <c r="H197" t="n">
        <v>0</v>
      </c>
      <c r="I197" t="n">
        <v>0</v>
      </c>
      <c r="J197" t="n">
        <v>2</v>
      </c>
      <c r="K197" t="n">
        <v>0</v>
      </c>
      <c r="L197" t="n">
        <v>0</v>
      </c>
      <c r="M197" t="n">
        <v>0</v>
      </c>
      <c r="N197" t="n">
        <v>0</v>
      </c>
      <c r="O197" t="n">
        <v>2</v>
      </c>
      <c r="P197" t="n">
        <v>0</v>
      </c>
      <c r="Q197" t="n">
        <v>2</v>
      </c>
      <c r="R197" s="2" t="inlineStr">
        <is>
          <t>Skogsklocka
Småflikig brosklav</t>
        </is>
      </c>
      <c r="S197">
        <f>HYPERLINK("https://klasma.github.io/Logging_0188/artfynd/A 50697-2025 artfynd.xlsx", "A 50697-2025")</f>
        <v/>
      </c>
      <c r="T197">
        <f>HYPERLINK("https://klasma.github.io/Logging_0188/kartor/A 50697-2025 karta.png", "A 50697-2025")</f>
        <v/>
      </c>
      <c r="V197">
        <f>HYPERLINK("https://klasma.github.io/Logging_0188/klagomål/A 50697-2025 FSC-klagomål.docx", "A 50697-2025")</f>
        <v/>
      </c>
      <c r="W197">
        <f>HYPERLINK("https://klasma.github.io/Logging_0188/klagomålsmail/A 50697-2025 FSC-klagomål mail.docx", "A 50697-2025")</f>
        <v/>
      </c>
      <c r="X197">
        <f>HYPERLINK("https://klasma.github.io/Logging_0188/tillsyn/A 50697-2025 tillsynsbegäran.docx", "A 50697-2025")</f>
        <v/>
      </c>
      <c r="Y197">
        <f>HYPERLINK("https://klasma.github.io/Logging_0188/tillsynsmail/A 50697-2025 tillsynsbegäran mail.docx", "A 50697-2025")</f>
        <v/>
      </c>
    </row>
    <row r="198" ht="15" customHeight="1">
      <c r="A198" t="inlineStr">
        <is>
          <t>A 24189-2025</t>
        </is>
      </c>
      <c r="B198" s="1" t="n">
        <v>45796.84584490741</v>
      </c>
      <c r="C198" s="1" t="n">
        <v>46033</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49419-2023</t>
        </is>
      </c>
      <c r="B199" s="1" t="n">
        <v>45211</v>
      </c>
      <c r="C199" s="1" t="n">
        <v>46033</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30693-2022</t>
        </is>
      </c>
      <c r="B200" s="1" t="n">
        <v>44763</v>
      </c>
      <c r="C200" s="1" t="n">
        <v>46033</v>
      </c>
      <c r="D200" t="inlineStr">
        <is>
          <t>STOCKHOLMS LÄN</t>
        </is>
      </c>
      <c r="E200" t="inlineStr">
        <is>
          <t>NORRTÄLJE</t>
        </is>
      </c>
      <c r="F200" t="inlineStr">
        <is>
          <t>Sveaskog</t>
        </is>
      </c>
      <c r="G200" t="n">
        <v>3.4</v>
      </c>
      <c r="H200" t="n">
        <v>2</v>
      </c>
      <c r="I200" t="n">
        <v>0</v>
      </c>
      <c r="J200" t="n">
        <v>1</v>
      </c>
      <c r="K200" t="n">
        <v>0</v>
      </c>
      <c r="L200" t="n">
        <v>0</v>
      </c>
      <c r="M200" t="n">
        <v>0</v>
      </c>
      <c r="N200" t="n">
        <v>0</v>
      </c>
      <c r="O200" t="n">
        <v>1</v>
      </c>
      <c r="P200" t="n">
        <v>0</v>
      </c>
      <c r="Q200" t="n">
        <v>2</v>
      </c>
      <c r="R200" s="2" t="inlineStr">
        <is>
          <t>Gulsparv
Gullviva</t>
        </is>
      </c>
      <c r="S200">
        <f>HYPERLINK("https://klasma.github.io/Logging_0188/artfynd/A 30693-2022 artfynd.xlsx", "A 30693-2022")</f>
        <v/>
      </c>
      <c r="T200">
        <f>HYPERLINK("https://klasma.github.io/Logging_0188/kartor/A 30693-2022 karta.png", "A 30693-2022")</f>
        <v/>
      </c>
      <c r="V200">
        <f>HYPERLINK("https://klasma.github.io/Logging_0188/klagomål/A 30693-2022 FSC-klagomål.docx", "A 30693-2022")</f>
        <v/>
      </c>
      <c r="W200">
        <f>HYPERLINK("https://klasma.github.io/Logging_0188/klagomålsmail/A 30693-2022 FSC-klagomål mail.docx", "A 30693-2022")</f>
        <v/>
      </c>
      <c r="X200">
        <f>HYPERLINK("https://klasma.github.io/Logging_0188/tillsyn/A 30693-2022 tillsynsbegäran.docx", "A 30693-2022")</f>
        <v/>
      </c>
      <c r="Y200">
        <f>HYPERLINK("https://klasma.github.io/Logging_0188/tillsynsmail/A 30693-2022 tillsynsbegäran mail.docx", "A 30693-2022")</f>
        <v/>
      </c>
      <c r="Z200">
        <f>HYPERLINK("https://klasma.github.io/Logging_0188/fåglar/A 30693-2022 prioriterade fågelarter.docx", "A 30693-2022")</f>
        <v/>
      </c>
    </row>
    <row r="201" ht="15" customHeight="1">
      <c r="A201" t="inlineStr">
        <is>
          <t>A 26588-2025</t>
        </is>
      </c>
      <c r="B201" s="1" t="n">
        <v>45807.76052083333</v>
      </c>
      <c r="C201" s="1" t="n">
        <v>46033</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64357-2023</t>
        </is>
      </c>
      <c r="B202" s="1" t="n">
        <v>45280</v>
      </c>
      <c r="C202" s="1" t="n">
        <v>46033</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34721-2025</t>
        </is>
      </c>
      <c r="B203" s="1" t="n">
        <v>45848</v>
      </c>
      <c r="C203" s="1" t="n">
        <v>46033</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60406-2025</t>
        </is>
      </c>
      <c r="B204" s="1" t="n">
        <v>45995.43050925926</v>
      </c>
      <c r="C204" s="1" t="n">
        <v>46033</v>
      </c>
      <c r="D204" t="inlineStr">
        <is>
          <t>STOCKHOLMS LÄN</t>
        </is>
      </c>
      <c r="E204" t="inlineStr">
        <is>
          <t>BOTKYRKA</t>
        </is>
      </c>
      <c r="F204" t="inlineStr">
        <is>
          <t>Övriga Aktiebolag</t>
        </is>
      </c>
      <c r="G204" t="n">
        <v>2.3</v>
      </c>
      <c r="H204" t="n">
        <v>0</v>
      </c>
      <c r="I204" t="n">
        <v>2</v>
      </c>
      <c r="J204" t="n">
        <v>0</v>
      </c>
      <c r="K204" t="n">
        <v>0</v>
      </c>
      <c r="L204" t="n">
        <v>0</v>
      </c>
      <c r="M204" t="n">
        <v>0</v>
      </c>
      <c r="N204" t="n">
        <v>0</v>
      </c>
      <c r="O204" t="n">
        <v>0</v>
      </c>
      <c r="P204" t="n">
        <v>0</v>
      </c>
      <c r="Q204" t="n">
        <v>2</v>
      </c>
      <c r="R204" s="2" t="inlineStr">
        <is>
          <t>Björksplintborre
Mindre märgborre</t>
        </is>
      </c>
      <c r="S204">
        <f>HYPERLINK("https://klasma.github.io/Logging_0127/artfynd/A 60406-2025 artfynd.xlsx", "A 60406-2025")</f>
        <v/>
      </c>
      <c r="T204">
        <f>HYPERLINK("https://klasma.github.io/Logging_0127/kartor/A 60406-2025 karta.png", "A 60406-2025")</f>
        <v/>
      </c>
      <c r="V204">
        <f>HYPERLINK("https://klasma.github.io/Logging_0127/klagomål/A 60406-2025 FSC-klagomål.docx", "A 60406-2025")</f>
        <v/>
      </c>
      <c r="W204">
        <f>HYPERLINK("https://klasma.github.io/Logging_0127/klagomålsmail/A 60406-2025 FSC-klagomål mail.docx", "A 60406-2025")</f>
        <v/>
      </c>
      <c r="X204">
        <f>HYPERLINK("https://klasma.github.io/Logging_0127/tillsyn/A 60406-2025 tillsynsbegäran.docx", "A 60406-2025")</f>
        <v/>
      </c>
      <c r="Y204">
        <f>HYPERLINK("https://klasma.github.io/Logging_0127/tillsynsmail/A 60406-2025 tillsynsbegäran mail.docx", "A 60406-2025")</f>
        <v/>
      </c>
    </row>
    <row r="205" ht="15" customHeight="1">
      <c r="A205" t="inlineStr">
        <is>
          <t>A 754-2024</t>
        </is>
      </c>
      <c r="B205" s="1" t="n">
        <v>45300</v>
      </c>
      <c r="C205" s="1" t="n">
        <v>46033</v>
      </c>
      <c r="D205" t="inlineStr">
        <is>
          <t>STOCKHOLMS LÄN</t>
        </is>
      </c>
      <c r="E205" t="inlineStr">
        <is>
          <t>VALLENTUNA</t>
        </is>
      </c>
      <c r="G205" t="n">
        <v>2.5</v>
      </c>
      <c r="H205" t="n">
        <v>1</v>
      </c>
      <c r="I205" t="n">
        <v>1</v>
      </c>
      <c r="J205" t="n">
        <v>0</v>
      </c>
      <c r="K205" t="n">
        <v>0</v>
      </c>
      <c r="L205" t="n">
        <v>0</v>
      </c>
      <c r="M205" t="n">
        <v>0</v>
      </c>
      <c r="N205" t="n">
        <v>0</v>
      </c>
      <c r="O205" t="n">
        <v>0</v>
      </c>
      <c r="P205" t="n">
        <v>0</v>
      </c>
      <c r="Q205" t="n">
        <v>2</v>
      </c>
      <c r="R205" s="2" t="inlineStr">
        <is>
          <t>Vågbandad barkbock
Grönsiska</t>
        </is>
      </c>
      <c r="S205">
        <f>HYPERLINK("https://klasma.github.io/Logging_0115/artfynd/A 754-2024 artfynd.xlsx", "A 754-2024")</f>
        <v/>
      </c>
      <c r="T205">
        <f>HYPERLINK("https://klasma.github.io/Logging_0115/kartor/A 754-2024 karta.png", "A 754-2024")</f>
        <v/>
      </c>
      <c r="V205">
        <f>HYPERLINK("https://klasma.github.io/Logging_0115/klagomål/A 754-2024 FSC-klagomål.docx", "A 754-2024")</f>
        <v/>
      </c>
      <c r="W205">
        <f>HYPERLINK("https://klasma.github.io/Logging_0115/klagomålsmail/A 754-2024 FSC-klagomål mail.docx", "A 754-2024")</f>
        <v/>
      </c>
      <c r="X205">
        <f>HYPERLINK("https://klasma.github.io/Logging_0115/tillsyn/A 754-2024 tillsynsbegäran.docx", "A 754-2024")</f>
        <v/>
      </c>
      <c r="Y205">
        <f>HYPERLINK("https://klasma.github.io/Logging_0115/tillsynsmail/A 754-2024 tillsynsbegäran mail.docx", "A 754-2024")</f>
        <v/>
      </c>
      <c r="Z205">
        <f>HYPERLINK("https://klasma.github.io/Logging_0115/fåglar/A 754-2024 prioriterade fågelarter.docx", "A 754-2024")</f>
        <v/>
      </c>
    </row>
    <row r="206" ht="15" customHeight="1">
      <c r="A206" t="inlineStr">
        <is>
          <t>A 1697-2023</t>
        </is>
      </c>
      <c r="B206" s="1" t="n">
        <v>44938</v>
      </c>
      <c r="C206" s="1" t="n">
        <v>46033</v>
      </c>
      <c r="D206" t="inlineStr">
        <is>
          <t>STOCKHOLMS LÄN</t>
        </is>
      </c>
      <c r="E206" t="inlineStr">
        <is>
          <t>BOTKYRKA</t>
        </is>
      </c>
      <c r="G206" t="n">
        <v>1.1</v>
      </c>
      <c r="H206" t="n">
        <v>0</v>
      </c>
      <c r="I206" t="n">
        <v>1</v>
      </c>
      <c r="J206" t="n">
        <v>1</v>
      </c>
      <c r="K206" t="n">
        <v>0</v>
      </c>
      <c r="L206" t="n">
        <v>0</v>
      </c>
      <c r="M206" t="n">
        <v>0</v>
      </c>
      <c r="N206" t="n">
        <v>0</v>
      </c>
      <c r="O206" t="n">
        <v>1</v>
      </c>
      <c r="P206" t="n">
        <v>0</v>
      </c>
      <c r="Q206" t="n">
        <v>2</v>
      </c>
      <c r="R206" s="2" t="inlineStr">
        <is>
          <t>Lunglav
Bårdlav</t>
        </is>
      </c>
      <c r="S206">
        <f>HYPERLINK("https://klasma.github.io/Logging_0127/artfynd/A 1697-2023 artfynd.xlsx", "A 1697-2023")</f>
        <v/>
      </c>
      <c r="T206">
        <f>HYPERLINK("https://klasma.github.io/Logging_0127/kartor/A 1697-2023 karta.png", "A 1697-2023")</f>
        <v/>
      </c>
      <c r="V206">
        <f>HYPERLINK("https://klasma.github.io/Logging_0127/klagomål/A 1697-2023 FSC-klagomål.docx", "A 1697-2023")</f>
        <v/>
      </c>
      <c r="W206">
        <f>HYPERLINK("https://klasma.github.io/Logging_0127/klagomålsmail/A 1697-2023 FSC-klagomål mail.docx", "A 1697-2023")</f>
        <v/>
      </c>
      <c r="X206">
        <f>HYPERLINK("https://klasma.github.io/Logging_0127/tillsyn/A 1697-2023 tillsynsbegäran.docx", "A 1697-2023")</f>
        <v/>
      </c>
      <c r="Y206">
        <f>HYPERLINK("https://klasma.github.io/Logging_0127/tillsynsmail/A 1697-2023 tillsynsbegäran mail.docx", "A 1697-2023")</f>
        <v/>
      </c>
    </row>
    <row r="207" ht="15" customHeight="1">
      <c r="A207" t="inlineStr">
        <is>
          <t>A 30067-2025</t>
        </is>
      </c>
      <c r="B207" s="1" t="n">
        <v>45826</v>
      </c>
      <c r="C207" s="1" t="n">
        <v>46033</v>
      </c>
      <c r="D207" t="inlineStr">
        <is>
          <t>STOCKHOLMS LÄN</t>
        </is>
      </c>
      <c r="E207" t="inlineStr">
        <is>
          <t>BOTKYRKA</t>
        </is>
      </c>
      <c r="G207" t="n">
        <v>11.9</v>
      </c>
      <c r="H207" t="n">
        <v>2</v>
      </c>
      <c r="I207" t="n">
        <v>0</v>
      </c>
      <c r="J207" t="n">
        <v>0</v>
      </c>
      <c r="K207" t="n">
        <v>0</v>
      </c>
      <c r="L207" t="n">
        <v>0</v>
      </c>
      <c r="M207" t="n">
        <v>0</v>
      </c>
      <c r="N207" t="n">
        <v>0</v>
      </c>
      <c r="O207" t="n">
        <v>0</v>
      </c>
      <c r="P207" t="n">
        <v>0</v>
      </c>
      <c r="Q207" t="n">
        <v>2</v>
      </c>
      <c r="R207" s="2" t="inlineStr">
        <is>
          <t>Åkergroda
Vanlig groda</t>
        </is>
      </c>
      <c r="S207">
        <f>HYPERLINK("https://klasma.github.io/Logging_0127/artfynd/A 30067-2025 artfynd.xlsx", "A 30067-2025")</f>
        <v/>
      </c>
      <c r="T207">
        <f>HYPERLINK("https://klasma.github.io/Logging_0127/kartor/A 30067-2025 karta.png", "A 30067-2025")</f>
        <v/>
      </c>
      <c r="V207">
        <f>HYPERLINK("https://klasma.github.io/Logging_0127/klagomål/A 30067-2025 FSC-klagomål.docx", "A 30067-2025")</f>
        <v/>
      </c>
      <c r="W207">
        <f>HYPERLINK("https://klasma.github.io/Logging_0127/klagomålsmail/A 30067-2025 FSC-klagomål mail.docx", "A 30067-2025")</f>
        <v/>
      </c>
      <c r="X207">
        <f>HYPERLINK("https://klasma.github.io/Logging_0127/tillsyn/A 30067-2025 tillsynsbegäran.docx", "A 30067-2025")</f>
        <v/>
      </c>
      <c r="Y207">
        <f>HYPERLINK("https://klasma.github.io/Logging_0127/tillsynsmail/A 30067-2025 tillsynsbegäran mail.docx", "A 30067-2025")</f>
        <v/>
      </c>
    </row>
    <row r="208" ht="15" customHeight="1">
      <c r="A208" t="inlineStr">
        <is>
          <t>A 30055-2025</t>
        </is>
      </c>
      <c r="B208" s="1" t="n">
        <v>45826</v>
      </c>
      <c r="C208" s="1" t="n">
        <v>46033</v>
      </c>
      <c r="D208" t="inlineStr">
        <is>
          <t>STOCKHOLMS LÄN</t>
        </is>
      </c>
      <c r="E208" t="inlineStr">
        <is>
          <t>BOTKYRKA</t>
        </is>
      </c>
      <c r="G208" t="n">
        <v>2.1</v>
      </c>
      <c r="H208" t="n">
        <v>1</v>
      </c>
      <c r="I208" t="n">
        <v>0</v>
      </c>
      <c r="J208" t="n">
        <v>1</v>
      </c>
      <c r="K208" t="n">
        <v>0</v>
      </c>
      <c r="L208" t="n">
        <v>0</v>
      </c>
      <c r="M208" t="n">
        <v>0</v>
      </c>
      <c r="N208" t="n">
        <v>0</v>
      </c>
      <c r="O208" t="n">
        <v>1</v>
      </c>
      <c r="P208" t="n">
        <v>0</v>
      </c>
      <c r="Q208" t="n">
        <v>2</v>
      </c>
      <c r="R208" s="2" t="inlineStr">
        <is>
          <t>Klasefibbla
Blåsippa</t>
        </is>
      </c>
      <c r="S208">
        <f>HYPERLINK("https://klasma.github.io/Logging_0127/artfynd/A 30055-2025 artfynd.xlsx", "A 30055-2025")</f>
        <v/>
      </c>
      <c r="T208">
        <f>HYPERLINK("https://klasma.github.io/Logging_0127/kartor/A 30055-2025 karta.png", "A 30055-2025")</f>
        <v/>
      </c>
      <c r="V208">
        <f>HYPERLINK("https://klasma.github.io/Logging_0127/klagomål/A 30055-2025 FSC-klagomål.docx", "A 30055-2025")</f>
        <v/>
      </c>
      <c r="W208">
        <f>HYPERLINK("https://klasma.github.io/Logging_0127/klagomålsmail/A 30055-2025 FSC-klagomål mail.docx", "A 30055-2025")</f>
        <v/>
      </c>
      <c r="X208">
        <f>HYPERLINK("https://klasma.github.io/Logging_0127/tillsyn/A 30055-2025 tillsynsbegäran.docx", "A 30055-2025")</f>
        <v/>
      </c>
      <c r="Y208">
        <f>HYPERLINK("https://klasma.github.io/Logging_0127/tillsynsmail/A 30055-2025 tillsynsbegäran mail.docx", "A 30055-2025")</f>
        <v/>
      </c>
    </row>
    <row r="209" ht="15" customHeight="1">
      <c r="A209" t="inlineStr">
        <is>
          <t>A 35937-2023</t>
        </is>
      </c>
      <c r="B209" s="1" t="n">
        <v>45148</v>
      </c>
      <c r="C209" s="1" t="n">
        <v>46033</v>
      </c>
      <c r="D209" t="inlineStr">
        <is>
          <t>STOCKHOLMS LÄN</t>
        </is>
      </c>
      <c r="E209" t="inlineStr">
        <is>
          <t>SÖDERTÄLJE</t>
        </is>
      </c>
      <c r="G209" t="n">
        <v>3</v>
      </c>
      <c r="H209" t="n">
        <v>0</v>
      </c>
      <c r="I209" t="n">
        <v>0</v>
      </c>
      <c r="J209" t="n">
        <v>0</v>
      </c>
      <c r="K209" t="n">
        <v>0</v>
      </c>
      <c r="L209" t="n">
        <v>1</v>
      </c>
      <c r="M209" t="n">
        <v>1</v>
      </c>
      <c r="N209" t="n">
        <v>0</v>
      </c>
      <c r="O209" t="n">
        <v>2</v>
      </c>
      <c r="P209" t="n">
        <v>2</v>
      </c>
      <c r="Q209" t="n">
        <v>2</v>
      </c>
      <c r="R209" s="2" t="inlineStr">
        <is>
          <t>Skogsalm
Ask</t>
        </is>
      </c>
      <c r="S209">
        <f>HYPERLINK("https://klasma.github.io/Logging_0181/artfynd/A 35937-2023 artfynd.xlsx", "A 35937-2023")</f>
        <v/>
      </c>
      <c r="T209">
        <f>HYPERLINK("https://klasma.github.io/Logging_0181/kartor/A 35937-2023 karta.png", "A 35937-2023")</f>
        <v/>
      </c>
      <c r="V209">
        <f>HYPERLINK("https://klasma.github.io/Logging_0181/klagomål/A 35937-2023 FSC-klagomål.docx", "A 35937-2023")</f>
        <v/>
      </c>
      <c r="W209">
        <f>HYPERLINK("https://klasma.github.io/Logging_0181/klagomålsmail/A 35937-2023 FSC-klagomål mail.docx", "A 35937-2023")</f>
        <v/>
      </c>
      <c r="X209">
        <f>HYPERLINK("https://klasma.github.io/Logging_0181/tillsyn/A 35937-2023 tillsynsbegäran.docx", "A 35937-2023")</f>
        <v/>
      </c>
      <c r="Y209">
        <f>HYPERLINK("https://klasma.github.io/Logging_0181/tillsynsmail/A 35937-2023 tillsynsbegäran mail.docx", "A 35937-2023")</f>
        <v/>
      </c>
    </row>
    <row r="210" ht="15" customHeight="1">
      <c r="A210" t="inlineStr">
        <is>
          <t>A 48988-2025</t>
        </is>
      </c>
      <c r="B210" s="1" t="n">
        <v>45936</v>
      </c>
      <c r="C210" s="1" t="n">
        <v>46033</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20507-2025</t>
        </is>
      </c>
      <c r="B211" s="1" t="n">
        <v>45775.59121527777</v>
      </c>
      <c r="C211" s="1" t="n">
        <v>46033</v>
      </c>
      <c r="D211" t="inlineStr">
        <is>
          <t>STOCKHOLMS LÄN</t>
        </is>
      </c>
      <c r="E211" t="inlineStr">
        <is>
          <t>HANINGE</t>
        </is>
      </c>
      <c r="G211" t="n">
        <v>1.2</v>
      </c>
      <c r="H211" t="n">
        <v>1</v>
      </c>
      <c r="I211" t="n">
        <v>1</v>
      </c>
      <c r="J211" t="n">
        <v>0</v>
      </c>
      <c r="K211" t="n">
        <v>0</v>
      </c>
      <c r="L211" t="n">
        <v>0</v>
      </c>
      <c r="M211" t="n">
        <v>0</v>
      </c>
      <c r="N211" t="n">
        <v>0</v>
      </c>
      <c r="O211" t="n">
        <v>0</v>
      </c>
      <c r="P211" t="n">
        <v>0</v>
      </c>
      <c r="Q211" t="n">
        <v>2</v>
      </c>
      <c r="R211" s="2" t="inlineStr">
        <is>
          <t>Brandticka
Revlummer</t>
        </is>
      </c>
      <c r="S211">
        <f>HYPERLINK("https://klasma.github.io/Logging_0136/artfynd/A 20507-2025 artfynd.xlsx", "A 20507-2025")</f>
        <v/>
      </c>
      <c r="T211">
        <f>HYPERLINK("https://klasma.github.io/Logging_0136/kartor/A 20507-2025 karta.png", "A 20507-2025")</f>
        <v/>
      </c>
      <c r="V211">
        <f>HYPERLINK("https://klasma.github.io/Logging_0136/klagomål/A 20507-2025 FSC-klagomål.docx", "A 20507-2025")</f>
        <v/>
      </c>
      <c r="W211">
        <f>HYPERLINK("https://klasma.github.io/Logging_0136/klagomålsmail/A 20507-2025 FSC-klagomål mail.docx", "A 20507-2025")</f>
        <v/>
      </c>
      <c r="X211">
        <f>HYPERLINK("https://klasma.github.io/Logging_0136/tillsyn/A 20507-2025 tillsynsbegäran.docx", "A 20507-2025")</f>
        <v/>
      </c>
      <c r="Y211">
        <f>HYPERLINK("https://klasma.github.io/Logging_0136/tillsynsmail/A 20507-2025 tillsynsbegäran mail.docx", "A 20507-2025")</f>
        <v/>
      </c>
    </row>
    <row r="212" ht="15" customHeight="1">
      <c r="A212" t="inlineStr">
        <is>
          <t>A 64189-2023</t>
        </is>
      </c>
      <c r="B212" s="1" t="n">
        <v>45279</v>
      </c>
      <c r="C212" s="1" t="n">
        <v>46033</v>
      </c>
      <c r="D212" t="inlineStr">
        <is>
          <t>STOCKHOLMS LÄN</t>
        </is>
      </c>
      <c r="E212" t="inlineStr">
        <is>
          <t>NYNÄSHAMN</t>
        </is>
      </c>
      <c r="G212" t="n">
        <v>1.5</v>
      </c>
      <c r="H212" t="n">
        <v>2</v>
      </c>
      <c r="I212" t="n">
        <v>0</v>
      </c>
      <c r="J212" t="n">
        <v>0</v>
      </c>
      <c r="K212" t="n">
        <v>0</v>
      </c>
      <c r="L212" t="n">
        <v>0</v>
      </c>
      <c r="M212" t="n">
        <v>0</v>
      </c>
      <c r="N212" t="n">
        <v>0</v>
      </c>
      <c r="O212" t="n">
        <v>0</v>
      </c>
      <c r="P212" t="n">
        <v>0</v>
      </c>
      <c r="Q212" t="n">
        <v>2</v>
      </c>
      <c r="R212" s="2" t="inlineStr">
        <is>
          <t>Blåsippa
Gullviva</t>
        </is>
      </c>
      <c r="S212">
        <f>HYPERLINK("https://klasma.github.io/Logging_0192/artfynd/A 64189-2023 artfynd.xlsx", "A 64189-2023")</f>
        <v/>
      </c>
      <c r="T212">
        <f>HYPERLINK("https://klasma.github.io/Logging_0192/kartor/A 64189-2023 karta.png", "A 64189-2023")</f>
        <v/>
      </c>
      <c r="V212">
        <f>HYPERLINK("https://klasma.github.io/Logging_0192/klagomål/A 64189-2023 FSC-klagomål.docx", "A 64189-2023")</f>
        <v/>
      </c>
      <c r="W212">
        <f>HYPERLINK("https://klasma.github.io/Logging_0192/klagomålsmail/A 64189-2023 FSC-klagomål mail.docx", "A 64189-2023")</f>
        <v/>
      </c>
      <c r="X212">
        <f>HYPERLINK("https://klasma.github.io/Logging_0192/tillsyn/A 64189-2023 tillsynsbegäran.docx", "A 64189-2023")</f>
        <v/>
      </c>
      <c r="Y212">
        <f>HYPERLINK("https://klasma.github.io/Logging_0192/tillsynsmail/A 64189-2023 tillsynsbegäran mail.docx", "A 64189-2023")</f>
        <v/>
      </c>
    </row>
    <row r="213" ht="15" customHeight="1">
      <c r="A213" t="inlineStr">
        <is>
          <t>A 49131-2025</t>
        </is>
      </c>
      <c r="B213" s="1" t="n">
        <v>45937.8984375</v>
      </c>
      <c r="C213" s="1" t="n">
        <v>46033</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11031-2025</t>
        </is>
      </c>
      <c r="B214" s="1" t="n">
        <v>45723</v>
      </c>
      <c r="C214" s="1" t="n">
        <v>46033</v>
      </c>
      <c r="D214" t="inlineStr">
        <is>
          <t>STOCKHOLMS LÄN</t>
        </is>
      </c>
      <c r="E214" t="inlineStr">
        <is>
          <t>NORRTÄLJE</t>
        </is>
      </c>
      <c r="F214" t="inlineStr">
        <is>
          <t>Övriga Aktiebolag</t>
        </is>
      </c>
      <c r="G214" t="n">
        <v>13.2</v>
      </c>
      <c r="H214" t="n">
        <v>1</v>
      </c>
      <c r="I214" t="n">
        <v>0</v>
      </c>
      <c r="J214" t="n">
        <v>2</v>
      </c>
      <c r="K214" t="n">
        <v>0</v>
      </c>
      <c r="L214" t="n">
        <v>0</v>
      </c>
      <c r="M214" t="n">
        <v>0</v>
      </c>
      <c r="N214" t="n">
        <v>0</v>
      </c>
      <c r="O214" t="n">
        <v>2</v>
      </c>
      <c r="P214" t="n">
        <v>0</v>
      </c>
      <c r="Q214" t="n">
        <v>2</v>
      </c>
      <c r="R214" s="2" t="inlineStr">
        <is>
          <t>Järpe
Ullticka</t>
        </is>
      </c>
      <c r="S214">
        <f>HYPERLINK("https://klasma.github.io/Logging_0188/artfynd/A 11031-2025 artfynd.xlsx", "A 11031-2025")</f>
        <v/>
      </c>
      <c r="T214">
        <f>HYPERLINK("https://klasma.github.io/Logging_0188/kartor/A 11031-2025 karta.png", "A 11031-2025")</f>
        <v/>
      </c>
      <c r="V214">
        <f>HYPERLINK("https://klasma.github.io/Logging_0188/klagomål/A 11031-2025 FSC-klagomål.docx", "A 11031-2025")</f>
        <v/>
      </c>
      <c r="W214">
        <f>HYPERLINK("https://klasma.github.io/Logging_0188/klagomålsmail/A 11031-2025 FSC-klagomål mail.docx", "A 11031-2025")</f>
        <v/>
      </c>
      <c r="X214">
        <f>HYPERLINK("https://klasma.github.io/Logging_0188/tillsyn/A 11031-2025 tillsynsbegäran.docx", "A 11031-2025")</f>
        <v/>
      </c>
      <c r="Y214">
        <f>HYPERLINK("https://klasma.github.io/Logging_0188/tillsynsmail/A 11031-2025 tillsynsbegäran mail.docx", "A 11031-2025")</f>
        <v/>
      </c>
      <c r="Z214">
        <f>HYPERLINK("https://klasma.github.io/Logging_0188/fåglar/A 11031-2025 prioriterade fågelarter.docx", "A 11031-2025")</f>
        <v/>
      </c>
    </row>
    <row r="215" ht="15" customHeight="1">
      <c r="A215" t="inlineStr">
        <is>
          <t>A 9745-2022</t>
        </is>
      </c>
      <c r="B215" s="1" t="n">
        <v>44618</v>
      </c>
      <c r="C215" s="1" t="n">
        <v>46033</v>
      </c>
      <c r="D215" t="inlineStr">
        <is>
          <t>STOCKHOLMS LÄN</t>
        </is>
      </c>
      <c r="E215" t="inlineStr">
        <is>
          <t>VALLENTUNA</t>
        </is>
      </c>
      <c r="G215" t="n">
        <v>5.9</v>
      </c>
      <c r="H215" t="n">
        <v>1</v>
      </c>
      <c r="I215" t="n">
        <v>1</v>
      </c>
      <c r="J215" t="n">
        <v>1</v>
      </c>
      <c r="K215" t="n">
        <v>0</v>
      </c>
      <c r="L215" t="n">
        <v>0</v>
      </c>
      <c r="M215" t="n">
        <v>0</v>
      </c>
      <c r="N215" t="n">
        <v>0</v>
      </c>
      <c r="O215" t="n">
        <v>1</v>
      </c>
      <c r="P215" t="n">
        <v>0</v>
      </c>
      <c r="Q215" t="n">
        <v>2</v>
      </c>
      <c r="R215" s="2" t="inlineStr">
        <is>
          <t>Spillkråka
Björksplintborre</t>
        </is>
      </c>
      <c r="S215">
        <f>HYPERLINK("https://klasma.github.io/Logging_0115/artfynd/A 9745-2022 artfynd.xlsx", "A 9745-2022")</f>
        <v/>
      </c>
      <c r="T215">
        <f>HYPERLINK("https://klasma.github.io/Logging_0115/kartor/A 9745-2022 karta.png", "A 9745-2022")</f>
        <v/>
      </c>
      <c r="V215">
        <f>HYPERLINK("https://klasma.github.io/Logging_0115/klagomål/A 9745-2022 FSC-klagomål.docx", "A 9745-2022")</f>
        <v/>
      </c>
      <c r="W215">
        <f>HYPERLINK("https://klasma.github.io/Logging_0115/klagomålsmail/A 9745-2022 FSC-klagomål mail.docx", "A 9745-2022")</f>
        <v/>
      </c>
      <c r="X215">
        <f>HYPERLINK("https://klasma.github.io/Logging_0115/tillsyn/A 9745-2022 tillsynsbegäran.docx", "A 9745-2022")</f>
        <v/>
      </c>
      <c r="Y215">
        <f>HYPERLINK("https://klasma.github.io/Logging_0115/tillsynsmail/A 9745-2022 tillsynsbegäran mail.docx", "A 9745-2022")</f>
        <v/>
      </c>
      <c r="Z215">
        <f>HYPERLINK("https://klasma.github.io/Logging_0115/fåglar/A 9745-2022 prioriterade fågelarter.docx", "A 9745-2022")</f>
        <v/>
      </c>
    </row>
    <row r="216" ht="15" customHeight="1">
      <c r="A216" t="inlineStr">
        <is>
          <t>A 36502-2025</t>
        </is>
      </c>
      <c r="B216" s="1" t="n">
        <v>45869.56332175926</v>
      </c>
      <c r="C216" s="1" t="n">
        <v>46033</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1561-2023</t>
        </is>
      </c>
      <c r="B217" s="1" t="n">
        <v>44937.60278935185</v>
      </c>
      <c r="C217" s="1" t="n">
        <v>46033</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22190-2024</t>
        </is>
      </c>
      <c r="B218" s="1" t="n">
        <v>45446.35888888889</v>
      </c>
      <c r="C218" s="1" t="n">
        <v>46033</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36366-2025</t>
        </is>
      </c>
      <c r="B219" s="1" t="n">
        <v>45868</v>
      </c>
      <c r="C219" s="1" t="n">
        <v>46033</v>
      </c>
      <c r="D219" t="inlineStr">
        <is>
          <t>STOCKHOLMS LÄN</t>
        </is>
      </c>
      <c r="E219" t="inlineStr">
        <is>
          <t>ÖSTERÅKER</t>
        </is>
      </c>
      <c r="G219" t="n">
        <v>7.2</v>
      </c>
      <c r="H219" t="n">
        <v>0</v>
      </c>
      <c r="I219" t="n">
        <v>1</v>
      </c>
      <c r="J219" t="n">
        <v>1</v>
      </c>
      <c r="K219" t="n">
        <v>0</v>
      </c>
      <c r="L219" t="n">
        <v>0</v>
      </c>
      <c r="M219" t="n">
        <v>0</v>
      </c>
      <c r="N219" t="n">
        <v>0</v>
      </c>
      <c r="O219" t="n">
        <v>1</v>
      </c>
      <c r="P219" t="n">
        <v>0</v>
      </c>
      <c r="Q219" t="n">
        <v>2</v>
      </c>
      <c r="R219" s="2" t="inlineStr">
        <is>
          <t>Garnlav
Björksplintborre</t>
        </is>
      </c>
      <c r="S219">
        <f>HYPERLINK("https://klasma.github.io/Logging_0117/artfynd/A 36366-2025 artfynd.xlsx", "A 36366-2025")</f>
        <v/>
      </c>
      <c r="T219">
        <f>HYPERLINK("https://klasma.github.io/Logging_0117/kartor/A 36366-2025 karta.png", "A 36366-2025")</f>
        <v/>
      </c>
      <c r="V219">
        <f>HYPERLINK("https://klasma.github.io/Logging_0117/klagomål/A 36366-2025 FSC-klagomål.docx", "A 36366-2025")</f>
        <v/>
      </c>
      <c r="W219">
        <f>HYPERLINK("https://klasma.github.io/Logging_0117/klagomålsmail/A 36366-2025 FSC-klagomål mail.docx", "A 36366-2025")</f>
        <v/>
      </c>
      <c r="X219">
        <f>HYPERLINK("https://klasma.github.io/Logging_0117/tillsyn/A 36366-2025 tillsynsbegäran.docx", "A 36366-2025")</f>
        <v/>
      </c>
      <c r="Y219">
        <f>HYPERLINK("https://klasma.github.io/Logging_0117/tillsynsmail/A 36366-2025 tillsynsbegäran mail.docx", "A 36366-2025")</f>
        <v/>
      </c>
    </row>
    <row r="220" ht="15" customHeight="1">
      <c r="A220" t="inlineStr">
        <is>
          <t>A 62578-2025</t>
        </is>
      </c>
      <c r="B220" s="1" t="n">
        <v>46007.76833333333</v>
      </c>
      <c r="C220" s="1" t="n">
        <v>46033</v>
      </c>
      <c r="D220" t="inlineStr">
        <is>
          <t>STOCKHOLMS LÄN</t>
        </is>
      </c>
      <c r="E220" t="inlineStr">
        <is>
          <t>ÖSTERÅKER</t>
        </is>
      </c>
      <c r="G220" t="n">
        <v>3.4</v>
      </c>
      <c r="H220" t="n">
        <v>0</v>
      </c>
      <c r="I220" t="n">
        <v>2</v>
      </c>
      <c r="J220" t="n">
        <v>0</v>
      </c>
      <c r="K220" t="n">
        <v>0</v>
      </c>
      <c r="L220" t="n">
        <v>0</v>
      </c>
      <c r="M220" t="n">
        <v>0</v>
      </c>
      <c r="N220" t="n">
        <v>0</v>
      </c>
      <c r="O220" t="n">
        <v>0</v>
      </c>
      <c r="P220" t="n">
        <v>0</v>
      </c>
      <c r="Q220" t="n">
        <v>2</v>
      </c>
      <c r="R220" s="2" t="inlineStr">
        <is>
          <t>Fällmossa
Mindre märgborre</t>
        </is>
      </c>
      <c r="S220">
        <f>HYPERLINK("https://klasma.github.io/Logging_0117/artfynd/A 62578-2025 artfynd.xlsx", "A 62578-2025")</f>
        <v/>
      </c>
      <c r="T220">
        <f>HYPERLINK("https://klasma.github.io/Logging_0117/kartor/A 62578-2025 karta.png", "A 62578-2025")</f>
        <v/>
      </c>
      <c r="V220">
        <f>HYPERLINK("https://klasma.github.io/Logging_0117/klagomål/A 62578-2025 FSC-klagomål.docx", "A 62578-2025")</f>
        <v/>
      </c>
      <c r="W220">
        <f>HYPERLINK("https://klasma.github.io/Logging_0117/klagomålsmail/A 62578-2025 FSC-klagomål mail.docx", "A 62578-2025")</f>
        <v/>
      </c>
      <c r="X220">
        <f>HYPERLINK("https://klasma.github.io/Logging_0117/tillsyn/A 62578-2025 tillsynsbegäran.docx", "A 62578-2025")</f>
        <v/>
      </c>
      <c r="Y220">
        <f>HYPERLINK("https://klasma.github.io/Logging_0117/tillsynsmail/A 62578-2025 tillsynsbegäran mail.docx", "A 62578-2025")</f>
        <v/>
      </c>
    </row>
    <row r="221" ht="15" customHeight="1">
      <c r="A221" t="inlineStr">
        <is>
          <t>A 18280-2021</t>
        </is>
      </c>
      <c r="B221" s="1" t="n">
        <v>44298</v>
      </c>
      <c r="C221" s="1" t="n">
        <v>46033</v>
      </c>
      <c r="D221" t="inlineStr">
        <is>
          <t>STOCKHOLMS LÄN</t>
        </is>
      </c>
      <c r="E221" t="inlineStr">
        <is>
          <t>NACKA</t>
        </is>
      </c>
      <c r="G221" t="n">
        <v>4.4</v>
      </c>
      <c r="H221" t="n">
        <v>2</v>
      </c>
      <c r="I221" t="n">
        <v>0</v>
      </c>
      <c r="J221" t="n">
        <v>1</v>
      </c>
      <c r="K221" t="n">
        <v>0</v>
      </c>
      <c r="L221" t="n">
        <v>0</v>
      </c>
      <c r="M221" t="n">
        <v>0</v>
      </c>
      <c r="N221" t="n">
        <v>0</v>
      </c>
      <c r="O221" t="n">
        <v>1</v>
      </c>
      <c r="P221" t="n">
        <v>0</v>
      </c>
      <c r="Q221" t="n">
        <v>2</v>
      </c>
      <c r="R221" s="2" t="inlineStr">
        <is>
          <t>Duvhök
Kungsfågel</t>
        </is>
      </c>
      <c r="S221">
        <f>HYPERLINK("https://klasma.github.io/Logging_0182/artfynd/A 18280-2021 artfynd.xlsx", "A 18280-2021")</f>
        <v/>
      </c>
      <c r="T221">
        <f>HYPERLINK("https://klasma.github.io/Logging_0182/kartor/A 18280-2021 karta.png", "A 18280-2021")</f>
        <v/>
      </c>
      <c r="V221">
        <f>HYPERLINK("https://klasma.github.io/Logging_0182/klagomål/A 18280-2021 FSC-klagomål.docx", "A 18280-2021")</f>
        <v/>
      </c>
      <c r="W221">
        <f>HYPERLINK("https://klasma.github.io/Logging_0182/klagomålsmail/A 18280-2021 FSC-klagomål mail.docx", "A 18280-2021")</f>
        <v/>
      </c>
      <c r="X221">
        <f>HYPERLINK("https://klasma.github.io/Logging_0182/tillsyn/A 18280-2021 tillsynsbegäran.docx", "A 18280-2021")</f>
        <v/>
      </c>
      <c r="Y221">
        <f>HYPERLINK("https://klasma.github.io/Logging_0182/tillsynsmail/A 18280-2021 tillsynsbegäran mail.docx", "A 18280-2021")</f>
        <v/>
      </c>
      <c r="Z221">
        <f>HYPERLINK("https://klasma.github.io/Logging_0182/fåglar/A 18280-2021 prioriterade fågelarter.docx", "A 18280-2021")</f>
        <v/>
      </c>
    </row>
    <row r="222" ht="15" customHeight="1">
      <c r="A222" t="inlineStr">
        <is>
          <t>A 62402-2022</t>
        </is>
      </c>
      <c r="B222" s="1" t="n">
        <v>44923</v>
      </c>
      <c r="C222" s="1" t="n">
        <v>46033</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41021-2023</t>
        </is>
      </c>
      <c r="B223" s="1" t="n">
        <v>45173</v>
      </c>
      <c r="C223" s="1" t="n">
        <v>46033</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17467-2024</t>
        </is>
      </c>
      <c r="B224" s="1" t="n">
        <v>45415.44597222222</v>
      </c>
      <c r="C224" s="1" t="n">
        <v>46033</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51980-2022</t>
        </is>
      </c>
      <c r="B225" s="1" t="n">
        <v>44872</v>
      </c>
      <c r="C225" s="1" t="n">
        <v>46033</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53608-2025</t>
        </is>
      </c>
      <c r="B226" s="1" t="n">
        <v>45960</v>
      </c>
      <c r="C226" s="1" t="n">
        <v>46033</v>
      </c>
      <c r="D226" t="inlineStr">
        <is>
          <t>STOCKHOLMS LÄN</t>
        </is>
      </c>
      <c r="E226" t="inlineStr">
        <is>
          <t>NORRTÄLJE</t>
        </is>
      </c>
      <c r="F226" t="inlineStr">
        <is>
          <t>Holmen skog AB</t>
        </is>
      </c>
      <c r="G226" t="n">
        <v>3.2</v>
      </c>
      <c r="H226" t="n">
        <v>2</v>
      </c>
      <c r="I226" t="n">
        <v>0</v>
      </c>
      <c r="J226" t="n">
        <v>1</v>
      </c>
      <c r="K226" t="n">
        <v>0</v>
      </c>
      <c r="L226" t="n">
        <v>1</v>
      </c>
      <c r="M226" t="n">
        <v>0</v>
      </c>
      <c r="N226" t="n">
        <v>0</v>
      </c>
      <c r="O226" t="n">
        <v>2</v>
      </c>
      <c r="P226" t="n">
        <v>1</v>
      </c>
      <c r="Q226" t="n">
        <v>2</v>
      </c>
      <c r="R226" s="2" t="inlineStr">
        <is>
          <t>Asknätfjäril
Spillkråka</t>
        </is>
      </c>
      <c r="S226">
        <f>HYPERLINK("https://klasma.github.io/Logging_0188/artfynd/A 53608-2025 artfynd.xlsx", "A 53608-2025")</f>
        <v/>
      </c>
      <c r="T226">
        <f>HYPERLINK("https://klasma.github.io/Logging_0188/kartor/A 53608-2025 karta.png", "A 53608-2025")</f>
        <v/>
      </c>
      <c r="V226">
        <f>HYPERLINK("https://klasma.github.io/Logging_0188/klagomål/A 53608-2025 FSC-klagomål.docx", "A 53608-2025")</f>
        <v/>
      </c>
      <c r="W226">
        <f>HYPERLINK("https://klasma.github.io/Logging_0188/klagomålsmail/A 53608-2025 FSC-klagomål mail.docx", "A 53608-2025")</f>
        <v/>
      </c>
      <c r="X226">
        <f>HYPERLINK("https://klasma.github.io/Logging_0188/tillsyn/A 53608-2025 tillsynsbegäran.docx", "A 53608-2025")</f>
        <v/>
      </c>
      <c r="Y226">
        <f>HYPERLINK("https://klasma.github.io/Logging_0188/tillsynsmail/A 53608-2025 tillsynsbegäran mail.docx", "A 53608-2025")</f>
        <v/>
      </c>
      <c r="Z226">
        <f>HYPERLINK("https://klasma.github.io/Logging_0188/fåglar/A 53608-2025 prioriterade fågelarter.docx", "A 53608-2025")</f>
        <v/>
      </c>
    </row>
    <row r="227" ht="15" customHeight="1">
      <c r="A227" t="inlineStr">
        <is>
          <t>A 49523-2023</t>
        </is>
      </c>
      <c r="B227" s="1" t="n">
        <v>45211</v>
      </c>
      <c r="C227" s="1" t="n">
        <v>46033</v>
      </c>
      <c r="D227" t="inlineStr">
        <is>
          <t>STOCKHOLMS LÄN</t>
        </is>
      </c>
      <c r="E227" t="inlineStr">
        <is>
          <t>NYNÄSHAMN</t>
        </is>
      </c>
      <c r="G227" t="n">
        <v>2.2</v>
      </c>
      <c r="H227" t="n">
        <v>0</v>
      </c>
      <c r="I227" t="n">
        <v>2</v>
      </c>
      <c r="J227" t="n">
        <v>0</v>
      </c>
      <c r="K227" t="n">
        <v>0</v>
      </c>
      <c r="L227" t="n">
        <v>0</v>
      </c>
      <c r="M227" t="n">
        <v>0</v>
      </c>
      <c r="N227" t="n">
        <v>0</v>
      </c>
      <c r="O227" t="n">
        <v>0</v>
      </c>
      <c r="P227" t="n">
        <v>0</v>
      </c>
      <c r="Q227" t="n">
        <v>2</v>
      </c>
      <c r="R227" s="2" t="inlineStr">
        <is>
          <t>Grönpyrola
Västlig hakmossa</t>
        </is>
      </c>
      <c r="S227">
        <f>HYPERLINK("https://klasma.github.io/Logging_0192/artfynd/A 49523-2023 artfynd.xlsx", "A 49523-2023")</f>
        <v/>
      </c>
      <c r="T227">
        <f>HYPERLINK("https://klasma.github.io/Logging_0192/kartor/A 49523-2023 karta.png", "A 49523-2023")</f>
        <v/>
      </c>
      <c r="V227">
        <f>HYPERLINK("https://klasma.github.io/Logging_0192/klagomål/A 49523-2023 FSC-klagomål.docx", "A 49523-2023")</f>
        <v/>
      </c>
      <c r="W227">
        <f>HYPERLINK("https://klasma.github.io/Logging_0192/klagomålsmail/A 49523-2023 FSC-klagomål mail.docx", "A 49523-2023")</f>
        <v/>
      </c>
      <c r="X227">
        <f>HYPERLINK("https://klasma.github.io/Logging_0192/tillsyn/A 49523-2023 tillsynsbegäran.docx", "A 49523-2023")</f>
        <v/>
      </c>
      <c r="Y227">
        <f>HYPERLINK("https://klasma.github.io/Logging_0192/tillsynsmail/A 49523-2023 tillsynsbegäran mail.docx", "A 49523-2023")</f>
        <v/>
      </c>
    </row>
    <row r="228" ht="15" customHeight="1">
      <c r="A228" t="inlineStr">
        <is>
          <t>A 43525-2023</t>
        </is>
      </c>
      <c r="B228" s="1" t="n">
        <v>45184</v>
      </c>
      <c r="C228" s="1" t="n">
        <v>46033</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43308-2024</t>
        </is>
      </c>
      <c r="B229" s="1" t="n">
        <v>45568</v>
      </c>
      <c r="C229" s="1" t="n">
        <v>46033</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66734-2021</t>
        </is>
      </c>
      <c r="B230" s="1" t="n">
        <v>44520</v>
      </c>
      <c r="C230" s="1" t="n">
        <v>46033</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3218-2022</t>
        </is>
      </c>
      <c r="B231" s="1" t="n">
        <v>44582</v>
      </c>
      <c r="C231" s="1" t="n">
        <v>46033</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51220-2023</t>
        </is>
      </c>
      <c r="B232" s="1" t="n">
        <v>45219</v>
      </c>
      <c r="C232" s="1" t="n">
        <v>46033</v>
      </c>
      <c r="D232" t="inlineStr">
        <is>
          <t>STOCKHOLMS LÄN</t>
        </is>
      </c>
      <c r="E232" t="inlineStr">
        <is>
          <t>NORRTÄLJE</t>
        </is>
      </c>
      <c r="G232" t="n">
        <v>7.7</v>
      </c>
      <c r="H232" t="n">
        <v>1</v>
      </c>
      <c r="I232" t="n">
        <v>0</v>
      </c>
      <c r="J232" t="n">
        <v>1</v>
      </c>
      <c r="K232" t="n">
        <v>0</v>
      </c>
      <c r="L232" t="n">
        <v>0</v>
      </c>
      <c r="M232" t="n">
        <v>0</v>
      </c>
      <c r="N232" t="n">
        <v>0</v>
      </c>
      <c r="O232" t="n">
        <v>1</v>
      </c>
      <c r="P232" t="n">
        <v>0</v>
      </c>
      <c r="Q232" t="n">
        <v>2</v>
      </c>
      <c r="R232" s="2" t="inlineStr">
        <is>
          <t>Ullticka
Blåsippa</t>
        </is>
      </c>
      <c r="S232">
        <f>HYPERLINK("https://klasma.github.io/Logging_0188/artfynd/A 51220-2023 artfynd.xlsx", "A 51220-2023")</f>
        <v/>
      </c>
      <c r="T232">
        <f>HYPERLINK("https://klasma.github.io/Logging_0188/kartor/A 51220-2023 karta.png", "A 51220-2023")</f>
        <v/>
      </c>
      <c r="V232">
        <f>HYPERLINK("https://klasma.github.io/Logging_0188/klagomål/A 51220-2023 FSC-klagomål.docx", "A 51220-2023")</f>
        <v/>
      </c>
      <c r="W232">
        <f>HYPERLINK("https://klasma.github.io/Logging_0188/klagomålsmail/A 51220-2023 FSC-klagomål mail.docx", "A 51220-2023")</f>
        <v/>
      </c>
      <c r="X232">
        <f>HYPERLINK("https://klasma.github.io/Logging_0188/tillsyn/A 51220-2023 tillsynsbegäran.docx", "A 51220-2023")</f>
        <v/>
      </c>
      <c r="Y232">
        <f>HYPERLINK("https://klasma.github.io/Logging_0188/tillsynsmail/A 51220-2023 tillsynsbegäran mail.docx", "A 51220-2023")</f>
        <v/>
      </c>
    </row>
    <row r="233" ht="15" customHeight="1">
      <c r="A233" t="inlineStr">
        <is>
          <t>A 5567-2023</t>
        </is>
      </c>
      <c r="B233" s="1" t="n">
        <v>44960</v>
      </c>
      <c r="C233" s="1" t="n">
        <v>46033</v>
      </c>
      <c r="D233" t="inlineStr">
        <is>
          <t>STOCKHOLMS LÄN</t>
        </is>
      </c>
      <c r="E233" t="inlineStr">
        <is>
          <t>NYNÄSHAMN</t>
        </is>
      </c>
      <c r="G233" t="n">
        <v>10.1</v>
      </c>
      <c r="H233" t="n">
        <v>1</v>
      </c>
      <c r="I233" t="n">
        <v>1</v>
      </c>
      <c r="J233" t="n">
        <v>0</v>
      </c>
      <c r="K233" t="n">
        <v>0</v>
      </c>
      <c r="L233" t="n">
        <v>0</v>
      </c>
      <c r="M233" t="n">
        <v>0</v>
      </c>
      <c r="N233" t="n">
        <v>0</v>
      </c>
      <c r="O233" t="n">
        <v>0</v>
      </c>
      <c r="P233" t="n">
        <v>0</v>
      </c>
      <c r="Q233" t="n">
        <v>2</v>
      </c>
      <c r="R233" s="2" t="inlineStr">
        <is>
          <t>Sårläka
Blåsippa</t>
        </is>
      </c>
      <c r="S233">
        <f>HYPERLINK("https://klasma.github.io/Logging_0192/artfynd/A 5567-2023 artfynd.xlsx", "A 5567-2023")</f>
        <v/>
      </c>
      <c r="T233">
        <f>HYPERLINK("https://klasma.github.io/Logging_0192/kartor/A 5567-2023 karta.png", "A 5567-2023")</f>
        <v/>
      </c>
      <c r="V233">
        <f>HYPERLINK("https://klasma.github.io/Logging_0192/klagomål/A 5567-2023 FSC-klagomål.docx", "A 5567-2023")</f>
        <v/>
      </c>
      <c r="W233">
        <f>HYPERLINK("https://klasma.github.io/Logging_0192/klagomålsmail/A 5567-2023 FSC-klagomål mail.docx", "A 5567-2023")</f>
        <v/>
      </c>
      <c r="X233">
        <f>HYPERLINK("https://klasma.github.io/Logging_0192/tillsyn/A 5567-2023 tillsynsbegäran.docx", "A 5567-2023")</f>
        <v/>
      </c>
      <c r="Y233">
        <f>HYPERLINK("https://klasma.github.io/Logging_0192/tillsynsmail/A 5567-2023 tillsynsbegäran mail.docx", "A 5567-2023")</f>
        <v/>
      </c>
    </row>
    <row r="234" ht="15" customHeight="1">
      <c r="A234" t="inlineStr">
        <is>
          <t>A 19784-2025</t>
        </is>
      </c>
      <c r="B234" s="1" t="n">
        <v>45771.43894675926</v>
      </c>
      <c r="C234" s="1" t="n">
        <v>46033</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52124-2022</t>
        </is>
      </c>
      <c r="B235" s="1" t="n">
        <v>44868</v>
      </c>
      <c r="C235" s="1" t="n">
        <v>46033</v>
      </c>
      <c r="D235" t="inlineStr">
        <is>
          <t>STOCKHOLMS LÄN</t>
        </is>
      </c>
      <c r="E235" t="inlineStr">
        <is>
          <t>NORRTÄLJE</t>
        </is>
      </c>
      <c r="G235" t="n">
        <v>4.8</v>
      </c>
      <c r="H235" t="n">
        <v>1</v>
      </c>
      <c r="I235" t="n">
        <v>0</v>
      </c>
      <c r="J235" t="n">
        <v>1</v>
      </c>
      <c r="K235" t="n">
        <v>0</v>
      </c>
      <c r="L235" t="n">
        <v>0</v>
      </c>
      <c r="M235" t="n">
        <v>0</v>
      </c>
      <c r="N235" t="n">
        <v>0</v>
      </c>
      <c r="O235" t="n">
        <v>1</v>
      </c>
      <c r="P235" t="n">
        <v>0</v>
      </c>
      <c r="Q235" t="n">
        <v>2</v>
      </c>
      <c r="R235" s="2" t="inlineStr">
        <is>
          <t>Kandelabersvamp
Blåsippa</t>
        </is>
      </c>
      <c r="S235">
        <f>HYPERLINK("https://klasma.github.io/Logging_0188/artfynd/A 52124-2022 artfynd.xlsx", "A 52124-2022")</f>
        <v/>
      </c>
      <c r="T235">
        <f>HYPERLINK("https://klasma.github.io/Logging_0188/kartor/A 52124-2022 karta.png", "A 52124-2022")</f>
        <v/>
      </c>
      <c r="V235">
        <f>HYPERLINK("https://klasma.github.io/Logging_0188/klagomål/A 52124-2022 FSC-klagomål.docx", "A 52124-2022")</f>
        <v/>
      </c>
      <c r="W235">
        <f>HYPERLINK("https://klasma.github.io/Logging_0188/klagomålsmail/A 52124-2022 FSC-klagomål mail.docx", "A 52124-2022")</f>
        <v/>
      </c>
      <c r="X235">
        <f>HYPERLINK("https://klasma.github.io/Logging_0188/tillsyn/A 52124-2022 tillsynsbegäran.docx", "A 52124-2022")</f>
        <v/>
      </c>
      <c r="Y235">
        <f>HYPERLINK("https://klasma.github.io/Logging_0188/tillsynsmail/A 52124-2022 tillsynsbegäran mail.docx", "A 52124-2022")</f>
        <v/>
      </c>
    </row>
    <row r="236" ht="15" customHeight="1">
      <c r="A236" t="inlineStr">
        <is>
          <t>A 52825-2023</t>
        </is>
      </c>
      <c r="B236" s="1" t="n">
        <v>45226</v>
      </c>
      <c r="C236" s="1" t="n">
        <v>46033</v>
      </c>
      <c r="D236" t="inlineStr">
        <is>
          <t>STOCKHOLMS LÄN</t>
        </is>
      </c>
      <c r="E236" t="inlineStr">
        <is>
          <t>NORRTÄLJE</t>
        </is>
      </c>
      <c r="G236" t="n">
        <v>1</v>
      </c>
      <c r="H236" t="n">
        <v>0</v>
      </c>
      <c r="I236" t="n">
        <v>2</v>
      </c>
      <c r="J236" t="n">
        <v>0</v>
      </c>
      <c r="K236" t="n">
        <v>0</v>
      </c>
      <c r="L236" t="n">
        <v>0</v>
      </c>
      <c r="M236" t="n">
        <v>0</v>
      </c>
      <c r="N236" t="n">
        <v>0</v>
      </c>
      <c r="O236" t="n">
        <v>0</v>
      </c>
      <c r="P236" t="n">
        <v>0</v>
      </c>
      <c r="Q236" t="n">
        <v>2</v>
      </c>
      <c r="R236" s="2" t="inlineStr">
        <is>
          <t>Fjällig taggsvamp s.str.
Strimspindling</t>
        </is>
      </c>
      <c r="S236">
        <f>HYPERLINK("https://klasma.github.io/Logging_0188/artfynd/A 52825-2023 artfynd.xlsx", "A 52825-2023")</f>
        <v/>
      </c>
      <c r="T236">
        <f>HYPERLINK("https://klasma.github.io/Logging_0188/kartor/A 52825-2023 karta.png", "A 52825-2023")</f>
        <v/>
      </c>
      <c r="V236">
        <f>HYPERLINK("https://klasma.github.io/Logging_0188/klagomål/A 52825-2023 FSC-klagomål.docx", "A 52825-2023")</f>
        <v/>
      </c>
      <c r="W236">
        <f>HYPERLINK("https://klasma.github.io/Logging_0188/klagomålsmail/A 52825-2023 FSC-klagomål mail.docx", "A 52825-2023")</f>
        <v/>
      </c>
      <c r="X236">
        <f>HYPERLINK("https://klasma.github.io/Logging_0188/tillsyn/A 52825-2023 tillsynsbegäran.docx", "A 52825-2023")</f>
        <v/>
      </c>
      <c r="Y236">
        <f>HYPERLINK("https://klasma.github.io/Logging_0188/tillsynsmail/A 52825-2023 tillsynsbegäran mail.docx", "A 52825-2023")</f>
        <v/>
      </c>
    </row>
    <row r="237" ht="15" customHeight="1">
      <c r="A237" t="inlineStr">
        <is>
          <t>A 61302-2022</t>
        </is>
      </c>
      <c r="B237" s="1" t="n">
        <v>44915</v>
      </c>
      <c r="C237" s="1" t="n">
        <v>46033</v>
      </c>
      <c r="D237" t="inlineStr">
        <is>
          <t>STOCKHOLMS LÄN</t>
        </is>
      </c>
      <c r="E237" t="inlineStr">
        <is>
          <t>SALEM</t>
        </is>
      </c>
      <c r="F237" t="inlineStr">
        <is>
          <t>Kommuner</t>
        </is>
      </c>
      <c r="G237" t="n">
        <v>14.8</v>
      </c>
      <c r="H237" t="n">
        <v>0</v>
      </c>
      <c r="I237" t="n">
        <v>2</v>
      </c>
      <c r="J237" t="n">
        <v>0</v>
      </c>
      <c r="K237" t="n">
        <v>0</v>
      </c>
      <c r="L237" t="n">
        <v>0</v>
      </c>
      <c r="M237" t="n">
        <v>0</v>
      </c>
      <c r="N237" t="n">
        <v>0</v>
      </c>
      <c r="O237" t="n">
        <v>0</v>
      </c>
      <c r="P237" t="n">
        <v>0</v>
      </c>
      <c r="Q237" t="n">
        <v>2</v>
      </c>
      <c r="R237" s="2" t="inlineStr">
        <is>
          <t>Trådticka
Zontaggsvamp</t>
        </is>
      </c>
      <c r="S237">
        <f>HYPERLINK("https://klasma.github.io/Logging_0128/artfynd/A 61302-2022 artfynd.xlsx", "A 61302-2022")</f>
        <v/>
      </c>
      <c r="T237">
        <f>HYPERLINK("https://klasma.github.io/Logging_0128/kartor/A 61302-2022 karta.png", "A 61302-2022")</f>
        <v/>
      </c>
      <c r="V237">
        <f>HYPERLINK("https://klasma.github.io/Logging_0128/klagomål/A 61302-2022 FSC-klagomål.docx", "A 61302-2022")</f>
        <v/>
      </c>
      <c r="W237">
        <f>HYPERLINK("https://klasma.github.io/Logging_0128/klagomålsmail/A 61302-2022 FSC-klagomål mail.docx", "A 61302-2022")</f>
        <v/>
      </c>
      <c r="X237">
        <f>HYPERLINK("https://klasma.github.io/Logging_0128/tillsyn/A 61302-2022 tillsynsbegäran.docx", "A 61302-2022")</f>
        <v/>
      </c>
      <c r="Y237">
        <f>HYPERLINK("https://klasma.github.io/Logging_0128/tillsynsmail/A 61302-2022 tillsynsbegäran mail.docx", "A 61302-2022")</f>
        <v/>
      </c>
    </row>
    <row r="238" ht="15" customHeight="1">
      <c r="A238" t="inlineStr">
        <is>
          <t>A 16260-2022</t>
        </is>
      </c>
      <c r="B238" s="1" t="n">
        <v>44670</v>
      </c>
      <c r="C238" s="1" t="n">
        <v>46033</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52360-2024</t>
        </is>
      </c>
      <c r="B239" s="1" t="n">
        <v>45609.37094907407</v>
      </c>
      <c r="C239" s="1" t="n">
        <v>46033</v>
      </c>
      <c r="D239" t="inlineStr">
        <is>
          <t>STOCKHOLMS LÄN</t>
        </is>
      </c>
      <c r="E239" t="inlineStr">
        <is>
          <t>NORRTÄLJE</t>
        </is>
      </c>
      <c r="G239" t="n">
        <v>2.2</v>
      </c>
      <c r="H239" t="n">
        <v>1</v>
      </c>
      <c r="I239" t="n">
        <v>1</v>
      </c>
      <c r="J239" t="n">
        <v>0</v>
      </c>
      <c r="K239" t="n">
        <v>0</v>
      </c>
      <c r="L239" t="n">
        <v>0</v>
      </c>
      <c r="M239" t="n">
        <v>0</v>
      </c>
      <c r="N239" t="n">
        <v>0</v>
      </c>
      <c r="O239" t="n">
        <v>0</v>
      </c>
      <c r="P239" t="n">
        <v>0</v>
      </c>
      <c r="Q239" t="n">
        <v>2</v>
      </c>
      <c r="R239" s="2" t="inlineStr">
        <is>
          <t>Brandticka
Blåsippa</t>
        </is>
      </c>
      <c r="S239">
        <f>HYPERLINK("https://klasma.github.io/Logging_0188/artfynd/A 52360-2024 artfynd.xlsx", "A 52360-2024")</f>
        <v/>
      </c>
      <c r="T239">
        <f>HYPERLINK("https://klasma.github.io/Logging_0188/kartor/A 52360-2024 karta.png", "A 52360-2024")</f>
        <v/>
      </c>
      <c r="V239">
        <f>HYPERLINK("https://klasma.github.io/Logging_0188/klagomål/A 52360-2024 FSC-klagomål.docx", "A 52360-2024")</f>
        <v/>
      </c>
      <c r="W239">
        <f>HYPERLINK("https://klasma.github.io/Logging_0188/klagomålsmail/A 52360-2024 FSC-klagomål mail.docx", "A 52360-2024")</f>
        <v/>
      </c>
      <c r="X239">
        <f>HYPERLINK("https://klasma.github.io/Logging_0188/tillsyn/A 52360-2024 tillsynsbegäran.docx", "A 52360-2024")</f>
        <v/>
      </c>
      <c r="Y239">
        <f>HYPERLINK("https://klasma.github.io/Logging_0188/tillsynsmail/A 52360-2024 tillsynsbegäran mail.docx", "A 52360-2024")</f>
        <v/>
      </c>
    </row>
    <row r="240" ht="15" customHeight="1">
      <c r="A240" t="inlineStr">
        <is>
          <t>A 31523-2022</t>
        </is>
      </c>
      <c r="B240" s="1" t="n">
        <v>44775.22490740741</v>
      </c>
      <c r="C240" s="1" t="n">
        <v>46033</v>
      </c>
      <c r="D240" t="inlineStr">
        <is>
          <t>STOCKHOLMS LÄN</t>
        </is>
      </c>
      <c r="E240" t="inlineStr">
        <is>
          <t>ÖSTERÅKER</t>
        </is>
      </c>
      <c r="G240" t="n">
        <v>9</v>
      </c>
      <c r="H240" t="n">
        <v>0</v>
      </c>
      <c r="I240" t="n">
        <v>0</v>
      </c>
      <c r="J240" t="n">
        <v>2</v>
      </c>
      <c r="K240" t="n">
        <v>0</v>
      </c>
      <c r="L240" t="n">
        <v>0</v>
      </c>
      <c r="M240" t="n">
        <v>0</v>
      </c>
      <c r="N240" t="n">
        <v>0</v>
      </c>
      <c r="O240" t="n">
        <v>2</v>
      </c>
      <c r="P240" t="n">
        <v>0</v>
      </c>
      <c r="Q240" t="n">
        <v>2</v>
      </c>
      <c r="R240" s="2" t="inlineStr">
        <is>
          <t>Garnlav
Tallticka</t>
        </is>
      </c>
      <c r="S240">
        <f>HYPERLINK("https://klasma.github.io/Logging_0117/artfynd/A 31523-2022 artfynd.xlsx", "A 31523-2022")</f>
        <v/>
      </c>
      <c r="T240">
        <f>HYPERLINK("https://klasma.github.io/Logging_0117/kartor/A 31523-2022 karta.png", "A 31523-2022")</f>
        <v/>
      </c>
      <c r="V240">
        <f>HYPERLINK("https://klasma.github.io/Logging_0117/klagomål/A 31523-2022 FSC-klagomål.docx", "A 31523-2022")</f>
        <v/>
      </c>
      <c r="W240">
        <f>HYPERLINK("https://klasma.github.io/Logging_0117/klagomålsmail/A 31523-2022 FSC-klagomål mail.docx", "A 31523-2022")</f>
        <v/>
      </c>
      <c r="X240">
        <f>HYPERLINK("https://klasma.github.io/Logging_0117/tillsyn/A 31523-2022 tillsynsbegäran.docx", "A 31523-2022")</f>
        <v/>
      </c>
      <c r="Y240">
        <f>HYPERLINK("https://klasma.github.io/Logging_0117/tillsynsmail/A 31523-2022 tillsynsbegäran mail.docx", "A 31523-2022")</f>
        <v/>
      </c>
    </row>
    <row r="241" ht="15" customHeight="1">
      <c r="A241" t="inlineStr">
        <is>
          <t>A 2992-2023</t>
        </is>
      </c>
      <c r="B241" s="1" t="n">
        <v>44945</v>
      </c>
      <c r="C241" s="1" t="n">
        <v>46033</v>
      </c>
      <c r="D241" t="inlineStr">
        <is>
          <t>STOCKHOLMS LÄN</t>
        </is>
      </c>
      <c r="E241" t="inlineStr">
        <is>
          <t>SALEM</t>
        </is>
      </c>
      <c r="F241" t="inlineStr">
        <is>
          <t>Kommuner</t>
        </is>
      </c>
      <c r="G241" t="n">
        <v>1.7</v>
      </c>
      <c r="H241" t="n">
        <v>0</v>
      </c>
      <c r="I241" t="n">
        <v>1</v>
      </c>
      <c r="J241" t="n">
        <v>0</v>
      </c>
      <c r="K241" t="n">
        <v>1</v>
      </c>
      <c r="L241" t="n">
        <v>0</v>
      </c>
      <c r="M241" t="n">
        <v>0</v>
      </c>
      <c r="N241" t="n">
        <v>0</v>
      </c>
      <c r="O241" t="n">
        <v>1</v>
      </c>
      <c r="P241" t="n">
        <v>1</v>
      </c>
      <c r="Q241" t="n">
        <v>2</v>
      </c>
      <c r="R241" s="2" t="inlineStr">
        <is>
          <t>Rynkskinn
Blåmossa</t>
        </is>
      </c>
      <c r="S241">
        <f>HYPERLINK("https://klasma.github.io/Logging_0128/artfynd/A 2992-2023 artfynd.xlsx", "A 2992-2023")</f>
        <v/>
      </c>
      <c r="T241">
        <f>HYPERLINK("https://klasma.github.io/Logging_0128/kartor/A 2992-2023 karta.png", "A 2992-2023")</f>
        <v/>
      </c>
      <c r="V241">
        <f>HYPERLINK("https://klasma.github.io/Logging_0128/klagomål/A 2992-2023 FSC-klagomål.docx", "A 2992-2023")</f>
        <v/>
      </c>
      <c r="W241">
        <f>HYPERLINK("https://klasma.github.io/Logging_0128/klagomålsmail/A 2992-2023 FSC-klagomål mail.docx", "A 2992-2023")</f>
        <v/>
      </c>
      <c r="X241">
        <f>HYPERLINK("https://klasma.github.io/Logging_0128/tillsyn/A 2992-2023 tillsynsbegäran.docx", "A 2992-2023")</f>
        <v/>
      </c>
      <c r="Y241">
        <f>HYPERLINK("https://klasma.github.io/Logging_0128/tillsynsmail/A 2992-2023 tillsynsbegäran mail.docx", "A 2992-2023")</f>
        <v/>
      </c>
    </row>
    <row r="242" ht="15" customHeight="1">
      <c r="A242" t="inlineStr">
        <is>
          <t>A 21612-2021</t>
        </is>
      </c>
      <c r="B242" s="1" t="n">
        <v>44321</v>
      </c>
      <c r="C242" s="1" t="n">
        <v>46033</v>
      </c>
      <c r="D242" t="inlineStr">
        <is>
          <t>STOCKHOLMS LÄN</t>
        </is>
      </c>
      <c r="E242" t="inlineStr">
        <is>
          <t>VALLENTUNA</t>
        </is>
      </c>
      <c r="G242" t="n">
        <v>1.4</v>
      </c>
      <c r="H242" t="n">
        <v>2</v>
      </c>
      <c r="I242" t="n">
        <v>0</v>
      </c>
      <c r="J242" t="n">
        <v>1</v>
      </c>
      <c r="K242" t="n">
        <v>0</v>
      </c>
      <c r="L242" t="n">
        <v>0</v>
      </c>
      <c r="M242" t="n">
        <v>0</v>
      </c>
      <c r="N242" t="n">
        <v>0</v>
      </c>
      <c r="O242" t="n">
        <v>1</v>
      </c>
      <c r="P242" t="n">
        <v>0</v>
      </c>
      <c r="Q242" t="n">
        <v>2</v>
      </c>
      <c r="R242" s="2" t="inlineStr">
        <is>
          <t>Gulsparv
Grönsiska</t>
        </is>
      </c>
      <c r="S242">
        <f>HYPERLINK("https://klasma.github.io/Logging_0115/artfynd/A 21612-2021 artfynd.xlsx", "A 21612-2021")</f>
        <v/>
      </c>
      <c r="T242">
        <f>HYPERLINK("https://klasma.github.io/Logging_0115/kartor/A 21612-2021 karta.png", "A 21612-2021")</f>
        <v/>
      </c>
      <c r="V242">
        <f>HYPERLINK("https://klasma.github.io/Logging_0115/klagomål/A 21612-2021 FSC-klagomål.docx", "A 21612-2021")</f>
        <v/>
      </c>
      <c r="W242">
        <f>HYPERLINK("https://klasma.github.io/Logging_0115/klagomålsmail/A 21612-2021 FSC-klagomål mail.docx", "A 21612-2021")</f>
        <v/>
      </c>
      <c r="X242">
        <f>HYPERLINK("https://klasma.github.io/Logging_0115/tillsyn/A 21612-2021 tillsynsbegäran.docx", "A 21612-2021")</f>
        <v/>
      </c>
      <c r="Y242">
        <f>HYPERLINK("https://klasma.github.io/Logging_0115/tillsynsmail/A 21612-2021 tillsynsbegäran mail.docx", "A 21612-2021")</f>
        <v/>
      </c>
      <c r="Z242">
        <f>HYPERLINK("https://klasma.github.io/Logging_0115/fåglar/A 21612-2021 prioriterade fågelarter.docx", "A 21612-2021")</f>
        <v/>
      </c>
    </row>
    <row r="243" ht="15" customHeight="1">
      <c r="A243" t="inlineStr">
        <is>
          <t>A 61363-2022</t>
        </is>
      </c>
      <c r="B243" s="1" t="n">
        <v>44915</v>
      </c>
      <c r="C243" s="1" t="n">
        <v>46033</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16535-2025</t>
        </is>
      </c>
      <c r="B244" s="1" t="n">
        <v>45751.65542824074</v>
      </c>
      <c r="C244" s="1" t="n">
        <v>46033</v>
      </c>
      <c r="D244" t="inlineStr">
        <is>
          <t>STOCKHOLMS LÄN</t>
        </is>
      </c>
      <c r="E244" t="inlineStr">
        <is>
          <t>SÖDERTÄLJE</t>
        </is>
      </c>
      <c r="G244" t="n">
        <v>1.1</v>
      </c>
      <c r="H244" t="n">
        <v>1</v>
      </c>
      <c r="I244" t="n">
        <v>1</v>
      </c>
      <c r="J244" t="n">
        <v>0</v>
      </c>
      <c r="K244" t="n">
        <v>0</v>
      </c>
      <c r="L244" t="n">
        <v>0</v>
      </c>
      <c r="M244" t="n">
        <v>0</v>
      </c>
      <c r="N244" t="n">
        <v>0</v>
      </c>
      <c r="O244" t="n">
        <v>0</v>
      </c>
      <c r="P244" t="n">
        <v>0</v>
      </c>
      <c r="Q244" t="n">
        <v>2</v>
      </c>
      <c r="R244" s="2" t="inlineStr">
        <is>
          <t>Tibast
Blåsippa</t>
        </is>
      </c>
      <c r="S244">
        <f>HYPERLINK("https://klasma.github.io/Logging_0181/artfynd/A 16535-2025 artfynd.xlsx", "A 16535-2025")</f>
        <v/>
      </c>
      <c r="T244">
        <f>HYPERLINK("https://klasma.github.io/Logging_0181/kartor/A 16535-2025 karta.png", "A 16535-2025")</f>
        <v/>
      </c>
      <c r="V244">
        <f>HYPERLINK("https://klasma.github.io/Logging_0181/klagomål/A 16535-2025 FSC-klagomål.docx", "A 16535-2025")</f>
        <v/>
      </c>
      <c r="W244">
        <f>HYPERLINK("https://klasma.github.io/Logging_0181/klagomålsmail/A 16535-2025 FSC-klagomål mail.docx", "A 16535-2025")</f>
        <v/>
      </c>
      <c r="X244">
        <f>HYPERLINK("https://klasma.github.io/Logging_0181/tillsyn/A 16535-2025 tillsynsbegäran.docx", "A 16535-2025")</f>
        <v/>
      </c>
      <c r="Y244">
        <f>HYPERLINK("https://klasma.github.io/Logging_0181/tillsynsmail/A 16535-2025 tillsynsbegäran mail.docx", "A 16535-2025")</f>
        <v/>
      </c>
    </row>
    <row r="245" ht="15" customHeight="1">
      <c r="A245" t="inlineStr">
        <is>
          <t>A 10909-2025</t>
        </is>
      </c>
      <c r="B245" s="1" t="n">
        <v>45722</v>
      </c>
      <c r="C245" s="1" t="n">
        <v>46033</v>
      </c>
      <c r="D245" t="inlineStr">
        <is>
          <t>STOCKHOLMS LÄN</t>
        </is>
      </c>
      <c r="E245" t="inlineStr">
        <is>
          <t>UPPLANDS-BRO</t>
        </is>
      </c>
      <c r="F245" t="inlineStr">
        <is>
          <t>Allmännings- och besparingsskogar</t>
        </is>
      </c>
      <c r="G245" t="n">
        <v>11.2</v>
      </c>
      <c r="H245" t="n">
        <v>1</v>
      </c>
      <c r="I245" t="n">
        <v>0</v>
      </c>
      <c r="J245" t="n">
        <v>1</v>
      </c>
      <c r="K245" t="n">
        <v>0</v>
      </c>
      <c r="L245" t="n">
        <v>0</v>
      </c>
      <c r="M245" t="n">
        <v>0</v>
      </c>
      <c r="N245" t="n">
        <v>0</v>
      </c>
      <c r="O245" t="n">
        <v>1</v>
      </c>
      <c r="P245" t="n">
        <v>0</v>
      </c>
      <c r="Q245" t="n">
        <v>2</v>
      </c>
      <c r="R245" s="2" t="inlineStr">
        <is>
          <t>Arommusseron
Fläcknycklar</t>
        </is>
      </c>
      <c r="S245">
        <f>HYPERLINK("https://klasma.github.io/Logging_0139/artfynd/A 10909-2025 artfynd.xlsx", "A 10909-2025")</f>
        <v/>
      </c>
      <c r="T245">
        <f>HYPERLINK("https://klasma.github.io/Logging_0139/kartor/A 10909-2025 karta.png", "A 10909-2025")</f>
        <v/>
      </c>
      <c r="V245">
        <f>HYPERLINK("https://klasma.github.io/Logging_0139/klagomål/A 10909-2025 FSC-klagomål.docx", "A 10909-2025")</f>
        <v/>
      </c>
      <c r="W245">
        <f>HYPERLINK("https://klasma.github.io/Logging_0139/klagomålsmail/A 10909-2025 FSC-klagomål mail.docx", "A 10909-2025")</f>
        <v/>
      </c>
      <c r="X245">
        <f>HYPERLINK("https://klasma.github.io/Logging_0139/tillsyn/A 10909-2025 tillsynsbegäran.docx", "A 10909-2025")</f>
        <v/>
      </c>
      <c r="Y245">
        <f>HYPERLINK("https://klasma.github.io/Logging_0139/tillsynsmail/A 10909-2025 tillsynsbegäran mail.docx", "A 10909-2025")</f>
        <v/>
      </c>
    </row>
    <row r="246" ht="15" customHeight="1">
      <c r="A246" t="inlineStr">
        <is>
          <t>A 10911-2025</t>
        </is>
      </c>
      <c r="B246" s="1" t="n">
        <v>45722</v>
      </c>
      <c r="C246" s="1" t="n">
        <v>46033</v>
      </c>
      <c r="D246" t="inlineStr">
        <is>
          <t>STOCKHOLMS LÄN</t>
        </is>
      </c>
      <c r="E246" t="inlineStr">
        <is>
          <t>UPPLANDS-BRO</t>
        </is>
      </c>
      <c r="F246" t="inlineStr">
        <is>
          <t>Allmännings- och besparingsskogar</t>
        </is>
      </c>
      <c r="G246" t="n">
        <v>5.6</v>
      </c>
      <c r="H246" t="n">
        <v>1</v>
      </c>
      <c r="I246" t="n">
        <v>1</v>
      </c>
      <c r="J246" t="n">
        <v>1</v>
      </c>
      <c r="K246" t="n">
        <v>0</v>
      </c>
      <c r="L246" t="n">
        <v>0</v>
      </c>
      <c r="M246" t="n">
        <v>0</v>
      </c>
      <c r="N246" t="n">
        <v>0</v>
      </c>
      <c r="O246" t="n">
        <v>1</v>
      </c>
      <c r="P246" t="n">
        <v>0</v>
      </c>
      <c r="Q246" t="n">
        <v>2</v>
      </c>
      <c r="R246" s="2" t="inlineStr">
        <is>
          <t>Talltita
Vågbandad barkbock</t>
        </is>
      </c>
      <c r="S246">
        <f>HYPERLINK("https://klasma.github.io/Logging_0139/artfynd/A 10911-2025 artfynd.xlsx", "A 10911-2025")</f>
        <v/>
      </c>
      <c r="T246">
        <f>HYPERLINK("https://klasma.github.io/Logging_0139/kartor/A 10911-2025 karta.png", "A 10911-2025")</f>
        <v/>
      </c>
      <c r="V246">
        <f>HYPERLINK("https://klasma.github.io/Logging_0139/klagomål/A 10911-2025 FSC-klagomål.docx", "A 10911-2025")</f>
        <v/>
      </c>
      <c r="W246">
        <f>HYPERLINK("https://klasma.github.io/Logging_0139/klagomålsmail/A 10911-2025 FSC-klagomål mail.docx", "A 10911-2025")</f>
        <v/>
      </c>
      <c r="X246">
        <f>HYPERLINK("https://klasma.github.io/Logging_0139/tillsyn/A 10911-2025 tillsynsbegäran.docx", "A 10911-2025")</f>
        <v/>
      </c>
      <c r="Y246">
        <f>HYPERLINK("https://klasma.github.io/Logging_0139/tillsynsmail/A 10911-2025 tillsynsbegäran mail.docx", "A 10911-2025")</f>
        <v/>
      </c>
      <c r="Z246">
        <f>HYPERLINK("https://klasma.github.io/Logging_0139/fåglar/A 10911-2025 prioriterade fågelarter.docx", "A 10911-2025")</f>
        <v/>
      </c>
    </row>
    <row r="247" ht="15" customHeight="1">
      <c r="A247" t="inlineStr">
        <is>
          <t>A 54703-2024</t>
        </is>
      </c>
      <c r="B247" s="1" t="n">
        <v>45618</v>
      </c>
      <c r="C247" s="1" t="n">
        <v>46033</v>
      </c>
      <c r="D247" t="inlineStr">
        <is>
          <t>STOCKHOLMS LÄN</t>
        </is>
      </c>
      <c r="E247" t="inlineStr">
        <is>
          <t>ÖSTERÅKER</t>
        </is>
      </c>
      <c r="G247" t="n">
        <v>7.7</v>
      </c>
      <c r="H247" t="n">
        <v>1</v>
      </c>
      <c r="I247" t="n">
        <v>0</v>
      </c>
      <c r="J247" t="n">
        <v>2</v>
      </c>
      <c r="K247" t="n">
        <v>0</v>
      </c>
      <c r="L247" t="n">
        <v>0</v>
      </c>
      <c r="M247" t="n">
        <v>0</v>
      </c>
      <c r="N247" t="n">
        <v>0</v>
      </c>
      <c r="O247" t="n">
        <v>2</v>
      </c>
      <c r="P247" t="n">
        <v>0</v>
      </c>
      <c r="Q247" t="n">
        <v>2</v>
      </c>
      <c r="R247" s="2" t="inlineStr">
        <is>
          <t>Spillkråka
Tallticka</t>
        </is>
      </c>
      <c r="S247">
        <f>HYPERLINK("https://klasma.github.io/Logging_0117/artfynd/A 54703-2024 artfynd.xlsx", "A 54703-2024")</f>
        <v/>
      </c>
      <c r="T247">
        <f>HYPERLINK("https://klasma.github.io/Logging_0117/kartor/A 54703-2024 karta.png", "A 54703-2024")</f>
        <v/>
      </c>
      <c r="V247">
        <f>HYPERLINK("https://klasma.github.io/Logging_0117/klagomål/A 54703-2024 FSC-klagomål.docx", "A 54703-2024")</f>
        <v/>
      </c>
      <c r="W247">
        <f>HYPERLINK("https://klasma.github.io/Logging_0117/klagomålsmail/A 54703-2024 FSC-klagomål mail.docx", "A 54703-2024")</f>
        <v/>
      </c>
      <c r="X247">
        <f>HYPERLINK("https://klasma.github.io/Logging_0117/tillsyn/A 54703-2024 tillsynsbegäran.docx", "A 54703-2024")</f>
        <v/>
      </c>
      <c r="Y247">
        <f>HYPERLINK("https://klasma.github.io/Logging_0117/tillsynsmail/A 54703-2024 tillsynsbegäran mail.docx", "A 54703-2024")</f>
        <v/>
      </c>
      <c r="Z247">
        <f>HYPERLINK("https://klasma.github.io/Logging_0117/fåglar/A 54703-2024 prioriterade fågelarter.docx", "A 54703-2024")</f>
        <v/>
      </c>
    </row>
    <row r="248" ht="15" customHeight="1">
      <c r="A248" t="inlineStr">
        <is>
          <t>A 14729-2023</t>
        </is>
      </c>
      <c r="B248" s="1" t="n">
        <v>45014</v>
      </c>
      <c r="C248" s="1" t="n">
        <v>46033</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46-2022</t>
        </is>
      </c>
      <c r="B249" s="1" t="n">
        <v>44560</v>
      </c>
      <c r="C249" s="1" t="n">
        <v>46033</v>
      </c>
      <c r="D249" t="inlineStr">
        <is>
          <t>STOCKHOLMS LÄN</t>
        </is>
      </c>
      <c r="E249" t="inlineStr">
        <is>
          <t>VALLENTUNA</t>
        </is>
      </c>
      <c r="F249" t="inlineStr">
        <is>
          <t>Övriga Aktiebolag</t>
        </is>
      </c>
      <c r="G249" t="n">
        <v>7.9</v>
      </c>
      <c r="H249" t="n">
        <v>1</v>
      </c>
      <c r="I249" t="n">
        <v>1</v>
      </c>
      <c r="J249" t="n">
        <v>0</v>
      </c>
      <c r="K249" t="n">
        <v>0</v>
      </c>
      <c r="L249" t="n">
        <v>0</v>
      </c>
      <c r="M249" t="n">
        <v>0</v>
      </c>
      <c r="N249" t="n">
        <v>0</v>
      </c>
      <c r="O249" t="n">
        <v>0</v>
      </c>
      <c r="P249" t="n">
        <v>0</v>
      </c>
      <c r="Q249" t="n">
        <v>2</v>
      </c>
      <c r="R249" s="2" t="inlineStr">
        <is>
          <t>Fällmossa
Blåsippa</t>
        </is>
      </c>
      <c r="S249">
        <f>HYPERLINK("https://klasma.github.io/Logging_0115/artfynd/A 46-2022 artfynd.xlsx", "A 46-2022")</f>
        <v/>
      </c>
      <c r="T249">
        <f>HYPERLINK("https://klasma.github.io/Logging_0115/kartor/A 46-2022 karta.png", "A 46-2022")</f>
        <v/>
      </c>
      <c r="V249">
        <f>HYPERLINK("https://klasma.github.io/Logging_0115/klagomål/A 46-2022 FSC-klagomål.docx", "A 46-2022")</f>
        <v/>
      </c>
      <c r="W249">
        <f>HYPERLINK("https://klasma.github.io/Logging_0115/klagomålsmail/A 46-2022 FSC-klagomål mail.docx", "A 46-2022")</f>
        <v/>
      </c>
      <c r="X249">
        <f>HYPERLINK("https://klasma.github.io/Logging_0115/tillsyn/A 46-2022 tillsynsbegäran.docx", "A 46-2022")</f>
        <v/>
      </c>
      <c r="Y249">
        <f>HYPERLINK("https://klasma.github.io/Logging_0115/tillsynsmail/A 46-2022 tillsynsbegäran mail.docx", "A 46-2022")</f>
        <v/>
      </c>
    </row>
    <row r="250" ht="15" customHeight="1">
      <c r="A250" t="inlineStr">
        <is>
          <t>A 1424-2021</t>
        </is>
      </c>
      <c r="B250" s="1" t="n">
        <v>44208</v>
      </c>
      <c r="C250" s="1" t="n">
        <v>46033</v>
      </c>
      <c r="D250" t="inlineStr">
        <is>
          <t>STOCKHOLMS LÄN</t>
        </is>
      </c>
      <c r="E250" t="inlineStr">
        <is>
          <t>HANINGE</t>
        </is>
      </c>
      <c r="G250" t="n">
        <v>1.7</v>
      </c>
      <c r="H250" t="n">
        <v>1</v>
      </c>
      <c r="I250" t="n">
        <v>1</v>
      </c>
      <c r="J250" t="n">
        <v>0</v>
      </c>
      <c r="K250" t="n">
        <v>0</v>
      </c>
      <c r="L250" t="n">
        <v>0</v>
      </c>
      <c r="M250" t="n">
        <v>0</v>
      </c>
      <c r="N250" t="n">
        <v>0</v>
      </c>
      <c r="O250" t="n">
        <v>0</v>
      </c>
      <c r="P250" t="n">
        <v>0</v>
      </c>
      <c r="Q250" t="n">
        <v>1</v>
      </c>
      <c r="R250" s="2" t="inlineStr">
        <is>
          <t>Tvåblad</t>
        </is>
      </c>
      <c r="S250">
        <f>HYPERLINK("https://klasma.github.io/Logging_0136/artfynd/A 1424-2021 artfynd.xlsx", "A 1424-2021")</f>
        <v/>
      </c>
      <c r="T250">
        <f>HYPERLINK("https://klasma.github.io/Logging_0136/kartor/A 1424-2021 karta.png", "A 1424-2021")</f>
        <v/>
      </c>
      <c r="U250">
        <f>HYPERLINK("https://klasma.github.io/Logging_0136/knärot/A 1424-2021 karta knärot.png", "A 1424-2021")</f>
        <v/>
      </c>
      <c r="V250">
        <f>HYPERLINK("https://klasma.github.io/Logging_0136/klagomål/A 1424-2021 FSC-klagomål.docx", "A 1424-2021")</f>
        <v/>
      </c>
      <c r="W250">
        <f>HYPERLINK("https://klasma.github.io/Logging_0136/klagomålsmail/A 1424-2021 FSC-klagomål mail.docx", "A 1424-2021")</f>
        <v/>
      </c>
      <c r="X250">
        <f>HYPERLINK("https://klasma.github.io/Logging_0136/tillsyn/A 1424-2021 tillsynsbegäran.docx", "A 1424-2021")</f>
        <v/>
      </c>
      <c r="Y250">
        <f>HYPERLINK("https://klasma.github.io/Logging_0136/tillsynsmail/A 1424-2021 tillsynsbegäran mail.docx", "A 1424-2021")</f>
        <v/>
      </c>
    </row>
    <row r="251" ht="15" customHeight="1">
      <c r="A251" t="inlineStr">
        <is>
          <t>A 1547-2022</t>
        </is>
      </c>
      <c r="B251" s="1" t="n">
        <v>44573</v>
      </c>
      <c r="C251" s="1" t="n">
        <v>46033</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46033</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46033</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46033</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31980-2021</t>
        </is>
      </c>
      <c r="B255" s="1" t="n">
        <v>44370</v>
      </c>
      <c r="C255" s="1" t="n">
        <v>46033</v>
      </c>
      <c r="D255" t="inlineStr">
        <is>
          <t>STOCKHOLMS LÄN</t>
        </is>
      </c>
      <c r="E255" t="inlineStr">
        <is>
          <t>NYNÄSHAMN</t>
        </is>
      </c>
      <c r="G255" t="n">
        <v>3.3</v>
      </c>
      <c r="H255" t="n">
        <v>0</v>
      </c>
      <c r="I255" t="n">
        <v>0</v>
      </c>
      <c r="J255" t="n">
        <v>1</v>
      </c>
      <c r="K255" t="n">
        <v>0</v>
      </c>
      <c r="L255" t="n">
        <v>0</v>
      </c>
      <c r="M255" t="n">
        <v>0</v>
      </c>
      <c r="N255" t="n">
        <v>0</v>
      </c>
      <c r="O255" t="n">
        <v>1</v>
      </c>
      <c r="P255" t="n">
        <v>0</v>
      </c>
      <c r="Q255" t="n">
        <v>1</v>
      </c>
      <c r="R255" s="2" t="inlineStr">
        <is>
          <t>Liten ekkremla</t>
        </is>
      </c>
      <c r="S255">
        <f>HYPERLINK("https://klasma.github.io/Logging_0192/artfynd/A 31980-2021 artfynd.xlsx", "A 31980-2021")</f>
        <v/>
      </c>
      <c r="T255">
        <f>HYPERLINK("https://klasma.github.io/Logging_0192/kartor/A 31980-2021 karta.png", "A 31980-2021")</f>
        <v/>
      </c>
      <c r="V255">
        <f>HYPERLINK("https://klasma.github.io/Logging_0192/klagomål/A 31980-2021 FSC-klagomål.docx", "A 31980-2021")</f>
        <v/>
      </c>
      <c r="W255">
        <f>HYPERLINK("https://klasma.github.io/Logging_0192/klagomålsmail/A 31980-2021 FSC-klagomål mail.docx", "A 31980-2021")</f>
        <v/>
      </c>
      <c r="X255">
        <f>HYPERLINK("https://klasma.github.io/Logging_0192/tillsyn/A 31980-2021 tillsynsbegäran.docx", "A 31980-2021")</f>
        <v/>
      </c>
      <c r="Y255">
        <f>HYPERLINK("https://klasma.github.io/Logging_0192/tillsynsmail/A 31980-2021 tillsynsbegäran mail.docx", "A 31980-2021")</f>
        <v/>
      </c>
    </row>
    <row r="256" ht="15" customHeight="1">
      <c r="A256" t="inlineStr">
        <is>
          <t>A 22172-2022</t>
        </is>
      </c>
      <c r="B256" s="1" t="n">
        <v>44712</v>
      </c>
      <c r="C256" s="1" t="n">
        <v>46033</v>
      </c>
      <c r="D256" t="inlineStr">
        <is>
          <t>STOCKHOLMS LÄN</t>
        </is>
      </c>
      <c r="E256" t="inlineStr">
        <is>
          <t>ÖSTERÅKER</t>
        </is>
      </c>
      <c r="G256" t="n">
        <v>3.7</v>
      </c>
      <c r="H256" t="n">
        <v>1</v>
      </c>
      <c r="I256" t="n">
        <v>0</v>
      </c>
      <c r="J256" t="n">
        <v>1</v>
      </c>
      <c r="K256" t="n">
        <v>0</v>
      </c>
      <c r="L256" t="n">
        <v>0</v>
      </c>
      <c r="M256" t="n">
        <v>0</v>
      </c>
      <c r="N256" t="n">
        <v>0</v>
      </c>
      <c r="O256" t="n">
        <v>1</v>
      </c>
      <c r="P256" t="n">
        <v>0</v>
      </c>
      <c r="Q256" t="n">
        <v>1</v>
      </c>
      <c r="R256" s="2" t="inlineStr">
        <is>
          <t>Kråka</t>
        </is>
      </c>
      <c r="S256">
        <f>HYPERLINK("https://klasma.github.io/Logging_0117/artfynd/A 22172-2022 artfynd.xlsx", "A 22172-2022")</f>
        <v/>
      </c>
      <c r="T256">
        <f>HYPERLINK("https://klasma.github.io/Logging_0117/kartor/A 22172-2022 karta.png", "A 22172-2022")</f>
        <v/>
      </c>
      <c r="V256">
        <f>HYPERLINK("https://klasma.github.io/Logging_0117/klagomål/A 22172-2022 FSC-klagomål.docx", "A 22172-2022")</f>
        <v/>
      </c>
      <c r="W256">
        <f>HYPERLINK("https://klasma.github.io/Logging_0117/klagomålsmail/A 22172-2022 FSC-klagomål mail.docx", "A 22172-2022")</f>
        <v/>
      </c>
      <c r="X256">
        <f>HYPERLINK("https://klasma.github.io/Logging_0117/tillsyn/A 22172-2022 tillsynsbegäran.docx", "A 22172-2022")</f>
        <v/>
      </c>
      <c r="Y256">
        <f>HYPERLINK("https://klasma.github.io/Logging_0117/tillsynsmail/A 22172-2022 tillsynsbegäran mail.docx", "A 22172-2022")</f>
        <v/>
      </c>
      <c r="Z256">
        <f>HYPERLINK("https://klasma.github.io/Logging_0117/fåglar/A 22172-2022 prioriterade fågelarter.docx", "A 22172-2022")</f>
        <v/>
      </c>
    </row>
    <row r="257" ht="15" customHeight="1">
      <c r="A257" t="inlineStr">
        <is>
          <t>A 39636-2022</t>
        </is>
      </c>
      <c r="B257" s="1" t="n">
        <v>44818</v>
      </c>
      <c r="C257" s="1" t="n">
        <v>46033</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46033</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46033</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46033</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46033</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46033</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46033</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46033</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46033</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46033</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46033</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46033</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46033</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8817-2025</t>
        </is>
      </c>
      <c r="B270" s="1" t="n">
        <v>45712.70987268518</v>
      </c>
      <c r="C270" s="1" t="n">
        <v>46033</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11429-2023</t>
        </is>
      </c>
      <c r="B271" s="1" t="n">
        <v>44993</v>
      </c>
      <c r="C271" s="1" t="n">
        <v>46033</v>
      </c>
      <c r="D271" t="inlineStr">
        <is>
          <t>STOCKHOLMS LÄN</t>
        </is>
      </c>
      <c r="E271" t="inlineStr">
        <is>
          <t>NORRTÄLJE</t>
        </is>
      </c>
      <c r="G271" t="n">
        <v>2</v>
      </c>
      <c r="H271" t="n">
        <v>0</v>
      </c>
      <c r="I271" t="n">
        <v>0</v>
      </c>
      <c r="J271" t="n">
        <v>1</v>
      </c>
      <c r="K271" t="n">
        <v>0</v>
      </c>
      <c r="L271" t="n">
        <v>0</v>
      </c>
      <c r="M271" t="n">
        <v>0</v>
      </c>
      <c r="N271" t="n">
        <v>0</v>
      </c>
      <c r="O271" t="n">
        <v>1</v>
      </c>
      <c r="P271" t="n">
        <v>0</v>
      </c>
      <c r="Q271" t="n">
        <v>1</v>
      </c>
      <c r="R271" s="2" t="inlineStr">
        <is>
          <t>Skogsklocka</t>
        </is>
      </c>
      <c r="S271">
        <f>HYPERLINK("https://klasma.github.io/Logging_0188/artfynd/A 11429-2023 artfynd.xlsx", "A 11429-2023")</f>
        <v/>
      </c>
      <c r="T271">
        <f>HYPERLINK("https://klasma.github.io/Logging_0188/kartor/A 11429-2023 karta.png", "A 11429-2023")</f>
        <v/>
      </c>
      <c r="V271">
        <f>HYPERLINK("https://klasma.github.io/Logging_0188/klagomål/A 11429-2023 FSC-klagomål.docx", "A 11429-2023")</f>
        <v/>
      </c>
      <c r="W271">
        <f>HYPERLINK("https://klasma.github.io/Logging_0188/klagomålsmail/A 11429-2023 FSC-klagomål mail.docx", "A 11429-2023")</f>
        <v/>
      </c>
      <c r="X271">
        <f>HYPERLINK("https://klasma.github.io/Logging_0188/tillsyn/A 11429-2023 tillsynsbegäran.docx", "A 11429-2023")</f>
        <v/>
      </c>
      <c r="Y271">
        <f>HYPERLINK("https://klasma.github.io/Logging_0188/tillsynsmail/A 11429-2023 tillsynsbegäran mail.docx", "A 11429-2023")</f>
        <v/>
      </c>
    </row>
    <row r="272" ht="15" customHeight="1">
      <c r="A272" t="inlineStr">
        <is>
          <t>A 1793-2025</t>
        </is>
      </c>
      <c r="B272" s="1" t="n">
        <v>45671</v>
      </c>
      <c r="C272" s="1" t="n">
        <v>46033</v>
      </c>
      <c r="D272" t="inlineStr">
        <is>
          <t>STOCKHOLMS LÄN</t>
        </is>
      </c>
      <c r="E272" t="inlineStr">
        <is>
          <t>EKERÖ</t>
        </is>
      </c>
      <c r="G272" t="n">
        <v>1.7</v>
      </c>
      <c r="H272" t="n">
        <v>1</v>
      </c>
      <c r="I272" t="n">
        <v>0</v>
      </c>
      <c r="J272" t="n">
        <v>0</v>
      </c>
      <c r="K272" t="n">
        <v>0</v>
      </c>
      <c r="L272" t="n">
        <v>0</v>
      </c>
      <c r="M272" t="n">
        <v>0</v>
      </c>
      <c r="N272" t="n">
        <v>0</v>
      </c>
      <c r="O272" t="n">
        <v>0</v>
      </c>
      <c r="P272" t="n">
        <v>0</v>
      </c>
      <c r="Q272" t="n">
        <v>1</v>
      </c>
      <c r="R272" s="2" t="inlineStr">
        <is>
          <t>Mistel</t>
        </is>
      </c>
      <c r="S272">
        <f>HYPERLINK("https://klasma.github.io/Logging_0125/artfynd/A 1793-2025 artfynd.xlsx", "A 1793-2025")</f>
        <v/>
      </c>
      <c r="T272">
        <f>HYPERLINK("https://klasma.github.io/Logging_0125/kartor/A 1793-2025 karta.png", "A 1793-2025")</f>
        <v/>
      </c>
      <c r="V272">
        <f>HYPERLINK("https://klasma.github.io/Logging_0125/klagomål/A 1793-2025 FSC-klagomål.docx", "A 1793-2025")</f>
        <v/>
      </c>
      <c r="W272">
        <f>HYPERLINK("https://klasma.github.io/Logging_0125/klagomålsmail/A 1793-2025 FSC-klagomål mail.docx", "A 1793-2025")</f>
        <v/>
      </c>
      <c r="X272">
        <f>HYPERLINK("https://klasma.github.io/Logging_0125/tillsyn/A 1793-2025 tillsynsbegäran.docx", "A 1793-2025")</f>
        <v/>
      </c>
      <c r="Y272">
        <f>HYPERLINK("https://klasma.github.io/Logging_0125/tillsynsmail/A 1793-2025 tillsynsbegäran mail.docx", "A 1793-2025")</f>
        <v/>
      </c>
    </row>
    <row r="273" ht="15" customHeight="1">
      <c r="A273" t="inlineStr">
        <is>
          <t>A 9955-2022</t>
        </is>
      </c>
      <c r="B273" s="1" t="n">
        <v>44620</v>
      </c>
      <c r="C273" s="1" t="n">
        <v>46033</v>
      </c>
      <c r="D273" t="inlineStr">
        <is>
          <t>STOCKHOLMS LÄN</t>
        </is>
      </c>
      <c r="E273" t="inlineStr">
        <is>
          <t>NORRTÄLJE</t>
        </is>
      </c>
      <c r="G273" t="n">
        <v>7.8</v>
      </c>
      <c r="H273" t="n">
        <v>1</v>
      </c>
      <c r="I273" t="n">
        <v>0</v>
      </c>
      <c r="J273" t="n">
        <v>0</v>
      </c>
      <c r="K273" t="n">
        <v>0</v>
      </c>
      <c r="L273" t="n">
        <v>0</v>
      </c>
      <c r="M273" t="n">
        <v>0</v>
      </c>
      <c r="N273" t="n">
        <v>0</v>
      </c>
      <c r="O273" t="n">
        <v>0</v>
      </c>
      <c r="P273" t="n">
        <v>0</v>
      </c>
      <c r="Q273" t="n">
        <v>1</v>
      </c>
      <c r="R273" s="2" t="inlineStr">
        <is>
          <t>Åkergroda</t>
        </is>
      </c>
      <c r="S273">
        <f>HYPERLINK("https://klasma.github.io/Logging_0188/artfynd/A 9955-2022 artfynd.xlsx", "A 9955-2022")</f>
        <v/>
      </c>
      <c r="T273">
        <f>HYPERLINK("https://klasma.github.io/Logging_0188/kartor/A 9955-2022 karta.png", "A 9955-2022")</f>
        <v/>
      </c>
      <c r="V273">
        <f>HYPERLINK("https://klasma.github.io/Logging_0188/klagomål/A 9955-2022 FSC-klagomål.docx", "A 9955-2022")</f>
        <v/>
      </c>
      <c r="W273">
        <f>HYPERLINK("https://klasma.github.io/Logging_0188/klagomålsmail/A 9955-2022 FSC-klagomål mail.docx", "A 9955-2022")</f>
        <v/>
      </c>
      <c r="X273">
        <f>HYPERLINK("https://klasma.github.io/Logging_0188/tillsyn/A 9955-2022 tillsynsbegäran.docx", "A 9955-2022")</f>
        <v/>
      </c>
      <c r="Y273">
        <f>HYPERLINK("https://klasma.github.io/Logging_0188/tillsynsmail/A 9955-2022 tillsynsbegäran mail.docx", "A 9955-2022")</f>
        <v/>
      </c>
    </row>
    <row r="274" ht="15" customHeight="1">
      <c r="A274" t="inlineStr">
        <is>
          <t>A 9714-2022</t>
        </is>
      </c>
      <c r="B274" s="1" t="n">
        <v>44617</v>
      </c>
      <c r="C274" s="1" t="n">
        <v>46033</v>
      </c>
      <c r="D274" t="inlineStr">
        <is>
          <t>STOCKHOLMS LÄN</t>
        </is>
      </c>
      <c r="E274" t="inlineStr">
        <is>
          <t>NYKVARN</t>
        </is>
      </c>
      <c r="G274" t="n">
        <v>0.5</v>
      </c>
      <c r="H274" t="n">
        <v>0</v>
      </c>
      <c r="I274" t="n">
        <v>1</v>
      </c>
      <c r="J274" t="n">
        <v>0</v>
      </c>
      <c r="K274" t="n">
        <v>0</v>
      </c>
      <c r="L274" t="n">
        <v>0</v>
      </c>
      <c r="M274" t="n">
        <v>0</v>
      </c>
      <c r="N274" t="n">
        <v>0</v>
      </c>
      <c r="O274" t="n">
        <v>0</v>
      </c>
      <c r="P274" t="n">
        <v>0</v>
      </c>
      <c r="Q274" t="n">
        <v>1</v>
      </c>
      <c r="R274" s="2" t="inlineStr">
        <is>
          <t>Jättesvampmal</t>
        </is>
      </c>
      <c r="S274">
        <f>HYPERLINK("https://klasma.github.io/Logging_0140/artfynd/A 9714-2022 artfynd.xlsx", "A 9714-2022")</f>
        <v/>
      </c>
      <c r="T274">
        <f>HYPERLINK("https://klasma.github.io/Logging_0140/kartor/A 9714-2022 karta.png", "A 9714-2022")</f>
        <v/>
      </c>
      <c r="V274">
        <f>HYPERLINK("https://klasma.github.io/Logging_0140/klagomål/A 9714-2022 FSC-klagomål.docx", "A 9714-2022")</f>
        <v/>
      </c>
      <c r="W274">
        <f>HYPERLINK("https://klasma.github.io/Logging_0140/klagomålsmail/A 9714-2022 FSC-klagomål mail.docx", "A 9714-2022")</f>
        <v/>
      </c>
      <c r="X274">
        <f>HYPERLINK("https://klasma.github.io/Logging_0140/tillsyn/A 9714-2022 tillsynsbegäran.docx", "A 9714-2022")</f>
        <v/>
      </c>
      <c r="Y274">
        <f>HYPERLINK("https://klasma.github.io/Logging_0140/tillsynsmail/A 9714-2022 tillsynsbegäran mail.docx", "A 9714-2022")</f>
        <v/>
      </c>
    </row>
    <row r="275" ht="15" customHeight="1">
      <c r="A275" t="inlineStr">
        <is>
          <t>A 23279-2025</t>
        </is>
      </c>
      <c r="B275" s="1" t="n">
        <v>45791</v>
      </c>
      <c r="C275" s="1" t="n">
        <v>46033</v>
      </c>
      <c r="D275" t="inlineStr">
        <is>
          <t>STOCKHOLMS LÄN</t>
        </is>
      </c>
      <c r="E275" t="inlineStr">
        <is>
          <t>NYKVARN</t>
        </is>
      </c>
      <c r="F275" t="inlineStr">
        <is>
          <t>Sveaskog</t>
        </is>
      </c>
      <c r="G275" t="n">
        <v>0.5</v>
      </c>
      <c r="H275" t="n">
        <v>1</v>
      </c>
      <c r="I275" t="n">
        <v>0</v>
      </c>
      <c r="J275" t="n">
        <v>0</v>
      </c>
      <c r="K275" t="n">
        <v>0</v>
      </c>
      <c r="L275" t="n">
        <v>0</v>
      </c>
      <c r="M275" t="n">
        <v>0</v>
      </c>
      <c r="N275" t="n">
        <v>0</v>
      </c>
      <c r="O275" t="n">
        <v>0</v>
      </c>
      <c r="P275" t="n">
        <v>0</v>
      </c>
      <c r="Q275" t="n">
        <v>1</v>
      </c>
      <c r="R275" s="2" t="inlineStr">
        <is>
          <t>Blåsippa</t>
        </is>
      </c>
      <c r="S275">
        <f>HYPERLINK("https://klasma.github.io/Logging_0140/artfynd/A 23279-2025 artfynd.xlsx", "A 23279-2025")</f>
        <v/>
      </c>
      <c r="T275">
        <f>HYPERLINK("https://klasma.github.io/Logging_0140/kartor/A 23279-2025 karta.png", "A 23279-2025")</f>
        <v/>
      </c>
      <c r="V275">
        <f>HYPERLINK("https://klasma.github.io/Logging_0140/klagomål/A 23279-2025 FSC-klagomål.docx", "A 23279-2025")</f>
        <v/>
      </c>
      <c r="W275">
        <f>HYPERLINK("https://klasma.github.io/Logging_0140/klagomålsmail/A 23279-2025 FSC-klagomål mail.docx", "A 23279-2025")</f>
        <v/>
      </c>
      <c r="X275">
        <f>HYPERLINK("https://klasma.github.io/Logging_0140/tillsyn/A 23279-2025 tillsynsbegäran.docx", "A 23279-2025")</f>
        <v/>
      </c>
      <c r="Y275">
        <f>HYPERLINK("https://klasma.github.io/Logging_0140/tillsynsmail/A 23279-2025 tillsynsbegäran mail.docx", "A 23279-2025")</f>
        <v/>
      </c>
    </row>
    <row r="276" ht="15" customHeight="1">
      <c r="A276" t="inlineStr">
        <is>
          <t>A 22936-2025</t>
        </is>
      </c>
      <c r="B276" s="1" t="n">
        <v>45790.45738425926</v>
      </c>
      <c r="C276" s="1" t="n">
        <v>46033</v>
      </c>
      <c r="D276" t="inlineStr">
        <is>
          <t>STOCKHOLMS LÄN</t>
        </is>
      </c>
      <c r="E276" t="inlineStr">
        <is>
          <t>VALLENTUNA</t>
        </is>
      </c>
      <c r="G276" t="n">
        <v>2.7</v>
      </c>
      <c r="H276" t="n">
        <v>0</v>
      </c>
      <c r="I276" t="n">
        <v>1</v>
      </c>
      <c r="J276" t="n">
        <v>0</v>
      </c>
      <c r="K276" t="n">
        <v>0</v>
      </c>
      <c r="L276" t="n">
        <v>0</v>
      </c>
      <c r="M276" t="n">
        <v>0</v>
      </c>
      <c r="N276" t="n">
        <v>0</v>
      </c>
      <c r="O276" t="n">
        <v>0</v>
      </c>
      <c r="P276" t="n">
        <v>0</v>
      </c>
      <c r="Q276" t="n">
        <v>1</v>
      </c>
      <c r="R276" s="2" t="inlineStr">
        <is>
          <t>Björksplintborre</t>
        </is>
      </c>
      <c r="S276">
        <f>HYPERLINK("https://klasma.github.io/Logging_0115/artfynd/A 22936-2025 artfynd.xlsx", "A 22936-2025")</f>
        <v/>
      </c>
      <c r="T276">
        <f>HYPERLINK("https://klasma.github.io/Logging_0115/kartor/A 22936-2025 karta.png", "A 22936-2025")</f>
        <v/>
      </c>
      <c r="V276">
        <f>HYPERLINK("https://klasma.github.io/Logging_0115/klagomål/A 22936-2025 FSC-klagomål.docx", "A 22936-2025")</f>
        <v/>
      </c>
      <c r="W276">
        <f>HYPERLINK("https://klasma.github.io/Logging_0115/klagomålsmail/A 22936-2025 FSC-klagomål mail.docx", "A 22936-2025")</f>
        <v/>
      </c>
      <c r="X276">
        <f>HYPERLINK("https://klasma.github.io/Logging_0115/tillsyn/A 22936-2025 tillsynsbegäran.docx", "A 22936-2025")</f>
        <v/>
      </c>
      <c r="Y276">
        <f>HYPERLINK("https://klasma.github.io/Logging_0115/tillsynsmail/A 22936-2025 tillsynsbegäran mail.docx", "A 22936-2025")</f>
        <v/>
      </c>
    </row>
    <row r="277" ht="15" customHeight="1">
      <c r="A277" t="inlineStr">
        <is>
          <t>A 59682-2025</t>
        </is>
      </c>
      <c r="B277" s="1" t="n">
        <v>45992.47116898148</v>
      </c>
      <c r="C277" s="1" t="n">
        <v>46033</v>
      </c>
      <c r="D277" t="inlineStr">
        <is>
          <t>STOCKHOLMS LÄN</t>
        </is>
      </c>
      <c r="E277" t="inlineStr">
        <is>
          <t>NORRTÄLJE</t>
        </is>
      </c>
      <c r="G277" t="n">
        <v>1.6</v>
      </c>
      <c r="H277" t="n">
        <v>0</v>
      </c>
      <c r="I277" t="n">
        <v>1</v>
      </c>
      <c r="J277" t="n">
        <v>0</v>
      </c>
      <c r="K277" t="n">
        <v>0</v>
      </c>
      <c r="L277" t="n">
        <v>0</v>
      </c>
      <c r="M277" t="n">
        <v>0</v>
      </c>
      <c r="N277" t="n">
        <v>0</v>
      </c>
      <c r="O277" t="n">
        <v>0</v>
      </c>
      <c r="P277" t="n">
        <v>0</v>
      </c>
      <c r="Q277" t="n">
        <v>1</v>
      </c>
      <c r="R277" s="2" t="inlineStr">
        <is>
          <t>Grönpyrola</t>
        </is>
      </c>
      <c r="S277">
        <f>HYPERLINK("https://klasma.github.io/Logging_0188/artfynd/A 59682-2025 artfynd.xlsx", "A 59682-2025")</f>
        <v/>
      </c>
      <c r="T277">
        <f>HYPERLINK("https://klasma.github.io/Logging_0188/kartor/A 59682-2025 karta.png", "A 59682-2025")</f>
        <v/>
      </c>
      <c r="V277">
        <f>HYPERLINK("https://klasma.github.io/Logging_0188/klagomål/A 59682-2025 FSC-klagomål.docx", "A 59682-2025")</f>
        <v/>
      </c>
      <c r="W277">
        <f>HYPERLINK("https://klasma.github.io/Logging_0188/klagomålsmail/A 59682-2025 FSC-klagomål mail.docx", "A 59682-2025")</f>
        <v/>
      </c>
      <c r="X277">
        <f>HYPERLINK("https://klasma.github.io/Logging_0188/tillsyn/A 59682-2025 tillsynsbegäran.docx", "A 59682-2025")</f>
        <v/>
      </c>
      <c r="Y277">
        <f>HYPERLINK("https://klasma.github.io/Logging_0188/tillsynsmail/A 59682-2025 tillsynsbegäran mail.docx", "A 59682-2025")</f>
        <v/>
      </c>
    </row>
    <row r="278" ht="15" customHeight="1">
      <c r="A278" t="inlineStr">
        <is>
          <t>A 23772-2025</t>
        </is>
      </c>
      <c r="B278" s="1" t="n">
        <v>45793.48637731482</v>
      </c>
      <c r="C278" s="1" t="n">
        <v>46033</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15452-2023</t>
        </is>
      </c>
      <c r="B279" s="1" t="n">
        <v>45020</v>
      </c>
      <c r="C279" s="1" t="n">
        <v>46033</v>
      </c>
      <c r="D279" t="inlineStr">
        <is>
          <t>STOCKHOLMS LÄN</t>
        </is>
      </c>
      <c r="E279" t="inlineStr">
        <is>
          <t>SIGTUNA</t>
        </is>
      </c>
      <c r="F279" t="inlineStr">
        <is>
          <t>Allmännings- och besparingsskogar</t>
        </is>
      </c>
      <c r="G279" t="n">
        <v>4.5</v>
      </c>
      <c r="H279" t="n">
        <v>1</v>
      </c>
      <c r="I279" t="n">
        <v>0</v>
      </c>
      <c r="J279" t="n">
        <v>0</v>
      </c>
      <c r="K279" t="n">
        <v>0</v>
      </c>
      <c r="L279" t="n">
        <v>0</v>
      </c>
      <c r="M279" t="n">
        <v>0</v>
      </c>
      <c r="N279" t="n">
        <v>0</v>
      </c>
      <c r="O279" t="n">
        <v>0</v>
      </c>
      <c r="P279" t="n">
        <v>0</v>
      </c>
      <c r="Q279" t="n">
        <v>1</v>
      </c>
      <c r="R279" s="2" t="inlineStr">
        <is>
          <t>Trana</t>
        </is>
      </c>
      <c r="S279">
        <f>HYPERLINK("https://klasma.github.io/Logging_0191/artfynd/A 15452-2023 artfynd.xlsx", "A 15452-2023")</f>
        <v/>
      </c>
      <c r="T279">
        <f>HYPERLINK("https://klasma.github.io/Logging_0191/kartor/A 15452-2023 karta.png", "A 15452-2023")</f>
        <v/>
      </c>
      <c r="V279">
        <f>HYPERLINK("https://klasma.github.io/Logging_0191/klagomål/A 15452-2023 FSC-klagomål.docx", "A 15452-2023")</f>
        <v/>
      </c>
      <c r="W279">
        <f>HYPERLINK("https://klasma.github.io/Logging_0191/klagomålsmail/A 15452-2023 FSC-klagomål mail.docx", "A 15452-2023")</f>
        <v/>
      </c>
      <c r="X279">
        <f>HYPERLINK("https://klasma.github.io/Logging_0191/tillsyn/A 15452-2023 tillsynsbegäran.docx", "A 15452-2023")</f>
        <v/>
      </c>
      <c r="Y279">
        <f>HYPERLINK("https://klasma.github.io/Logging_0191/tillsynsmail/A 15452-2023 tillsynsbegäran mail.docx", "A 15452-2023")</f>
        <v/>
      </c>
      <c r="Z279">
        <f>HYPERLINK("https://klasma.github.io/Logging_0191/fåglar/A 15452-2023 prioriterade fågelarter.docx", "A 15452-2023")</f>
        <v/>
      </c>
    </row>
    <row r="280" ht="15" customHeight="1">
      <c r="A280" t="inlineStr">
        <is>
          <t>A 59570-2025</t>
        </is>
      </c>
      <c r="B280" s="1" t="n">
        <v>45991.93646990741</v>
      </c>
      <c r="C280" s="1" t="n">
        <v>46033</v>
      </c>
      <c r="D280" t="inlineStr">
        <is>
          <t>STOCKHOLMS LÄN</t>
        </is>
      </c>
      <c r="E280" t="inlineStr">
        <is>
          <t>HANINGE</t>
        </is>
      </c>
      <c r="G280" t="n">
        <v>2.3</v>
      </c>
      <c r="H280" t="n">
        <v>1</v>
      </c>
      <c r="I280" t="n">
        <v>0</v>
      </c>
      <c r="J280" t="n">
        <v>1</v>
      </c>
      <c r="K280" t="n">
        <v>0</v>
      </c>
      <c r="L280" t="n">
        <v>0</v>
      </c>
      <c r="M280" t="n">
        <v>0</v>
      </c>
      <c r="N280" t="n">
        <v>0</v>
      </c>
      <c r="O280" t="n">
        <v>1</v>
      </c>
      <c r="P280" t="n">
        <v>0</v>
      </c>
      <c r="Q280" t="n">
        <v>1</v>
      </c>
      <c r="R280" s="2" t="inlineStr">
        <is>
          <t>Fjällvråk</t>
        </is>
      </c>
      <c r="S280">
        <f>HYPERLINK("https://klasma.github.io/Logging_0136/artfynd/A 59570-2025 artfynd.xlsx", "A 59570-2025")</f>
        <v/>
      </c>
      <c r="T280">
        <f>HYPERLINK("https://klasma.github.io/Logging_0136/kartor/A 59570-2025 karta.png", "A 59570-2025")</f>
        <v/>
      </c>
      <c r="V280">
        <f>HYPERLINK("https://klasma.github.io/Logging_0136/klagomål/A 59570-2025 FSC-klagomål.docx", "A 59570-2025")</f>
        <v/>
      </c>
      <c r="W280">
        <f>HYPERLINK("https://klasma.github.io/Logging_0136/klagomålsmail/A 59570-2025 FSC-klagomål mail.docx", "A 59570-2025")</f>
        <v/>
      </c>
      <c r="X280">
        <f>HYPERLINK("https://klasma.github.io/Logging_0136/tillsyn/A 59570-2025 tillsynsbegäran.docx", "A 59570-2025")</f>
        <v/>
      </c>
      <c r="Y280">
        <f>HYPERLINK("https://klasma.github.io/Logging_0136/tillsynsmail/A 59570-2025 tillsynsbegäran mail.docx", "A 59570-2025")</f>
        <v/>
      </c>
      <c r="Z280">
        <f>HYPERLINK("https://klasma.github.io/Logging_0136/fåglar/A 59570-2025 prioriterade fågelarter.docx", "A 59570-2025")</f>
        <v/>
      </c>
    </row>
    <row r="281" ht="15" customHeight="1">
      <c r="A281" t="inlineStr">
        <is>
          <t>A 23905-2025</t>
        </is>
      </c>
      <c r="B281" s="1" t="n">
        <v>45794.63298611111</v>
      </c>
      <c r="C281" s="1" t="n">
        <v>46033</v>
      </c>
      <c r="D281" t="inlineStr">
        <is>
          <t>STOCKHOLMS LÄN</t>
        </is>
      </c>
      <c r="E281" t="inlineStr">
        <is>
          <t>NORRTÄLJE</t>
        </is>
      </c>
      <c r="G281" t="n">
        <v>8.4</v>
      </c>
      <c r="H281" t="n">
        <v>1</v>
      </c>
      <c r="I281" t="n">
        <v>0</v>
      </c>
      <c r="J281" t="n">
        <v>0</v>
      </c>
      <c r="K281" t="n">
        <v>0</v>
      </c>
      <c r="L281" t="n">
        <v>0</v>
      </c>
      <c r="M281" t="n">
        <v>0</v>
      </c>
      <c r="N281" t="n">
        <v>0</v>
      </c>
      <c r="O281" t="n">
        <v>0</v>
      </c>
      <c r="P281" t="n">
        <v>0</v>
      </c>
      <c r="Q281" t="n">
        <v>1</v>
      </c>
      <c r="R281" s="2" t="inlineStr">
        <is>
          <t>Blåsippa</t>
        </is>
      </c>
      <c r="S281">
        <f>HYPERLINK("https://klasma.github.io/Logging_0188/artfynd/A 23905-2025 artfynd.xlsx", "A 23905-2025")</f>
        <v/>
      </c>
      <c r="T281">
        <f>HYPERLINK("https://klasma.github.io/Logging_0188/kartor/A 23905-2025 karta.png", "A 23905-2025")</f>
        <v/>
      </c>
      <c r="V281">
        <f>HYPERLINK("https://klasma.github.io/Logging_0188/klagomål/A 23905-2025 FSC-klagomål.docx", "A 23905-2025")</f>
        <v/>
      </c>
      <c r="W281">
        <f>HYPERLINK("https://klasma.github.io/Logging_0188/klagomålsmail/A 23905-2025 FSC-klagomål mail.docx", "A 23905-2025")</f>
        <v/>
      </c>
      <c r="X281">
        <f>HYPERLINK("https://klasma.github.io/Logging_0188/tillsyn/A 23905-2025 tillsynsbegäran.docx", "A 23905-2025")</f>
        <v/>
      </c>
      <c r="Y281">
        <f>HYPERLINK("https://klasma.github.io/Logging_0188/tillsynsmail/A 23905-2025 tillsynsbegäran mail.docx", "A 23905-2025")</f>
        <v/>
      </c>
    </row>
    <row r="282" ht="15" customHeight="1">
      <c r="A282" t="inlineStr">
        <is>
          <t>A 40861-2025</t>
        </is>
      </c>
      <c r="B282" s="1" t="n">
        <v>45897.56356481482</v>
      </c>
      <c r="C282" s="1" t="n">
        <v>46033</v>
      </c>
      <c r="D282" t="inlineStr">
        <is>
          <t>STOCKHOLMS LÄN</t>
        </is>
      </c>
      <c r="E282" t="inlineStr">
        <is>
          <t>NORRTÄLJE</t>
        </is>
      </c>
      <c r="G282" t="n">
        <v>4</v>
      </c>
      <c r="H282" t="n">
        <v>0</v>
      </c>
      <c r="I282" t="n">
        <v>0</v>
      </c>
      <c r="J282" t="n">
        <v>1</v>
      </c>
      <c r="K282" t="n">
        <v>0</v>
      </c>
      <c r="L282" t="n">
        <v>0</v>
      </c>
      <c r="M282" t="n">
        <v>0</v>
      </c>
      <c r="N282" t="n">
        <v>0</v>
      </c>
      <c r="O282" t="n">
        <v>1</v>
      </c>
      <c r="P282" t="n">
        <v>0</v>
      </c>
      <c r="Q282" t="n">
        <v>1</v>
      </c>
      <c r="R282" s="2" t="inlineStr">
        <is>
          <t>Skogsklocka</t>
        </is>
      </c>
      <c r="S282">
        <f>HYPERLINK("https://klasma.github.io/Logging_0188/artfynd/A 40861-2025 artfynd.xlsx", "A 40861-2025")</f>
        <v/>
      </c>
      <c r="T282">
        <f>HYPERLINK("https://klasma.github.io/Logging_0188/kartor/A 40861-2025 karta.png", "A 40861-2025")</f>
        <v/>
      </c>
      <c r="V282">
        <f>HYPERLINK("https://klasma.github.io/Logging_0188/klagomål/A 40861-2025 FSC-klagomål.docx", "A 40861-2025")</f>
        <v/>
      </c>
      <c r="W282">
        <f>HYPERLINK("https://klasma.github.io/Logging_0188/klagomålsmail/A 40861-2025 FSC-klagomål mail.docx", "A 40861-2025")</f>
        <v/>
      </c>
      <c r="X282">
        <f>HYPERLINK("https://klasma.github.io/Logging_0188/tillsyn/A 40861-2025 tillsynsbegäran.docx", "A 40861-2025")</f>
        <v/>
      </c>
      <c r="Y282">
        <f>HYPERLINK("https://klasma.github.io/Logging_0188/tillsynsmail/A 40861-2025 tillsynsbegäran mail.docx", "A 40861-2025")</f>
        <v/>
      </c>
    </row>
    <row r="283" ht="15" customHeight="1">
      <c r="A283" t="inlineStr">
        <is>
          <t>A 13271-2025</t>
        </is>
      </c>
      <c r="B283" s="1" t="n">
        <v>45735.54510416667</v>
      </c>
      <c r="C283" s="1" t="n">
        <v>46033</v>
      </c>
      <c r="D283" t="inlineStr">
        <is>
          <t>STOCKHOLMS LÄN</t>
        </is>
      </c>
      <c r="E283" t="inlineStr">
        <is>
          <t>NORRTÄLJE</t>
        </is>
      </c>
      <c r="G283" t="n">
        <v>7.2</v>
      </c>
      <c r="H283" t="n">
        <v>1</v>
      </c>
      <c r="I283" t="n">
        <v>0</v>
      </c>
      <c r="J283" t="n">
        <v>0</v>
      </c>
      <c r="K283" t="n">
        <v>0</v>
      </c>
      <c r="L283" t="n">
        <v>1</v>
      </c>
      <c r="M283" t="n">
        <v>0</v>
      </c>
      <c r="N283" t="n">
        <v>0</v>
      </c>
      <c r="O283" t="n">
        <v>1</v>
      </c>
      <c r="P283" t="n">
        <v>1</v>
      </c>
      <c r="Q283" t="n">
        <v>1</v>
      </c>
      <c r="R283" s="2" t="inlineStr">
        <is>
          <t>Asknätfjäril</t>
        </is>
      </c>
      <c r="S283">
        <f>HYPERLINK("https://klasma.github.io/Logging_0188/artfynd/A 13271-2025 artfynd.xlsx", "A 13271-2025")</f>
        <v/>
      </c>
      <c r="T283">
        <f>HYPERLINK("https://klasma.github.io/Logging_0188/kartor/A 13271-2025 karta.png", "A 13271-2025")</f>
        <v/>
      </c>
      <c r="V283">
        <f>HYPERLINK("https://klasma.github.io/Logging_0188/klagomål/A 13271-2025 FSC-klagomål.docx", "A 13271-2025")</f>
        <v/>
      </c>
      <c r="W283">
        <f>HYPERLINK("https://klasma.github.io/Logging_0188/klagomålsmail/A 13271-2025 FSC-klagomål mail.docx", "A 13271-2025")</f>
        <v/>
      </c>
      <c r="X283">
        <f>HYPERLINK("https://klasma.github.io/Logging_0188/tillsyn/A 13271-2025 tillsynsbegäran.docx", "A 13271-2025")</f>
        <v/>
      </c>
      <c r="Y283">
        <f>HYPERLINK("https://klasma.github.io/Logging_0188/tillsynsmail/A 13271-2025 tillsynsbegäran mail.docx", "A 13271-2025")</f>
        <v/>
      </c>
    </row>
    <row r="284" ht="15" customHeight="1">
      <c r="A284" t="inlineStr">
        <is>
          <t>A 25669-2025</t>
        </is>
      </c>
      <c r="B284" s="1" t="n">
        <v>45803.62766203703</v>
      </c>
      <c r="C284" s="1" t="n">
        <v>46033</v>
      </c>
      <c r="D284" t="inlineStr">
        <is>
          <t>STOCKHOLMS LÄN</t>
        </is>
      </c>
      <c r="E284" t="inlineStr">
        <is>
          <t>NORRTÄLJE</t>
        </is>
      </c>
      <c r="F284" t="inlineStr">
        <is>
          <t>Holmen skog AB</t>
        </is>
      </c>
      <c r="G284" t="n">
        <v>3.1</v>
      </c>
      <c r="H284" t="n">
        <v>1</v>
      </c>
      <c r="I284" t="n">
        <v>0</v>
      </c>
      <c r="J284" t="n">
        <v>0</v>
      </c>
      <c r="K284" t="n">
        <v>0</v>
      </c>
      <c r="L284" t="n">
        <v>0</v>
      </c>
      <c r="M284" t="n">
        <v>0</v>
      </c>
      <c r="N284" t="n">
        <v>0</v>
      </c>
      <c r="O284" t="n">
        <v>0</v>
      </c>
      <c r="P284" t="n">
        <v>0</v>
      </c>
      <c r="Q284" t="n">
        <v>1</v>
      </c>
      <c r="R284" s="2" t="inlineStr">
        <is>
          <t>Tjäder</t>
        </is>
      </c>
      <c r="S284">
        <f>HYPERLINK("https://klasma.github.io/Logging_0188/artfynd/A 25669-2025 artfynd.xlsx", "A 25669-2025")</f>
        <v/>
      </c>
      <c r="T284">
        <f>HYPERLINK("https://klasma.github.io/Logging_0188/kartor/A 25669-2025 karta.png", "A 25669-2025")</f>
        <v/>
      </c>
      <c r="V284">
        <f>HYPERLINK("https://klasma.github.io/Logging_0188/klagomål/A 25669-2025 FSC-klagomål.docx", "A 25669-2025")</f>
        <v/>
      </c>
      <c r="W284">
        <f>HYPERLINK("https://klasma.github.io/Logging_0188/klagomålsmail/A 25669-2025 FSC-klagomål mail.docx", "A 25669-2025")</f>
        <v/>
      </c>
      <c r="X284">
        <f>HYPERLINK("https://klasma.github.io/Logging_0188/tillsyn/A 25669-2025 tillsynsbegäran.docx", "A 25669-2025")</f>
        <v/>
      </c>
      <c r="Y284">
        <f>HYPERLINK("https://klasma.github.io/Logging_0188/tillsynsmail/A 25669-2025 tillsynsbegäran mail.docx", "A 25669-2025")</f>
        <v/>
      </c>
      <c r="Z284">
        <f>HYPERLINK("https://klasma.github.io/Logging_0188/fåglar/A 25669-2025 prioriterade fågelarter.docx", "A 25669-2025")</f>
        <v/>
      </c>
    </row>
    <row r="285" ht="15" customHeight="1">
      <c r="A285" t="inlineStr">
        <is>
          <t>A 35764-2024</t>
        </is>
      </c>
      <c r="B285" s="1" t="n">
        <v>45532</v>
      </c>
      <c r="C285" s="1" t="n">
        <v>46033</v>
      </c>
      <c r="D285" t="inlineStr">
        <is>
          <t>STOCKHOLMS LÄN</t>
        </is>
      </c>
      <c r="E285" t="inlineStr">
        <is>
          <t>NORRTÄLJE</t>
        </is>
      </c>
      <c r="G285" t="n">
        <v>14.2</v>
      </c>
      <c r="H285" t="n">
        <v>1</v>
      </c>
      <c r="I285" t="n">
        <v>0</v>
      </c>
      <c r="J285" t="n">
        <v>0</v>
      </c>
      <c r="K285" t="n">
        <v>1</v>
      </c>
      <c r="L285" t="n">
        <v>0</v>
      </c>
      <c r="M285" t="n">
        <v>0</v>
      </c>
      <c r="N285" t="n">
        <v>0</v>
      </c>
      <c r="O285" t="n">
        <v>1</v>
      </c>
      <c r="P285" t="n">
        <v>1</v>
      </c>
      <c r="Q285" t="n">
        <v>1</v>
      </c>
      <c r="R285" s="2" t="inlineStr">
        <is>
          <t>Knärot</t>
        </is>
      </c>
      <c r="S285">
        <f>HYPERLINK("https://klasma.github.io/Logging_0188/artfynd/A 35764-2024 artfynd.xlsx", "A 35764-2024")</f>
        <v/>
      </c>
      <c r="T285">
        <f>HYPERLINK("https://klasma.github.io/Logging_0188/kartor/A 35764-2024 karta.png", "A 35764-2024")</f>
        <v/>
      </c>
      <c r="U285">
        <f>HYPERLINK("https://klasma.github.io/Logging_0188/knärot/A 35764-2024 karta knärot.png", "A 35764-2024")</f>
        <v/>
      </c>
      <c r="V285">
        <f>HYPERLINK("https://klasma.github.io/Logging_0188/klagomål/A 35764-2024 FSC-klagomål.docx", "A 35764-2024")</f>
        <v/>
      </c>
      <c r="W285">
        <f>HYPERLINK("https://klasma.github.io/Logging_0188/klagomålsmail/A 35764-2024 FSC-klagomål mail.docx", "A 35764-2024")</f>
        <v/>
      </c>
      <c r="X285">
        <f>HYPERLINK("https://klasma.github.io/Logging_0188/tillsyn/A 35764-2024 tillsynsbegäran.docx", "A 35764-2024")</f>
        <v/>
      </c>
      <c r="Y285">
        <f>HYPERLINK("https://klasma.github.io/Logging_0188/tillsynsmail/A 35764-2024 tillsynsbegäran mail.docx", "A 35764-2024")</f>
        <v/>
      </c>
    </row>
    <row r="286" ht="15" customHeight="1">
      <c r="A286" t="inlineStr">
        <is>
          <t>A 25725-2025</t>
        </is>
      </c>
      <c r="B286" s="1" t="n">
        <v>45800</v>
      </c>
      <c r="C286" s="1" t="n">
        <v>46033</v>
      </c>
      <c r="D286" t="inlineStr">
        <is>
          <t>STOCKHOLMS LÄN</t>
        </is>
      </c>
      <c r="E286" t="inlineStr">
        <is>
          <t>NORRTÄLJE</t>
        </is>
      </c>
      <c r="G286" t="n">
        <v>5.2</v>
      </c>
      <c r="H286" t="n">
        <v>0</v>
      </c>
      <c r="I286" t="n">
        <v>0</v>
      </c>
      <c r="J286" t="n">
        <v>1</v>
      </c>
      <c r="K286" t="n">
        <v>0</v>
      </c>
      <c r="L286" t="n">
        <v>0</v>
      </c>
      <c r="M286" t="n">
        <v>0</v>
      </c>
      <c r="N286" t="n">
        <v>0</v>
      </c>
      <c r="O286" t="n">
        <v>1</v>
      </c>
      <c r="P286" t="n">
        <v>0</v>
      </c>
      <c r="Q286" t="n">
        <v>1</v>
      </c>
      <c r="R286" s="2" t="inlineStr">
        <is>
          <t>Tallticka</t>
        </is>
      </c>
      <c r="S286">
        <f>HYPERLINK("https://klasma.github.io/Logging_0188/artfynd/A 25725-2025 artfynd.xlsx", "A 25725-2025")</f>
        <v/>
      </c>
      <c r="T286">
        <f>HYPERLINK("https://klasma.github.io/Logging_0188/kartor/A 25725-2025 karta.png", "A 25725-2025")</f>
        <v/>
      </c>
      <c r="V286">
        <f>HYPERLINK("https://klasma.github.io/Logging_0188/klagomål/A 25725-2025 FSC-klagomål.docx", "A 25725-2025")</f>
        <v/>
      </c>
      <c r="W286">
        <f>HYPERLINK("https://klasma.github.io/Logging_0188/klagomålsmail/A 25725-2025 FSC-klagomål mail.docx", "A 25725-2025")</f>
        <v/>
      </c>
      <c r="X286">
        <f>HYPERLINK("https://klasma.github.io/Logging_0188/tillsyn/A 25725-2025 tillsynsbegäran.docx", "A 25725-2025")</f>
        <v/>
      </c>
      <c r="Y286">
        <f>HYPERLINK("https://klasma.github.io/Logging_0188/tillsynsmail/A 25725-2025 tillsynsbegäran mail.docx", "A 25725-2025")</f>
        <v/>
      </c>
    </row>
    <row r="287" ht="15" customHeight="1">
      <c r="A287" t="inlineStr">
        <is>
          <t>A 25561-2025</t>
        </is>
      </c>
      <c r="B287" s="1" t="n">
        <v>45803.45496527778</v>
      </c>
      <c r="C287" s="1" t="n">
        <v>46033</v>
      </c>
      <c r="D287" t="inlineStr">
        <is>
          <t>STOCKHOLMS LÄN</t>
        </is>
      </c>
      <c r="E287" t="inlineStr">
        <is>
          <t>UPPLANDS-BRO</t>
        </is>
      </c>
      <c r="G287" t="n">
        <v>1.6</v>
      </c>
      <c r="H287" t="n">
        <v>1</v>
      </c>
      <c r="I287" t="n">
        <v>0</v>
      </c>
      <c r="J287" t="n">
        <v>0</v>
      </c>
      <c r="K287" t="n">
        <v>1</v>
      </c>
      <c r="L287" t="n">
        <v>0</v>
      </c>
      <c r="M287" t="n">
        <v>0</v>
      </c>
      <c r="N287" t="n">
        <v>0</v>
      </c>
      <c r="O287" t="n">
        <v>1</v>
      </c>
      <c r="P287" t="n">
        <v>1</v>
      </c>
      <c r="Q287" t="n">
        <v>1</v>
      </c>
      <c r="R287" s="2" t="inlineStr">
        <is>
          <t>Bombmurkla</t>
        </is>
      </c>
      <c r="S287">
        <f>HYPERLINK("https://klasma.github.io/Logging_0139/artfynd/A 25561-2025 artfynd.xlsx", "A 25561-2025")</f>
        <v/>
      </c>
      <c r="T287">
        <f>HYPERLINK("https://klasma.github.io/Logging_0139/kartor/A 25561-2025 karta.png", "A 25561-2025")</f>
        <v/>
      </c>
      <c r="V287">
        <f>HYPERLINK("https://klasma.github.io/Logging_0139/klagomål/A 25561-2025 FSC-klagomål.docx", "A 25561-2025")</f>
        <v/>
      </c>
      <c r="W287">
        <f>HYPERLINK("https://klasma.github.io/Logging_0139/klagomålsmail/A 25561-2025 FSC-klagomål mail.docx", "A 25561-2025")</f>
        <v/>
      </c>
      <c r="X287">
        <f>HYPERLINK("https://klasma.github.io/Logging_0139/tillsyn/A 25561-2025 tillsynsbegäran.docx", "A 25561-2025")</f>
        <v/>
      </c>
      <c r="Y287">
        <f>HYPERLINK("https://klasma.github.io/Logging_0139/tillsynsmail/A 25561-2025 tillsynsbegäran mail.docx", "A 25561-2025")</f>
        <v/>
      </c>
    </row>
    <row r="288" ht="15" customHeight="1">
      <c r="A288" t="inlineStr">
        <is>
          <t>A 25709-2025</t>
        </is>
      </c>
      <c r="B288" s="1" t="n">
        <v>45800</v>
      </c>
      <c r="C288" s="1" t="n">
        <v>46033</v>
      </c>
      <c r="D288" t="inlineStr">
        <is>
          <t>STOCKHOLMS LÄN</t>
        </is>
      </c>
      <c r="E288" t="inlineStr">
        <is>
          <t>NORRTÄLJE</t>
        </is>
      </c>
      <c r="G288" t="n">
        <v>4.6</v>
      </c>
      <c r="H288" t="n">
        <v>0</v>
      </c>
      <c r="I288" t="n">
        <v>0</v>
      </c>
      <c r="J288" t="n">
        <v>1</v>
      </c>
      <c r="K288" t="n">
        <v>0</v>
      </c>
      <c r="L288" t="n">
        <v>0</v>
      </c>
      <c r="M288" t="n">
        <v>0</v>
      </c>
      <c r="N288" t="n">
        <v>0</v>
      </c>
      <c r="O288" t="n">
        <v>1</v>
      </c>
      <c r="P288" t="n">
        <v>0</v>
      </c>
      <c r="Q288" t="n">
        <v>1</v>
      </c>
      <c r="R288" s="2" t="inlineStr">
        <is>
          <t>Ullticka</t>
        </is>
      </c>
      <c r="S288">
        <f>HYPERLINK("https://klasma.github.io/Logging_0188/artfynd/A 25709-2025 artfynd.xlsx", "A 25709-2025")</f>
        <v/>
      </c>
      <c r="T288">
        <f>HYPERLINK("https://klasma.github.io/Logging_0188/kartor/A 25709-2025 karta.png", "A 25709-2025")</f>
        <v/>
      </c>
      <c r="V288">
        <f>HYPERLINK("https://klasma.github.io/Logging_0188/klagomål/A 25709-2025 FSC-klagomål.docx", "A 25709-2025")</f>
        <v/>
      </c>
      <c r="W288">
        <f>HYPERLINK("https://klasma.github.io/Logging_0188/klagomålsmail/A 25709-2025 FSC-klagomål mail.docx", "A 25709-2025")</f>
        <v/>
      </c>
      <c r="X288">
        <f>HYPERLINK("https://klasma.github.io/Logging_0188/tillsyn/A 25709-2025 tillsynsbegäran.docx", "A 25709-2025")</f>
        <v/>
      </c>
      <c r="Y288">
        <f>HYPERLINK("https://klasma.github.io/Logging_0188/tillsynsmail/A 25709-2025 tillsynsbegäran mail.docx", "A 25709-2025")</f>
        <v/>
      </c>
    </row>
    <row r="289" ht="15" customHeight="1">
      <c r="A289" t="inlineStr">
        <is>
          <t>A 4595-2023</t>
        </is>
      </c>
      <c r="B289" s="1" t="n">
        <v>44956</v>
      </c>
      <c r="C289" s="1" t="n">
        <v>46033</v>
      </c>
      <c r="D289" t="inlineStr">
        <is>
          <t>STOCKHOLMS LÄN</t>
        </is>
      </c>
      <c r="E289" t="inlineStr">
        <is>
          <t>NORRTÄLJE</t>
        </is>
      </c>
      <c r="G289" t="n">
        <v>0.6</v>
      </c>
      <c r="H289" t="n">
        <v>1</v>
      </c>
      <c r="I289" t="n">
        <v>0</v>
      </c>
      <c r="J289" t="n">
        <v>0</v>
      </c>
      <c r="K289" t="n">
        <v>0</v>
      </c>
      <c r="L289" t="n">
        <v>0</v>
      </c>
      <c r="M289" t="n">
        <v>0</v>
      </c>
      <c r="N289" t="n">
        <v>0</v>
      </c>
      <c r="O289" t="n">
        <v>0</v>
      </c>
      <c r="P289" t="n">
        <v>0</v>
      </c>
      <c r="Q289" t="n">
        <v>1</v>
      </c>
      <c r="R289" s="2" t="inlineStr">
        <is>
          <t>Blåsippa</t>
        </is>
      </c>
      <c r="S289">
        <f>HYPERLINK("https://klasma.github.io/Logging_0188/artfynd/A 4595-2023 artfynd.xlsx", "A 4595-2023")</f>
        <v/>
      </c>
      <c r="T289">
        <f>HYPERLINK("https://klasma.github.io/Logging_0188/kartor/A 4595-2023 karta.png", "A 4595-2023")</f>
        <v/>
      </c>
      <c r="V289">
        <f>HYPERLINK("https://klasma.github.io/Logging_0188/klagomål/A 4595-2023 FSC-klagomål.docx", "A 4595-2023")</f>
        <v/>
      </c>
      <c r="W289">
        <f>HYPERLINK("https://klasma.github.io/Logging_0188/klagomålsmail/A 4595-2023 FSC-klagomål mail.docx", "A 4595-2023")</f>
        <v/>
      </c>
      <c r="X289">
        <f>HYPERLINK("https://klasma.github.io/Logging_0188/tillsyn/A 4595-2023 tillsynsbegäran.docx", "A 4595-2023")</f>
        <v/>
      </c>
      <c r="Y289">
        <f>HYPERLINK("https://klasma.github.io/Logging_0188/tillsynsmail/A 4595-2023 tillsynsbegäran mail.docx", "A 4595-2023")</f>
        <v/>
      </c>
    </row>
    <row r="290" ht="15" customHeight="1">
      <c r="A290" t="inlineStr">
        <is>
          <t>A 35649-2023</t>
        </is>
      </c>
      <c r="B290" s="1" t="n">
        <v>45146</v>
      </c>
      <c r="C290" s="1" t="n">
        <v>46033</v>
      </c>
      <c r="D290" t="inlineStr">
        <is>
          <t>STOCKHOLMS LÄN</t>
        </is>
      </c>
      <c r="E290" t="inlineStr">
        <is>
          <t>NORRTÄLJE</t>
        </is>
      </c>
      <c r="G290" t="n">
        <v>25.1</v>
      </c>
      <c r="H290" t="n">
        <v>0</v>
      </c>
      <c r="I290" t="n">
        <v>0</v>
      </c>
      <c r="J290" t="n">
        <v>1</v>
      </c>
      <c r="K290" t="n">
        <v>0</v>
      </c>
      <c r="L290" t="n">
        <v>0</v>
      </c>
      <c r="M290" t="n">
        <v>0</v>
      </c>
      <c r="N290" t="n">
        <v>0</v>
      </c>
      <c r="O290" t="n">
        <v>1</v>
      </c>
      <c r="P290" t="n">
        <v>0</v>
      </c>
      <c r="Q290" t="n">
        <v>1</v>
      </c>
      <c r="R290" s="2" t="inlineStr">
        <is>
          <t>Månlåsbräken</t>
        </is>
      </c>
      <c r="S290">
        <f>HYPERLINK("https://klasma.github.io/Logging_0188/artfynd/A 35649-2023 artfynd.xlsx", "A 35649-2023")</f>
        <v/>
      </c>
      <c r="T290">
        <f>HYPERLINK("https://klasma.github.io/Logging_0188/kartor/A 35649-2023 karta.png", "A 35649-2023")</f>
        <v/>
      </c>
      <c r="V290">
        <f>HYPERLINK("https://klasma.github.io/Logging_0188/klagomål/A 35649-2023 FSC-klagomål.docx", "A 35649-2023")</f>
        <v/>
      </c>
      <c r="W290">
        <f>HYPERLINK("https://klasma.github.io/Logging_0188/klagomålsmail/A 35649-2023 FSC-klagomål mail.docx", "A 35649-2023")</f>
        <v/>
      </c>
      <c r="X290">
        <f>HYPERLINK("https://klasma.github.io/Logging_0188/tillsyn/A 35649-2023 tillsynsbegäran.docx", "A 35649-2023")</f>
        <v/>
      </c>
      <c r="Y290">
        <f>HYPERLINK("https://klasma.github.io/Logging_0188/tillsynsmail/A 35649-2023 tillsynsbegäran mail.docx", "A 35649-2023")</f>
        <v/>
      </c>
    </row>
    <row r="291" ht="15" customHeight="1">
      <c r="A291" t="inlineStr">
        <is>
          <t>A 14214-2025</t>
        </is>
      </c>
      <c r="B291" s="1" t="n">
        <v>45740.58291666667</v>
      </c>
      <c r="C291" s="1" t="n">
        <v>46033</v>
      </c>
      <c r="D291" t="inlineStr">
        <is>
          <t>STOCKHOLMS LÄN</t>
        </is>
      </c>
      <c r="E291" t="inlineStr">
        <is>
          <t>BOTKYRKA</t>
        </is>
      </c>
      <c r="G291" t="n">
        <v>2.5</v>
      </c>
      <c r="H291" t="n">
        <v>1</v>
      </c>
      <c r="I291" t="n">
        <v>0</v>
      </c>
      <c r="J291" t="n">
        <v>0</v>
      </c>
      <c r="K291" t="n">
        <v>1</v>
      </c>
      <c r="L291" t="n">
        <v>0</v>
      </c>
      <c r="M291" t="n">
        <v>0</v>
      </c>
      <c r="N291" t="n">
        <v>0</v>
      </c>
      <c r="O291" t="n">
        <v>1</v>
      </c>
      <c r="P291" t="n">
        <v>1</v>
      </c>
      <c r="Q291" t="n">
        <v>1</v>
      </c>
      <c r="R291" s="2" t="inlineStr">
        <is>
          <t>Stare</t>
        </is>
      </c>
      <c r="S291">
        <f>HYPERLINK("https://klasma.github.io/Logging_0127/artfynd/A 14214-2025 artfynd.xlsx", "A 14214-2025")</f>
        <v/>
      </c>
      <c r="T291">
        <f>HYPERLINK("https://klasma.github.io/Logging_0127/kartor/A 14214-2025 karta.png", "A 14214-2025")</f>
        <v/>
      </c>
      <c r="V291">
        <f>HYPERLINK("https://klasma.github.io/Logging_0127/klagomål/A 14214-2025 FSC-klagomål.docx", "A 14214-2025")</f>
        <v/>
      </c>
      <c r="W291">
        <f>HYPERLINK("https://klasma.github.io/Logging_0127/klagomålsmail/A 14214-2025 FSC-klagomål mail.docx", "A 14214-2025")</f>
        <v/>
      </c>
      <c r="X291">
        <f>HYPERLINK("https://klasma.github.io/Logging_0127/tillsyn/A 14214-2025 tillsynsbegäran.docx", "A 14214-2025")</f>
        <v/>
      </c>
      <c r="Y291">
        <f>HYPERLINK("https://klasma.github.io/Logging_0127/tillsynsmail/A 14214-2025 tillsynsbegäran mail.docx", "A 14214-2025")</f>
        <v/>
      </c>
    </row>
    <row r="292" ht="15" customHeight="1">
      <c r="A292" t="inlineStr">
        <is>
          <t>A 42313-2025</t>
        </is>
      </c>
      <c r="B292" s="1" t="n">
        <v>45904.6575</v>
      </c>
      <c r="C292" s="1" t="n">
        <v>46033</v>
      </c>
      <c r="D292" t="inlineStr">
        <is>
          <t>STOCKHOLMS LÄN</t>
        </is>
      </c>
      <c r="E292" t="inlineStr">
        <is>
          <t>NORRTÄLJE</t>
        </is>
      </c>
      <c r="G292" t="n">
        <v>1.7</v>
      </c>
      <c r="H292" t="n">
        <v>1</v>
      </c>
      <c r="I292" t="n">
        <v>0</v>
      </c>
      <c r="J292" t="n">
        <v>0</v>
      </c>
      <c r="K292" t="n">
        <v>0</v>
      </c>
      <c r="L292" t="n">
        <v>0</v>
      </c>
      <c r="M292" t="n">
        <v>0</v>
      </c>
      <c r="N292" t="n">
        <v>0</v>
      </c>
      <c r="O292" t="n">
        <v>0</v>
      </c>
      <c r="P292" t="n">
        <v>0</v>
      </c>
      <c r="Q292" t="n">
        <v>1</v>
      </c>
      <c r="R292" s="2" t="inlineStr">
        <is>
          <t>Vanlig padda</t>
        </is>
      </c>
      <c r="S292">
        <f>HYPERLINK("https://klasma.github.io/Logging_0188/artfynd/A 42313-2025 artfynd.xlsx", "A 42313-2025")</f>
        <v/>
      </c>
      <c r="T292">
        <f>HYPERLINK("https://klasma.github.io/Logging_0188/kartor/A 42313-2025 karta.png", "A 42313-2025")</f>
        <v/>
      </c>
      <c r="V292">
        <f>HYPERLINK("https://klasma.github.io/Logging_0188/klagomål/A 42313-2025 FSC-klagomål.docx", "A 42313-2025")</f>
        <v/>
      </c>
      <c r="W292">
        <f>HYPERLINK("https://klasma.github.io/Logging_0188/klagomålsmail/A 42313-2025 FSC-klagomål mail.docx", "A 42313-2025")</f>
        <v/>
      </c>
      <c r="X292">
        <f>HYPERLINK("https://klasma.github.io/Logging_0188/tillsyn/A 42313-2025 tillsynsbegäran.docx", "A 42313-2025")</f>
        <v/>
      </c>
      <c r="Y292">
        <f>HYPERLINK("https://klasma.github.io/Logging_0188/tillsynsmail/A 42313-2025 tillsynsbegäran mail.docx", "A 42313-2025")</f>
        <v/>
      </c>
    </row>
    <row r="293" ht="15" customHeight="1">
      <c r="A293" t="inlineStr">
        <is>
          <t>A 24535-2023</t>
        </is>
      </c>
      <c r="B293" s="1" t="n">
        <v>45082</v>
      </c>
      <c r="C293" s="1" t="n">
        <v>46033</v>
      </c>
      <c r="D293" t="inlineStr">
        <is>
          <t>STOCKHOLMS LÄN</t>
        </is>
      </c>
      <c r="E293" t="inlineStr">
        <is>
          <t>NORRTÄLJE</t>
        </is>
      </c>
      <c r="F293" t="inlineStr">
        <is>
          <t>Kommuner</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HYPERLINK("https://klasma.github.io/Logging_0188/artfynd/A 24535-2023 artfynd.xlsx", "A 24535-2023")</f>
        <v/>
      </c>
      <c r="T293">
        <f>HYPERLINK("https://klasma.github.io/Logging_0188/kartor/A 24535-2023 karta.png", "A 24535-2023")</f>
        <v/>
      </c>
      <c r="V293">
        <f>HYPERLINK("https://klasma.github.io/Logging_0188/klagomål/A 24535-2023 FSC-klagomål.docx", "A 24535-2023")</f>
        <v/>
      </c>
      <c r="W293">
        <f>HYPERLINK("https://klasma.github.io/Logging_0188/klagomålsmail/A 24535-2023 FSC-klagomål mail.docx", "A 24535-2023")</f>
        <v/>
      </c>
      <c r="X293">
        <f>HYPERLINK("https://klasma.github.io/Logging_0188/tillsyn/A 24535-2023 tillsynsbegäran.docx", "A 24535-2023")</f>
        <v/>
      </c>
      <c r="Y293">
        <f>HYPERLINK("https://klasma.github.io/Logging_0188/tillsynsmail/A 24535-2023 tillsynsbegäran mail.docx", "A 24535-2023")</f>
        <v/>
      </c>
    </row>
    <row r="294" ht="15" customHeight="1">
      <c r="A294" t="inlineStr">
        <is>
          <t>A 27921-2025</t>
        </is>
      </c>
      <c r="B294" s="1" t="n">
        <v>45817.4846875</v>
      </c>
      <c r="C294" s="1" t="n">
        <v>46033</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13794-2023</t>
        </is>
      </c>
      <c r="B295" s="1" t="n">
        <v>45007</v>
      </c>
      <c r="C295" s="1" t="n">
        <v>46033</v>
      </c>
      <c r="D295" t="inlineStr">
        <is>
          <t>STOCKHOLMS LÄN</t>
        </is>
      </c>
      <c r="E295" t="inlineStr">
        <is>
          <t>EKERÖ</t>
        </is>
      </c>
      <c r="G295" t="n">
        <v>4.8</v>
      </c>
      <c r="H295" t="n">
        <v>0</v>
      </c>
      <c r="I295" t="n">
        <v>0</v>
      </c>
      <c r="J295" t="n">
        <v>1</v>
      </c>
      <c r="K295" t="n">
        <v>0</v>
      </c>
      <c r="L295" t="n">
        <v>0</v>
      </c>
      <c r="M295" t="n">
        <v>0</v>
      </c>
      <c r="N295" t="n">
        <v>0</v>
      </c>
      <c r="O295" t="n">
        <v>1</v>
      </c>
      <c r="P295" t="n">
        <v>0</v>
      </c>
      <c r="Q295" t="n">
        <v>1</v>
      </c>
      <c r="R295" s="2" t="inlineStr">
        <is>
          <t>Tallticka</t>
        </is>
      </c>
      <c r="S295">
        <f>HYPERLINK("https://klasma.github.io/Logging_0125/artfynd/A 13794-2023 artfynd.xlsx", "A 13794-2023")</f>
        <v/>
      </c>
      <c r="T295">
        <f>HYPERLINK("https://klasma.github.io/Logging_0125/kartor/A 13794-2023 karta.png", "A 13794-2023")</f>
        <v/>
      </c>
      <c r="V295">
        <f>HYPERLINK("https://klasma.github.io/Logging_0125/klagomål/A 13794-2023 FSC-klagomål.docx", "A 13794-2023")</f>
        <v/>
      </c>
      <c r="W295">
        <f>HYPERLINK("https://klasma.github.io/Logging_0125/klagomålsmail/A 13794-2023 FSC-klagomål mail.docx", "A 13794-2023")</f>
        <v/>
      </c>
      <c r="X295">
        <f>HYPERLINK("https://klasma.github.io/Logging_0125/tillsyn/A 13794-2023 tillsynsbegäran.docx", "A 13794-2023")</f>
        <v/>
      </c>
      <c r="Y295">
        <f>HYPERLINK("https://klasma.github.io/Logging_0125/tillsynsmail/A 13794-2023 tillsynsbegäran mail.docx", "A 13794-2023")</f>
        <v/>
      </c>
    </row>
    <row r="296" ht="15" customHeight="1">
      <c r="A296" t="inlineStr">
        <is>
          <t>A 11388-2024</t>
        </is>
      </c>
      <c r="B296" s="1" t="n">
        <v>45372.44967592593</v>
      </c>
      <c r="C296" s="1" t="n">
        <v>46033</v>
      </c>
      <c r="D296" t="inlineStr">
        <is>
          <t>STOCKHOLMS LÄN</t>
        </is>
      </c>
      <c r="E296" t="inlineStr">
        <is>
          <t>NYKVARN</t>
        </is>
      </c>
      <c r="G296" t="n">
        <v>4</v>
      </c>
      <c r="H296" t="n">
        <v>0</v>
      </c>
      <c r="I296" t="n">
        <v>0</v>
      </c>
      <c r="J296" t="n">
        <v>1</v>
      </c>
      <c r="K296" t="n">
        <v>0</v>
      </c>
      <c r="L296" t="n">
        <v>0</v>
      </c>
      <c r="M296" t="n">
        <v>0</v>
      </c>
      <c r="N296" t="n">
        <v>0</v>
      </c>
      <c r="O296" t="n">
        <v>1</v>
      </c>
      <c r="P296" t="n">
        <v>0</v>
      </c>
      <c r="Q296" t="n">
        <v>1</v>
      </c>
      <c r="R296" s="2" t="inlineStr">
        <is>
          <t>Igelkott</t>
        </is>
      </c>
      <c r="S296">
        <f>HYPERLINK("https://klasma.github.io/Logging_0140/artfynd/A 11388-2024 artfynd.xlsx", "A 11388-2024")</f>
        <v/>
      </c>
      <c r="T296">
        <f>HYPERLINK("https://klasma.github.io/Logging_0140/kartor/A 11388-2024 karta.png", "A 11388-2024")</f>
        <v/>
      </c>
      <c r="V296">
        <f>HYPERLINK("https://klasma.github.io/Logging_0140/klagomål/A 11388-2024 FSC-klagomål.docx", "A 11388-2024")</f>
        <v/>
      </c>
      <c r="W296">
        <f>HYPERLINK("https://klasma.github.io/Logging_0140/klagomålsmail/A 11388-2024 FSC-klagomål mail.docx", "A 11388-2024")</f>
        <v/>
      </c>
      <c r="X296">
        <f>HYPERLINK("https://klasma.github.io/Logging_0140/tillsyn/A 11388-2024 tillsynsbegäran.docx", "A 11388-2024")</f>
        <v/>
      </c>
      <c r="Y296">
        <f>HYPERLINK("https://klasma.github.io/Logging_0140/tillsynsmail/A 11388-2024 tillsynsbegäran mail.docx", "A 11388-2024")</f>
        <v/>
      </c>
    </row>
    <row r="297" ht="15" customHeight="1">
      <c r="A297" t="inlineStr">
        <is>
          <t>A 6381-2023</t>
        </is>
      </c>
      <c r="B297" s="1" t="n">
        <v>44965</v>
      </c>
      <c r="C297" s="1" t="n">
        <v>46033</v>
      </c>
      <c r="D297" t="inlineStr">
        <is>
          <t>STOCKHOLMS LÄN</t>
        </is>
      </c>
      <c r="E297" t="inlineStr">
        <is>
          <t>NORRTÄLJE</t>
        </is>
      </c>
      <c r="G297" t="n">
        <v>3.5</v>
      </c>
      <c r="H297" t="n">
        <v>1</v>
      </c>
      <c r="I297" t="n">
        <v>1</v>
      </c>
      <c r="J297" t="n">
        <v>0</v>
      </c>
      <c r="K297" t="n">
        <v>0</v>
      </c>
      <c r="L297" t="n">
        <v>0</v>
      </c>
      <c r="M297" t="n">
        <v>0</v>
      </c>
      <c r="N297" t="n">
        <v>0</v>
      </c>
      <c r="O297" t="n">
        <v>0</v>
      </c>
      <c r="P297" t="n">
        <v>0</v>
      </c>
      <c r="Q297" t="n">
        <v>1</v>
      </c>
      <c r="R297" s="2" t="inlineStr">
        <is>
          <t>Guckusko</t>
        </is>
      </c>
      <c r="S297">
        <f>HYPERLINK("https://klasma.github.io/Logging_0188/artfynd/A 6381-2023 artfynd.xlsx", "A 6381-2023")</f>
        <v/>
      </c>
      <c r="T297">
        <f>HYPERLINK("https://klasma.github.io/Logging_0188/kartor/A 6381-2023 karta.png", "A 6381-2023")</f>
        <v/>
      </c>
      <c r="V297">
        <f>HYPERLINK("https://klasma.github.io/Logging_0188/klagomål/A 6381-2023 FSC-klagomål.docx", "A 6381-2023")</f>
        <v/>
      </c>
      <c r="W297">
        <f>HYPERLINK("https://klasma.github.io/Logging_0188/klagomålsmail/A 6381-2023 FSC-klagomål mail.docx", "A 6381-2023")</f>
        <v/>
      </c>
      <c r="X297">
        <f>HYPERLINK("https://klasma.github.io/Logging_0188/tillsyn/A 6381-2023 tillsynsbegäran.docx", "A 6381-2023")</f>
        <v/>
      </c>
      <c r="Y297">
        <f>HYPERLINK("https://klasma.github.io/Logging_0188/tillsynsmail/A 6381-2023 tillsynsbegäran mail.docx", "A 6381-2023")</f>
        <v/>
      </c>
    </row>
    <row r="298" ht="15" customHeight="1">
      <c r="A298" t="inlineStr">
        <is>
          <t>A 31842-2023</t>
        </is>
      </c>
      <c r="B298" s="1" t="n">
        <v>45118</v>
      </c>
      <c r="C298" s="1" t="n">
        <v>46033</v>
      </c>
      <c r="D298" t="inlineStr">
        <is>
          <t>STOCKHOLMS LÄN</t>
        </is>
      </c>
      <c r="E298" t="inlineStr">
        <is>
          <t>NYNÄSHAMN</t>
        </is>
      </c>
      <c r="F298" t="inlineStr">
        <is>
          <t>Kommuner</t>
        </is>
      </c>
      <c r="G298" t="n">
        <v>3.8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31842-2023 artfynd.xlsx", "A 31842-2023")</f>
        <v/>
      </c>
      <c r="T298">
        <f>HYPERLINK("https://klasma.github.io/Logging_0192/kartor/A 31842-2023 karta.png", "A 31842-2023")</f>
        <v/>
      </c>
      <c r="V298">
        <f>HYPERLINK("https://klasma.github.io/Logging_0192/klagomål/A 31842-2023 FSC-klagomål.docx", "A 31842-2023")</f>
        <v/>
      </c>
      <c r="W298">
        <f>HYPERLINK("https://klasma.github.io/Logging_0192/klagomålsmail/A 31842-2023 FSC-klagomål mail.docx", "A 31842-2023")</f>
        <v/>
      </c>
      <c r="X298">
        <f>HYPERLINK("https://klasma.github.io/Logging_0192/tillsyn/A 31842-2023 tillsynsbegäran.docx", "A 31842-2023")</f>
        <v/>
      </c>
      <c r="Y298">
        <f>HYPERLINK("https://klasma.github.io/Logging_0192/tillsynsmail/A 31842-2023 tillsynsbegäran mail.docx", "A 31842-2023")</f>
        <v/>
      </c>
    </row>
    <row r="299" ht="15" customHeight="1">
      <c r="A299" t="inlineStr">
        <is>
          <t>A 4532-2025</t>
        </is>
      </c>
      <c r="B299" s="1" t="n">
        <v>45687.34177083334</v>
      </c>
      <c r="C299" s="1" t="n">
        <v>46033</v>
      </c>
      <c r="D299" t="inlineStr">
        <is>
          <t>STOCKHOLMS LÄN</t>
        </is>
      </c>
      <c r="E299" t="inlineStr">
        <is>
          <t>NORRTÄLJE</t>
        </is>
      </c>
      <c r="F299" t="inlineStr">
        <is>
          <t>Holmen skog AB</t>
        </is>
      </c>
      <c r="G299" t="n">
        <v>6.4</v>
      </c>
      <c r="H299" t="n">
        <v>1</v>
      </c>
      <c r="I299" t="n">
        <v>0</v>
      </c>
      <c r="J299" t="n">
        <v>0</v>
      </c>
      <c r="K299" t="n">
        <v>0</v>
      </c>
      <c r="L299" t="n">
        <v>1</v>
      </c>
      <c r="M299" t="n">
        <v>0</v>
      </c>
      <c r="N299" t="n">
        <v>0</v>
      </c>
      <c r="O299" t="n">
        <v>1</v>
      </c>
      <c r="P299" t="n">
        <v>1</v>
      </c>
      <c r="Q299" t="n">
        <v>1</v>
      </c>
      <c r="R299" s="2" t="inlineStr">
        <is>
          <t>Asknätfjäril</t>
        </is>
      </c>
      <c r="S299">
        <f>HYPERLINK("https://klasma.github.io/Logging_0188/artfynd/A 4532-2025 artfynd.xlsx", "A 4532-2025")</f>
        <v/>
      </c>
      <c r="T299">
        <f>HYPERLINK("https://klasma.github.io/Logging_0188/kartor/A 4532-2025 karta.png", "A 4532-2025")</f>
        <v/>
      </c>
      <c r="V299">
        <f>HYPERLINK("https://klasma.github.io/Logging_0188/klagomål/A 4532-2025 FSC-klagomål.docx", "A 4532-2025")</f>
        <v/>
      </c>
      <c r="W299">
        <f>HYPERLINK("https://klasma.github.io/Logging_0188/klagomålsmail/A 4532-2025 FSC-klagomål mail.docx", "A 4532-2025")</f>
        <v/>
      </c>
      <c r="X299">
        <f>HYPERLINK("https://klasma.github.io/Logging_0188/tillsyn/A 4532-2025 tillsynsbegäran.docx", "A 4532-2025")</f>
        <v/>
      </c>
      <c r="Y299">
        <f>HYPERLINK("https://klasma.github.io/Logging_0188/tillsynsmail/A 4532-2025 tillsynsbegäran mail.docx", "A 4532-2025")</f>
        <v/>
      </c>
    </row>
    <row r="300" ht="15" customHeight="1">
      <c r="A300" t="inlineStr">
        <is>
          <t>A 29946-2025</t>
        </is>
      </c>
      <c r="B300" s="1" t="n">
        <v>45826.46392361111</v>
      </c>
      <c r="C300" s="1" t="n">
        <v>46033</v>
      </c>
      <c r="D300" t="inlineStr">
        <is>
          <t>STOCKHOLMS LÄN</t>
        </is>
      </c>
      <c r="E300" t="inlineStr">
        <is>
          <t>NORRTÄLJE</t>
        </is>
      </c>
      <c r="F300" t="inlineStr">
        <is>
          <t>Holmen skog AB</t>
        </is>
      </c>
      <c r="G300" t="n">
        <v>3.6</v>
      </c>
      <c r="H300" t="n">
        <v>1</v>
      </c>
      <c r="I300" t="n">
        <v>0</v>
      </c>
      <c r="J300" t="n">
        <v>0</v>
      </c>
      <c r="K300" t="n">
        <v>0</v>
      </c>
      <c r="L300" t="n">
        <v>1</v>
      </c>
      <c r="M300" t="n">
        <v>0</v>
      </c>
      <c r="N300" t="n">
        <v>0</v>
      </c>
      <c r="O300" t="n">
        <v>1</v>
      </c>
      <c r="P300" t="n">
        <v>1</v>
      </c>
      <c r="Q300" t="n">
        <v>1</v>
      </c>
      <c r="R300" s="2" t="inlineStr">
        <is>
          <t>Asknätfjäril</t>
        </is>
      </c>
      <c r="S300">
        <f>HYPERLINK("https://klasma.github.io/Logging_0188/artfynd/A 29946-2025 artfynd.xlsx", "A 29946-2025")</f>
        <v/>
      </c>
      <c r="T300">
        <f>HYPERLINK("https://klasma.github.io/Logging_0188/kartor/A 29946-2025 karta.png", "A 29946-2025")</f>
        <v/>
      </c>
      <c r="V300">
        <f>HYPERLINK("https://klasma.github.io/Logging_0188/klagomål/A 29946-2025 FSC-klagomål.docx", "A 29946-2025")</f>
        <v/>
      </c>
      <c r="W300">
        <f>HYPERLINK("https://klasma.github.io/Logging_0188/klagomålsmail/A 29946-2025 FSC-klagomål mail.docx", "A 29946-2025")</f>
        <v/>
      </c>
      <c r="X300">
        <f>HYPERLINK("https://klasma.github.io/Logging_0188/tillsyn/A 29946-2025 tillsynsbegäran.docx", "A 29946-2025")</f>
        <v/>
      </c>
      <c r="Y300">
        <f>HYPERLINK("https://klasma.github.io/Logging_0188/tillsynsmail/A 29946-2025 tillsynsbegäran mail.docx", "A 29946-2025")</f>
        <v/>
      </c>
    </row>
    <row r="301" ht="15" customHeight="1">
      <c r="A301" t="inlineStr">
        <is>
          <t>A 35691-2023</t>
        </is>
      </c>
      <c r="B301" s="1" t="n">
        <v>45147.65222222222</v>
      </c>
      <c r="C301" s="1" t="n">
        <v>46033</v>
      </c>
      <c r="D301" t="inlineStr">
        <is>
          <t>STOCKHOLMS LÄN</t>
        </is>
      </c>
      <c r="E301" t="inlineStr">
        <is>
          <t>NORRTÄLJE</t>
        </is>
      </c>
      <c r="G301" t="n">
        <v>2.3</v>
      </c>
      <c r="H301" t="n">
        <v>1</v>
      </c>
      <c r="I301" t="n">
        <v>0</v>
      </c>
      <c r="J301" t="n">
        <v>0</v>
      </c>
      <c r="K301" t="n">
        <v>0</v>
      </c>
      <c r="L301" t="n">
        <v>0</v>
      </c>
      <c r="M301" t="n">
        <v>0</v>
      </c>
      <c r="N301" t="n">
        <v>0</v>
      </c>
      <c r="O301" t="n">
        <v>0</v>
      </c>
      <c r="P301" t="n">
        <v>0</v>
      </c>
      <c r="Q301" t="n">
        <v>1</v>
      </c>
      <c r="R301" s="2" t="inlineStr">
        <is>
          <t>Kungsfågel</t>
        </is>
      </c>
      <c r="S301">
        <f>HYPERLINK("https://klasma.github.io/Logging_0188/artfynd/A 35691-2023 artfynd.xlsx", "A 35691-2023")</f>
        <v/>
      </c>
      <c r="T301">
        <f>HYPERLINK("https://klasma.github.io/Logging_0188/kartor/A 35691-2023 karta.png", "A 35691-2023")</f>
        <v/>
      </c>
      <c r="V301">
        <f>HYPERLINK("https://klasma.github.io/Logging_0188/klagomål/A 35691-2023 FSC-klagomål.docx", "A 35691-2023")</f>
        <v/>
      </c>
      <c r="W301">
        <f>HYPERLINK("https://klasma.github.io/Logging_0188/klagomålsmail/A 35691-2023 FSC-klagomål mail.docx", "A 35691-2023")</f>
        <v/>
      </c>
      <c r="X301">
        <f>HYPERLINK("https://klasma.github.io/Logging_0188/tillsyn/A 35691-2023 tillsynsbegäran.docx", "A 35691-2023")</f>
        <v/>
      </c>
      <c r="Y301">
        <f>HYPERLINK("https://klasma.github.io/Logging_0188/tillsynsmail/A 35691-2023 tillsynsbegäran mail.docx", "A 35691-2023")</f>
        <v/>
      </c>
      <c r="Z301">
        <f>HYPERLINK("https://klasma.github.io/Logging_0188/fåglar/A 35691-2023 prioriterade fågelarter.docx", "A 35691-2023")</f>
        <v/>
      </c>
    </row>
    <row r="302" ht="15" customHeight="1">
      <c r="A302" t="inlineStr">
        <is>
          <t>A 35693-2023</t>
        </is>
      </c>
      <c r="B302" s="1" t="n">
        <v>45147.65311342593</v>
      </c>
      <c r="C302" s="1" t="n">
        <v>46033</v>
      </c>
      <c r="D302" t="inlineStr">
        <is>
          <t>STOCKHOLMS LÄN</t>
        </is>
      </c>
      <c r="E302" t="inlineStr">
        <is>
          <t>NORRTÄLJE</t>
        </is>
      </c>
      <c r="G302" t="n">
        <v>2.2</v>
      </c>
      <c r="H302" t="n">
        <v>0</v>
      </c>
      <c r="I302" t="n">
        <v>0</v>
      </c>
      <c r="J302" t="n">
        <v>1</v>
      </c>
      <c r="K302" t="n">
        <v>0</v>
      </c>
      <c r="L302" t="n">
        <v>0</v>
      </c>
      <c r="M302" t="n">
        <v>0</v>
      </c>
      <c r="N302" t="n">
        <v>0</v>
      </c>
      <c r="O302" t="n">
        <v>1</v>
      </c>
      <c r="P302" t="n">
        <v>0</v>
      </c>
      <c r="Q302" t="n">
        <v>1</v>
      </c>
      <c r="R302" s="2" t="inlineStr">
        <is>
          <t>Motaggsvamp</t>
        </is>
      </c>
      <c r="S302">
        <f>HYPERLINK("https://klasma.github.io/Logging_0188/artfynd/A 35693-2023 artfynd.xlsx", "A 35693-2023")</f>
        <v/>
      </c>
      <c r="T302">
        <f>HYPERLINK("https://klasma.github.io/Logging_0188/kartor/A 35693-2023 karta.png", "A 35693-2023")</f>
        <v/>
      </c>
      <c r="V302">
        <f>HYPERLINK("https://klasma.github.io/Logging_0188/klagomål/A 35693-2023 FSC-klagomål.docx", "A 35693-2023")</f>
        <v/>
      </c>
      <c r="W302">
        <f>HYPERLINK("https://klasma.github.io/Logging_0188/klagomålsmail/A 35693-2023 FSC-klagomål mail.docx", "A 35693-2023")</f>
        <v/>
      </c>
      <c r="X302">
        <f>HYPERLINK("https://klasma.github.io/Logging_0188/tillsyn/A 35693-2023 tillsynsbegäran.docx", "A 35693-2023")</f>
        <v/>
      </c>
      <c r="Y302">
        <f>HYPERLINK("https://klasma.github.io/Logging_0188/tillsynsmail/A 35693-2023 tillsynsbegäran mail.docx", "A 35693-2023")</f>
        <v/>
      </c>
    </row>
    <row r="303" ht="15" customHeight="1">
      <c r="A303" t="inlineStr">
        <is>
          <t>A 31593-2025</t>
        </is>
      </c>
      <c r="B303" s="1" t="n">
        <v>45833.70085648148</v>
      </c>
      <c r="C303" s="1" t="n">
        <v>46033</v>
      </c>
      <c r="D303" t="inlineStr">
        <is>
          <t>STOCKHOLMS LÄN</t>
        </is>
      </c>
      <c r="E303" t="inlineStr">
        <is>
          <t>VÄRMDÖ</t>
        </is>
      </c>
      <c r="G303" t="n">
        <v>2</v>
      </c>
      <c r="H303" t="n">
        <v>0</v>
      </c>
      <c r="I303" t="n">
        <v>0</v>
      </c>
      <c r="J303" t="n">
        <v>1</v>
      </c>
      <c r="K303" t="n">
        <v>0</v>
      </c>
      <c r="L303" t="n">
        <v>0</v>
      </c>
      <c r="M303" t="n">
        <v>0</v>
      </c>
      <c r="N303" t="n">
        <v>0</v>
      </c>
      <c r="O303" t="n">
        <v>1</v>
      </c>
      <c r="P303" t="n">
        <v>0</v>
      </c>
      <c r="Q303" t="n">
        <v>1</v>
      </c>
      <c r="R303" s="2" t="inlineStr">
        <is>
          <t>Tallticka</t>
        </is>
      </c>
      <c r="S303">
        <f>HYPERLINK("https://klasma.github.io/Logging_0120/artfynd/A 31593-2025 artfynd.xlsx", "A 31593-2025")</f>
        <v/>
      </c>
      <c r="T303">
        <f>HYPERLINK("https://klasma.github.io/Logging_0120/kartor/A 31593-2025 karta.png", "A 31593-2025")</f>
        <v/>
      </c>
      <c r="V303">
        <f>HYPERLINK("https://klasma.github.io/Logging_0120/klagomål/A 31593-2025 FSC-klagomål.docx", "A 31593-2025")</f>
        <v/>
      </c>
      <c r="W303">
        <f>HYPERLINK("https://klasma.github.io/Logging_0120/klagomålsmail/A 31593-2025 FSC-klagomål mail.docx", "A 31593-2025")</f>
        <v/>
      </c>
      <c r="X303">
        <f>HYPERLINK("https://klasma.github.io/Logging_0120/tillsyn/A 31593-2025 tillsynsbegäran.docx", "A 31593-2025")</f>
        <v/>
      </c>
      <c r="Y303">
        <f>HYPERLINK("https://klasma.github.io/Logging_0120/tillsynsmail/A 31593-2025 tillsynsbegäran mail.docx", "A 31593-2025")</f>
        <v/>
      </c>
    </row>
    <row r="304" ht="15" customHeight="1">
      <c r="A304" t="inlineStr">
        <is>
          <t>A 25612-2024</t>
        </is>
      </c>
      <c r="B304" s="1" t="n">
        <v>45463.63518518519</v>
      </c>
      <c r="C304" s="1" t="n">
        <v>46033</v>
      </c>
      <c r="D304" t="inlineStr">
        <is>
          <t>STOCKHOLMS LÄN</t>
        </is>
      </c>
      <c r="E304" t="inlineStr">
        <is>
          <t>NACKA</t>
        </is>
      </c>
      <c r="G304" t="n">
        <v>1.5</v>
      </c>
      <c r="H304" t="n">
        <v>0</v>
      </c>
      <c r="I304" t="n">
        <v>1</v>
      </c>
      <c r="J304" t="n">
        <v>0</v>
      </c>
      <c r="K304" t="n">
        <v>0</v>
      </c>
      <c r="L304" t="n">
        <v>0</v>
      </c>
      <c r="M304" t="n">
        <v>0</v>
      </c>
      <c r="N304" t="n">
        <v>0</v>
      </c>
      <c r="O304" t="n">
        <v>0</v>
      </c>
      <c r="P304" t="n">
        <v>0</v>
      </c>
      <c r="Q304" t="n">
        <v>1</v>
      </c>
      <c r="R304" s="2" t="inlineStr">
        <is>
          <t>Tibast</t>
        </is>
      </c>
      <c r="S304">
        <f>HYPERLINK("https://klasma.github.io/Logging_0182/artfynd/A 25612-2024 artfynd.xlsx", "A 25612-2024")</f>
        <v/>
      </c>
      <c r="T304">
        <f>HYPERLINK("https://klasma.github.io/Logging_0182/kartor/A 25612-2024 karta.png", "A 25612-2024")</f>
        <v/>
      </c>
      <c r="V304">
        <f>HYPERLINK("https://klasma.github.io/Logging_0182/klagomål/A 25612-2024 FSC-klagomål.docx", "A 25612-2024")</f>
        <v/>
      </c>
      <c r="W304">
        <f>HYPERLINK("https://klasma.github.io/Logging_0182/klagomålsmail/A 25612-2024 FSC-klagomål mail.docx", "A 25612-2024")</f>
        <v/>
      </c>
      <c r="X304">
        <f>HYPERLINK("https://klasma.github.io/Logging_0182/tillsyn/A 25612-2024 tillsynsbegäran.docx", "A 25612-2024")</f>
        <v/>
      </c>
      <c r="Y304">
        <f>HYPERLINK("https://klasma.github.io/Logging_0182/tillsynsmail/A 25612-2024 tillsynsbegäran mail.docx", "A 25612-2024")</f>
        <v/>
      </c>
    </row>
    <row r="305" ht="15" customHeight="1">
      <c r="A305" t="inlineStr">
        <is>
          <t>A 47262-2024</t>
        </is>
      </c>
      <c r="B305" s="1" t="n">
        <v>45586</v>
      </c>
      <c r="C305" s="1" t="n">
        <v>46033</v>
      </c>
      <c r="D305" t="inlineStr">
        <is>
          <t>STOCKHOLMS LÄN</t>
        </is>
      </c>
      <c r="E305" t="inlineStr">
        <is>
          <t>SALEM</t>
        </is>
      </c>
      <c r="G305" t="n">
        <v>2</v>
      </c>
      <c r="H305" t="n">
        <v>1</v>
      </c>
      <c r="I305" t="n">
        <v>0</v>
      </c>
      <c r="J305" t="n">
        <v>1</v>
      </c>
      <c r="K305" t="n">
        <v>0</v>
      </c>
      <c r="L305" t="n">
        <v>0</v>
      </c>
      <c r="M305" t="n">
        <v>0</v>
      </c>
      <c r="N305" t="n">
        <v>0</v>
      </c>
      <c r="O305" t="n">
        <v>1</v>
      </c>
      <c r="P305" t="n">
        <v>0</v>
      </c>
      <c r="Q305" t="n">
        <v>1</v>
      </c>
      <c r="R305" s="2" t="inlineStr">
        <is>
          <t>Spillkråka</t>
        </is>
      </c>
      <c r="S305">
        <f>HYPERLINK("https://klasma.github.io/Logging_0128/artfynd/A 47262-2024 artfynd.xlsx", "A 47262-2024")</f>
        <v/>
      </c>
      <c r="T305">
        <f>HYPERLINK("https://klasma.github.io/Logging_0128/kartor/A 47262-2024 karta.png", "A 47262-2024")</f>
        <v/>
      </c>
      <c r="V305">
        <f>HYPERLINK("https://klasma.github.io/Logging_0128/klagomål/A 47262-2024 FSC-klagomål.docx", "A 47262-2024")</f>
        <v/>
      </c>
      <c r="W305">
        <f>HYPERLINK("https://klasma.github.io/Logging_0128/klagomålsmail/A 47262-2024 FSC-klagomål mail.docx", "A 47262-2024")</f>
        <v/>
      </c>
      <c r="X305">
        <f>HYPERLINK("https://klasma.github.io/Logging_0128/tillsyn/A 47262-2024 tillsynsbegäran.docx", "A 47262-2024")</f>
        <v/>
      </c>
      <c r="Y305">
        <f>HYPERLINK("https://klasma.github.io/Logging_0128/tillsynsmail/A 47262-2024 tillsynsbegäran mail.docx", "A 47262-2024")</f>
        <v/>
      </c>
      <c r="Z305">
        <f>HYPERLINK("https://klasma.github.io/Logging_0128/fåglar/A 47262-2024 prioriterade fågelarter.docx", "A 47262-2024")</f>
        <v/>
      </c>
    </row>
    <row r="306" ht="15" customHeight="1">
      <c r="A306" t="inlineStr">
        <is>
          <t>A 39158-2025</t>
        </is>
      </c>
      <c r="B306" s="1" t="n">
        <v>45888</v>
      </c>
      <c r="C306" s="1" t="n">
        <v>46033</v>
      </c>
      <c r="D306" t="inlineStr">
        <is>
          <t>STOCKHOLMS LÄN</t>
        </is>
      </c>
      <c r="E306" t="inlineStr">
        <is>
          <t>NORRTÄLJE</t>
        </is>
      </c>
      <c r="G306" t="n">
        <v>1.5</v>
      </c>
      <c r="H306" t="n">
        <v>1</v>
      </c>
      <c r="I306" t="n">
        <v>0</v>
      </c>
      <c r="J306" t="n">
        <v>0</v>
      </c>
      <c r="K306" t="n">
        <v>0</v>
      </c>
      <c r="L306" t="n">
        <v>0</v>
      </c>
      <c r="M306" t="n">
        <v>0</v>
      </c>
      <c r="N306" t="n">
        <v>0</v>
      </c>
      <c r="O306" t="n">
        <v>0</v>
      </c>
      <c r="P306" t="n">
        <v>0</v>
      </c>
      <c r="Q306" t="n">
        <v>1</v>
      </c>
      <c r="R306" s="2" t="inlineStr">
        <is>
          <t>Blåsippa</t>
        </is>
      </c>
      <c r="S306">
        <f>HYPERLINK("https://klasma.github.io/Logging_0188/artfynd/A 39158-2025 artfynd.xlsx", "A 39158-2025")</f>
        <v/>
      </c>
      <c r="T306">
        <f>HYPERLINK("https://klasma.github.io/Logging_0188/kartor/A 39158-2025 karta.png", "A 39158-2025")</f>
        <v/>
      </c>
      <c r="V306">
        <f>HYPERLINK("https://klasma.github.io/Logging_0188/klagomål/A 39158-2025 FSC-klagomål.docx", "A 39158-2025")</f>
        <v/>
      </c>
      <c r="W306">
        <f>HYPERLINK("https://klasma.github.io/Logging_0188/klagomålsmail/A 39158-2025 FSC-klagomål mail.docx", "A 39158-2025")</f>
        <v/>
      </c>
      <c r="X306">
        <f>HYPERLINK("https://klasma.github.io/Logging_0188/tillsyn/A 39158-2025 tillsynsbegäran.docx", "A 39158-2025")</f>
        <v/>
      </c>
      <c r="Y306">
        <f>HYPERLINK("https://klasma.github.io/Logging_0188/tillsynsmail/A 39158-2025 tillsynsbegäran mail.docx", "A 39158-2025")</f>
        <v/>
      </c>
    </row>
    <row r="307" ht="15" customHeight="1">
      <c r="A307" t="inlineStr">
        <is>
          <t>A 48341-2025</t>
        </is>
      </c>
      <c r="B307" s="1" t="n">
        <v>45933</v>
      </c>
      <c r="C307" s="1" t="n">
        <v>46033</v>
      </c>
      <c r="D307" t="inlineStr">
        <is>
          <t>STOCKHOLMS LÄN</t>
        </is>
      </c>
      <c r="E307" t="inlineStr">
        <is>
          <t>SÖDERTÄLJE</t>
        </is>
      </c>
      <c r="F307" t="inlineStr">
        <is>
          <t>Övriga statliga verk och myndigheter</t>
        </is>
      </c>
      <c r="G307" t="n">
        <v>1</v>
      </c>
      <c r="H307" t="n">
        <v>0</v>
      </c>
      <c r="I307" t="n">
        <v>0</v>
      </c>
      <c r="J307" t="n">
        <v>0</v>
      </c>
      <c r="K307" t="n">
        <v>0</v>
      </c>
      <c r="L307" t="n">
        <v>1</v>
      </c>
      <c r="M307" t="n">
        <v>0</v>
      </c>
      <c r="N307" t="n">
        <v>0</v>
      </c>
      <c r="O307" t="n">
        <v>1</v>
      </c>
      <c r="P307" t="n">
        <v>1</v>
      </c>
      <c r="Q307" t="n">
        <v>1</v>
      </c>
      <c r="R307" s="2" t="inlineStr">
        <is>
          <t>Stor bockrot</t>
        </is>
      </c>
      <c r="S307">
        <f>HYPERLINK("https://klasma.github.io/Logging_0181/artfynd/A 48341-2025 artfynd.xlsx", "A 48341-2025")</f>
        <v/>
      </c>
      <c r="T307">
        <f>HYPERLINK("https://klasma.github.io/Logging_0181/kartor/A 48341-2025 karta.png", "A 48341-2025")</f>
        <v/>
      </c>
      <c r="U307">
        <f>HYPERLINK("https://klasma.github.io/Logging_0181/knärot/A 48341-2025 karta knärot.png", "A 48341-2025")</f>
        <v/>
      </c>
      <c r="V307">
        <f>HYPERLINK("https://klasma.github.io/Logging_0181/klagomål/A 48341-2025 FSC-klagomål.docx", "A 48341-2025")</f>
        <v/>
      </c>
      <c r="W307">
        <f>HYPERLINK("https://klasma.github.io/Logging_0181/klagomålsmail/A 48341-2025 FSC-klagomål mail.docx", "A 48341-2025")</f>
        <v/>
      </c>
      <c r="X307">
        <f>HYPERLINK("https://klasma.github.io/Logging_0181/tillsyn/A 48341-2025 tillsynsbegäran.docx", "A 48341-2025")</f>
        <v/>
      </c>
      <c r="Y307">
        <f>HYPERLINK("https://klasma.github.io/Logging_0181/tillsynsmail/A 48341-2025 tillsynsbegäran mail.docx", "A 48341-2025")</f>
        <v/>
      </c>
    </row>
    <row r="308" ht="15" customHeight="1">
      <c r="A308" t="inlineStr">
        <is>
          <t>A 31716-2025</t>
        </is>
      </c>
      <c r="B308" s="1" t="n">
        <v>45834</v>
      </c>
      <c r="C308" s="1" t="n">
        <v>46033</v>
      </c>
      <c r="D308" t="inlineStr">
        <is>
          <t>STOCKHOLMS LÄN</t>
        </is>
      </c>
      <c r="E308" t="inlineStr">
        <is>
          <t>ÖSTERÅKER</t>
        </is>
      </c>
      <c r="G308" t="n">
        <v>2.8</v>
      </c>
      <c r="H308" t="n">
        <v>1</v>
      </c>
      <c r="I308" t="n">
        <v>0</v>
      </c>
      <c r="J308" t="n">
        <v>0</v>
      </c>
      <c r="K308" t="n">
        <v>0</v>
      </c>
      <c r="L308" t="n">
        <v>0</v>
      </c>
      <c r="M308" t="n">
        <v>0</v>
      </c>
      <c r="N308" t="n">
        <v>0</v>
      </c>
      <c r="O308" t="n">
        <v>0</v>
      </c>
      <c r="P308" t="n">
        <v>0</v>
      </c>
      <c r="Q308" t="n">
        <v>1</v>
      </c>
      <c r="R308" s="2" t="inlineStr">
        <is>
          <t>Revlummer</t>
        </is>
      </c>
      <c r="S308">
        <f>HYPERLINK("https://klasma.github.io/Logging_0117/artfynd/A 31716-2025 artfynd.xlsx", "A 31716-2025")</f>
        <v/>
      </c>
      <c r="T308">
        <f>HYPERLINK("https://klasma.github.io/Logging_0117/kartor/A 31716-2025 karta.png", "A 31716-2025")</f>
        <v/>
      </c>
      <c r="V308">
        <f>HYPERLINK("https://klasma.github.io/Logging_0117/klagomål/A 31716-2025 FSC-klagomål.docx", "A 31716-2025")</f>
        <v/>
      </c>
      <c r="W308">
        <f>HYPERLINK("https://klasma.github.io/Logging_0117/klagomålsmail/A 31716-2025 FSC-klagomål mail.docx", "A 31716-2025")</f>
        <v/>
      </c>
      <c r="X308">
        <f>HYPERLINK("https://klasma.github.io/Logging_0117/tillsyn/A 31716-2025 tillsynsbegäran.docx", "A 31716-2025")</f>
        <v/>
      </c>
      <c r="Y308">
        <f>HYPERLINK("https://klasma.github.io/Logging_0117/tillsynsmail/A 31716-2025 tillsynsbegäran mail.docx", "A 31716-2025")</f>
        <v/>
      </c>
    </row>
    <row r="309" ht="15" customHeight="1">
      <c r="A309" t="inlineStr">
        <is>
          <t>A 33411-2025</t>
        </is>
      </c>
      <c r="B309" s="1" t="n">
        <v>45839</v>
      </c>
      <c r="C309" s="1" t="n">
        <v>46033</v>
      </c>
      <c r="D309" t="inlineStr">
        <is>
          <t>STOCKHOLMS LÄN</t>
        </is>
      </c>
      <c r="E309" t="inlineStr">
        <is>
          <t>SALEM</t>
        </is>
      </c>
      <c r="G309" t="n">
        <v>2.8</v>
      </c>
      <c r="H309" t="n">
        <v>1</v>
      </c>
      <c r="I309" t="n">
        <v>0</v>
      </c>
      <c r="J309" t="n">
        <v>1</v>
      </c>
      <c r="K309" t="n">
        <v>0</v>
      </c>
      <c r="L309" t="n">
        <v>0</v>
      </c>
      <c r="M309" t="n">
        <v>0</v>
      </c>
      <c r="N309" t="n">
        <v>0</v>
      </c>
      <c r="O309" t="n">
        <v>1</v>
      </c>
      <c r="P309" t="n">
        <v>0</v>
      </c>
      <c r="Q309" t="n">
        <v>1</v>
      </c>
      <c r="R309" s="2" t="inlineStr">
        <is>
          <t>Spillkråka</t>
        </is>
      </c>
      <c r="S309">
        <f>HYPERLINK("https://klasma.github.io/Logging_0128/artfynd/A 33411-2025 artfynd.xlsx", "A 33411-2025")</f>
        <v/>
      </c>
      <c r="T309">
        <f>HYPERLINK("https://klasma.github.io/Logging_0128/kartor/A 33411-2025 karta.png", "A 33411-2025")</f>
        <v/>
      </c>
      <c r="V309">
        <f>HYPERLINK("https://klasma.github.io/Logging_0128/klagomål/A 33411-2025 FSC-klagomål.docx", "A 33411-2025")</f>
        <v/>
      </c>
      <c r="W309">
        <f>HYPERLINK("https://klasma.github.io/Logging_0128/klagomålsmail/A 33411-2025 FSC-klagomål mail.docx", "A 33411-2025")</f>
        <v/>
      </c>
      <c r="X309">
        <f>HYPERLINK("https://klasma.github.io/Logging_0128/tillsyn/A 33411-2025 tillsynsbegäran.docx", "A 33411-2025")</f>
        <v/>
      </c>
      <c r="Y309">
        <f>HYPERLINK("https://klasma.github.io/Logging_0128/tillsynsmail/A 33411-2025 tillsynsbegäran mail.docx", "A 33411-2025")</f>
        <v/>
      </c>
      <c r="Z309">
        <f>HYPERLINK("https://klasma.github.io/Logging_0128/fåglar/A 33411-2025 prioriterade fågelarter.docx", "A 33411-2025")</f>
        <v/>
      </c>
    </row>
    <row r="310" ht="15" customHeight="1">
      <c r="A310" t="inlineStr">
        <is>
          <t>A 73773-2021</t>
        </is>
      </c>
      <c r="B310" s="1" t="n">
        <v>44552</v>
      </c>
      <c r="C310" s="1" t="n">
        <v>46033</v>
      </c>
      <c r="D310" t="inlineStr">
        <is>
          <t>STOCKHOLMS LÄN</t>
        </is>
      </c>
      <c r="E310" t="inlineStr">
        <is>
          <t>UPPLANDS-BRO</t>
        </is>
      </c>
      <c r="G310" t="n">
        <v>1.9</v>
      </c>
      <c r="H310" t="n">
        <v>1</v>
      </c>
      <c r="I310" t="n">
        <v>0</v>
      </c>
      <c r="J310" t="n">
        <v>0</v>
      </c>
      <c r="K310" t="n">
        <v>0</v>
      </c>
      <c r="L310" t="n">
        <v>0</v>
      </c>
      <c r="M310" t="n">
        <v>0</v>
      </c>
      <c r="N310" t="n">
        <v>0</v>
      </c>
      <c r="O310" t="n">
        <v>0</v>
      </c>
      <c r="P310" t="n">
        <v>0</v>
      </c>
      <c r="Q310" t="n">
        <v>1</v>
      </c>
      <c r="R310" s="2" t="inlineStr">
        <is>
          <t>Kopparödla</t>
        </is>
      </c>
      <c r="S310">
        <f>HYPERLINK("https://klasma.github.io/Logging_0139/artfynd/A 73773-2021 artfynd.xlsx", "A 73773-2021")</f>
        <v/>
      </c>
      <c r="T310">
        <f>HYPERLINK("https://klasma.github.io/Logging_0139/kartor/A 73773-2021 karta.png", "A 73773-2021")</f>
        <v/>
      </c>
      <c r="V310">
        <f>HYPERLINK("https://klasma.github.io/Logging_0139/klagomål/A 73773-2021 FSC-klagomål.docx", "A 73773-2021")</f>
        <v/>
      </c>
      <c r="W310">
        <f>HYPERLINK("https://klasma.github.io/Logging_0139/klagomålsmail/A 73773-2021 FSC-klagomål mail.docx", "A 73773-2021")</f>
        <v/>
      </c>
      <c r="X310">
        <f>HYPERLINK("https://klasma.github.io/Logging_0139/tillsyn/A 73773-2021 tillsynsbegäran.docx", "A 73773-2021")</f>
        <v/>
      </c>
      <c r="Y310">
        <f>HYPERLINK("https://klasma.github.io/Logging_0139/tillsynsmail/A 73773-2021 tillsynsbegäran mail.docx", "A 73773-2021")</f>
        <v/>
      </c>
    </row>
    <row r="311" ht="15" customHeight="1">
      <c r="A311" t="inlineStr">
        <is>
          <t>A 32951-2025</t>
        </is>
      </c>
      <c r="B311" s="1" t="n">
        <v>45839</v>
      </c>
      <c r="C311" s="1" t="n">
        <v>46033</v>
      </c>
      <c r="D311" t="inlineStr">
        <is>
          <t>STOCKHOLMS LÄN</t>
        </is>
      </c>
      <c r="E311" t="inlineStr">
        <is>
          <t>SALEM</t>
        </is>
      </c>
      <c r="G311" t="n">
        <v>2.6</v>
      </c>
      <c r="H311" t="n">
        <v>0</v>
      </c>
      <c r="I311" t="n">
        <v>0</v>
      </c>
      <c r="J311" t="n">
        <v>1</v>
      </c>
      <c r="K311" t="n">
        <v>0</v>
      </c>
      <c r="L311" t="n">
        <v>0</v>
      </c>
      <c r="M311" t="n">
        <v>0</v>
      </c>
      <c r="N311" t="n">
        <v>0</v>
      </c>
      <c r="O311" t="n">
        <v>1</v>
      </c>
      <c r="P311" t="n">
        <v>0</v>
      </c>
      <c r="Q311" t="n">
        <v>1</v>
      </c>
      <c r="R311" s="2" t="inlineStr">
        <is>
          <t>Etternässla</t>
        </is>
      </c>
      <c r="S311">
        <f>HYPERLINK("https://klasma.github.io/Logging_0128/artfynd/A 32951-2025 artfynd.xlsx", "A 32951-2025")</f>
        <v/>
      </c>
      <c r="T311">
        <f>HYPERLINK("https://klasma.github.io/Logging_0128/kartor/A 32951-2025 karta.png", "A 32951-2025")</f>
        <v/>
      </c>
      <c r="V311">
        <f>HYPERLINK("https://klasma.github.io/Logging_0128/klagomål/A 32951-2025 FSC-klagomål.docx", "A 32951-2025")</f>
        <v/>
      </c>
      <c r="W311">
        <f>HYPERLINK("https://klasma.github.io/Logging_0128/klagomålsmail/A 32951-2025 FSC-klagomål mail.docx", "A 32951-2025")</f>
        <v/>
      </c>
      <c r="X311">
        <f>HYPERLINK("https://klasma.github.io/Logging_0128/tillsyn/A 32951-2025 tillsynsbegäran.docx", "A 32951-2025")</f>
        <v/>
      </c>
      <c r="Y311">
        <f>HYPERLINK("https://klasma.github.io/Logging_0128/tillsynsmail/A 32951-2025 tillsynsbegäran mail.docx", "A 32951-2025")</f>
        <v/>
      </c>
    </row>
    <row r="312" ht="15" customHeight="1">
      <c r="A312" t="inlineStr">
        <is>
          <t>A 27058-2024</t>
        </is>
      </c>
      <c r="B312" s="1" t="n">
        <v>45471</v>
      </c>
      <c r="C312" s="1" t="n">
        <v>46033</v>
      </c>
      <c r="D312" t="inlineStr">
        <is>
          <t>STOCKHOLMS LÄN</t>
        </is>
      </c>
      <c r="E312" t="inlineStr">
        <is>
          <t>SÖDERTÄLJE</t>
        </is>
      </c>
      <c r="F312" t="inlineStr">
        <is>
          <t>Kommuner</t>
        </is>
      </c>
      <c r="G312" t="n">
        <v>3.7</v>
      </c>
      <c r="H312" t="n">
        <v>0</v>
      </c>
      <c r="I312" t="n">
        <v>0</v>
      </c>
      <c r="J312" t="n">
        <v>1</v>
      </c>
      <c r="K312" t="n">
        <v>0</v>
      </c>
      <c r="L312" t="n">
        <v>0</v>
      </c>
      <c r="M312" t="n">
        <v>0</v>
      </c>
      <c r="N312" t="n">
        <v>0</v>
      </c>
      <c r="O312" t="n">
        <v>1</v>
      </c>
      <c r="P312" t="n">
        <v>0</v>
      </c>
      <c r="Q312" t="n">
        <v>1</v>
      </c>
      <c r="R312" s="2" t="inlineStr">
        <is>
          <t>Persiljespindling</t>
        </is>
      </c>
      <c r="S312">
        <f>HYPERLINK("https://klasma.github.io/Logging_0181/artfynd/A 27058-2024 artfynd.xlsx", "A 27058-2024")</f>
        <v/>
      </c>
      <c r="T312">
        <f>HYPERLINK("https://klasma.github.io/Logging_0181/kartor/A 27058-2024 karta.png", "A 27058-2024")</f>
        <v/>
      </c>
      <c r="V312">
        <f>HYPERLINK("https://klasma.github.io/Logging_0181/klagomål/A 27058-2024 FSC-klagomål.docx", "A 27058-2024")</f>
        <v/>
      </c>
      <c r="W312">
        <f>HYPERLINK("https://klasma.github.io/Logging_0181/klagomålsmail/A 27058-2024 FSC-klagomål mail.docx", "A 27058-2024")</f>
        <v/>
      </c>
      <c r="X312">
        <f>HYPERLINK("https://klasma.github.io/Logging_0181/tillsyn/A 27058-2024 tillsynsbegäran.docx", "A 27058-2024")</f>
        <v/>
      </c>
      <c r="Y312">
        <f>HYPERLINK("https://klasma.github.io/Logging_0181/tillsynsmail/A 27058-2024 tillsynsbegäran mail.docx", "A 27058-2024")</f>
        <v/>
      </c>
    </row>
    <row r="313" ht="15" customHeight="1">
      <c r="A313" t="inlineStr">
        <is>
          <t>A 50854-2022</t>
        </is>
      </c>
      <c r="B313" s="1" t="n">
        <v>44863</v>
      </c>
      <c r="C313" s="1" t="n">
        <v>46033</v>
      </c>
      <c r="D313" t="inlineStr">
        <is>
          <t>STOCKHOLMS LÄN</t>
        </is>
      </c>
      <c r="E313" t="inlineStr">
        <is>
          <t>NORRTÄLJE</t>
        </is>
      </c>
      <c r="G313" t="n">
        <v>2.9</v>
      </c>
      <c r="H313" t="n">
        <v>0</v>
      </c>
      <c r="I313" t="n">
        <v>1</v>
      </c>
      <c r="J313" t="n">
        <v>0</v>
      </c>
      <c r="K313" t="n">
        <v>0</v>
      </c>
      <c r="L313" t="n">
        <v>0</v>
      </c>
      <c r="M313" t="n">
        <v>0</v>
      </c>
      <c r="N313" t="n">
        <v>0</v>
      </c>
      <c r="O313" t="n">
        <v>0</v>
      </c>
      <c r="P313" t="n">
        <v>0</v>
      </c>
      <c r="Q313" t="n">
        <v>1</v>
      </c>
      <c r="R313" s="2" t="inlineStr">
        <is>
          <t>Tibast</t>
        </is>
      </c>
      <c r="S313">
        <f>HYPERLINK("https://klasma.github.io/Logging_0188/artfynd/A 50854-2022 artfynd.xlsx", "A 50854-2022")</f>
        <v/>
      </c>
      <c r="T313">
        <f>HYPERLINK("https://klasma.github.io/Logging_0188/kartor/A 50854-2022 karta.png", "A 50854-2022")</f>
        <v/>
      </c>
      <c r="V313">
        <f>HYPERLINK("https://klasma.github.io/Logging_0188/klagomål/A 50854-2022 FSC-klagomål.docx", "A 50854-2022")</f>
        <v/>
      </c>
      <c r="W313">
        <f>HYPERLINK("https://klasma.github.io/Logging_0188/klagomålsmail/A 50854-2022 FSC-klagomål mail.docx", "A 50854-2022")</f>
        <v/>
      </c>
      <c r="X313">
        <f>HYPERLINK("https://klasma.github.io/Logging_0188/tillsyn/A 50854-2022 tillsynsbegäran.docx", "A 50854-2022")</f>
        <v/>
      </c>
      <c r="Y313">
        <f>HYPERLINK("https://klasma.github.io/Logging_0188/tillsynsmail/A 50854-2022 tillsynsbegäran mail.docx", "A 50854-2022")</f>
        <v/>
      </c>
    </row>
    <row r="314" ht="15" customHeight="1">
      <c r="A314" t="inlineStr">
        <is>
          <t>A 33548-2025</t>
        </is>
      </c>
      <c r="B314" s="1" t="n">
        <v>45841.5721875</v>
      </c>
      <c r="C314" s="1" t="n">
        <v>46033</v>
      </c>
      <c r="D314" t="inlineStr">
        <is>
          <t>STOCKHOLMS LÄN</t>
        </is>
      </c>
      <c r="E314" t="inlineStr">
        <is>
          <t>NORRTÄLJE</t>
        </is>
      </c>
      <c r="G314" t="n">
        <v>12.2</v>
      </c>
      <c r="H314" t="n">
        <v>0</v>
      </c>
      <c r="I314" t="n">
        <v>0</v>
      </c>
      <c r="J314" t="n">
        <v>1</v>
      </c>
      <c r="K314" t="n">
        <v>0</v>
      </c>
      <c r="L314" t="n">
        <v>0</v>
      </c>
      <c r="M314" t="n">
        <v>0</v>
      </c>
      <c r="N314" t="n">
        <v>0</v>
      </c>
      <c r="O314" t="n">
        <v>1</v>
      </c>
      <c r="P314" t="n">
        <v>0</v>
      </c>
      <c r="Q314" t="n">
        <v>1</v>
      </c>
      <c r="R314" s="2" t="inlineStr">
        <is>
          <t>Dofttaggsvamp</t>
        </is>
      </c>
      <c r="S314">
        <f>HYPERLINK("https://klasma.github.io/Logging_0188/artfynd/A 33548-2025 artfynd.xlsx", "A 33548-2025")</f>
        <v/>
      </c>
      <c r="T314">
        <f>HYPERLINK("https://klasma.github.io/Logging_0188/kartor/A 33548-2025 karta.png", "A 33548-2025")</f>
        <v/>
      </c>
      <c r="V314">
        <f>HYPERLINK("https://klasma.github.io/Logging_0188/klagomål/A 33548-2025 FSC-klagomål.docx", "A 33548-2025")</f>
        <v/>
      </c>
      <c r="W314">
        <f>HYPERLINK("https://klasma.github.io/Logging_0188/klagomålsmail/A 33548-2025 FSC-klagomål mail.docx", "A 33548-2025")</f>
        <v/>
      </c>
      <c r="X314">
        <f>HYPERLINK("https://klasma.github.io/Logging_0188/tillsyn/A 33548-2025 tillsynsbegäran.docx", "A 33548-2025")</f>
        <v/>
      </c>
      <c r="Y314">
        <f>HYPERLINK("https://klasma.github.io/Logging_0188/tillsynsmail/A 33548-2025 tillsynsbegäran mail.docx", "A 33548-2025")</f>
        <v/>
      </c>
    </row>
    <row r="315" ht="15" customHeight="1">
      <c r="A315" t="inlineStr">
        <is>
          <t>A 64196-2023</t>
        </is>
      </c>
      <c r="B315" s="1" t="n">
        <v>45279</v>
      </c>
      <c r="C315" s="1" t="n">
        <v>46033</v>
      </c>
      <c r="D315" t="inlineStr">
        <is>
          <t>STOCKHOLMS LÄN</t>
        </is>
      </c>
      <c r="E315" t="inlineStr">
        <is>
          <t>NYNÄSHAMN</t>
        </is>
      </c>
      <c r="G315" t="n">
        <v>2.1</v>
      </c>
      <c r="H315" t="n">
        <v>1</v>
      </c>
      <c r="I315" t="n">
        <v>0</v>
      </c>
      <c r="J315" t="n">
        <v>0</v>
      </c>
      <c r="K315" t="n">
        <v>0</v>
      </c>
      <c r="L315" t="n">
        <v>0</v>
      </c>
      <c r="M315" t="n">
        <v>0</v>
      </c>
      <c r="N315" t="n">
        <v>0</v>
      </c>
      <c r="O315" t="n">
        <v>0</v>
      </c>
      <c r="P315" t="n">
        <v>0</v>
      </c>
      <c r="Q315" t="n">
        <v>1</v>
      </c>
      <c r="R315" s="2" t="inlineStr">
        <is>
          <t>Revlummer</t>
        </is>
      </c>
      <c r="S315">
        <f>HYPERLINK("https://klasma.github.io/Logging_0192/artfynd/A 64196-2023 artfynd.xlsx", "A 64196-2023")</f>
        <v/>
      </c>
      <c r="T315">
        <f>HYPERLINK("https://klasma.github.io/Logging_0192/kartor/A 64196-2023 karta.png", "A 64196-2023")</f>
        <v/>
      </c>
      <c r="V315">
        <f>HYPERLINK("https://klasma.github.io/Logging_0192/klagomål/A 64196-2023 FSC-klagomål.docx", "A 64196-2023")</f>
        <v/>
      </c>
      <c r="W315">
        <f>HYPERLINK("https://klasma.github.io/Logging_0192/klagomålsmail/A 64196-2023 FSC-klagomål mail.docx", "A 64196-2023")</f>
        <v/>
      </c>
      <c r="X315">
        <f>HYPERLINK("https://klasma.github.io/Logging_0192/tillsyn/A 64196-2023 tillsynsbegäran.docx", "A 64196-2023")</f>
        <v/>
      </c>
      <c r="Y315">
        <f>HYPERLINK("https://klasma.github.io/Logging_0192/tillsynsmail/A 64196-2023 tillsynsbegäran mail.docx", "A 64196-2023")</f>
        <v/>
      </c>
    </row>
    <row r="316" ht="15" customHeight="1">
      <c r="A316" t="inlineStr">
        <is>
          <t>A 33546-2025</t>
        </is>
      </c>
      <c r="B316" s="1" t="n">
        <v>45841.56996527778</v>
      </c>
      <c r="C316" s="1" t="n">
        <v>46033</v>
      </c>
      <c r="D316" t="inlineStr">
        <is>
          <t>STOCKHOLMS LÄN</t>
        </is>
      </c>
      <c r="E316" t="inlineStr">
        <is>
          <t>NORRTÄLJE</t>
        </is>
      </c>
      <c r="G316" t="n">
        <v>7.2</v>
      </c>
      <c r="H316" t="n">
        <v>1</v>
      </c>
      <c r="I316" t="n">
        <v>1</v>
      </c>
      <c r="J316" t="n">
        <v>0</v>
      </c>
      <c r="K316" t="n">
        <v>0</v>
      </c>
      <c r="L316" t="n">
        <v>0</v>
      </c>
      <c r="M316" t="n">
        <v>0</v>
      </c>
      <c r="N316" t="n">
        <v>0</v>
      </c>
      <c r="O316" t="n">
        <v>0</v>
      </c>
      <c r="P316" t="n">
        <v>0</v>
      </c>
      <c r="Q316" t="n">
        <v>1</v>
      </c>
      <c r="R316" s="2" t="inlineStr">
        <is>
          <t>Nästrot</t>
        </is>
      </c>
      <c r="S316">
        <f>HYPERLINK("https://klasma.github.io/Logging_0188/artfynd/A 33546-2025 artfynd.xlsx", "A 33546-2025")</f>
        <v/>
      </c>
      <c r="T316">
        <f>HYPERLINK("https://klasma.github.io/Logging_0188/kartor/A 33546-2025 karta.png", "A 33546-2025")</f>
        <v/>
      </c>
      <c r="V316">
        <f>HYPERLINK("https://klasma.github.io/Logging_0188/klagomål/A 33546-2025 FSC-klagomål.docx", "A 33546-2025")</f>
        <v/>
      </c>
      <c r="W316">
        <f>HYPERLINK("https://klasma.github.io/Logging_0188/klagomålsmail/A 33546-2025 FSC-klagomål mail.docx", "A 33546-2025")</f>
        <v/>
      </c>
      <c r="X316">
        <f>HYPERLINK("https://klasma.github.io/Logging_0188/tillsyn/A 33546-2025 tillsynsbegäran.docx", "A 33546-2025")</f>
        <v/>
      </c>
      <c r="Y316">
        <f>HYPERLINK("https://klasma.github.io/Logging_0188/tillsynsmail/A 33546-2025 tillsynsbegäran mail.docx", "A 33546-2025")</f>
        <v/>
      </c>
    </row>
    <row r="317" ht="15" customHeight="1">
      <c r="A317" t="inlineStr">
        <is>
          <t>A 49128-2025</t>
        </is>
      </c>
      <c r="B317" s="1" t="n">
        <v>45937.8944675926</v>
      </c>
      <c r="C317" s="1" t="n">
        <v>46033</v>
      </c>
      <c r="D317" t="inlineStr">
        <is>
          <t>STOCKHOLMS LÄN</t>
        </is>
      </c>
      <c r="E317" t="inlineStr">
        <is>
          <t>EKERÖ</t>
        </is>
      </c>
      <c r="G317" t="n">
        <v>3.6</v>
      </c>
      <c r="H317" t="n">
        <v>0</v>
      </c>
      <c r="I317" t="n">
        <v>1</v>
      </c>
      <c r="J317" t="n">
        <v>0</v>
      </c>
      <c r="K317" t="n">
        <v>0</v>
      </c>
      <c r="L317" t="n">
        <v>0</v>
      </c>
      <c r="M317" t="n">
        <v>0</v>
      </c>
      <c r="N317" t="n">
        <v>0</v>
      </c>
      <c r="O317" t="n">
        <v>0</v>
      </c>
      <c r="P317" t="n">
        <v>0</v>
      </c>
      <c r="Q317" t="n">
        <v>1</v>
      </c>
      <c r="R317" s="2" t="inlineStr">
        <is>
          <t>Rödgul trumpetsvamp</t>
        </is>
      </c>
      <c r="S317">
        <f>HYPERLINK("https://klasma.github.io/Logging_0125/artfynd/A 49128-2025 artfynd.xlsx", "A 49128-2025")</f>
        <v/>
      </c>
      <c r="T317">
        <f>HYPERLINK("https://klasma.github.io/Logging_0125/kartor/A 49128-2025 karta.png", "A 49128-2025")</f>
        <v/>
      </c>
      <c r="V317">
        <f>HYPERLINK("https://klasma.github.io/Logging_0125/klagomål/A 49128-2025 FSC-klagomål.docx", "A 49128-2025")</f>
        <v/>
      </c>
      <c r="W317">
        <f>HYPERLINK("https://klasma.github.io/Logging_0125/klagomålsmail/A 49128-2025 FSC-klagomål mail.docx", "A 49128-2025")</f>
        <v/>
      </c>
      <c r="X317">
        <f>HYPERLINK("https://klasma.github.io/Logging_0125/tillsyn/A 49128-2025 tillsynsbegäran.docx", "A 49128-2025")</f>
        <v/>
      </c>
      <c r="Y317">
        <f>HYPERLINK("https://klasma.github.io/Logging_0125/tillsynsmail/A 49128-2025 tillsynsbegäran mail.docx", "A 49128-2025")</f>
        <v/>
      </c>
    </row>
    <row r="318" ht="15" customHeight="1">
      <c r="A318" t="inlineStr">
        <is>
          <t>A 33801-2025</t>
        </is>
      </c>
      <c r="B318" s="1" t="n">
        <v>45842</v>
      </c>
      <c r="C318" s="1" t="n">
        <v>46033</v>
      </c>
      <c r="D318" t="inlineStr">
        <is>
          <t>STOCKHOLMS LÄN</t>
        </is>
      </c>
      <c r="E318" t="inlineStr">
        <is>
          <t>BOTKYRKA</t>
        </is>
      </c>
      <c r="G318" t="n">
        <v>1.3</v>
      </c>
      <c r="H318" t="n">
        <v>0</v>
      </c>
      <c r="I318" t="n">
        <v>1</v>
      </c>
      <c r="J318" t="n">
        <v>0</v>
      </c>
      <c r="K318" t="n">
        <v>0</v>
      </c>
      <c r="L318" t="n">
        <v>0</v>
      </c>
      <c r="M318" t="n">
        <v>0</v>
      </c>
      <c r="N318" t="n">
        <v>0</v>
      </c>
      <c r="O318" t="n">
        <v>0</v>
      </c>
      <c r="P318" t="n">
        <v>0</v>
      </c>
      <c r="Q318" t="n">
        <v>1</v>
      </c>
      <c r="R318" s="2" t="inlineStr">
        <is>
          <t>Strutbräken</t>
        </is>
      </c>
      <c r="S318">
        <f>HYPERLINK("https://klasma.github.io/Logging_0127/artfynd/A 33801-2025 artfynd.xlsx", "A 33801-2025")</f>
        <v/>
      </c>
      <c r="T318">
        <f>HYPERLINK("https://klasma.github.io/Logging_0127/kartor/A 33801-2025 karta.png", "A 33801-2025")</f>
        <v/>
      </c>
      <c r="V318">
        <f>HYPERLINK("https://klasma.github.io/Logging_0127/klagomål/A 33801-2025 FSC-klagomål.docx", "A 33801-2025")</f>
        <v/>
      </c>
      <c r="W318">
        <f>HYPERLINK("https://klasma.github.io/Logging_0127/klagomålsmail/A 33801-2025 FSC-klagomål mail.docx", "A 33801-2025")</f>
        <v/>
      </c>
      <c r="X318">
        <f>HYPERLINK("https://klasma.github.io/Logging_0127/tillsyn/A 33801-2025 tillsynsbegäran.docx", "A 33801-2025")</f>
        <v/>
      </c>
      <c r="Y318">
        <f>HYPERLINK("https://klasma.github.io/Logging_0127/tillsynsmail/A 33801-2025 tillsynsbegäran mail.docx", "A 33801-2025")</f>
        <v/>
      </c>
    </row>
    <row r="319" ht="15" customHeight="1">
      <c r="A319" t="inlineStr">
        <is>
          <t>A 37100-2021</t>
        </is>
      </c>
      <c r="B319" s="1" t="n">
        <v>44396</v>
      </c>
      <c r="C319" s="1" t="n">
        <v>46033</v>
      </c>
      <c r="D319" t="inlineStr">
        <is>
          <t>STOCKHOLMS LÄN</t>
        </is>
      </c>
      <c r="E319" t="inlineStr">
        <is>
          <t>NYNÄSHAMN</t>
        </is>
      </c>
      <c r="G319" t="n">
        <v>1.4</v>
      </c>
      <c r="H319" t="n">
        <v>1</v>
      </c>
      <c r="I319" t="n">
        <v>1</v>
      </c>
      <c r="J319" t="n">
        <v>0</v>
      </c>
      <c r="K319" t="n">
        <v>0</v>
      </c>
      <c r="L319" t="n">
        <v>0</v>
      </c>
      <c r="M319" t="n">
        <v>0</v>
      </c>
      <c r="N319" t="n">
        <v>0</v>
      </c>
      <c r="O319" t="n">
        <v>0</v>
      </c>
      <c r="P319" t="n">
        <v>0</v>
      </c>
      <c r="Q319" t="n">
        <v>1</v>
      </c>
      <c r="R319" s="2" t="inlineStr">
        <is>
          <t>Grön sköldmossa</t>
        </is>
      </c>
      <c r="S319">
        <f>HYPERLINK("https://klasma.github.io/Logging_0192/artfynd/A 37100-2021 artfynd.xlsx", "A 37100-2021")</f>
        <v/>
      </c>
      <c r="T319">
        <f>HYPERLINK("https://klasma.github.io/Logging_0192/kartor/A 37100-2021 karta.png", "A 37100-2021")</f>
        <v/>
      </c>
      <c r="V319">
        <f>HYPERLINK("https://klasma.github.io/Logging_0192/klagomål/A 37100-2021 FSC-klagomål.docx", "A 37100-2021")</f>
        <v/>
      </c>
      <c r="W319">
        <f>HYPERLINK("https://klasma.github.io/Logging_0192/klagomålsmail/A 37100-2021 FSC-klagomål mail.docx", "A 37100-2021")</f>
        <v/>
      </c>
      <c r="X319">
        <f>HYPERLINK("https://klasma.github.io/Logging_0192/tillsyn/A 37100-2021 tillsynsbegäran.docx", "A 37100-2021")</f>
        <v/>
      </c>
      <c r="Y319">
        <f>HYPERLINK("https://klasma.github.io/Logging_0192/tillsynsmail/A 37100-2021 tillsynsbegäran mail.docx", "A 37100-2021")</f>
        <v/>
      </c>
    </row>
    <row r="320" ht="15" customHeight="1">
      <c r="A320" t="inlineStr">
        <is>
          <t>A 52775-2025</t>
        </is>
      </c>
      <c r="B320" s="1" t="n">
        <v>45957.41608796296</v>
      </c>
      <c r="C320" s="1" t="n">
        <v>46033</v>
      </c>
      <c r="D320" t="inlineStr">
        <is>
          <t>STOCKHOLMS LÄN</t>
        </is>
      </c>
      <c r="E320" t="inlineStr">
        <is>
          <t>NORRTÄLJE</t>
        </is>
      </c>
      <c r="F320" t="inlineStr">
        <is>
          <t>Sveaskog</t>
        </is>
      </c>
      <c r="G320" t="n">
        <v>5.6</v>
      </c>
      <c r="H320" t="n">
        <v>0</v>
      </c>
      <c r="I320" t="n">
        <v>0</v>
      </c>
      <c r="J320" t="n">
        <v>1</v>
      </c>
      <c r="K320" t="n">
        <v>0</v>
      </c>
      <c r="L320" t="n">
        <v>0</v>
      </c>
      <c r="M320" t="n">
        <v>0</v>
      </c>
      <c r="N320" t="n">
        <v>0</v>
      </c>
      <c r="O320" t="n">
        <v>1</v>
      </c>
      <c r="P320" t="n">
        <v>0</v>
      </c>
      <c r="Q320" t="n">
        <v>1</v>
      </c>
      <c r="R320" s="2" t="inlineStr">
        <is>
          <t>Vedtrappmossa</t>
        </is>
      </c>
      <c r="S320">
        <f>HYPERLINK("https://klasma.github.io/Logging_0188/artfynd/A 52775-2025 artfynd.xlsx", "A 52775-2025")</f>
        <v/>
      </c>
      <c r="T320">
        <f>HYPERLINK("https://klasma.github.io/Logging_0188/kartor/A 52775-2025 karta.png", "A 52775-2025")</f>
        <v/>
      </c>
      <c r="V320">
        <f>HYPERLINK("https://klasma.github.io/Logging_0188/klagomål/A 52775-2025 FSC-klagomål.docx", "A 52775-2025")</f>
        <v/>
      </c>
      <c r="W320">
        <f>HYPERLINK("https://klasma.github.io/Logging_0188/klagomålsmail/A 52775-2025 FSC-klagomål mail.docx", "A 52775-2025")</f>
        <v/>
      </c>
      <c r="X320">
        <f>HYPERLINK("https://klasma.github.io/Logging_0188/tillsyn/A 52775-2025 tillsynsbegäran.docx", "A 52775-2025")</f>
        <v/>
      </c>
      <c r="Y320">
        <f>HYPERLINK("https://klasma.github.io/Logging_0188/tillsynsmail/A 52775-2025 tillsynsbegäran mail.docx", "A 52775-2025")</f>
        <v/>
      </c>
    </row>
    <row r="321" ht="15" customHeight="1">
      <c r="A321" t="inlineStr">
        <is>
          <t>A 24384-2023</t>
        </is>
      </c>
      <c r="B321" s="1" t="n">
        <v>45076</v>
      </c>
      <c r="C321" s="1" t="n">
        <v>46033</v>
      </c>
      <c r="D321" t="inlineStr">
        <is>
          <t>STOCKHOLMS LÄN</t>
        </is>
      </c>
      <c r="E321" t="inlineStr">
        <is>
          <t>HUDDINGE</t>
        </is>
      </c>
      <c r="G321" t="n">
        <v>1</v>
      </c>
      <c r="H321" t="n">
        <v>0</v>
      </c>
      <c r="I321" t="n">
        <v>0</v>
      </c>
      <c r="J321" t="n">
        <v>1</v>
      </c>
      <c r="K321" t="n">
        <v>0</v>
      </c>
      <c r="L321" t="n">
        <v>0</v>
      </c>
      <c r="M321" t="n">
        <v>0</v>
      </c>
      <c r="N321" t="n">
        <v>0</v>
      </c>
      <c r="O321" t="n">
        <v>1</v>
      </c>
      <c r="P321" t="n">
        <v>0</v>
      </c>
      <c r="Q321" t="n">
        <v>1</v>
      </c>
      <c r="R321" s="2" t="inlineStr">
        <is>
          <t>Kolflarnlav</t>
        </is>
      </c>
      <c r="S321">
        <f>HYPERLINK("https://klasma.github.io/Logging_0126/artfynd/A 24384-2023 artfynd.xlsx", "A 24384-2023")</f>
        <v/>
      </c>
      <c r="T321">
        <f>HYPERLINK("https://klasma.github.io/Logging_0126/kartor/A 24384-2023 karta.png", "A 24384-2023")</f>
        <v/>
      </c>
      <c r="V321">
        <f>HYPERLINK("https://klasma.github.io/Logging_0126/klagomål/A 24384-2023 FSC-klagomål.docx", "A 24384-2023")</f>
        <v/>
      </c>
      <c r="W321">
        <f>HYPERLINK("https://klasma.github.io/Logging_0126/klagomålsmail/A 24384-2023 FSC-klagomål mail.docx", "A 24384-2023")</f>
        <v/>
      </c>
      <c r="X321">
        <f>HYPERLINK("https://klasma.github.io/Logging_0126/tillsyn/A 24384-2023 tillsynsbegäran.docx", "A 24384-2023")</f>
        <v/>
      </c>
      <c r="Y321">
        <f>HYPERLINK("https://klasma.github.io/Logging_0126/tillsynsmail/A 24384-2023 tillsynsbegäran mail.docx", "A 24384-2023")</f>
        <v/>
      </c>
    </row>
    <row r="322" ht="15" customHeight="1">
      <c r="A322" t="inlineStr">
        <is>
          <t>A 10274-2025</t>
        </is>
      </c>
      <c r="B322" s="1" t="n">
        <v>45720.39356481482</v>
      </c>
      <c r="C322" s="1" t="n">
        <v>46033</v>
      </c>
      <c r="D322" t="inlineStr">
        <is>
          <t>STOCKHOLMS LÄN</t>
        </is>
      </c>
      <c r="E322" t="inlineStr">
        <is>
          <t>SÖDERTÄLJE</t>
        </is>
      </c>
      <c r="G322" t="n">
        <v>3.1</v>
      </c>
      <c r="H322" t="n">
        <v>0</v>
      </c>
      <c r="I322" t="n">
        <v>1</v>
      </c>
      <c r="J322" t="n">
        <v>0</v>
      </c>
      <c r="K322" t="n">
        <v>0</v>
      </c>
      <c r="L322" t="n">
        <v>0</v>
      </c>
      <c r="M322" t="n">
        <v>0</v>
      </c>
      <c r="N322" t="n">
        <v>0</v>
      </c>
      <c r="O322" t="n">
        <v>0</v>
      </c>
      <c r="P322" t="n">
        <v>0</v>
      </c>
      <c r="Q322" t="n">
        <v>1</v>
      </c>
      <c r="R322" s="2" t="inlineStr">
        <is>
          <t>Granbarkgnagare</t>
        </is>
      </c>
      <c r="S322">
        <f>HYPERLINK("https://klasma.github.io/Logging_0181/artfynd/A 10274-2025 artfynd.xlsx", "A 10274-2025")</f>
        <v/>
      </c>
      <c r="T322">
        <f>HYPERLINK("https://klasma.github.io/Logging_0181/kartor/A 10274-2025 karta.png", "A 10274-2025")</f>
        <v/>
      </c>
      <c r="V322">
        <f>HYPERLINK("https://klasma.github.io/Logging_0181/klagomål/A 10274-2025 FSC-klagomål.docx", "A 10274-2025")</f>
        <v/>
      </c>
      <c r="W322">
        <f>HYPERLINK("https://klasma.github.io/Logging_0181/klagomålsmail/A 10274-2025 FSC-klagomål mail.docx", "A 10274-2025")</f>
        <v/>
      </c>
      <c r="X322">
        <f>HYPERLINK("https://klasma.github.io/Logging_0181/tillsyn/A 10274-2025 tillsynsbegäran.docx", "A 10274-2025")</f>
        <v/>
      </c>
      <c r="Y322">
        <f>HYPERLINK("https://klasma.github.io/Logging_0181/tillsynsmail/A 10274-2025 tillsynsbegäran mail.docx", "A 10274-2025")</f>
        <v/>
      </c>
    </row>
    <row r="323" ht="15" customHeight="1">
      <c r="A323" t="inlineStr">
        <is>
          <t>A 23829-2023</t>
        </is>
      </c>
      <c r="B323" s="1" t="n">
        <v>45078</v>
      </c>
      <c r="C323" s="1" t="n">
        <v>46033</v>
      </c>
      <c r="D323" t="inlineStr">
        <is>
          <t>STOCKHOLMS LÄN</t>
        </is>
      </c>
      <c r="E323" t="inlineStr">
        <is>
          <t>BOTKYRKA</t>
        </is>
      </c>
      <c r="F323" t="inlineStr">
        <is>
          <t>Kommuner</t>
        </is>
      </c>
      <c r="G323" t="n">
        <v>3.7</v>
      </c>
      <c r="H323" t="n">
        <v>0</v>
      </c>
      <c r="I323" t="n">
        <v>1</v>
      </c>
      <c r="J323" t="n">
        <v>0</v>
      </c>
      <c r="K323" t="n">
        <v>0</v>
      </c>
      <c r="L323" t="n">
        <v>0</v>
      </c>
      <c r="M323" t="n">
        <v>0</v>
      </c>
      <c r="N323" t="n">
        <v>0</v>
      </c>
      <c r="O323" t="n">
        <v>0</v>
      </c>
      <c r="P323" t="n">
        <v>0</v>
      </c>
      <c r="Q323" t="n">
        <v>1</v>
      </c>
      <c r="R323" s="2" t="inlineStr">
        <is>
          <t>Fjällig taggsvamp s.str.</t>
        </is>
      </c>
      <c r="S323">
        <f>HYPERLINK("https://klasma.github.io/Logging_0127/artfynd/A 23829-2023 artfynd.xlsx", "A 23829-2023")</f>
        <v/>
      </c>
      <c r="T323">
        <f>HYPERLINK("https://klasma.github.io/Logging_0127/kartor/A 23829-2023 karta.png", "A 23829-2023")</f>
        <v/>
      </c>
      <c r="V323">
        <f>HYPERLINK("https://klasma.github.io/Logging_0127/klagomål/A 23829-2023 FSC-klagomål.docx", "A 23829-2023")</f>
        <v/>
      </c>
      <c r="W323">
        <f>HYPERLINK("https://klasma.github.io/Logging_0127/klagomålsmail/A 23829-2023 FSC-klagomål mail.docx", "A 23829-2023")</f>
        <v/>
      </c>
      <c r="X323">
        <f>HYPERLINK("https://klasma.github.io/Logging_0127/tillsyn/A 23829-2023 tillsynsbegäran.docx", "A 23829-2023")</f>
        <v/>
      </c>
      <c r="Y323">
        <f>HYPERLINK("https://klasma.github.io/Logging_0127/tillsynsmail/A 23829-2023 tillsynsbegäran mail.docx", "A 23829-2023")</f>
        <v/>
      </c>
    </row>
    <row r="324" ht="15" customHeight="1">
      <c r="A324" t="inlineStr">
        <is>
          <t>A 26120-2024</t>
        </is>
      </c>
      <c r="B324" s="1" t="n">
        <v>45468.45995370371</v>
      </c>
      <c r="C324" s="1" t="n">
        <v>46033</v>
      </c>
      <c r="D324" t="inlineStr">
        <is>
          <t>STOCKHOLMS LÄN</t>
        </is>
      </c>
      <c r="E324" t="inlineStr">
        <is>
          <t>NORRTÄLJE</t>
        </is>
      </c>
      <c r="G324" t="n">
        <v>1.8</v>
      </c>
      <c r="H324" t="n">
        <v>0</v>
      </c>
      <c r="I324" t="n">
        <v>0</v>
      </c>
      <c r="J324" t="n">
        <v>1</v>
      </c>
      <c r="K324" t="n">
        <v>0</v>
      </c>
      <c r="L324" t="n">
        <v>0</v>
      </c>
      <c r="M324" t="n">
        <v>0</v>
      </c>
      <c r="N324" t="n">
        <v>0</v>
      </c>
      <c r="O324" t="n">
        <v>1</v>
      </c>
      <c r="P324" t="n">
        <v>0</v>
      </c>
      <c r="Q324" t="n">
        <v>1</v>
      </c>
      <c r="R324" s="2" t="inlineStr">
        <is>
          <t>Majviva</t>
        </is>
      </c>
      <c r="S324">
        <f>HYPERLINK("https://klasma.github.io/Logging_0188/artfynd/A 26120-2024 artfynd.xlsx", "A 26120-2024")</f>
        <v/>
      </c>
      <c r="T324">
        <f>HYPERLINK("https://klasma.github.io/Logging_0188/kartor/A 26120-2024 karta.png", "A 26120-2024")</f>
        <v/>
      </c>
      <c r="V324">
        <f>HYPERLINK("https://klasma.github.io/Logging_0188/klagomål/A 26120-2024 FSC-klagomål.docx", "A 26120-2024")</f>
        <v/>
      </c>
      <c r="W324">
        <f>HYPERLINK("https://klasma.github.io/Logging_0188/klagomålsmail/A 26120-2024 FSC-klagomål mail.docx", "A 26120-2024")</f>
        <v/>
      </c>
      <c r="X324">
        <f>HYPERLINK("https://klasma.github.io/Logging_0188/tillsyn/A 26120-2024 tillsynsbegäran.docx", "A 26120-2024")</f>
        <v/>
      </c>
      <c r="Y324">
        <f>HYPERLINK("https://klasma.github.io/Logging_0188/tillsynsmail/A 26120-2024 tillsynsbegäran mail.docx", "A 26120-2024")</f>
        <v/>
      </c>
    </row>
    <row r="325" ht="15" customHeight="1">
      <c r="A325" t="inlineStr">
        <is>
          <t>A 51189-2022</t>
        </is>
      </c>
      <c r="B325" s="1" t="n">
        <v>44865</v>
      </c>
      <c r="C325" s="1" t="n">
        <v>46033</v>
      </c>
      <c r="D325" t="inlineStr">
        <is>
          <t>STOCKHOLMS LÄN</t>
        </is>
      </c>
      <c r="E325" t="inlineStr">
        <is>
          <t>SIGTUNA</t>
        </is>
      </c>
      <c r="G325" t="n">
        <v>32.8</v>
      </c>
      <c r="H325" t="n">
        <v>0</v>
      </c>
      <c r="I325" t="n">
        <v>0</v>
      </c>
      <c r="J325" t="n">
        <v>1</v>
      </c>
      <c r="K325" t="n">
        <v>0</v>
      </c>
      <c r="L325" t="n">
        <v>0</v>
      </c>
      <c r="M325" t="n">
        <v>0</v>
      </c>
      <c r="N325" t="n">
        <v>0</v>
      </c>
      <c r="O325" t="n">
        <v>1</v>
      </c>
      <c r="P325" t="n">
        <v>0</v>
      </c>
      <c r="Q325" t="n">
        <v>1</v>
      </c>
      <c r="R325" s="2" t="inlineStr">
        <is>
          <t>Vedskivlav</t>
        </is>
      </c>
      <c r="S325">
        <f>HYPERLINK("https://klasma.github.io/Logging_0191/artfynd/A 51189-2022 artfynd.xlsx", "A 51189-2022")</f>
        <v/>
      </c>
      <c r="T325">
        <f>HYPERLINK("https://klasma.github.io/Logging_0191/kartor/A 51189-2022 karta.png", "A 51189-2022")</f>
        <v/>
      </c>
      <c r="V325">
        <f>HYPERLINK("https://klasma.github.io/Logging_0191/klagomål/A 51189-2022 FSC-klagomål.docx", "A 51189-2022")</f>
        <v/>
      </c>
      <c r="W325">
        <f>HYPERLINK("https://klasma.github.io/Logging_0191/klagomålsmail/A 51189-2022 FSC-klagomål mail.docx", "A 51189-2022")</f>
        <v/>
      </c>
      <c r="X325">
        <f>HYPERLINK("https://klasma.github.io/Logging_0191/tillsyn/A 51189-2022 tillsynsbegäran.docx", "A 51189-2022")</f>
        <v/>
      </c>
      <c r="Y325">
        <f>HYPERLINK("https://klasma.github.io/Logging_0191/tillsynsmail/A 51189-2022 tillsynsbegäran mail.docx", "A 51189-2022")</f>
        <v/>
      </c>
    </row>
    <row r="326" ht="15" customHeight="1">
      <c r="A326" t="inlineStr">
        <is>
          <t>A 53357-2025</t>
        </is>
      </c>
      <c r="B326" s="1" t="n">
        <v>45959.46942129629</v>
      </c>
      <c r="C326" s="1" t="n">
        <v>46033</v>
      </c>
      <c r="D326" t="inlineStr">
        <is>
          <t>STOCKHOLMS LÄN</t>
        </is>
      </c>
      <c r="E326" t="inlineStr">
        <is>
          <t>UPPLANDS-BRO</t>
        </is>
      </c>
      <c r="G326" t="n">
        <v>2.4</v>
      </c>
      <c r="H326" t="n">
        <v>1</v>
      </c>
      <c r="I326" t="n">
        <v>0</v>
      </c>
      <c r="J326" t="n">
        <v>0</v>
      </c>
      <c r="K326" t="n">
        <v>1</v>
      </c>
      <c r="L326" t="n">
        <v>0</v>
      </c>
      <c r="M326" t="n">
        <v>0</v>
      </c>
      <c r="N326" t="n">
        <v>0</v>
      </c>
      <c r="O326" t="n">
        <v>1</v>
      </c>
      <c r="P326" t="n">
        <v>1</v>
      </c>
      <c r="Q326" t="n">
        <v>1</v>
      </c>
      <c r="R326" s="2" t="inlineStr">
        <is>
          <t>Bombmurkla</t>
        </is>
      </c>
      <c r="S326">
        <f>HYPERLINK("https://klasma.github.io/Logging_0139/artfynd/A 53357-2025 artfynd.xlsx", "A 53357-2025")</f>
        <v/>
      </c>
      <c r="T326">
        <f>HYPERLINK("https://klasma.github.io/Logging_0139/kartor/A 53357-2025 karta.png", "A 53357-2025")</f>
        <v/>
      </c>
      <c r="V326">
        <f>HYPERLINK("https://klasma.github.io/Logging_0139/klagomål/A 53357-2025 FSC-klagomål.docx", "A 53357-2025")</f>
        <v/>
      </c>
      <c r="W326">
        <f>HYPERLINK("https://klasma.github.io/Logging_0139/klagomålsmail/A 53357-2025 FSC-klagomål mail.docx", "A 53357-2025")</f>
        <v/>
      </c>
      <c r="X326">
        <f>HYPERLINK("https://klasma.github.io/Logging_0139/tillsyn/A 53357-2025 tillsynsbegäran.docx", "A 53357-2025")</f>
        <v/>
      </c>
      <c r="Y326">
        <f>HYPERLINK("https://klasma.github.io/Logging_0139/tillsynsmail/A 53357-2025 tillsynsbegäran mail.docx", "A 53357-2025")</f>
        <v/>
      </c>
    </row>
    <row r="327" ht="15" customHeight="1">
      <c r="A327" t="inlineStr">
        <is>
          <t>A 13291-2025</t>
        </is>
      </c>
      <c r="B327" s="1" t="n">
        <v>45735</v>
      </c>
      <c r="C327" s="1" t="n">
        <v>46033</v>
      </c>
      <c r="D327" t="inlineStr">
        <is>
          <t>STOCKHOLMS LÄN</t>
        </is>
      </c>
      <c r="E327" t="inlineStr">
        <is>
          <t>NORRTÄLJE</t>
        </is>
      </c>
      <c r="G327" t="n">
        <v>3.8</v>
      </c>
      <c r="H327" t="n">
        <v>1</v>
      </c>
      <c r="I327" t="n">
        <v>0</v>
      </c>
      <c r="J327" t="n">
        <v>0</v>
      </c>
      <c r="K327" t="n">
        <v>0</v>
      </c>
      <c r="L327" t="n">
        <v>0</v>
      </c>
      <c r="M327" t="n">
        <v>0</v>
      </c>
      <c r="N327" t="n">
        <v>0</v>
      </c>
      <c r="O327" t="n">
        <v>0</v>
      </c>
      <c r="P327" t="n">
        <v>0</v>
      </c>
      <c r="Q327" t="n">
        <v>1</v>
      </c>
      <c r="R327" s="2" t="inlineStr">
        <is>
          <t>Blåsippa</t>
        </is>
      </c>
      <c r="S327">
        <f>HYPERLINK("https://klasma.github.io/Logging_0188/artfynd/A 13291-2025 artfynd.xlsx", "A 13291-2025")</f>
        <v/>
      </c>
      <c r="T327">
        <f>HYPERLINK("https://klasma.github.io/Logging_0188/kartor/A 13291-2025 karta.png", "A 13291-2025")</f>
        <v/>
      </c>
      <c r="V327">
        <f>HYPERLINK("https://klasma.github.io/Logging_0188/klagomål/A 13291-2025 FSC-klagomål.docx", "A 13291-2025")</f>
        <v/>
      </c>
      <c r="W327">
        <f>HYPERLINK("https://klasma.github.io/Logging_0188/klagomålsmail/A 13291-2025 FSC-klagomål mail.docx", "A 13291-2025")</f>
        <v/>
      </c>
      <c r="X327">
        <f>HYPERLINK("https://klasma.github.io/Logging_0188/tillsyn/A 13291-2025 tillsynsbegäran.docx", "A 13291-2025")</f>
        <v/>
      </c>
      <c r="Y327">
        <f>HYPERLINK("https://klasma.github.io/Logging_0188/tillsynsmail/A 13291-2025 tillsynsbegäran mail.docx", "A 13291-2025")</f>
        <v/>
      </c>
    </row>
    <row r="328" ht="15" customHeight="1">
      <c r="A328" t="inlineStr">
        <is>
          <t>A 36505-2025</t>
        </is>
      </c>
      <c r="B328" s="1" t="n">
        <v>45869.57192129629</v>
      </c>
      <c r="C328" s="1" t="n">
        <v>46033</v>
      </c>
      <c r="D328" t="inlineStr">
        <is>
          <t>STOCKHOLMS LÄN</t>
        </is>
      </c>
      <c r="E328" t="inlineStr">
        <is>
          <t>SÖDERTÄLJE</t>
        </is>
      </c>
      <c r="F328" t="inlineStr">
        <is>
          <t>Sveaskog</t>
        </is>
      </c>
      <c r="G328" t="n">
        <v>1.7</v>
      </c>
      <c r="H328" t="n">
        <v>1</v>
      </c>
      <c r="I328" t="n">
        <v>0</v>
      </c>
      <c r="J328" t="n">
        <v>0</v>
      </c>
      <c r="K328" t="n">
        <v>0</v>
      </c>
      <c r="L328" t="n">
        <v>0</v>
      </c>
      <c r="M328" t="n">
        <v>0</v>
      </c>
      <c r="N328" t="n">
        <v>0</v>
      </c>
      <c r="O328" t="n">
        <v>0</v>
      </c>
      <c r="P328" t="n">
        <v>0</v>
      </c>
      <c r="Q328" t="n">
        <v>1</v>
      </c>
      <c r="R328" s="2" t="inlineStr">
        <is>
          <t>Mattlummer</t>
        </is>
      </c>
      <c r="S328">
        <f>HYPERLINK("https://klasma.github.io/Logging_0181/artfynd/A 36505-2025 artfynd.xlsx", "A 36505-2025")</f>
        <v/>
      </c>
      <c r="T328">
        <f>HYPERLINK("https://klasma.github.io/Logging_0181/kartor/A 36505-2025 karta.png", "A 36505-2025")</f>
        <v/>
      </c>
      <c r="V328">
        <f>HYPERLINK("https://klasma.github.io/Logging_0181/klagomål/A 36505-2025 FSC-klagomål.docx", "A 36505-2025")</f>
        <v/>
      </c>
      <c r="W328">
        <f>HYPERLINK("https://klasma.github.io/Logging_0181/klagomålsmail/A 36505-2025 FSC-klagomål mail.docx", "A 36505-2025")</f>
        <v/>
      </c>
      <c r="X328">
        <f>HYPERLINK("https://klasma.github.io/Logging_0181/tillsyn/A 36505-2025 tillsynsbegäran.docx", "A 36505-2025")</f>
        <v/>
      </c>
      <c r="Y328">
        <f>HYPERLINK("https://klasma.github.io/Logging_0181/tillsynsmail/A 36505-2025 tillsynsbegäran mail.docx", "A 36505-2025")</f>
        <v/>
      </c>
    </row>
    <row r="329" ht="15" customHeight="1">
      <c r="A329" t="inlineStr">
        <is>
          <t>A 24262-2023</t>
        </is>
      </c>
      <c r="B329" s="1" t="n">
        <v>45076</v>
      </c>
      <c r="C329" s="1" t="n">
        <v>46033</v>
      </c>
      <c r="D329" t="inlineStr">
        <is>
          <t>STOCKHOLMS LÄN</t>
        </is>
      </c>
      <c r="E329" t="inlineStr">
        <is>
          <t>HUDDINGE</t>
        </is>
      </c>
      <c r="G329" t="n">
        <v>2.5</v>
      </c>
      <c r="H329" t="n">
        <v>0</v>
      </c>
      <c r="I329" t="n">
        <v>1</v>
      </c>
      <c r="J329" t="n">
        <v>0</v>
      </c>
      <c r="K329" t="n">
        <v>0</v>
      </c>
      <c r="L329" t="n">
        <v>0</v>
      </c>
      <c r="M329" t="n">
        <v>0</v>
      </c>
      <c r="N329" t="n">
        <v>0</v>
      </c>
      <c r="O329" t="n">
        <v>0</v>
      </c>
      <c r="P329" t="n">
        <v>0</v>
      </c>
      <c r="Q329" t="n">
        <v>1</v>
      </c>
      <c r="R329" s="2" t="inlineStr">
        <is>
          <t>Tibast</t>
        </is>
      </c>
      <c r="S329">
        <f>HYPERLINK("https://klasma.github.io/Logging_0126/artfynd/A 24262-2023 artfynd.xlsx", "A 24262-2023")</f>
        <v/>
      </c>
      <c r="T329">
        <f>HYPERLINK("https://klasma.github.io/Logging_0126/kartor/A 24262-2023 karta.png", "A 24262-2023")</f>
        <v/>
      </c>
      <c r="V329">
        <f>HYPERLINK("https://klasma.github.io/Logging_0126/klagomål/A 24262-2023 FSC-klagomål.docx", "A 24262-2023")</f>
        <v/>
      </c>
      <c r="W329">
        <f>HYPERLINK("https://klasma.github.io/Logging_0126/klagomålsmail/A 24262-2023 FSC-klagomål mail.docx", "A 24262-2023")</f>
        <v/>
      </c>
      <c r="X329">
        <f>HYPERLINK("https://klasma.github.io/Logging_0126/tillsyn/A 24262-2023 tillsynsbegäran.docx", "A 24262-2023")</f>
        <v/>
      </c>
      <c r="Y329">
        <f>HYPERLINK("https://klasma.github.io/Logging_0126/tillsynsmail/A 24262-2023 tillsynsbegäran mail.docx", "A 24262-2023")</f>
        <v/>
      </c>
    </row>
    <row r="330" ht="15" customHeight="1">
      <c r="A330" t="inlineStr">
        <is>
          <t>A 31142-2023</t>
        </is>
      </c>
      <c r="B330" s="1" t="n">
        <v>45113</v>
      </c>
      <c r="C330" s="1" t="n">
        <v>46033</v>
      </c>
      <c r="D330" t="inlineStr">
        <is>
          <t>STOCKHOLMS LÄN</t>
        </is>
      </c>
      <c r="E330" t="inlineStr">
        <is>
          <t>NYNÄSHAMN</t>
        </is>
      </c>
      <c r="G330" t="n">
        <v>5.7</v>
      </c>
      <c r="H330" t="n">
        <v>0</v>
      </c>
      <c r="I330" t="n">
        <v>0</v>
      </c>
      <c r="J330" t="n">
        <v>0</v>
      </c>
      <c r="K330" t="n">
        <v>0</v>
      </c>
      <c r="L330" t="n">
        <v>1</v>
      </c>
      <c r="M330" t="n">
        <v>0</v>
      </c>
      <c r="N330" t="n">
        <v>0</v>
      </c>
      <c r="O330" t="n">
        <v>1</v>
      </c>
      <c r="P330" t="n">
        <v>1</v>
      </c>
      <c r="Q330" t="n">
        <v>1</v>
      </c>
      <c r="R330" s="2" t="inlineStr">
        <is>
          <t>Ask</t>
        </is>
      </c>
      <c r="S330">
        <f>HYPERLINK("https://klasma.github.io/Logging_0192/artfynd/A 31142-2023 artfynd.xlsx", "A 31142-2023")</f>
        <v/>
      </c>
      <c r="T330">
        <f>HYPERLINK("https://klasma.github.io/Logging_0192/kartor/A 31142-2023 karta.png", "A 31142-2023")</f>
        <v/>
      </c>
      <c r="V330">
        <f>HYPERLINK("https://klasma.github.io/Logging_0192/klagomål/A 31142-2023 FSC-klagomål.docx", "A 31142-2023")</f>
        <v/>
      </c>
      <c r="W330">
        <f>HYPERLINK("https://klasma.github.io/Logging_0192/klagomålsmail/A 31142-2023 FSC-klagomål mail.docx", "A 31142-2023")</f>
        <v/>
      </c>
      <c r="X330">
        <f>HYPERLINK("https://klasma.github.io/Logging_0192/tillsyn/A 31142-2023 tillsynsbegäran.docx", "A 31142-2023")</f>
        <v/>
      </c>
      <c r="Y330">
        <f>HYPERLINK("https://klasma.github.io/Logging_0192/tillsynsmail/A 31142-2023 tillsynsbegäran mail.docx", "A 31142-2023")</f>
        <v/>
      </c>
    </row>
    <row r="331" ht="15" customHeight="1">
      <c r="A331" t="inlineStr">
        <is>
          <t>A 64456-2023</t>
        </is>
      </c>
      <c r="B331" s="1" t="n">
        <v>45280</v>
      </c>
      <c r="C331" s="1" t="n">
        <v>46033</v>
      </c>
      <c r="D331" t="inlineStr">
        <is>
          <t>STOCKHOLMS LÄN</t>
        </is>
      </c>
      <c r="E331" t="inlineStr">
        <is>
          <t>NORRTÄLJE</t>
        </is>
      </c>
      <c r="G331" t="n">
        <v>2.5</v>
      </c>
      <c r="H331" t="n">
        <v>0</v>
      </c>
      <c r="I331" t="n">
        <v>1</v>
      </c>
      <c r="J331" t="n">
        <v>0</v>
      </c>
      <c r="K331" t="n">
        <v>0</v>
      </c>
      <c r="L331" t="n">
        <v>0</v>
      </c>
      <c r="M331" t="n">
        <v>0</v>
      </c>
      <c r="N331" t="n">
        <v>0</v>
      </c>
      <c r="O331" t="n">
        <v>0</v>
      </c>
      <c r="P331" t="n">
        <v>0</v>
      </c>
      <c r="Q331" t="n">
        <v>1</v>
      </c>
      <c r="R331" s="2" t="inlineStr">
        <is>
          <t>Rödgul trumpetsvamp</t>
        </is>
      </c>
      <c r="S331">
        <f>HYPERLINK("https://klasma.github.io/Logging_0188/artfynd/A 64456-2023 artfynd.xlsx", "A 64456-2023")</f>
        <v/>
      </c>
      <c r="T331">
        <f>HYPERLINK("https://klasma.github.io/Logging_0188/kartor/A 64456-2023 karta.png", "A 64456-2023")</f>
        <v/>
      </c>
      <c r="V331">
        <f>HYPERLINK("https://klasma.github.io/Logging_0188/klagomål/A 64456-2023 FSC-klagomål.docx", "A 64456-2023")</f>
        <v/>
      </c>
      <c r="W331">
        <f>HYPERLINK("https://klasma.github.io/Logging_0188/klagomålsmail/A 64456-2023 FSC-klagomål mail.docx", "A 64456-2023")</f>
        <v/>
      </c>
      <c r="X331">
        <f>HYPERLINK("https://klasma.github.io/Logging_0188/tillsyn/A 64456-2023 tillsynsbegäran.docx", "A 64456-2023")</f>
        <v/>
      </c>
      <c r="Y331">
        <f>HYPERLINK("https://klasma.github.io/Logging_0188/tillsynsmail/A 64456-2023 tillsynsbegäran mail.docx", "A 64456-2023")</f>
        <v/>
      </c>
    </row>
    <row r="332" ht="15" customHeight="1">
      <c r="A332" t="inlineStr">
        <is>
          <t>A 8371-2025</t>
        </is>
      </c>
      <c r="B332" s="1" t="n">
        <v>45708</v>
      </c>
      <c r="C332" s="1" t="n">
        <v>46033</v>
      </c>
      <c r="D332" t="inlineStr">
        <is>
          <t>STOCKHOLMS LÄN</t>
        </is>
      </c>
      <c r="E332" t="inlineStr">
        <is>
          <t>NORRTÄLJE</t>
        </is>
      </c>
      <c r="F332" t="inlineStr">
        <is>
          <t>Övriga Aktiebolag</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HYPERLINK("https://klasma.github.io/Logging_0188/artfynd/A 8371-2025 artfynd.xlsx", "A 8371-2025")</f>
        <v/>
      </c>
      <c r="T332">
        <f>HYPERLINK("https://klasma.github.io/Logging_0188/kartor/A 8371-2025 karta.png", "A 8371-2025")</f>
        <v/>
      </c>
      <c r="V332">
        <f>HYPERLINK("https://klasma.github.io/Logging_0188/klagomål/A 8371-2025 FSC-klagomål.docx", "A 8371-2025")</f>
        <v/>
      </c>
      <c r="W332">
        <f>HYPERLINK("https://klasma.github.io/Logging_0188/klagomålsmail/A 8371-2025 FSC-klagomål mail.docx", "A 8371-2025")</f>
        <v/>
      </c>
      <c r="X332">
        <f>HYPERLINK("https://klasma.github.io/Logging_0188/tillsyn/A 8371-2025 tillsynsbegäran.docx", "A 8371-2025")</f>
        <v/>
      </c>
      <c r="Y332">
        <f>HYPERLINK("https://klasma.github.io/Logging_0188/tillsynsmail/A 8371-2025 tillsynsbegäran mail.docx", "A 8371-2025")</f>
        <v/>
      </c>
      <c r="Z332">
        <f>HYPERLINK("https://klasma.github.io/Logging_0188/fåglar/A 8371-2025 prioriterade fågelarter.docx", "A 8371-2025")</f>
        <v/>
      </c>
    </row>
    <row r="333" ht="15" customHeight="1">
      <c r="A333" t="inlineStr">
        <is>
          <t>A 53716-2025</t>
        </is>
      </c>
      <c r="B333" s="1" t="n">
        <v>45960.61782407408</v>
      </c>
      <c r="C333" s="1" t="n">
        <v>46033</v>
      </c>
      <c r="D333" t="inlineStr">
        <is>
          <t>STOCKHOLMS LÄN</t>
        </is>
      </c>
      <c r="E333" t="inlineStr">
        <is>
          <t>NORRTÄLJE</t>
        </is>
      </c>
      <c r="G333" t="n">
        <v>3.4</v>
      </c>
      <c r="H333" t="n">
        <v>0</v>
      </c>
      <c r="I333" t="n">
        <v>0</v>
      </c>
      <c r="J333" t="n">
        <v>0</v>
      </c>
      <c r="K333" t="n">
        <v>0</v>
      </c>
      <c r="L333" t="n">
        <v>1</v>
      </c>
      <c r="M333" t="n">
        <v>0</v>
      </c>
      <c r="N333" t="n">
        <v>0</v>
      </c>
      <c r="O333" t="n">
        <v>1</v>
      </c>
      <c r="P333" t="n">
        <v>1</v>
      </c>
      <c r="Q333" t="n">
        <v>1</v>
      </c>
      <c r="R333" s="2" t="inlineStr">
        <is>
          <t>Fältgentiana</t>
        </is>
      </c>
      <c r="S333">
        <f>HYPERLINK("https://klasma.github.io/Logging_0188/artfynd/A 53716-2025 artfynd.xlsx", "A 53716-2025")</f>
        <v/>
      </c>
      <c r="T333">
        <f>HYPERLINK("https://klasma.github.io/Logging_0188/kartor/A 53716-2025 karta.png", "A 53716-2025")</f>
        <v/>
      </c>
      <c r="V333">
        <f>HYPERLINK("https://klasma.github.io/Logging_0188/klagomål/A 53716-2025 FSC-klagomål.docx", "A 53716-2025")</f>
        <v/>
      </c>
      <c r="W333">
        <f>HYPERLINK("https://klasma.github.io/Logging_0188/klagomålsmail/A 53716-2025 FSC-klagomål mail.docx", "A 53716-2025")</f>
        <v/>
      </c>
      <c r="X333">
        <f>HYPERLINK("https://klasma.github.io/Logging_0188/tillsyn/A 53716-2025 tillsynsbegäran.docx", "A 53716-2025")</f>
        <v/>
      </c>
      <c r="Y333">
        <f>HYPERLINK("https://klasma.github.io/Logging_0188/tillsynsmail/A 53716-2025 tillsynsbegäran mail.docx", "A 53716-2025")</f>
        <v/>
      </c>
    </row>
    <row r="334" ht="15" customHeight="1">
      <c r="A334" t="inlineStr">
        <is>
          <t>A 7890-2023</t>
        </is>
      </c>
      <c r="B334" s="1" t="n">
        <v>44973</v>
      </c>
      <c r="C334" s="1" t="n">
        <v>46033</v>
      </c>
      <c r="D334" t="inlineStr">
        <is>
          <t>STOCKHOLMS LÄN</t>
        </is>
      </c>
      <c r="E334" t="inlineStr">
        <is>
          <t>VALLENTUNA</t>
        </is>
      </c>
      <c r="G334" t="n">
        <v>0.5</v>
      </c>
      <c r="H334" t="n">
        <v>0</v>
      </c>
      <c r="I334" t="n">
        <v>0</v>
      </c>
      <c r="J334" t="n">
        <v>1</v>
      </c>
      <c r="K334" t="n">
        <v>0</v>
      </c>
      <c r="L334" t="n">
        <v>0</v>
      </c>
      <c r="M334" t="n">
        <v>0</v>
      </c>
      <c r="N334" t="n">
        <v>0</v>
      </c>
      <c r="O334" t="n">
        <v>1</v>
      </c>
      <c r="P334" t="n">
        <v>0</v>
      </c>
      <c r="Q334" t="n">
        <v>1</v>
      </c>
      <c r="R334" s="2" t="inlineStr">
        <is>
          <t>Ullticka</t>
        </is>
      </c>
      <c r="S334">
        <f>HYPERLINK("https://klasma.github.io/Logging_0115/artfynd/A 7890-2023 artfynd.xlsx", "A 7890-2023")</f>
        <v/>
      </c>
      <c r="T334">
        <f>HYPERLINK("https://klasma.github.io/Logging_0115/kartor/A 7890-2023 karta.png", "A 7890-2023")</f>
        <v/>
      </c>
      <c r="V334">
        <f>HYPERLINK("https://klasma.github.io/Logging_0115/klagomål/A 7890-2023 FSC-klagomål.docx", "A 7890-2023")</f>
        <v/>
      </c>
      <c r="W334">
        <f>HYPERLINK("https://klasma.github.io/Logging_0115/klagomålsmail/A 7890-2023 FSC-klagomål mail.docx", "A 7890-2023")</f>
        <v/>
      </c>
      <c r="X334">
        <f>HYPERLINK("https://klasma.github.io/Logging_0115/tillsyn/A 7890-2023 tillsynsbegäran.docx", "A 7890-2023")</f>
        <v/>
      </c>
      <c r="Y334">
        <f>HYPERLINK("https://klasma.github.io/Logging_0115/tillsynsmail/A 7890-2023 tillsynsbegäran mail.docx", "A 7890-2023")</f>
        <v/>
      </c>
    </row>
    <row r="335" ht="15" customHeight="1">
      <c r="A335" t="inlineStr">
        <is>
          <t>A 35155-2023</t>
        </is>
      </c>
      <c r="B335" s="1" t="n">
        <v>45145</v>
      </c>
      <c r="C335" s="1" t="n">
        <v>46033</v>
      </c>
      <c r="D335" t="inlineStr">
        <is>
          <t>STOCKHOLMS LÄN</t>
        </is>
      </c>
      <c r="E335" t="inlineStr">
        <is>
          <t>SÖDERTÄLJE</t>
        </is>
      </c>
      <c r="G335" t="n">
        <v>4.1</v>
      </c>
      <c r="H335" t="n">
        <v>1</v>
      </c>
      <c r="I335" t="n">
        <v>0</v>
      </c>
      <c r="J335" t="n">
        <v>0</v>
      </c>
      <c r="K335" t="n">
        <v>0</v>
      </c>
      <c r="L335" t="n">
        <v>0</v>
      </c>
      <c r="M335" t="n">
        <v>0</v>
      </c>
      <c r="N335" t="n">
        <v>0</v>
      </c>
      <c r="O335" t="n">
        <v>0</v>
      </c>
      <c r="P335" t="n">
        <v>0</v>
      </c>
      <c r="Q335" t="n">
        <v>1</v>
      </c>
      <c r="R335" s="2" t="inlineStr">
        <is>
          <t>Mattlummer</t>
        </is>
      </c>
      <c r="S335">
        <f>HYPERLINK("https://klasma.github.io/Logging_0181/artfynd/A 35155-2023 artfynd.xlsx", "A 35155-2023")</f>
        <v/>
      </c>
      <c r="T335">
        <f>HYPERLINK("https://klasma.github.io/Logging_0181/kartor/A 35155-2023 karta.png", "A 35155-2023")</f>
        <v/>
      </c>
      <c r="V335">
        <f>HYPERLINK("https://klasma.github.io/Logging_0181/klagomål/A 35155-2023 FSC-klagomål.docx", "A 35155-2023")</f>
        <v/>
      </c>
      <c r="W335">
        <f>HYPERLINK("https://klasma.github.io/Logging_0181/klagomålsmail/A 35155-2023 FSC-klagomål mail.docx", "A 35155-2023")</f>
        <v/>
      </c>
      <c r="X335">
        <f>HYPERLINK("https://klasma.github.io/Logging_0181/tillsyn/A 35155-2023 tillsynsbegäran.docx", "A 35155-2023")</f>
        <v/>
      </c>
      <c r="Y335">
        <f>HYPERLINK("https://klasma.github.io/Logging_0181/tillsynsmail/A 35155-2023 tillsynsbegäran mail.docx", "A 35155-2023")</f>
        <v/>
      </c>
    </row>
    <row r="336" ht="15" customHeight="1">
      <c r="A336" t="inlineStr">
        <is>
          <t>A 10059-2022</t>
        </is>
      </c>
      <c r="B336" s="1" t="n">
        <v>44621</v>
      </c>
      <c r="C336" s="1" t="n">
        <v>46033</v>
      </c>
      <c r="D336" t="inlineStr">
        <is>
          <t>STOCKHOLMS LÄN</t>
        </is>
      </c>
      <c r="E336" t="inlineStr">
        <is>
          <t>NYNÄSHAMN</t>
        </is>
      </c>
      <c r="G336" t="n">
        <v>17</v>
      </c>
      <c r="H336" t="n">
        <v>0</v>
      </c>
      <c r="I336" t="n">
        <v>1</v>
      </c>
      <c r="J336" t="n">
        <v>0</v>
      </c>
      <c r="K336" t="n">
        <v>0</v>
      </c>
      <c r="L336" t="n">
        <v>0</v>
      </c>
      <c r="M336" t="n">
        <v>0</v>
      </c>
      <c r="N336" t="n">
        <v>0</v>
      </c>
      <c r="O336" t="n">
        <v>0</v>
      </c>
      <c r="P336" t="n">
        <v>0</v>
      </c>
      <c r="Q336" t="n">
        <v>1</v>
      </c>
      <c r="R336" s="2" t="inlineStr">
        <is>
          <t>Bollvitmossa</t>
        </is>
      </c>
      <c r="S336">
        <f>HYPERLINK("https://klasma.github.io/Logging_0192/artfynd/A 10059-2022 artfynd.xlsx", "A 10059-2022")</f>
        <v/>
      </c>
      <c r="T336">
        <f>HYPERLINK("https://klasma.github.io/Logging_0192/kartor/A 10059-2022 karta.png", "A 10059-2022")</f>
        <v/>
      </c>
      <c r="V336">
        <f>HYPERLINK("https://klasma.github.io/Logging_0192/klagomål/A 10059-2022 FSC-klagomål.docx", "A 10059-2022")</f>
        <v/>
      </c>
      <c r="W336">
        <f>HYPERLINK("https://klasma.github.io/Logging_0192/klagomålsmail/A 10059-2022 FSC-klagomål mail.docx", "A 10059-2022")</f>
        <v/>
      </c>
      <c r="X336">
        <f>HYPERLINK("https://klasma.github.io/Logging_0192/tillsyn/A 10059-2022 tillsynsbegäran.docx", "A 10059-2022")</f>
        <v/>
      </c>
      <c r="Y336">
        <f>HYPERLINK("https://klasma.github.io/Logging_0192/tillsynsmail/A 10059-2022 tillsynsbegäran mail.docx", "A 10059-2022")</f>
        <v/>
      </c>
    </row>
    <row r="337" ht="15" customHeight="1">
      <c r="A337" t="inlineStr">
        <is>
          <t>A 54481-2025</t>
        </is>
      </c>
      <c r="B337" s="1" t="n">
        <v>45965.58837962963</v>
      </c>
      <c r="C337" s="1" t="n">
        <v>46033</v>
      </c>
      <c r="D337" t="inlineStr">
        <is>
          <t>STOCKHOLMS LÄN</t>
        </is>
      </c>
      <c r="E337" t="inlineStr">
        <is>
          <t>VALLENTUNA</t>
        </is>
      </c>
      <c r="G337" t="n">
        <v>1.4</v>
      </c>
      <c r="H337" t="n">
        <v>0</v>
      </c>
      <c r="I337" t="n">
        <v>0</v>
      </c>
      <c r="J337" t="n">
        <v>1</v>
      </c>
      <c r="K337" t="n">
        <v>0</v>
      </c>
      <c r="L337" t="n">
        <v>0</v>
      </c>
      <c r="M337" t="n">
        <v>0</v>
      </c>
      <c r="N337" t="n">
        <v>0</v>
      </c>
      <c r="O337" t="n">
        <v>1</v>
      </c>
      <c r="P337" t="n">
        <v>0</v>
      </c>
      <c r="Q337" t="n">
        <v>1</v>
      </c>
      <c r="R337" s="2" t="inlineStr">
        <is>
          <t>Gullklöver</t>
        </is>
      </c>
      <c r="S337">
        <f>HYPERLINK("https://klasma.github.io/Logging_0115/artfynd/A 54481-2025 artfynd.xlsx", "A 54481-2025")</f>
        <v/>
      </c>
      <c r="T337">
        <f>HYPERLINK("https://klasma.github.io/Logging_0115/kartor/A 54481-2025 karta.png", "A 54481-2025")</f>
        <v/>
      </c>
      <c r="V337">
        <f>HYPERLINK("https://klasma.github.io/Logging_0115/klagomål/A 54481-2025 FSC-klagomål.docx", "A 54481-2025")</f>
        <v/>
      </c>
      <c r="W337">
        <f>HYPERLINK("https://klasma.github.io/Logging_0115/klagomålsmail/A 54481-2025 FSC-klagomål mail.docx", "A 54481-2025")</f>
        <v/>
      </c>
      <c r="X337">
        <f>HYPERLINK("https://klasma.github.io/Logging_0115/tillsyn/A 54481-2025 tillsynsbegäran.docx", "A 54481-2025")</f>
        <v/>
      </c>
      <c r="Y337">
        <f>HYPERLINK("https://klasma.github.io/Logging_0115/tillsynsmail/A 54481-2025 tillsynsbegäran mail.docx", "A 54481-2025")</f>
        <v/>
      </c>
    </row>
    <row r="338" ht="15" customHeight="1">
      <c r="A338" t="inlineStr">
        <is>
          <t>A 52791-2024</t>
        </is>
      </c>
      <c r="B338" s="1" t="n">
        <v>45610.55574074074</v>
      </c>
      <c r="C338" s="1" t="n">
        <v>46033</v>
      </c>
      <c r="D338" t="inlineStr">
        <is>
          <t>STOCKHOLMS LÄN</t>
        </is>
      </c>
      <c r="E338" t="inlineStr">
        <is>
          <t>SÖDERTÄLJE</t>
        </is>
      </c>
      <c r="G338" t="n">
        <v>0.7</v>
      </c>
      <c r="H338" t="n">
        <v>1</v>
      </c>
      <c r="I338" t="n">
        <v>0</v>
      </c>
      <c r="J338" t="n">
        <v>1</v>
      </c>
      <c r="K338" t="n">
        <v>0</v>
      </c>
      <c r="L338" t="n">
        <v>0</v>
      </c>
      <c r="M338" t="n">
        <v>0</v>
      </c>
      <c r="N338" t="n">
        <v>0</v>
      </c>
      <c r="O338" t="n">
        <v>1</v>
      </c>
      <c r="P338" t="n">
        <v>0</v>
      </c>
      <c r="Q338" t="n">
        <v>1</v>
      </c>
      <c r="R338" s="2" t="inlineStr">
        <is>
          <t>Spillkråka</t>
        </is>
      </c>
      <c r="S338">
        <f>HYPERLINK("https://klasma.github.io/Logging_0181/artfynd/A 52791-2024 artfynd.xlsx", "A 52791-2024")</f>
        <v/>
      </c>
      <c r="T338">
        <f>HYPERLINK("https://klasma.github.io/Logging_0181/kartor/A 52791-2024 karta.png", "A 52791-2024")</f>
        <v/>
      </c>
      <c r="U338">
        <f>HYPERLINK("https://klasma.github.io/Logging_0181/knärot/A 52791-2024 karta knärot.png", "A 52791-2024")</f>
        <v/>
      </c>
      <c r="V338">
        <f>HYPERLINK("https://klasma.github.io/Logging_0181/klagomål/A 52791-2024 FSC-klagomål.docx", "A 52791-2024")</f>
        <v/>
      </c>
      <c r="W338">
        <f>HYPERLINK("https://klasma.github.io/Logging_0181/klagomålsmail/A 52791-2024 FSC-klagomål mail.docx", "A 52791-2024")</f>
        <v/>
      </c>
      <c r="X338">
        <f>HYPERLINK("https://klasma.github.io/Logging_0181/tillsyn/A 52791-2024 tillsynsbegäran.docx", "A 52791-2024")</f>
        <v/>
      </c>
      <c r="Y338">
        <f>HYPERLINK("https://klasma.github.io/Logging_0181/tillsynsmail/A 52791-2024 tillsynsbegäran mail.docx", "A 52791-2024")</f>
        <v/>
      </c>
      <c r="Z338">
        <f>HYPERLINK("https://klasma.github.io/Logging_0181/fåglar/A 52791-2024 prioriterade fågelarter.docx", "A 52791-2024")</f>
        <v/>
      </c>
    </row>
    <row r="339" ht="15" customHeight="1">
      <c r="A339" t="inlineStr">
        <is>
          <t>A 16870-2025</t>
        </is>
      </c>
      <c r="B339" s="1" t="n">
        <v>45754</v>
      </c>
      <c r="C339" s="1" t="n">
        <v>46033</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38968-2025</t>
        </is>
      </c>
      <c r="B340" s="1" t="n">
        <v>45887.70863425926</v>
      </c>
      <c r="C340" s="1" t="n">
        <v>46033</v>
      </c>
      <c r="D340" t="inlineStr">
        <is>
          <t>STOCKHOLMS LÄN</t>
        </is>
      </c>
      <c r="E340" t="inlineStr">
        <is>
          <t>ÖSTERÅKER</t>
        </is>
      </c>
      <c r="G340" t="n">
        <v>7.2</v>
      </c>
      <c r="H340" t="n">
        <v>0</v>
      </c>
      <c r="I340" t="n">
        <v>1</v>
      </c>
      <c r="J340" t="n">
        <v>0</v>
      </c>
      <c r="K340" t="n">
        <v>0</v>
      </c>
      <c r="L340" t="n">
        <v>0</v>
      </c>
      <c r="M340" t="n">
        <v>0</v>
      </c>
      <c r="N340" t="n">
        <v>0</v>
      </c>
      <c r="O340" t="n">
        <v>0</v>
      </c>
      <c r="P340" t="n">
        <v>0</v>
      </c>
      <c r="Q340" t="n">
        <v>1</v>
      </c>
      <c r="R340" s="2" t="inlineStr">
        <is>
          <t>Fjällig taggsvamp s.str.</t>
        </is>
      </c>
      <c r="S340">
        <f>HYPERLINK("https://klasma.github.io/Logging_0117/artfynd/A 38968-2025 artfynd.xlsx", "A 38968-2025")</f>
        <v/>
      </c>
      <c r="T340">
        <f>HYPERLINK("https://klasma.github.io/Logging_0117/kartor/A 38968-2025 karta.png", "A 38968-2025")</f>
        <v/>
      </c>
      <c r="V340">
        <f>HYPERLINK("https://klasma.github.io/Logging_0117/klagomål/A 38968-2025 FSC-klagomål.docx", "A 38968-2025")</f>
        <v/>
      </c>
      <c r="W340">
        <f>HYPERLINK("https://klasma.github.io/Logging_0117/klagomålsmail/A 38968-2025 FSC-klagomål mail.docx", "A 38968-2025")</f>
        <v/>
      </c>
      <c r="X340">
        <f>HYPERLINK("https://klasma.github.io/Logging_0117/tillsyn/A 38968-2025 tillsynsbegäran.docx", "A 38968-2025")</f>
        <v/>
      </c>
      <c r="Y340">
        <f>HYPERLINK("https://klasma.github.io/Logging_0117/tillsynsmail/A 38968-2025 tillsynsbegäran mail.docx", "A 38968-2025")</f>
        <v/>
      </c>
    </row>
    <row r="341" ht="15" customHeight="1">
      <c r="A341" t="inlineStr">
        <is>
          <t>A 22830-2024</t>
        </is>
      </c>
      <c r="B341" s="1" t="n">
        <v>45448.56583333333</v>
      </c>
      <c r="C341" s="1" t="n">
        <v>46033</v>
      </c>
      <c r="D341" t="inlineStr">
        <is>
          <t>STOCKHOLMS LÄN</t>
        </is>
      </c>
      <c r="E341" t="inlineStr">
        <is>
          <t>VALLENTUNA</t>
        </is>
      </c>
      <c r="G341" t="n">
        <v>0.3</v>
      </c>
      <c r="H341" t="n">
        <v>0</v>
      </c>
      <c r="I341" t="n">
        <v>0</v>
      </c>
      <c r="J341" t="n">
        <v>1</v>
      </c>
      <c r="K341" t="n">
        <v>0</v>
      </c>
      <c r="L341" t="n">
        <v>0</v>
      </c>
      <c r="M341" t="n">
        <v>0</v>
      </c>
      <c r="N341" t="n">
        <v>0</v>
      </c>
      <c r="O341" t="n">
        <v>1</v>
      </c>
      <c r="P341" t="n">
        <v>0</v>
      </c>
      <c r="Q341" t="n">
        <v>1</v>
      </c>
      <c r="R341" s="2" t="inlineStr">
        <is>
          <t>Tallticka</t>
        </is>
      </c>
      <c r="S341">
        <f>HYPERLINK("https://klasma.github.io/Logging_0115/artfynd/A 22830-2024 artfynd.xlsx", "A 22830-2024")</f>
        <v/>
      </c>
      <c r="T341">
        <f>HYPERLINK("https://klasma.github.io/Logging_0115/kartor/A 22830-2024 karta.png", "A 22830-2024")</f>
        <v/>
      </c>
      <c r="V341">
        <f>HYPERLINK("https://klasma.github.io/Logging_0115/klagomål/A 22830-2024 FSC-klagomål.docx", "A 22830-2024")</f>
        <v/>
      </c>
      <c r="W341">
        <f>HYPERLINK("https://klasma.github.io/Logging_0115/klagomålsmail/A 22830-2024 FSC-klagomål mail.docx", "A 22830-2024")</f>
        <v/>
      </c>
      <c r="X341">
        <f>HYPERLINK("https://klasma.github.io/Logging_0115/tillsyn/A 22830-2024 tillsynsbegäran.docx", "A 22830-2024")</f>
        <v/>
      </c>
      <c r="Y341">
        <f>HYPERLINK("https://klasma.github.io/Logging_0115/tillsynsmail/A 22830-2024 tillsynsbegäran mail.docx", "A 22830-2024")</f>
        <v/>
      </c>
    </row>
    <row r="342" ht="15" customHeight="1">
      <c r="A342" t="inlineStr">
        <is>
          <t>A 55044-2025</t>
        </is>
      </c>
      <c r="B342" s="1" t="n">
        <v>45967.66005787037</v>
      </c>
      <c r="C342" s="1" t="n">
        <v>46033</v>
      </c>
      <c r="D342" t="inlineStr">
        <is>
          <t>STOCKHOLMS LÄN</t>
        </is>
      </c>
      <c r="E342" t="inlineStr">
        <is>
          <t>SÖDERTÄLJE</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HYPERLINK("https://klasma.github.io/Logging_0181/artfynd/A 55044-2025 artfynd.xlsx", "A 55044-2025")</f>
        <v/>
      </c>
      <c r="T342">
        <f>HYPERLINK("https://klasma.github.io/Logging_0181/kartor/A 55044-2025 karta.png", "A 55044-2025")</f>
        <v/>
      </c>
      <c r="V342">
        <f>HYPERLINK("https://klasma.github.io/Logging_0181/klagomål/A 55044-2025 FSC-klagomål.docx", "A 55044-2025")</f>
        <v/>
      </c>
      <c r="W342">
        <f>HYPERLINK("https://klasma.github.io/Logging_0181/klagomålsmail/A 55044-2025 FSC-klagomål mail.docx", "A 55044-2025")</f>
        <v/>
      </c>
      <c r="X342">
        <f>HYPERLINK("https://klasma.github.io/Logging_0181/tillsyn/A 55044-2025 tillsynsbegäran.docx", "A 55044-2025")</f>
        <v/>
      </c>
      <c r="Y342">
        <f>HYPERLINK("https://klasma.github.io/Logging_0181/tillsynsmail/A 55044-2025 tillsynsbegäran mail.docx", "A 55044-2025")</f>
        <v/>
      </c>
      <c r="Z342">
        <f>HYPERLINK("https://klasma.github.io/Logging_0181/fåglar/A 55044-2025 prioriterade fågelarter.docx", "A 55044-2025")</f>
        <v/>
      </c>
    </row>
    <row r="343" ht="15" customHeight="1">
      <c r="A343" t="inlineStr">
        <is>
          <t>A 24330-2023</t>
        </is>
      </c>
      <c r="B343" s="1" t="n">
        <v>45081</v>
      </c>
      <c r="C343" s="1" t="n">
        <v>46033</v>
      </c>
      <c r="D343" t="inlineStr">
        <is>
          <t>STOCKHOLMS LÄN</t>
        </is>
      </c>
      <c r="E343" t="inlineStr">
        <is>
          <t>NORRTÄLJE</t>
        </is>
      </c>
      <c r="G343" t="n">
        <v>5</v>
      </c>
      <c r="H343" t="n">
        <v>1</v>
      </c>
      <c r="I343" t="n">
        <v>0</v>
      </c>
      <c r="J343" t="n">
        <v>1</v>
      </c>
      <c r="K343" t="n">
        <v>0</v>
      </c>
      <c r="L343" t="n">
        <v>0</v>
      </c>
      <c r="M343" t="n">
        <v>0</v>
      </c>
      <c r="N343" t="n">
        <v>0</v>
      </c>
      <c r="O343" t="n">
        <v>1</v>
      </c>
      <c r="P343" t="n">
        <v>0</v>
      </c>
      <c r="Q343" t="n">
        <v>1</v>
      </c>
      <c r="R343" s="2" t="inlineStr">
        <is>
          <t>Mindre hackspett</t>
        </is>
      </c>
      <c r="S343">
        <f>HYPERLINK("https://klasma.github.io/Logging_0188/artfynd/A 24330-2023 artfynd.xlsx", "A 24330-2023")</f>
        <v/>
      </c>
      <c r="T343">
        <f>HYPERLINK("https://klasma.github.io/Logging_0188/kartor/A 24330-2023 karta.png", "A 24330-2023")</f>
        <v/>
      </c>
      <c r="V343">
        <f>HYPERLINK("https://klasma.github.io/Logging_0188/klagomål/A 24330-2023 FSC-klagomål.docx", "A 24330-2023")</f>
        <v/>
      </c>
      <c r="W343">
        <f>HYPERLINK("https://klasma.github.io/Logging_0188/klagomålsmail/A 24330-2023 FSC-klagomål mail.docx", "A 24330-2023")</f>
        <v/>
      </c>
      <c r="X343">
        <f>HYPERLINK("https://klasma.github.io/Logging_0188/tillsyn/A 24330-2023 tillsynsbegäran.docx", "A 24330-2023")</f>
        <v/>
      </c>
      <c r="Y343">
        <f>HYPERLINK("https://klasma.github.io/Logging_0188/tillsynsmail/A 24330-2023 tillsynsbegäran mail.docx", "A 24330-2023")</f>
        <v/>
      </c>
      <c r="Z343">
        <f>HYPERLINK("https://klasma.github.io/Logging_0188/fåglar/A 24330-2023 prioriterade fågelarter.docx", "A 24330-2023")</f>
        <v/>
      </c>
    </row>
    <row r="344" ht="15" customHeight="1">
      <c r="A344" t="inlineStr">
        <is>
          <t>A 24368-2023</t>
        </is>
      </c>
      <c r="B344" s="1" t="n">
        <v>45076</v>
      </c>
      <c r="C344" s="1" t="n">
        <v>46033</v>
      </c>
      <c r="D344" t="inlineStr">
        <is>
          <t>STOCKHOLMS LÄN</t>
        </is>
      </c>
      <c r="E344" t="inlineStr">
        <is>
          <t>HUDDINGE</t>
        </is>
      </c>
      <c r="G344" t="n">
        <v>3</v>
      </c>
      <c r="H344" t="n">
        <v>1</v>
      </c>
      <c r="I344" t="n">
        <v>1</v>
      </c>
      <c r="J344" t="n">
        <v>0</v>
      </c>
      <c r="K344" t="n">
        <v>0</v>
      </c>
      <c r="L344" t="n">
        <v>0</v>
      </c>
      <c r="M344" t="n">
        <v>0</v>
      </c>
      <c r="N344" t="n">
        <v>0</v>
      </c>
      <c r="O344" t="n">
        <v>0</v>
      </c>
      <c r="P344" t="n">
        <v>0</v>
      </c>
      <c r="Q344" t="n">
        <v>1</v>
      </c>
      <c r="R344" s="2" t="inlineStr">
        <is>
          <t>Plattlummer</t>
        </is>
      </c>
      <c r="S344">
        <f>HYPERLINK("https://klasma.github.io/Logging_0126/artfynd/A 24368-2023 artfynd.xlsx", "A 24368-2023")</f>
        <v/>
      </c>
      <c r="T344">
        <f>HYPERLINK("https://klasma.github.io/Logging_0126/kartor/A 24368-2023 karta.png", "A 24368-2023")</f>
        <v/>
      </c>
      <c r="V344">
        <f>HYPERLINK("https://klasma.github.io/Logging_0126/klagomål/A 24368-2023 FSC-klagomål.docx", "A 24368-2023")</f>
        <v/>
      </c>
      <c r="W344">
        <f>HYPERLINK("https://klasma.github.io/Logging_0126/klagomålsmail/A 24368-2023 FSC-klagomål mail.docx", "A 24368-2023")</f>
        <v/>
      </c>
      <c r="X344">
        <f>HYPERLINK("https://klasma.github.io/Logging_0126/tillsyn/A 24368-2023 tillsynsbegäran.docx", "A 24368-2023")</f>
        <v/>
      </c>
      <c r="Y344">
        <f>HYPERLINK("https://klasma.github.io/Logging_0126/tillsynsmail/A 24368-2023 tillsynsbegäran mail.docx", "A 24368-2023")</f>
        <v/>
      </c>
    </row>
    <row r="345" ht="15" customHeight="1">
      <c r="A345" t="inlineStr">
        <is>
          <t>A 21744-2023</t>
        </is>
      </c>
      <c r="B345" s="1" t="n">
        <v>45065</v>
      </c>
      <c r="C345" s="1" t="n">
        <v>46033</v>
      </c>
      <c r="D345" t="inlineStr">
        <is>
          <t>STOCKHOLMS LÄN</t>
        </is>
      </c>
      <c r="E345" t="inlineStr">
        <is>
          <t>NORRTÄLJE</t>
        </is>
      </c>
      <c r="F345" t="inlineStr">
        <is>
          <t>Holmen skog AB</t>
        </is>
      </c>
      <c r="G345" t="n">
        <v>4.2</v>
      </c>
      <c r="H345" t="n">
        <v>0</v>
      </c>
      <c r="I345" t="n">
        <v>1</v>
      </c>
      <c r="J345" t="n">
        <v>0</v>
      </c>
      <c r="K345" t="n">
        <v>0</v>
      </c>
      <c r="L345" t="n">
        <v>0</v>
      </c>
      <c r="M345" t="n">
        <v>0</v>
      </c>
      <c r="N345" t="n">
        <v>0</v>
      </c>
      <c r="O345" t="n">
        <v>0</v>
      </c>
      <c r="P345" t="n">
        <v>0</v>
      </c>
      <c r="Q345" t="n">
        <v>1</v>
      </c>
      <c r="R345" s="2" t="inlineStr">
        <is>
          <t>Korallblylav</t>
        </is>
      </c>
      <c r="S345">
        <f>HYPERLINK("https://klasma.github.io/Logging_0188/artfynd/A 21744-2023 artfynd.xlsx", "A 21744-2023")</f>
        <v/>
      </c>
      <c r="T345">
        <f>HYPERLINK("https://klasma.github.io/Logging_0188/kartor/A 21744-2023 karta.png", "A 21744-2023")</f>
        <v/>
      </c>
      <c r="V345">
        <f>HYPERLINK("https://klasma.github.io/Logging_0188/klagomål/A 21744-2023 FSC-klagomål.docx", "A 21744-2023")</f>
        <v/>
      </c>
      <c r="W345">
        <f>HYPERLINK("https://klasma.github.io/Logging_0188/klagomålsmail/A 21744-2023 FSC-klagomål mail.docx", "A 21744-2023")</f>
        <v/>
      </c>
      <c r="X345">
        <f>HYPERLINK("https://klasma.github.io/Logging_0188/tillsyn/A 21744-2023 tillsynsbegäran.docx", "A 21744-2023")</f>
        <v/>
      </c>
      <c r="Y345">
        <f>HYPERLINK("https://klasma.github.io/Logging_0188/tillsynsmail/A 21744-2023 tillsynsbegäran mail.docx", "A 21744-2023")</f>
        <v/>
      </c>
    </row>
    <row r="346" ht="15" customHeight="1">
      <c r="A346" t="inlineStr">
        <is>
          <t>A 62715-2025</t>
        </is>
      </c>
      <c r="B346" s="1" t="n">
        <v>46008.52034722222</v>
      </c>
      <c r="C346" s="1" t="n">
        <v>46033</v>
      </c>
      <c r="D346" t="inlineStr">
        <is>
          <t>STOCKHOLMS LÄN</t>
        </is>
      </c>
      <c r="E346" t="inlineStr">
        <is>
          <t>NORRTÄLJE</t>
        </is>
      </c>
      <c r="G346" t="n">
        <v>0.8</v>
      </c>
      <c r="H346" t="n">
        <v>0</v>
      </c>
      <c r="I346" t="n">
        <v>1</v>
      </c>
      <c r="J346" t="n">
        <v>0</v>
      </c>
      <c r="K346" t="n">
        <v>0</v>
      </c>
      <c r="L346" t="n">
        <v>0</v>
      </c>
      <c r="M346" t="n">
        <v>0</v>
      </c>
      <c r="N346" t="n">
        <v>0</v>
      </c>
      <c r="O346" t="n">
        <v>0</v>
      </c>
      <c r="P346" t="n">
        <v>0</v>
      </c>
      <c r="Q346" t="n">
        <v>1</v>
      </c>
      <c r="R346" s="2" t="inlineStr">
        <is>
          <t>Granbarkgnagare</t>
        </is>
      </c>
      <c r="S346">
        <f>HYPERLINK("https://klasma.github.io/Logging_0188/artfynd/A 62715-2025 artfynd.xlsx", "A 62715-2025")</f>
        <v/>
      </c>
      <c r="T346">
        <f>HYPERLINK("https://klasma.github.io/Logging_0188/kartor/A 62715-2025 karta.png", "A 62715-2025")</f>
        <v/>
      </c>
      <c r="V346">
        <f>HYPERLINK("https://klasma.github.io/Logging_0188/klagomål/A 62715-2025 FSC-klagomål.docx", "A 62715-2025")</f>
        <v/>
      </c>
      <c r="W346">
        <f>HYPERLINK("https://klasma.github.io/Logging_0188/klagomålsmail/A 62715-2025 FSC-klagomål mail.docx", "A 62715-2025")</f>
        <v/>
      </c>
      <c r="X346">
        <f>HYPERLINK("https://klasma.github.io/Logging_0188/tillsyn/A 62715-2025 tillsynsbegäran.docx", "A 62715-2025")</f>
        <v/>
      </c>
      <c r="Y346">
        <f>HYPERLINK("https://klasma.github.io/Logging_0188/tillsynsmail/A 62715-2025 tillsynsbegäran mail.docx", "A 62715-2025")</f>
        <v/>
      </c>
    </row>
    <row r="347" ht="15" customHeight="1">
      <c r="A347" t="inlineStr">
        <is>
          <t>A 1162-2021</t>
        </is>
      </c>
      <c r="B347" s="1" t="n">
        <v>44207</v>
      </c>
      <c r="C347" s="1" t="n">
        <v>46033</v>
      </c>
      <c r="D347" t="inlineStr">
        <is>
          <t>STOCKHOLMS LÄN</t>
        </is>
      </c>
      <c r="E347" t="inlineStr">
        <is>
          <t>NORRTÄLJE</t>
        </is>
      </c>
      <c r="G347" t="n">
        <v>2.2</v>
      </c>
      <c r="H347" t="n">
        <v>1</v>
      </c>
      <c r="I347" t="n">
        <v>0</v>
      </c>
      <c r="J347" t="n">
        <v>0</v>
      </c>
      <c r="K347" t="n">
        <v>1</v>
      </c>
      <c r="L347" t="n">
        <v>0</v>
      </c>
      <c r="M347" t="n">
        <v>0</v>
      </c>
      <c r="N347" t="n">
        <v>0</v>
      </c>
      <c r="O347" t="n">
        <v>1</v>
      </c>
      <c r="P347" t="n">
        <v>1</v>
      </c>
      <c r="Q347" t="n">
        <v>1</v>
      </c>
      <c r="R347" s="2" t="inlineStr">
        <is>
          <t>Hällebräcka</t>
        </is>
      </c>
      <c r="S347">
        <f>HYPERLINK("https://klasma.github.io/Logging_0188/artfynd/A 1162-2021 artfynd.xlsx", "A 1162-2021")</f>
        <v/>
      </c>
      <c r="T347">
        <f>HYPERLINK("https://klasma.github.io/Logging_0188/kartor/A 1162-2021 karta.png", "A 1162-2021")</f>
        <v/>
      </c>
      <c r="V347">
        <f>HYPERLINK("https://klasma.github.io/Logging_0188/klagomål/A 1162-2021 FSC-klagomål.docx", "A 1162-2021")</f>
        <v/>
      </c>
      <c r="W347">
        <f>HYPERLINK("https://klasma.github.io/Logging_0188/klagomålsmail/A 1162-2021 FSC-klagomål mail.docx", "A 1162-2021")</f>
        <v/>
      </c>
      <c r="X347">
        <f>HYPERLINK("https://klasma.github.io/Logging_0188/tillsyn/A 1162-2021 tillsynsbegäran.docx", "A 1162-2021")</f>
        <v/>
      </c>
      <c r="Y347">
        <f>HYPERLINK("https://klasma.github.io/Logging_0188/tillsynsmail/A 1162-2021 tillsynsbegäran mail.docx", "A 1162-2021")</f>
        <v/>
      </c>
    </row>
    <row r="348" ht="15" customHeight="1">
      <c r="A348" t="inlineStr">
        <is>
          <t>A 63543-2025</t>
        </is>
      </c>
      <c r="B348" s="1" t="n">
        <v>46013.59207175926</v>
      </c>
      <c r="C348" s="1" t="n">
        <v>46033</v>
      </c>
      <c r="D348" t="inlineStr">
        <is>
          <t>STOCKHOLMS LÄN</t>
        </is>
      </c>
      <c r="E348" t="inlineStr">
        <is>
          <t>VALLENTUNA</t>
        </is>
      </c>
      <c r="G348" t="n">
        <v>3.4</v>
      </c>
      <c r="H348" t="n">
        <v>0</v>
      </c>
      <c r="I348" t="n">
        <v>0</v>
      </c>
      <c r="J348" t="n">
        <v>1</v>
      </c>
      <c r="K348" t="n">
        <v>0</v>
      </c>
      <c r="L348" t="n">
        <v>0</v>
      </c>
      <c r="M348" t="n">
        <v>0</v>
      </c>
      <c r="N348" t="n">
        <v>0</v>
      </c>
      <c r="O348" t="n">
        <v>1</v>
      </c>
      <c r="P348" t="n">
        <v>0</v>
      </c>
      <c r="Q348" t="n">
        <v>1</v>
      </c>
      <c r="R348" s="2" t="inlineStr">
        <is>
          <t>Tallticka</t>
        </is>
      </c>
      <c r="S348">
        <f>HYPERLINK("https://klasma.github.io/Logging_0115/artfynd/A 63543-2025 artfynd.xlsx", "A 63543-2025")</f>
        <v/>
      </c>
      <c r="T348">
        <f>HYPERLINK("https://klasma.github.io/Logging_0115/kartor/A 63543-2025 karta.png", "A 63543-2025")</f>
        <v/>
      </c>
      <c r="V348">
        <f>HYPERLINK("https://klasma.github.io/Logging_0115/klagomål/A 63543-2025 FSC-klagomål.docx", "A 63543-2025")</f>
        <v/>
      </c>
      <c r="W348">
        <f>HYPERLINK("https://klasma.github.io/Logging_0115/klagomålsmail/A 63543-2025 FSC-klagomål mail.docx", "A 63543-2025")</f>
        <v/>
      </c>
      <c r="X348">
        <f>HYPERLINK("https://klasma.github.io/Logging_0115/tillsyn/A 63543-2025 tillsynsbegäran.docx", "A 63543-2025")</f>
        <v/>
      </c>
      <c r="Y348">
        <f>HYPERLINK("https://klasma.github.io/Logging_0115/tillsynsmail/A 63543-2025 tillsynsbegäran mail.docx", "A 63543-2025")</f>
        <v/>
      </c>
    </row>
    <row r="349" ht="15" customHeight="1">
      <c r="A349" t="inlineStr">
        <is>
          <t>A 63292-2025</t>
        </is>
      </c>
      <c r="B349" s="1" t="n">
        <v>46010.59232638889</v>
      </c>
      <c r="C349" s="1" t="n">
        <v>46033</v>
      </c>
      <c r="D349" t="inlineStr">
        <is>
          <t>STOCKHOLMS LÄN</t>
        </is>
      </c>
      <c r="E349" t="inlineStr">
        <is>
          <t>NORRTÄLJE</t>
        </is>
      </c>
      <c r="G349" t="n">
        <v>11.1</v>
      </c>
      <c r="H349" t="n">
        <v>1</v>
      </c>
      <c r="I349" t="n">
        <v>1</v>
      </c>
      <c r="J349" t="n">
        <v>0</v>
      </c>
      <c r="K349" t="n">
        <v>0</v>
      </c>
      <c r="L349" t="n">
        <v>0</v>
      </c>
      <c r="M349" t="n">
        <v>0</v>
      </c>
      <c r="N349" t="n">
        <v>0</v>
      </c>
      <c r="O349" t="n">
        <v>0</v>
      </c>
      <c r="P349" t="n">
        <v>0</v>
      </c>
      <c r="Q349" t="n">
        <v>1</v>
      </c>
      <c r="R349" s="2" t="inlineStr">
        <is>
          <t>Nästrot</t>
        </is>
      </c>
      <c r="S349">
        <f>HYPERLINK("https://klasma.github.io/Logging_0188/artfynd/A 63292-2025 artfynd.xlsx", "A 63292-2025")</f>
        <v/>
      </c>
      <c r="T349">
        <f>HYPERLINK("https://klasma.github.io/Logging_0188/kartor/A 63292-2025 karta.png", "A 63292-2025")</f>
        <v/>
      </c>
      <c r="V349">
        <f>HYPERLINK("https://klasma.github.io/Logging_0188/klagomål/A 63292-2025 FSC-klagomål.docx", "A 63292-2025")</f>
        <v/>
      </c>
      <c r="W349">
        <f>HYPERLINK("https://klasma.github.io/Logging_0188/klagomålsmail/A 63292-2025 FSC-klagomål mail.docx", "A 63292-2025")</f>
        <v/>
      </c>
      <c r="X349">
        <f>HYPERLINK("https://klasma.github.io/Logging_0188/tillsyn/A 63292-2025 tillsynsbegäran.docx", "A 63292-2025")</f>
        <v/>
      </c>
      <c r="Y349">
        <f>HYPERLINK("https://klasma.github.io/Logging_0188/tillsynsmail/A 63292-2025 tillsynsbegäran mail.docx", "A 63292-2025")</f>
        <v/>
      </c>
    </row>
    <row r="350" ht="15" customHeight="1">
      <c r="A350" t="inlineStr">
        <is>
          <t>A 63539-2025</t>
        </is>
      </c>
      <c r="B350" s="1" t="n">
        <v>46013.58824074074</v>
      </c>
      <c r="C350" s="1" t="n">
        <v>46033</v>
      </c>
      <c r="D350" t="inlineStr">
        <is>
          <t>STOCKHOLMS LÄN</t>
        </is>
      </c>
      <c r="E350" t="inlineStr">
        <is>
          <t>VALLENTUNA</t>
        </is>
      </c>
      <c r="G350" t="n">
        <v>1.1</v>
      </c>
      <c r="H350" t="n">
        <v>0</v>
      </c>
      <c r="I350" t="n">
        <v>1</v>
      </c>
      <c r="J350" t="n">
        <v>0</v>
      </c>
      <c r="K350" t="n">
        <v>0</v>
      </c>
      <c r="L350" t="n">
        <v>0</v>
      </c>
      <c r="M350" t="n">
        <v>0</v>
      </c>
      <c r="N350" t="n">
        <v>0</v>
      </c>
      <c r="O350" t="n">
        <v>0</v>
      </c>
      <c r="P350" t="n">
        <v>0</v>
      </c>
      <c r="Q350" t="n">
        <v>1</v>
      </c>
      <c r="R350" s="2" t="inlineStr">
        <is>
          <t>Vårärt</t>
        </is>
      </c>
      <c r="S350">
        <f>HYPERLINK("https://klasma.github.io/Logging_0115/artfynd/A 63539-2025 artfynd.xlsx", "A 63539-2025")</f>
        <v/>
      </c>
      <c r="T350">
        <f>HYPERLINK("https://klasma.github.io/Logging_0115/kartor/A 63539-2025 karta.png", "A 63539-2025")</f>
        <v/>
      </c>
      <c r="V350">
        <f>HYPERLINK("https://klasma.github.io/Logging_0115/klagomål/A 63539-2025 FSC-klagomål.docx", "A 63539-2025")</f>
        <v/>
      </c>
      <c r="W350">
        <f>HYPERLINK("https://klasma.github.io/Logging_0115/klagomålsmail/A 63539-2025 FSC-klagomål mail.docx", "A 63539-2025")</f>
        <v/>
      </c>
      <c r="X350">
        <f>HYPERLINK("https://klasma.github.io/Logging_0115/tillsyn/A 63539-2025 tillsynsbegäran.docx", "A 63539-2025")</f>
        <v/>
      </c>
      <c r="Y350">
        <f>HYPERLINK("https://klasma.github.io/Logging_0115/tillsynsmail/A 63539-2025 tillsynsbegäran mail.docx", "A 63539-2025")</f>
        <v/>
      </c>
    </row>
    <row r="351" ht="15" customHeight="1">
      <c r="A351" t="inlineStr">
        <is>
          <t>A 52611-2024</t>
        </is>
      </c>
      <c r="B351" s="1" t="n">
        <v>45609.83747685186</v>
      </c>
      <c r="C351" s="1" t="n">
        <v>46033</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17952-2022</t>
        </is>
      </c>
      <c r="B352" s="1" t="n">
        <v>44683</v>
      </c>
      <c r="C352" s="1" t="n">
        <v>46033</v>
      </c>
      <c r="D352" t="inlineStr">
        <is>
          <t>STOCKHOLMS LÄN</t>
        </is>
      </c>
      <c r="E352" t="inlineStr">
        <is>
          <t>NORRTÄLJE</t>
        </is>
      </c>
      <c r="G352" t="n">
        <v>51.1</v>
      </c>
      <c r="H352" t="n">
        <v>0</v>
      </c>
      <c r="I352" t="n">
        <v>0</v>
      </c>
      <c r="J352" t="n">
        <v>0</v>
      </c>
      <c r="K352" t="n">
        <v>1</v>
      </c>
      <c r="L352" t="n">
        <v>0</v>
      </c>
      <c r="M352" t="n">
        <v>0</v>
      </c>
      <c r="N352" t="n">
        <v>0</v>
      </c>
      <c r="O352" t="n">
        <v>1</v>
      </c>
      <c r="P352" t="n">
        <v>1</v>
      </c>
      <c r="Q352" t="n">
        <v>1</v>
      </c>
      <c r="R352" s="2" t="inlineStr">
        <is>
          <t>Kattunvisslare</t>
        </is>
      </c>
      <c r="S352">
        <f>HYPERLINK("https://klasma.github.io/Logging_0188/artfynd/A 17952-2022 artfynd.xlsx", "A 17952-2022")</f>
        <v/>
      </c>
      <c r="T352">
        <f>HYPERLINK("https://klasma.github.io/Logging_0188/kartor/A 17952-2022 karta.png", "A 17952-2022")</f>
        <v/>
      </c>
      <c r="V352">
        <f>HYPERLINK("https://klasma.github.io/Logging_0188/klagomål/A 17952-2022 FSC-klagomål.docx", "A 17952-2022")</f>
        <v/>
      </c>
      <c r="W352">
        <f>HYPERLINK("https://klasma.github.io/Logging_0188/klagomålsmail/A 17952-2022 FSC-klagomål mail.docx", "A 17952-2022")</f>
        <v/>
      </c>
      <c r="X352">
        <f>HYPERLINK("https://klasma.github.io/Logging_0188/tillsyn/A 17952-2022 tillsynsbegäran.docx", "A 17952-2022")</f>
        <v/>
      </c>
      <c r="Y352">
        <f>HYPERLINK("https://klasma.github.io/Logging_0188/tillsynsmail/A 17952-2022 tillsynsbegäran mail.docx", "A 17952-2022")</f>
        <v/>
      </c>
    </row>
    <row r="353" ht="15" customHeight="1">
      <c r="A353" t="inlineStr">
        <is>
          <t>A 35013-2024</t>
        </is>
      </c>
      <c r="B353" s="1" t="n">
        <v>45527</v>
      </c>
      <c r="C353" s="1" t="n">
        <v>46033</v>
      </c>
      <c r="D353" t="inlineStr">
        <is>
          <t>STOCKHOLMS LÄN</t>
        </is>
      </c>
      <c r="E353" t="inlineStr">
        <is>
          <t>SÖDERTÄLJE</t>
        </is>
      </c>
      <c r="F353" t="inlineStr">
        <is>
          <t>Sveaskog</t>
        </is>
      </c>
      <c r="G353" t="n">
        <v>5.8</v>
      </c>
      <c r="H353" t="n">
        <v>0</v>
      </c>
      <c r="I353" t="n">
        <v>1</v>
      </c>
      <c r="J353" t="n">
        <v>0</v>
      </c>
      <c r="K353" t="n">
        <v>0</v>
      </c>
      <c r="L353" t="n">
        <v>0</v>
      </c>
      <c r="M353" t="n">
        <v>0</v>
      </c>
      <c r="N353" t="n">
        <v>0</v>
      </c>
      <c r="O353" t="n">
        <v>0</v>
      </c>
      <c r="P353" t="n">
        <v>0</v>
      </c>
      <c r="Q353" t="n">
        <v>1</v>
      </c>
      <c r="R353" s="2" t="inlineStr">
        <is>
          <t>Platt fjädermossa</t>
        </is>
      </c>
      <c r="S353">
        <f>HYPERLINK("https://klasma.github.io/Logging_0181/artfynd/A 35013-2024 artfynd.xlsx", "A 35013-2024")</f>
        <v/>
      </c>
      <c r="T353">
        <f>HYPERLINK("https://klasma.github.io/Logging_0181/kartor/A 35013-2024 karta.png", "A 35013-2024")</f>
        <v/>
      </c>
      <c r="V353">
        <f>HYPERLINK("https://klasma.github.io/Logging_0181/klagomål/A 35013-2024 FSC-klagomål.docx", "A 35013-2024")</f>
        <v/>
      </c>
      <c r="W353">
        <f>HYPERLINK("https://klasma.github.io/Logging_0181/klagomålsmail/A 35013-2024 FSC-klagomål mail.docx", "A 35013-2024")</f>
        <v/>
      </c>
      <c r="X353">
        <f>HYPERLINK("https://klasma.github.io/Logging_0181/tillsyn/A 35013-2024 tillsynsbegäran.docx", "A 35013-2024")</f>
        <v/>
      </c>
      <c r="Y353">
        <f>HYPERLINK("https://klasma.github.io/Logging_0181/tillsynsmail/A 35013-2024 tillsynsbegäran mail.docx", "A 35013-2024")</f>
        <v/>
      </c>
    </row>
    <row r="354" ht="15" customHeight="1">
      <c r="A354" t="inlineStr">
        <is>
          <t>A 364-2026</t>
        </is>
      </c>
      <c r="B354" s="1" t="n">
        <v>46027.67134259259</v>
      </c>
      <c r="C354" s="1" t="n">
        <v>46033</v>
      </c>
      <c r="D354" t="inlineStr">
        <is>
          <t>STOCKHOLMS LÄN</t>
        </is>
      </c>
      <c r="E354" t="inlineStr">
        <is>
          <t>NORRTÄLJE</t>
        </is>
      </c>
      <c r="F354" t="inlineStr">
        <is>
          <t>Holmen skog AB</t>
        </is>
      </c>
      <c r="G354" t="n">
        <v>4.3</v>
      </c>
      <c r="H354" t="n">
        <v>1</v>
      </c>
      <c r="I354" t="n">
        <v>0</v>
      </c>
      <c r="J354" t="n">
        <v>0</v>
      </c>
      <c r="K354" t="n">
        <v>0</v>
      </c>
      <c r="L354" t="n">
        <v>1</v>
      </c>
      <c r="M354" t="n">
        <v>0</v>
      </c>
      <c r="N354" t="n">
        <v>0</v>
      </c>
      <c r="O354" t="n">
        <v>1</v>
      </c>
      <c r="P354" t="n">
        <v>1</v>
      </c>
      <c r="Q354" t="n">
        <v>1</v>
      </c>
      <c r="R354" s="2" t="inlineStr">
        <is>
          <t>Asknätfjäril</t>
        </is>
      </c>
      <c r="S354">
        <f>HYPERLINK("https://klasma.github.io/Logging_0188/artfynd/A 364-2026 artfynd.xlsx", "A 364-2026")</f>
        <v/>
      </c>
      <c r="T354">
        <f>HYPERLINK("https://klasma.github.io/Logging_0188/kartor/A 364-2026 karta.png", "A 364-2026")</f>
        <v/>
      </c>
      <c r="V354">
        <f>HYPERLINK("https://klasma.github.io/Logging_0188/klagomål/A 364-2026 FSC-klagomål.docx", "A 364-2026")</f>
        <v/>
      </c>
      <c r="W354">
        <f>HYPERLINK("https://klasma.github.io/Logging_0188/klagomålsmail/A 364-2026 FSC-klagomål mail.docx", "A 364-2026")</f>
        <v/>
      </c>
      <c r="X354">
        <f>HYPERLINK("https://klasma.github.io/Logging_0188/tillsyn/A 364-2026 tillsynsbegäran.docx", "A 364-2026")</f>
        <v/>
      </c>
      <c r="Y354">
        <f>HYPERLINK("https://klasma.github.io/Logging_0188/tillsynsmail/A 364-2026 tillsynsbegäran mail.docx", "A 364-2026")</f>
        <v/>
      </c>
    </row>
    <row r="355" ht="15" customHeight="1">
      <c r="A355" t="inlineStr">
        <is>
          <t>A 23099-2024</t>
        </is>
      </c>
      <c r="B355" s="1" t="n">
        <v>45450</v>
      </c>
      <c r="C355" s="1" t="n">
        <v>46033</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3914-2023</t>
        </is>
      </c>
      <c r="B356" s="1" t="n">
        <v>44952.30934027778</v>
      </c>
      <c r="C356" s="1" t="n">
        <v>46033</v>
      </c>
      <c r="D356" t="inlineStr">
        <is>
          <t>STOCKHOLMS LÄN</t>
        </is>
      </c>
      <c r="E356" t="inlineStr">
        <is>
          <t>ÖSTERÅKER</t>
        </is>
      </c>
      <c r="F356" t="inlineStr">
        <is>
          <t>Kommuner</t>
        </is>
      </c>
      <c r="G356" t="n">
        <v>15.3</v>
      </c>
      <c r="H356" t="n">
        <v>1</v>
      </c>
      <c r="I356" t="n">
        <v>0</v>
      </c>
      <c r="J356" t="n">
        <v>0</v>
      </c>
      <c r="K356" t="n">
        <v>0</v>
      </c>
      <c r="L356" t="n">
        <v>0</v>
      </c>
      <c r="M356" t="n">
        <v>0</v>
      </c>
      <c r="N356" t="n">
        <v>0</v>
      </c>
      <c r="O356" t="n">
        <v>0</v>
      </c>
      <c r="P356" t="n">
        <v>0</v>
      </c>
      <c r="Q356" t="n">
        <v>1</v>
      </c>
      <c r="R356" s="2" t="inlineStr">
        <is>
          <t>Gråkråka</t>
        </is>
      </c>
      <c r="S356">
        <f>HYPERLINK("https://klasma.github.io/Logging_0117/artfynd/A 3914-2023 artfynd.xlsx", "A 3914-2023")</f>
        <v/>
      </c>
      <c r="T356">
        <f>HYPERLINK("https://klasma.github.io/Logging_0117/kartor/A 3914-2023 karta.png", "A 3914-2023")</f>
        <v/>
      </c>
      <c r="V356">
        <f>HYPERLINK("https://klasma.github.io/Logging_0117/klagomål/A 3914-2023 FSC-klagomål.docx", "A 3914-2023")</f>
        <v/>
      </c>
      <c r="W356">
        <f>HYPERLINK("https://klasma.github.io/Logging_0117/klagomålsmail/A 3914-2023 FSC-klagomål mail.docx", "A 3914-2023")</f>
        <v/>
      </c>
      <c r="X356">
        <f>HYPERLINK("https://klasma.github.io/Logging_0117/tillsyn/A 3914-2023 tillsynsbegäran.docx", "A 3914-2023")</f>
        <v/>
      </c>
      <c r="Y356">
        <f>HYPERLINK("https://klasma.github.io/Logging_0117/tillsynsmail/A 3914-2023 tillsynsbegäran mail.docx", "A 3914-2023")</f>
        <v/>
      </c>
    </row>
    <row r="357" ht="15" customHeight="1">
      <c r="A357" t="inlineStr">
        <is>
          <t>A 12968-2024</t>
        </is>
      </c>
      <c r="B357" s="1" t="n">
        <v>45385.50599537037</v>
      </c>
      <c r="C357" s="1" t="n">
        <v>46033</v>
      </c>
      <c r="D357" t="inlineStr">
        <is>
          <t>STOCKHOLMS LÄN</t>
        </is>
      </c>
      <c r="E357" t="inlineStr">
        <is>
          <t>SÖDERTÄLJE</t>
        </is>
      </c>
      <c r="F357" t="inlineStr">
        <is>
          <t>Kommuner</t>
        </is>
      </c>
      <c r="G357" t="n">
        <v>5.5</v>
      </c>
      <c r="H357" t="n">
        <v>0</v>
      </c>
      <c r="I357" t="n">
        <v>0</v>
      </c>
      <c r="J357" t="n">
        <v>0</v>
      </c>
      <c r="K357" t="n">
        <v>0</v>
      </c>
      <c r="L357" t="n">
        <v>1</v>
      </c>
      <c r="M357" t="n">
        <v>0</v>
      </c>
      <c r="N357" t="n">
        <v>0</v>
      </c>
      <c r="O357" t="n">
        <v>1</v>
      </c>
      <c r="P357" t="n">
        <v>1</v>
      </c>
      <c r="Q357" t="n">
        <v>1</v>
      </c>
      <c r="R357" s="2" t="inlineStr">
        <is>
          <t>Ask</t>
        </is>
      </c>
      <c r="S357">
        <f>HYPERLINK("https://klasma.github.io/Logging_0181/artfynd/A 12968-2024 artfynd.xlsx", "A 12968-2024")</f>
        <v/>
      </c>
      <c r="T357">
        <f>HYPERLINK("https://klasma.github.io/Logging_0181/kartor/A 12968-2024 karta.png", "A 12968-2024")</f>
        <v/>
      </c>
      <c r="V357">
        <f>HYPERLINK("https://klasma.github.io/Logging_0181/klagomål/A 12968-2024 FSC-klagomål.docx", "A 12968-2024")</f>
        <v/>
      </c>
      <c r="W357">
        <f>HYPERLINK("https://klasma.github.io/Logging_0181/klagomålsmail/A 12968-2024 FSC-klagomål mail.docx", "A 12968-2024")</f>
        <v/>
      </c>
      <c r="X357">
        <f>HYPERLINK("https://klasma.github.io/Logging_0181/tillsyn/A 12968-2024 tillsynsbegäran.docx", "A 12968-2024")</f>
        <v/>
      </c>
      <c r="Y357">
        <f>HYPERLINK("https://klasma.github.io/Logging_0181/tillsynsmail/A 12968-2024 tillsynsbegäran mail.docx", "A 12968-2024")</f>
        <v/>
      </c>
    </row>
    <row r="358" ht="15" customHeight="1">
      <c r="A358" t="inlineStr">
        <is>
          <t>A 34823-2022</t>
        </is>
      </c>
      <c r="B358" s="1" t="n">
        <v>44796</v>
      </c>
      <c r="C358" s="1" t="n">
        <v>46033</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33528-2023</t>
        </is>
      </c>
      <c r="B359" s="1" t="n">
        <v>45131</v>
      </c>
      <c r="C359" s="1" t="n">
        <v>46033</v>
      </c>
      <c r="D359" t="inlineStr">
        <is>
          <t>STOCKHOLMS LÄN</t>
        </is>
      </c>
      <c r="E359" t="inlineStr">
        <is>
          <t>NYNÄSHAMN</t>
        </is>
      </c>
      <c r="G359" t="n">
        <v>4</v>
      </c>
      <c r="H359" t="n">
        <v>0</v>
      </c>
      <c r="I359" t="n">
        <v>1</v>
      </c>
      <c r="J359" t="n">
        <v>0</v>
      </c>
      <c r="K359" t="n">
        <v>0</v>
      </c>
      <c r="L359" t="n">
        <v>0</v>
      </c>
      <c r="M359" t="n">
        <v>0</v>
      </c>
      <c r="N359" t="n">
        <v>0</v>
      </c>
      <c r="O359" t="n">
        <v>0</v>
      </c>
      <c r="P359" t="n">
        <v>0</v>
      </c>
      <c r="Q359" t="n">
        <v>1</v>
      </c>
      <c r="R359" s="2" t="inlineStr">
        <is>
          <t>Strutbräken</t>
        </is>
      </c>
      <c r="S359">
        <f>HYPERLINK("https://klasma.github.io/Logging_0192/artfynd/A 33528-2023 artfynd.xlsx", "A 33528-2023")</f>
        <v/>
      </c>
      <c r="T359">
        <f>HYPERLINK("https://klasma.github.io/Logging_0192/kartor/A 33528-2023 karta.png", "A 33528-2023")</f>
        <v/>
      </c>
      <c r="V359">
        <f>HYPERLINK("https://klasma.github.io/Logging_0192/klagomål/A 33528-2023 FSC-klagomål.docx", "A 33528-2023")</f>
        <v/>
      </c>
      <c r="W359">
        <f>HYPERLINK("https://klasma.github.io/Logging_0192/klagomålsmail/A 33528-2023 FSC-klagomål mail.docx", "A 33528-2023")</f>
        <v/>
      </c>
      <c r="X359">
        <f>HYPERLINK("https://klasma.github.io/Logging_0192/tillsyn/A 33528-2023 tillsynsbegäran.docx", "A 33528-2023")</f>
        <v/>
      </c>
      <c r="Y359">
        <f>HYPERLINK("https://klasma.github.io/Logging_0192/tillsynsmail/A 33528-2023 tillsynsbegäran mail.docx", "A 33528-2023")</f>
        <v/>
      </c>
    </row>
    <row r="360" ht="15" customHeight="1">
      <c r="A360" t="inlineStr">
        <is>
          <t>A 491-2026</t>
        </is>
      </c>
      <c r="B360" s="1" t="n">
        <v>46029.42581018519</v>
      </c>
      <c r="C360" s="1" t="n">
        <v>46033</v>
      </c>
      <c r="D360" t="inlineStr">
        <is>
          <t>STOCKHOLMS LÄN</t>
        </is>
      </c>
      <c r="E360" t="inlineStr">
        <is>
          <t>HUDDINGE</t>
        </is>
      </c>
      <c r="G360" t="n">
        <v>3.2</v>
      </c>
      <c r="H360" t="n">
        <v>1</v>
      </c>
      <c r="I360" t="n">
        <v>0</v>
      </c>
      <c r="J360" t="n">
        <v>0</v>
      </c>
      <c r="K360" t="n">
        <v>0</v>
      </c>
      <c r="L360" t="n">
        <v>0</v>
      </c>
      <c r="M360" t="n">
        <v>0</v>
      </c>
      <c r="N360" t="n">
        <v>0</v>
      </c>
      <c r="O360" t="n">
        <v>0</v>
      </c>
      <c r="P360" t="n">
        <v>0</v>
      </c>
      <c r="Q360" t="n">
        <v>1</v>
      </c>
      <c r="R360" s="2" t="inlineStr">
        <is>
          <t>Blåsippa</t>
        </is>
      </c>
      <c r="S360">
        <f>HYPERLINK("https://klasma.github.io/Logging_0126/artfynd/A 491-2026 artfynd.xlsx", "A 491-2026")</f>
        <v/>
      </c>
      <c r="T360">
        <f>HYPERLINK("https://klasma.github.io/Logging_0126/kartor/A 491-2026 karta.png", "A 491-2026")</f>
        <v/>
      </c>
      <c r="V360">
        <f>HYPERLINK("https://klasma.github.io/Logging_0126/klagomål/A 491-2026 FSC-klagomål.docx", "A 491-2026")</f>
        <v/>
      </c>
      <c r="W360">
        <f>HYPERLINK("https://klasma.github.io/Logging_0126/klagomålsmail/A 491-2026 FSC-klagomål mail.docx", "A 491-2026")</f>
        <v/>
      </c>
      <c r="X360">
        <f>HYPERLINK("https://klasma.github.io/Logging_0126/tillsyn/A 491-2026 tillsynsbegäran.docx", "A 491-2026")</f>
        <v/>
      </c>
      <c r="Y360">
        <f>HYPERLINK("https://klasma.github.io/Logging_0126/tillsynsmail/A 491-2026 tillsynsbegäran mail.docx", "A 491-2026")</f>
        <v/>
      </c>
    </row>
    <row r="361" ht="15" customHeight="1">
      <c r="A361" t="inlineStr">
        <is>
          <t>A 55263-2021</t>
        </is>
      </c>
      <c r="B361" s="1" t="n">
        <v>44475</v>
      </c>
      <c r="C361" s="1" t="n">
        <v>46033</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26635-2023</t>
        </is>
      </c>
      <c r="B362" s="1" t="n">
        <v>45092</v>
      </c>
      <c r="C362" s="1" t="n">
        <v>46033</v>
      </c>
      <c r="D362" t="inlineStr">
        <is>
          <t>STOCKHOLMS LÄN</t>
        </is>
      </c>
      <c r="E362" t="inlineStr">
        <is>
          <t>NORRTÄLJE</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HYPERLINK("https://klasma.github.io/Logging_0188/artfynd/A 26635-2023 artfynd.xlsx", "A 26635-2023")</f>
        <v/>
      </c>
      <c r="T362">
        <f>HYPERLINK("https://klasma.github.io/Logging_0188/kartor/A 26635-2023 karta.png", "A 26635-2023")</f>
        <v/>
      </c>
      <c r="V362">
        <f>HYPERLINK("https://klasma.github.io/Logging_0188/klagomål/A 26635-2023 FSC-klagomål.docx", "A 26635-2023")</f>
        <v/>
      </c>
      <c r="W362">
        <f>HYPERLINK("https://klasma.github.io/Logging_0188/klagomålsmail/A 26635-2023 FSC-klagomål mail.docx", "A 26635-2023")</f>
        <v/>
      </c>
      <c r="X362">
        <f>HYPERLINK("https://klasma.github.io/Logging_0188/tillsyn/A 26635-2023 tillsynsbegäran.docx", "A 26635-2023")</f>
        <v/>
      </c>
      <c r="Y362">
        <f>HYPERLINK("https://klasma.github.io/Logging_0188/tillsynsmail/A 26635-2023 tillsynsbegäran mail.docx", "A 26635-2023")</f>
        <v/>
      </c>
    </row>
    <row r="363" ht="15" customHeight="1">
      <c r="A363" t="inlineStr">
        <is>
          <t>A 35953-2023</t>
        </is>
      </c>
      <c r="B363" s="1" t="n">
        <v>45148</v>
      </c>
      <c r="C363" s="1" t="n">
        <v>46033</v>
      </c>
      <c r="D363" t="inlineStr">
        <is>
          <t>STOCKHOLMS LÄN</t>
        </is>
      </c>
      <c r="E363" t="inlineStr">
        <is>
          <t>EKERÖ</t>
        </is>
      </c>
      <c r="G363" t="n">
        <v>2.1</v>
      </c>
      <c r="H363" t="n">
        <v>1</v>
      </c>
      <c r="I363" t="n">
        <v>0</v>
      </c>
      <c r="J363" t="n">
        <v>0</v>
      </c>
      <c r="K363" t="n">
        <v>0</v>
      </c>
      <c r="L363" t="n">
        <v>0</v>
      </c>
      <c r="M363" t="n">
        <v>0</v>
      </c>
      <c r="N363" t="n">
        <v>0</v>
      </c>
      <c r="O363" t="n">
        <v>0</v>
      </c>
      <c r="P363" t="n">
        <v>0</v>
      </c>
      <c r="Q363" t="n">
        <v>1</v>
      </c>
      <c r="R363" s="2" t="inlineStr">
        <is>
          <t>Vanlig groda</t>
        </is>
      </c>
      <c r="S363">
        <f>HYPERLINK("https://klasma.github.io/Logging_0125/artfynd/A 35953-2023 artfynd.xlsx", "A 35953-2023")</f>
        <v/>
      </c>
      <c r="T363">
        <f>HYPERLINK("https://klasma.github.io/Logging_0125/kartor/A 35953-2023 karta.png", "A 35953-2023")</f>
        <v/>
      </c>
      <c r="V363">
        <f>HYPERLINK("https://klasma.github.io/Logging_0125/klagomål/A 35953-2023 FSC-klagomål.docx", "A 35953-2023")</f>
        <v/>
      </c>
      <c r="W363">
        <f>HYPERLINK("https://klasma.github.io/Logging_0125/klagomålsmail/A 35953-2023 FSC-klagomål mail.docx", "A 35953-2023")</f>
        <v/>
      </c>
      <c r="X363">
        <f>HYPERLINK("https://klasma.github.io/Logging_0125/tillsyn/A 35953-2023 tillsynsbegäran.docx", "A 35953-2023")</f>
        <v/>
      </c>
      <c r="Y363">
        <f>HYPERLINK("https://klasma.github.io/Logging_0125/tillsynsmail/A 35953-2023 tillsynsbegäran mail.docx", "A 35953-2023")</f>
        <v/>
      </c>
    </row>
    <row r="364" ht="15" customHeight="1">
      <c r="A364" t="inlineStr">
        <is>
          <t>A 34460-2023</t>
        </is>
      </c>
      <c r="B364" s="1" t="n">
        <v>45139</v>
      </c>
      <c r="C364" s="1" t="n">
        <v>46033</v>
      </c>
      <c r="D364" t="inlineStr">
        <is>
          <t>STOCKHOLMS LÄN</t>
        </is>
      </c>
      <c r="E364" t="inlineStr">
        <is>
          <t>VALLENTUNA</t>
        </is>
      </c>
      <c r="G364" t="n">
        <v>1.7</v>
      </c>
      <c r="H364" t="n">
        <v>0</v>
      </c>
      <c r="I364" t="n">
        <v>0</v>
      </c>
      <c r="J364" t="n">
        <v>1</v>
      </c>
      <c r="K364" t="n">
        <v>0</v>
      </c>
      <c r="L364" t="n">
        <v>0</v>
      </c>
      <c r="M364" t="n">
        <v>0</v>
      </c>
      <c r="N364" t="n">
        <v>0</v>
      </c>
      <c r="O364" t="n">
        <v>1</v>
      </c>
      <c r="P364" t="n">
        <v>0</v>
      </c>
      <c r="Q364" t="n">
        <v>1</v>
      </c>
      <c r="R364" s="2" t="inlineStr">
        <is>
          <t>Orange taggsvamp</t>
        </is>
      </c>
      <c r="S364">
        <f>HYPERLINK("https://klasma.github.io/Logging_0115/artfynd/A 34460-2023 artfynd.xlsx", "A 34460-2023")</f>
        <v/>
      </c>
      <c r="T364">
        <f>HYPERLINK("https://klasma.github.io/Logging_0115/kartor/A 34460-2023 karta.png", "A 34460-2023")</f>
        <v/>
      </c>
      <c r="V364">
        <f>HYPERLINK("https://klasma.github.io/Logging_0115/klagomål/A 34460-2023 FSC-klagomål.docx", "A 34460-2023")</f>
        <v/>
      </c>
      <c r="W364">
        <f>HYPERLINK("https://klasma.github.io/Logging_0115/klagomålsmail/A 34460-2023 FSC-klagomål mail.docx", "A 34460-2023")</f>
        <v/>
      </c>
      <c r="X364">
        <f>HYPERLINK("https://klasma.github.io/Logging_0115/tillsyn/A 34460-2023 tillsynsbegäran.docx", "A 34460-2023")</f>
        <v/>
      </c>
      <c r="Y364">
        <f>HYPERLINK("https://klasma.github.io/Logging_0115/tillsynsmail/A 34460-2023 tillsynsbegäran mail.docx", "A 34460-2023")</f>
        <v/>
      </c>
    </row>
    <row r="365" ht="15" customHeight="1">
      <c r="A365" t="inlineStr">
        <is>
          <t>A 68883-2021</t>
        </is>
      </c>
      <c r="B365" s="1" t="n">
        <v>44526</v>
      </c>
      <c r="C365" s="1" t="n">
        <v>46033</v>
      </c>
      <c r="D365" t="inlineStr">
        <is>
          <t>STOCKHOLMS LÄN</t>
        </is>
      </c>
      <c r="E365" t="inlineStr">
        <is>
          <t>HANINGE</t>
        </is>
      </c>
      <c r="G365" t="n">
        <v>2.5</v>
      </c>
      <c r="H365" t="n">
        <v>1</v>
      </c>
      <c r="I365" t="n">
        <v>0</v>
      </c>
      <c r="J365" t="n">
        <v>0</v>
      </c>
      <c r="K365" t="n">
        <v>0</v>
      </c>
      <c r="L365" t="n">
        <v>0</v>
      </c>
      <c r="M365" t="n">
        <v>0</v>
      </c>
      <c r="N365" t="n">
        <v>0</v>
      </c>
      <c r="O365" t="n">
        <v>0</v>
      </c>
      <c r="P365" t="n">
        <v>0</v>
      </c>
      <c r="Q365" t="n">
        <v>1</v>
      </c>
      <c r="R365" s="2" t="inlineStr">
        <is>
          <t>Nattviol</t>
        </is>
      </c>
      <c r="S365">
        <f>HYPERLINK("https://klasma.github.io/Logging_0136/artfynd/A 68883-2021 artfynd.xlsx", "A 68883-2021")</f>
        <v/>
      </c>
      <c r="T365">
        <f>HYPERLINK("https://klasma.github.io/Logging_0136/kartor/A 68883-2021 karta.png", "A 68883-2021")</f>
        <v/>
      </c>
      <c r="V365">
        <f>HYPERLINK("https://klasma.github.io/Logging_0136/klagomål/A 68883-2021 FSC-klagomål.docx", "A 68883-2021")</f>
        <v/>
      </c>
      <c r="W365">
        <f>HYPERLINK("https://klasma.github.io/Logging_0136/klagomålsmail/A 68883-2021 FSC-klagomål mail.docx", "A 68883-2021")</f>
        <v/>
      </c>
      <c r="X365">
        <f>HYPERLINK("https://klasma.github.io/Logging_0136/tillsyn/A 68883-2021 tillsynsbegäran.docx", "A 68883-2021")</f>
        <v/>
      </c>
      <c r="Y365">
        <f>HYPERLINK("https://klasma.github.io/Logging_0136/tillsynsmail/A 68883-2021 tillsynsbegäran mail.docx", "A 68883-2021")</f>
        <v/>
      </c>
    </row>
    <row r="366" ht="15" customHeight="1">
      <c r="A366" t="inlineStr">
        <is>
          <t>A 47898-2022</t>
        </is>
      </c>
      <c r="B366" s="1" t="n">
        <v>44855</v>
      </c>
      <c r="C366" s="1" t="n">
        <v>46033</v>
      </c>
      <c r="D366" t="inlineStr">
        <is>
          <t>STOCKHOLMS LÄN</t>
        </is>
      </c>
      <c r="E366" t="inlineStr">
        <is>
          <t>NORRTÄLJE</t>
        </is>
      </c>
      <c r="G366" t="n">
        <v>6.7</v>
      </c>
      <c r="H366" t="n">
        <v>1</v>
      </c>
      <c r="I366" t="n">
        <v>1</v>
      </c>
      <c r="J366" t="n">
        <v>0</v>
      </c>
      <c r="K366" t="n">
        <v>0</v>
      </c>
      <c r="L366" t="n">
        <v>0</v>
      </c>
      <c r="M366" t="n">
        <v>0</v>
      </c>
      <c r="N366" t="n">
        <v>0</v>
      </c>
      <c r="O366" t="n">
        <v>0</v>
      </c>
      <c r="P366" t="n">
        <v>0</v>
      </c>
      <c r="Q366" t="n">
        <v>1</v>
      </c>
      <c r="R366" s="2" t="inlineStr">
        <is>
          <t>Guckusko</t>
        </is>
      </c>
      <c r="S366">
        <f>HYPERLINK("https://klasma.github.io/Logging_0188/artfynd/A 47898-2022 artfynd.xlsx", "A 47898-2022")</f>
        <v/>
      </c>
      <c r="T366">
        <f>HYPERLINK("https://klasma.github.io/Logging_0188/kartor/A 47898-2022 karta.png", "A 47898-2022")</f>
        <v/>
      </c>
      <c r="V366">
        <f>HYPERLINK("https://klasma.github.io/Logging_0188/klagomål/A 47898-2022 FSC-klagomål.docx", "A 47898-2022")</f>
        <v/>
      </c>
      <c r="W366">
        <f>HYPERLINK("https://klasma.github.io/Logging_0188/klagomålsmail/A 47898-2022 FSC-klagomål mail.docx", "A 47898-2022")</f>
        <v/>
      </c>
      <c r="X366">
        <f>HYPERLINK("https://klasma.github.io/Logging_0188/tillsyn/A 47898-2022 tillsynsbegäran.docx", "A 47898-2022")</f>
        <v/>
      </c>
      <c r="Y366">
        <f>HYPERLINK("https://klasma.github.io/Logging_0188/tillsynsmail/A 47898-2022 tillsynsbegäran mail.docx", "A 47898-2022")</f>
        <v/>
      </c>
    </row>
    <row r="367" ht="15" customHeight="1">
      <c r="A367" t="inlineStr">
        <is>
          <t>A 17348-2025</t>
        </is>
      </c>
      <c r="B367" s="1" t="n">
        <v>45756</v>
      </c>
      <c r="C367" s="1" t="n">
        <v>46033</v>
      </c>
      <c r="D367" t="inlineStr">
        <is>
          <t>STOCKHOLMS LÄN</t>
        </is>
      </c>
      <c r="E367" t="inlineStr">
        <is>
          <t>VALLENTUNA</t>
        </is>
      </c>
      <c r="F367" t="inlineStr">
        <is>
          <t>Övriga Aktiebolag</t>
        </is>
      </c>
      <c r="G367" t="n">
        <v>2.2</v>
      </c>
      <c r="H367" t="n">
        <v>0</v>
      </c>
      <c r="I367" t="n">
        <v>1</v>
      </c>
      <c r="J367" t="n">
        <v>0</v>
      </c>
      <c r="K367" t="n">
        <v>0</v>
      </c>
      <c r="L367" t="n">
        <v>0</v>
      </c>
      <c r="M367" t="n">
        <v>0</v>
      </c>
      <c r="N367" t="n">
        <v>0</v>
      </c>
      <c r="O367" t="n">
        <v>0</v>
      </c>
      <c r="P367" t="n">
        <v>0</v>
      </c>
      <c r="Q367" t="n">
        <v>1</v>
      </c>
      <c r="R367" s="2" t="inlineStr">
        <is>
          <t>Björksplintborre</t>
        </is>
      </c>
      <c r="S367">
        <f>HYPERLINK("https://klasma.github.io/Logging_0115/artfynd/A 17348-2025 artfynd.xlsx", "A 17348-2025")</f>
        <v/>
      </c>
      <c r="T367">
        <f>HYPERLINK("https://klasma.github.io/Logging_0115/kartor/A 17348-2025 karta.png", "A 17348-2025")</f>
        <v/>
      </c>
      <c r="V367">
        <f>HYPERLINK("https://klasma.github.io/Logging_0115/klagomål/A 17348-2025 FSC-klagomål.docx", "A 17348-2025")</f>
        <v/>
      </c>
      <c r="W367">
        <f>HYPERLINK("https://klasma.github.io/Logging_0115/klagomålsmail/A 17348-2025 FSC-klagomål mail.docx", "A 17348-2025")</f>
        <v/>
      </c>
      <c r="X367">
        <f>HYPERLINK("https://klasma.github.io/Logging_0115/tillsyn/A 17348-2025 tillsynsbegäran.docx", "A 17348-2025")</f>
        <v/>
      </c>
      <c r="Y367">
        <f>HYPERLINK("https://klasma.github.io/Logging_0115/tillsynsmail/A 17348-2025 tillsynsbegäran mail.docx", "A 17348-2025")</f>
        <v/>
      </c>
    </row>
    <row r="368" ht="15" customHeight="1">
      <c r="A368" t="inlineStr">
        <is>
          <t>A 48658-2022</t>
        </is>
      </c>
      <c r="B368" s="1" t="n">
        <v>44859</v>
      </c>
      <c r="C368" s="1" t="n">
        <v>46033</v>
      </c>
      <c r="D368" t="inlineStr">
        <is>
          <t>STOCKHOLMS LÄN</t>
        </is>
      </c>
      <c r="E368" t="inlineStr">
        <is>
          <t>VÄRMDÖ</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HYPERLINK("https://klasma.github.io/Logging_0120/artfynd/A 48658-2022 artfynd.xlsx", "A 48658-2022")</f>
        <v/>
      </c>
      <c r="T368">
        <f>HYPERLINK("https://klasma.github.io/Logging_0120/kartor/A 48658-2022 karta.png", "A 48658-2022")</f>
        <v/>
      </c>
      <c r="V368">
        <f>HYPERLINK("https://klasma.github.io/Logging_0120/klagomål/A 48658-2022 FSC-klagomål.docx", "A 48658-2022")</f>
        <v/>
      </c>
      <c r="W368">
        <f>HYPERLINK("https://klasma.github.io/Logging_0120/klagomålsmail/A 48658-2022 FSC-klagomål mail.docx", "A 48658-2022")</f>
        <v/>
      </c>
      <c r="X368">
        <f>HYPERLINK("https://klasma.github.io/Logging_0120/tillsyn/A 48658-2022 tillsynsbegäran.docx", "A 48658-2022")</f>
        <v/>
      </c>
      <c r="Y368">
        <f>HYPERLINK("https://klasma.github.io/Logging_0120/tillsynsmail/A 48658-2022 tillsynsbegäran mail.docx", "A 48658-2022")</f>
        <v/>
      </c>
    </row>
    <row r="369" ht="15" customHeight="1">
      <c r="A369" t="inlineStr">
        <is>
          <t>A 57389-2024</t>
        </is>
      </c>
      <c r="B369" s="1" t="n">
        <v>45629.68615740741</v>
      </c>
      <c r="C369" s="1" t="n">
        <v>46033</v>
      </c>
      <c r="D369" t="inlineStr">
        <is>
          <t>STOCKHOLMS LÄN</t>
        </is>
      </c>
      <c r="E369" t="inlineStr">
        <is>
          <t>NYKVARN</t>
        </is>
      </c>
      <c r="G369" t="n">
        <v>5</v>
      </c>
      <c r="H369" t="n">
        <v>0</v>
      </c>
      <c r="I369" t="n">
        <v>0</v>
      </c>
      <c r="J369" t="n">
        <v>1</v>
      </c>
      <c r="K369" t="n">
        <v>0</v>
      </c>
      <c r="L369" t="n">
        <v>0</v>
      </c>
      <c r="M369" t="n">
        <v>0</v>
      </c>
      <c r="N369" t="n">
        <v>0</v>
      </c>
      <c r="O369" t="n">
        <v>1</v>
      </c>
      <c r="P369" t="n">
        <v>0</v>
      </c>
      <c r="Q369" t="n">
        <v>1</v>
      </c>
      <c r="R369" s="2" t="inlineStr">
        <is>
          <t>Igelkott</t>
        </is>
      </c>
      <c r="S369">
        <f>HYPERLINK("https://klasma.github.io/Logging_0140/artfynd/A 57389-2024 artfynd.xlsx", "A 57389-2024")</f>
        <v/>
      </c>
      <c r="T369">
        <f>HYPERLINK("https://klasma.github.io/Logging_0140/kartor/A 57389-2024 karta.png", "A 57389-2024")</f>
        <v/>
      </c>
      <c r="V369">
        <f>HYPERLINK("https://klasma.github.io/Logging_0140/klagomål/A 57389-2024 FSC-klagomål.docx", "A 57389-2024")</f>
        <v/>
      </c>
      <c r="W369">
        <f>HYPERLINK("https://klasma.github.io/Logging_0140/klagomålsmail/A 57389-2024 FSC-klagomål mail.docx", "A 57389-2024")</f>
        <v/>
      </c>
      <c r="X369">
        <f>HYPERLINK("https://klasma.github.io/Logging_0140/tillsyn/A 57389-2024 tillsynsbegäran.docx", "A 57389-2024")</f>
        <v/>
      </c>
      <c r="Y369">
        <f>HYPERLINK("https://klasma.github.io/Logging_0140/tillsynsmail/A 57389-2024 tillsynsbegäran mail.docx", "A 57389-2024")</f>
        <v/>
      </c>
    </row>
    <row r="370" ht="15" customHeight="1">
      <c r="A370" t="inlineStr">
        <is>
          <t>A 4688-2023</t>
        </is>
      </c>
      <c r="B370" s="1" t="n">
        <v>44957</v>
      </c>
      <c r="C370" s="1" t="n">
        <v>46033</v>
      </c>
      <c r="D370" t="inlineStr">
        <is>
          <t>STOCKHOLMS LÄN</t>
        </is>
      </c>
      <c r="E370" t="inlineStr">
        <is>
          <t>NYNÄSHAMN</t>
        </is>
      </c>
      <c r="G370" t="n">
        <v>0.9</v>
      </c>
      <c r="H370" t="n">
        <v>1</v>
      </c>
      <c r="I370" t="n">
        <v>0</v>
      </c>
      <c r="J370" t="n">
        <v>1</v>
      </c>
      <c r="K370" t="n">
        <v>0</v>
      </c>
      <c r="L370" t="n">
        <v>0</v>
      </c>
      <c r="M370" t="n">
        <v>0</v>
      </c>
      <c r="N370" t="n">
        <v>0</v>
      </c>
      <c r="O370" t="n">
        <v>1</v>
      </c>
      <c r="P370" t="n">
        <v>0</v>
      </c>
      <c r="Q370" t="n">
        <v>1</v>
      </c>
      <c r="R370" s="2" t="inlineStr">
        <is>
          <t>Lundsångare</t>
        </is>
      </c>
      <c r="S370">
        <f>HYPERLINK("https://klasma.github.io/Logging_0192/artfynd/A 4688-2023 artfynd.xlsx", "A 4688-2023")</f>
        <v/>
      </c>
      <c r="T370">
        <f>HYPERLINK("https://klasma.github.io/Logging_0192/kartor/A 4688-2023 karta.png", "A 4688-2023")</f>
        <v/>
      </c>
      <c r="V370">
        <f>HYPERLINK("https://klasma.github.io/Logging_0192/klagomål/A 4688-2023 FSC-klagomål.docx", "A 4688-2023")</f>
        <v/>
      </c>
      <c r="W370">
        <f>HYPERLINK("https://klasma.github.io/Logging_0192/klagomålsmail/A 4688-2023 FSC-klagomål mail.docx", "A 4688-2023")</f>
        <v/>
      </c>
      <c r="X370">
        <f>HYPERLINK("https://klasma.github.io/Logging_0192/tillsyn/A 4688-2023 tillsynsbegäran.docx", "A 4688-2023")</f>
        <v/>
      </c>
      <c r="Y370">
        <f>HYPERLINK("https://klasma.github.io/Logging_0192/tillsynsmail/A 4688-2023 tillsynsbegäran mail.docx", "A 4688-2023")</f>
        <v/>
      </c>
      <c r="Z370">
        <f>HYPERLINK("https://klasma.github.io/Logging_0192/fåglar/A 4688-2023 prioriterade fågelarter.docx", "A 4688-2023")</f>
        <v/>
      </c>
    </row>
    <row r="371" ht="15" customHeight="1">
      <c r="A371" t="inlineStr">
        <is>
          <t>A 11447-2025</t>
        </is>
      </c>
      <c r="B371" s="1" t="n">
        <v>45726</v>
      </c>
      <c r="C371" s="1" t="n">
        <v>46033</v>
      </c>
      <c r="D371" t="inlineStr">
        <is>
          <t>STOCKHOLMS LÄN</t>
        </is>
      </c>
      <c r="E371" t="inlineStr">
        <is>
          <t>UPPLANDS-BRO</t>
        </is>
      </c>
      <c r="G371" t="n">
        <v>1.5</v>
      </c>
      <c r="H371" t="n">
        <v>0</v>
      </c>
      <c r="I371" t="n">
        <v>1</v>
      </c>
      <c r="J371" t="n">
        <v>0</v>
      </c>
      <c r="K371" t="n">
        <v>0</v>
      </c>
      <c r="L371" t="n">
        <v>0</v>
      </c>
      <c r="M371" t="n">
        <v>0</v>
      </c>
      <c r="N371" t="n">
        <v>0</v>
      </c>
      <c r="O371" t="n">
        <v>0</v>
      </c>
      <c r="P371" t="n">
        <v>0</v>
      </c>
      <c r="Q371" t="n">
        <v>1</v>
      </c>
      <c r="R371" s="2" t="inlineStr">
        <is>
          <t>Myskbock</t>
        </is>
      </c>
      <c r="S371">
        <f>HYPERLINK("https://klasma.github.io/Logging_0139/artfynd/A 11447-2025 artfynd.xlsx", "A 11447-2025")</f>
        <v/>
      </c>
      <c r="T371">
        <f>HYPERLINK("https://klasma.github.io/Logging_0139/kartor/A 11447-2025 karta.png", "A 11447-2025")</f>
        <v/>
      </c>
      <c r="V371">
        <f>HYPERLINK("https://klasma.github.io/Logging_0139/klagomål/A 11447-2025 FSC-klagomål.docx", "A 11447-2025")</f>
        <v/>
      </c>
      <c r="W371">
        <f>HYPERLINK("https://klasma.github.io/Logging_0139/klagomålsmail/A 11447-2025 FSC-klagomål mail.docx", "A 11447-2025")</f>
        <v/>
      </c>
      <c r="X371">
        <f>HYPERLINK("https://klasma.github.io/Logging_0139/tillsyn/A 11447-2025 tillsynsbegäran.docx", "A 11447-2025")</f>
        <v/>
      </c>
      <c r="Y371">
        <f>HYPERLINK("https://klasma.github.io/Logging_0139/tillsynsmail/A 11447-2025 tillsynsbegäran mail.docx", "A 11447-2025")</f>
        <v/>
      </c>
    </row>
    <row r="372" ht="15" customHeight="1">
      <c r="A372" t="inlineStr">
        <is>
          <t>A 14365-2025</t>
        </is>
      </c>
      <c r="B372" s="1" t="n">
        <v>45741.38688657407</v>
      </c>
      <c r="C372" s="1" t="n">
        <v>46033</v>
      </c>
      <c r="D372" t="inlineStr">
        <is>
          <t>STOCKHOLMS LÄN</t>
        </is>
      </c>
      <c r="E372" t="inlineStr">
        <is>
          <t>NORRTÄLJE</t>
        </is>
      </c>
      <c r="G372" t="n">
        <v>2.4</v>
      </c>
      <c r="H372" t="n">
        <v>0</v>
      </c>
      <c r="I372" t="n">
        <v>0</v>
      </c>
      <c r="J372" t="n">
        <v>1</v>
      </c>
      <c r="K372" t="n">
        <v>0</v>
      </c>
      <c r="L372" t="n">
        <v>0</v>
      </c>
      <c r="M372" t="n">
        <v>0</v>
      </c>
      <c r="N372" t="n">
        <v>0</v>
      </c>
      <c r="O372" t="n">
        <v>1</v>
      </c>
      <c r="P372" t="n">
        <v>0</v>
      </c>
      <c r="Q372" t="n">
        <v>1</v>
      </c>
      <c r="R372" s="2" t="inlineStr">
        <is>
          <t>Granticka</t>
        </is>
      </c>
      <c r="S372">
        <f>HYPERLINK("https://klasma.github.io/Logging_0188/artfynd/A 14365-2025 artfynd.xlsx", "A 14365-2025")</f>
        <v/>
      </c>
      <c r="T372">
        <f>HYPERLINK("https://klasma.github.io/Logging_0188/kartor/A 14365-2025 karta.png", "A 14365-2025")</f>
        <v/>
      </c>
      <c r="V372">
        <f>HYPERLINK("https://klasma.github.io/Logging_0188/klagomål/A 14365-2025 FSC-klagomål.docx", "A 14365-2025")</f>
        <v/>
      </c>
      <c r="W372">
        <f>HYPERLINK("https://klasma.github.io/Logging_0188/klagomålsmail/A 14365-2025 FSC-klagomål mail.docx", "A 14365-2025")</f>
        <v/>
      </c>
      <c r="X372">
        <f>HYPERLINK("https://klasma.github.io/Logging_0188/tillsyn/A 14365-2025 tillsynsbegäran.docx", "A 14365-2025")</f>
        <v/>
      </c>
      <c r="Y372">
        <f>HYPERLINK("https://klasma.github.io/Logging_0188/tillsynsmail/A 14365-2025 tillsynsbegäran mail.docx", "A 14365-2025")</f>
        <v/>
      </c>
    </row>
    <row r="373" ht="15" customHeight="1">
      <c r="A373" t="inlineStr">
        <is>
          <t>A 32111-2022</t>
        </is>
      </c>
      <c r="B373" s="1" t="n">
        <v>44778.92797453704</v>
      </c>
      <c r="C373" s="1" t="n">
        <v>46033</v>
      </c>
      <c r="D373" t="inlineStr">
        <is>
          <t>STOCKHOLMS LÄN</t>
        </is>
      </c>
      <c r="E373" t="inlineStr">
        <is>
          <t>NORRTÄLJE</t>
        </is>
      </c>
      <c r="G373" t="n">
        <v>3.1</v>
      </c>
      <c r="H373" t="n">
        <v>0</v>
      </c>
      <c r="I373" t="n">
        <v>0</v>
      </c>
      <c r="J373" t="n">
        <v>1</v>
      </c>
      <c r="K373" t="n">
        <v>0</v>
      </c>
      <c r="L373" t="n">
        <v>0</v>
      </c>
      <c r="M373" t="n">
        <v>0</v>
      </c>
      <c r="N373" t="n">
        <v>0</v>
      </c>
      <c r="O373" t="n">
        <v>1</v>
      </c>
      <c r="P373" t="n">
        <v>0</v>
      </c>
      <c r="Q373" t="n">
        <v>1</v>
      </c>
      <c r="R373" s="2" t="inlineStr">
        <is>
          <t>Orange taggsvamp</t>
        </is>
      </c>
      <c r="S373">
        <f>HYPERLINK("https://klasma.github.io/Logging_0188/artfynd/A 32111-2022 artfynd.xlsx", "A 32111-2022")</f>
        <v/>
      </c>
      <c r="T373">
        <f>HYPERLINK("https://klasma.github.io/Logging_0188/kartor/A 32111-2022 karta.png", "A 32111-2022")</f>
        <v/>
      </c>
      <c r="V373">
        <f>HYPERLINK("https://klasma.github.io/Logging_0188/klagomål/A 32111-2022 FSC-klagomål.docx", "A 32111-2022")</f>
        <v/>
      </c>
      <c r="W373">
        <f>HYPERLINK("https://klasma.github.io/Logging_0188/klagomålsmail/A 32111-2022 FSC-klagomål mail.docx", "A 32111-2022")</f>
        <v/>
      </c>
      <c r="X373">
        <f>HYPERLINK("https://klasma.github.io/Logging_0188/tillsyn/A 32111-2022 tillsynsbegäran.docx", "A 32111-2022")</f>
        <v/>
      </c>
      <c r="Y373">
        <f>HYPERLINK("https://klasma.github.io/Logging_0188/tillsynsmail/A 32111-2022 tillsynsbegäran mail.docx", "A 32111-2022")</f>
        <v/>
      </c>
    </row>
    <row r="374" ht="15" customHeight="1">
      <c r="A374" t="inlineStr">
        <is>
          <t>A 14092-2023</t>
        </is>
      </c>
      <c r="B374" s="1" t="n">
        <v>45009</v>
      </c>
      <c r="C374" s="1" t="n">
        <v>46033</v>
      </c>
      <c r="D374" t="inlineStr">
        <is>
          <t>STOCKHOLMS LÄN</t>
        </is>
      </c>
      <c r="E374" t="inlineStr">
        <is>
          <t>SÖDERTÄLJE</t>
        </is>
      </c>
      <c r="F374" t="inlineStr">
        <is>
          <t>Kyrkan</t>
        </is>
      </c>
      <c r="G374" t="n">
        <v>4.1</v>
      </c>
      <c r="H374" t="n">
        <v>1</v>
      </c>
      <c r="I374" t="n">
        <v>0</v>
      </c>
      <c r="J374" t="n">
        <v>0</v>
      </c>
      <c r="K374" t="n">
        <v>0</v>
      </c>
      <c r="L374" t="n">
        <v>0</v>
      </c>
      <c r="M374" t="n">
        <v>0</v>
      </c>
      <c r="N374" t="n">
        <v>0</v>
      </c>
      <c r="O374" t="n">
        <v>0</v>
      </c>
      <c r="P374" t="n">
        <v>0</v>
      </c>
      <c r="Q374" t="n">
        <v>1</v>
      </c>
      <c r="R374" s="2" t="inlineStr">
        <is>
          <t>Kungsfågel</t>
        </is>
      </c>
      <c r="S374">
        <f>HYPERLINK("https://klasma.github.io/Logging_0181/artfynd/A 14092-2023 artfynd.xlsx", "A 14092-2023")</f>
        <v/>
      </c>
      <c r="T374">
        <f>HYPERLINK("https://klasma.github.io/Logging_0181/kartor/A 14092-2023 karta.png", "A 14092-2023")</f>
        <v/>
      </c>
      <c r="V374">
        <f>HYPERLINK("https://klasma.github.io/Logging_0181/klagomål/A 14092-2023 FSC-klagomål.docx", "A 14092-2023")</f>
        <v/>
      </c>
      <c r="W374">
        <f>HYPERLINK("https://klasma.github.io/Logging_0181/klagomålsmail/A 14092-2023 FSC-klagomål mail.docx", "A 14092-2023")</f>
        <v/>
      </c>
      <c r="X374">
        <f>HYPERLINK("https://klasma.github.io/Logging_0181/tillsyn/A 14092-2023 tillsynsbegäran.docx", "A 14092-2023")</f>
        <v/>
      </c>
      <c r="Y374">
        <f>HYPERLINK("https://klasma.github.io/Logging_0181/tillsynsmail/A 14092-2023 tillsynsbegäran mail.docx", "A 14092-2023")</f>
        <v/>
      </c>
      <c r="Z374">
        <f>HYPERLINK("https://klasma.github.io/Logging_0181/fåglar/A 14092-2023 prioriterade fågelarter.docx", "A 14092-2023")</f>
        <v/>
      </c>
    </row>
    <row r="375" ht="15" customHeight="1">
      <c r="A375" t="inlineStr">
        <is>
          <t>A 16478-2025</t>
        </is>
      </c>
      <c r="B375" s="1" t="n">
        <v>45751.57346064815</v>
      </c>
      <c r="C375" s="1" t="n">
        <v>46033</v>
      </c>
      <c r="D375" t="inlineStr">
        <is>
          <t>STOCKHOLMS LÄN</t>
        </is>
      </c>
      <c r="E375" t="inlineStr">
        <is>
          <t>SÖDERTÄLJE</t>
        </is>
      </c>
      <c r="G375" t="n">
        <v>2.1</v>
      </c>
      <c r="H375" t="n">
        <v>0</v>
      </c>
      <c r="I375" t="n">
        <v>1</v>
      </c>
      <c r="J375" t="n">
        <v>0</v>
      </c>
      <c r="K375" t="n">
        <v>0</v>
      </c>
      <c r="L375" t="n">
        <v>0</v>
      </c>
      <c r="M375" t="n">
        <v>0</v>
      </c>
      <c r="N375" t="n">
        <v>0</v>
      </c>
      <c r="O375" t="n">
        <v>0</v>
      </c>
      <c r="P375" t="n">
        <v>0</v>
      </c>
      <c r="Q375" t="n">
        <v>1</v>
      </c>
      <c r="R375" s="2" t="inlineStr">
        <is>
          <t>Tibast</t>
        </is>
      </c>
      <c r="S375">
        <f>HYPERLINK("https://klasma.github.io/Logging_0181/artfynd/A 16478-2025 artfynd.xlsx", "A 16478-2025")</f>
        <v/>
      </c>
      <c r="T375">
        <f>HYPERLINK("https://klasma.github.io/Logging_0181/kartor/A 16478-2025 karta.png", "A 16478-2025")</f>
        <v/>
      </c>
      <c r="V375">
        <f>HYPERLINK("https://klasma.github.io/Logging_0181/klagomål/A 16478-2025 FSC-klagomål.docx", "A 16478-2025")</f>
        <v/>
      </c>
      <c r="W375">
        <f>HYPERLINK("https://klasma.github.io/Logging_0181/klagomålsmail/A 16478-2025 FSC-klagomål mail.docx", "A 16478-2025")</f>
        <v/>
      </c>
      <c r="X375">
        <f>HYPERLINK("https://klasma.github.io/Logging_0181/tillsyn/A 16478-2025 tillsynsbegäran.docx", "A 16478-2025")</f>
        <v/>
      </c>
      <c r="Y375">
        <f>HYPERLINK("https://klasma.github.io/Logging_0181/tillsynsmail/A 16478-2025 tillsynsbegäran mail.docx", "A 16478-2025")</f>
        <v/>
      </c>
    </row>
    <row r="376" ht="15" customHeight="1">
      <c r="A376" t="inlineStr">
        <is>
          <t>A 4385-2023</t>
        </is>
      </c>
      <c r="B376" s="1" t="n">
        <v>44955.71322916666</v>
      </c>
      <c r="C376" s="1" t="n">
        <v>46033</v>
      </c>
      <c r="D376" t="inlineStr">
        <is>
          <t>STOCKHOLMS LÄN</t>
        </is>
      </c>
      <c r="E376" t="inlineStr">
        <is>
          <t>NORRTÄLJE</t>
        </is>
      </c>
      <c r="G376" t="n">
        <v>7.8</v>
      </c>
      <c r="H376" t="n">
        <v>1</v>
      </c>
      <c r="I376" t="n">
        <v>1</v>
      </c>
      <c r="J376" t="n">
        <v>0</v>
      </c>
      <c r="K376" t="n">
        <v>0</v>
      </c>
      <c r="L376" t="n">
        <v>0</v>
      </c>
      <c r="M376" t="n">
        <v>0</v>
      </c>
      <c r="N376" t="n">
        <v>0</v>
      </c>
      <c r="O376" t="n">
        <v>0</v>
      </c>
      <c r="P376" t="n">
        <v>0</v>
      </c>
      <c r="Q376" t="n">
        <v>1</v>
      </c>
      <c r="R376" s="2" t="inlineStr">
        <is>
          <t>Skogsknipprot</t>
        </is>
      </c>
      <c r="S376">
        <f>HYPERLINK("https://klasma.github.io/Logging_0188/artfynd/A 4385-2023 artfynd.xlsx", "A 4385-2023")</f>
        <v/>
      </c>
      <c r="T376">
        <f>HYPERLINK("https://klasma.github.io/Logging_0188/kartor/A 4385-2023 karta.png", "A 4385-2023")</f>
        <v/>
      </c>
      <c r="V376">
        <f>HYPERLINK("https://klasma.github.io/Logging_0188/klagomål/A 4385-2023 FSC-klagomål.docx", "A 4385-2023")</f>
        <v/>
      </c>
      <c r="W376">
        <f>HYPERLINK("https://klasma.github.io/Logging_0188/klagomålsmail/A 4385-2023 FSC-klagomål mail.docx", "A 4385-2023")</f>
        <v/>
      </c>
      <c r="X376">
        <f>HYPERLINK("https://klasma.github.io/Logging_0188/tillsyn/A 4385-2023 tillsynsbegäran.docx", "A 4385-2023")</f>
        <v/>
      </c>
      <c r="Y376">
        <f>HYPERLINK("https://klasma.github.io/Logging_0188/tillsynsmail/A 4385-2023 tillsynsbegäran mail.docx", "A 4385-2023")</f>
        <v/>
      </c>
    </row>
    <row r="377" ht="15" customHeight="1">
      <c r="A377" t="inlineStr">
        <is>
          <t>A 26902-2024</t>
        </is>
      </c>
      <c r="B377" s="1" t="n">
        <v>45470</v>
      </c>
      <c r="C377" s="1" t="n">
        <v>46033</v>
      </c>
      <c r="D377" t="inlineStr">
        <is>
          <t>STOCKHOLMS LÄN</t>
        </is>
      </c>
      <c r="E377" t="inlineStr">
        <is>
          <t>SÖDERTÄLJE</t>
        </is>
      </c>
      <c r="F377" t="inlineStr">
        <is>
          <t>Kommuner</t>
        </is>
      </c>
      <c r="G377" t="n">
        <v>3.5</v>
      </c>
      <c r="H377" t="n">
        <v>0</v>
      </c>
      <c r="I377" t="n">
        <v>0</v>
      </c>
      <c r="J377" t="n">
        <v>1</v>
      </c>
      <c r="K377" t="n">
        <v>0</v>
      </c>
      <c r="L377" t="n">
        <v>0</v>
      </c>
      <c r="M377" t="n">
        <v>0</v>
      </c>
      <c r="N377" t="n">
        <v>0</v>
      </c>
      <c r="O377" t="n">
        <v>1</v>
      </c>
      <c r="P377" t="n">
        <v>0</v>
      </c>
      <c r="Q377" t="n">
        <v>1</v>
      </c>
      <c r="R377" s="2" t="inlineStr">
        <is>
          <t>Persiljespindling</t>
        </is>
      </c>
      <c r="S377">
        <f>HYPERLINK("https://klasma.github.io/Logging_0181/artfynd/A 26902-2024 artfynd.xlsx", "A 26902-2024")</f>
        <v/>
      </c>
      <c r="T377">
        <f>HYPERLINK("https://klasma.github.io/Logging_0181/kartor/A 26902-2024 karta.png", "A 26902-2024")</f>
        <v/>
      </c>
      <c r="V377">
        <f>HYPERLINK("https://klasma.github.io/Logging_0181/klagomål/A 26902-2024 FSC-klagomål.docx", "A 26902-2024")</f>
        <v/>
      </c>
      <c r="W377">
        <f>HYPERLINK("https://klasma.github.io/Logging_0181/klagomålsmail/A 26902-2024 FSC-klagomål mail.docx", "A 26902-2024")</f>
        <v/>
      </c>
      <c r="X377">
        <f>HYPERLINK("https://klasma.github.io/Logging_0181/tillsyn/A 26902-2024 tillsynsbegäran.docx", "A 26902-2024")</f>
        <v/>
      </c>
      <c r="Y377">
        <f>HYPERLINK("https://klasma.github.io/Logging_0181/tillsynsmail/A 26902-2024 tillsynsbegäran mail.docx", "A 26902-2024")</f>
        <v/>
      </c>
    </row>
    <row r="378" ht="15" customHeight="1">
      <c r="A378" t="inlineStr">
        <is>
          <t>A 60369-2023</t>
        </is>
      </c>
      <c r="B378" s="1" t="n">
        <v>45259</v>
      </c>
      <c r="C378" s="1" t="n">
        <v>46033</v>
      </c>
      <c r="D378" t="inlineStr">
        <is>
          <t>STOCKHOLMS LÄN</t>
        </is>
      </c>
      <c r="E378" t="inlineStr">
        <is>
          <t>HANINGE</t>
        </is>
      </c>
      <c r="G378" t="n">
        <v>2.9</v>
      </c>
      <c r="H378" t="n">
        <v>1</v>
      </c>
      <c r="I378" t="n">
        <v>0</v>
      </c>
      <c r="J378" t="n">
        <v>0</v>
      </c>
      <c r="K378" t="n">
        <v>0</v>
      </c>
      <c r="L378" t="n">
        <v>0</v>
      </c>
      <c r="M378" t="n">
        <v>0</v>
      </c>
      <c r="N378" t="n">
        <v>0</v>
      </c>
      <c r="O378" t="n">
        <v>0</v>
      </c>
      <c r="P378" t="n">
        <v>0</v>
      </c>
      <c r="Q378" t="n">
        <v>1</v>
      </c>
      <c r="R378" s="2" t="inlineStr">
        <is>
          <t>Mattlummer</t>
        </is>
      </c>
      <c r="S378">
        <f>HYPERLINK("https://klasma.github.io/Logging_0136/artfynd/A 60369-2023 artfynd.xlsx", "A 60369-2023")</f>
        <v/>
      </c>
      <c r="T378">
        <f>HYPERLINK("https://klasma.github.io/Logging_0136/kartor/A 60369-2023 karta.png", "A 60369-2023")</f>
        <v/>
      </c>
      <c r="V378">
        <f>HYPERLINK("https://klasma.github.io/Logging_0136/klagomål/A 60369-2023 FSC-klagomål.docx", "A 60369-2023")</f>
        <v/>
      </c>
      <c r="W378">
        <f>HYPERLINK("https://klasma.github.io/Logging_0136/klagomålsmail/A 60369-2023 FSC-klagomål mail.docx", "A 60369-2023")</f>
        <v/>
      </c>
      <c r="X378">
        <f>HYPERLINK("https://klasma.github.io/Logging_0136/tillsyn/A 60369-2023 tillsynsbegäran.docx", "A 60369-2023")</f>
        <v/>
      </c>
      <c r="Y378">
        <f>HYPERLINK("https://klasma.github.io/Logging_0136/tillsynsmail/A 60369-2023 tillsynsbegäran mail.docx", "A 60369-2023")</f>
        <v/>
      </c>
    </row>
    <row r="379" ht="15" customHeight="1">
      <c r="A379" t="inlineStr">
        <is>
          <t>A 4860-2022</t>
        </is>
      </c>
      <c r="B379" s="1" t="n">
        <v>44592</v>
      </c>
      <c r="C379" s="1" t="n">
        <v>46033</v>
      </c>
      <c r="D379" t="inlineStr">
        <is>
          <t>STOCKHOLMS LÄN</t>
        </is>
      </c>
      <c r="E379" t="inlineStr">
        <is>
          <t>NORRTÄLJE</t>
        </is>
      </c>
      <c r="G379" t="n">
        <v>22.3</v>
      </c>
      <c r="H379" t="n">
        <v>0</v>
      </c>
      <c r="I379" t="n">
        <v>0</v>
      </c>
      <c r="J379" t="n">
        <v>1</v>
      </c>
      <c r="K379" t="n">
        <v>0</v>
      </c>
      <c r="L379" t="n">
        <v>0</v>
      </c>
      <c r="M379" t="n">
        <v>0</v>
      </c>
      <c r="N379" t="n">
        <v>0</v>
      </c>
      <c r="O379" t="n">
        <v>1</v>
      </c>
      <c r="P379" t="n">
        <v>0</v>
      </c>
      <c r="Q379" t="n">
        <v>1</v>
      </c>
      <c r="R379" s="2" t="inlineStr">
        <is>
          <t>Igelkott</t>
        </is>
      </c>
      <c r="S379">
        <f>HYPERLINK("https://klasma.github.io/Logging_0188/artfynd/A 4860-2022 artfynd.xlsx", "A 4860-2022")</f>
        <v/>
      </c>
      <c r="T379">
        <f>HYPERLINK("https://klasma.github.io/Logging_0188/kartor/A 4860-2022 karta.png", "A 4860-2022")</f>
        <v/>
      </c>
      <c r="V379">
        <f>HYPERLINK("https://klasma.github.io/Logging_0188/klagomål/A 4860-2022 FSC-klagomål.docx", "A 4860-2022")</f>
        <v/>
      </c>
      <c r="W379">
        <f>HYPERLINK("https://klasma.github.io/Logging_0188/klagomålsmail/A 4860-2022 FSC-klagomål mail.docx", "A 4860-2022")</f>
        <v/>
      </c>
      <c r="X379">
        <f>HYPERLINK("https://klasma.github.io/Logging_0188/tillsyn/A 4860-2022 tillsynsbegäran.docx", "A 4860-2022")</f>
        <v/>
      </c>
      <c r="Y379">
        <f>HYPERLINK("https://klasma.github.io/Logging_0188/tillsynsmail/A 4860-2022 tillsynsbegäran mail.docx", "A 4860-2022")</f>
        <v/>
      </c>
    </row>
    <row r="380" ht="15" customHeight="1">
      <c r="A380" t="inlineStr">
        <is>
          <t>A 13942-2021</t>
        </is>
      </c>
      <c r="B380" s="1" t="n">
        <v>44277</v>
      </c>
      <c r="C380" s="1" t="n">
        <v>46033</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3726-2022</t>
        </is>
      </c>
      <c r="B381" s="1" t="n">
        <v>44586</v>
      </c>
      <c r="C381" s="1" t="n">
        <v>46033</v>
      </c>
      <c r="D381" t="inlineStr">
        <is>
          <t>STOCKHOLMS LÄN</t>
        </is>
      </c>
      <c r="E381" t="inlineStr">
        <is>
          <t>BOTKYRKA</t>
        </is>
      </c>
      <c r="G381" t="n">
        <v>17.1</v>
      </c>
      <c r="H381" t="n">
        <v>0</v>
      </c>
      <c r="I381" t="n">
        <v>1</v>
      </c>
      <c r="J381" t="n">
        <v>0</v>
      </c>
      <c r="K381" t="n">
        <v>0</v>
      </c>
      <c r="L381" t="n">
        <v>0</v>
      </c>
      <c r="M381" t="n">
        <v>0</v>
      </c>
      <c r="N381" t="n">
        <v>0</v>
      </c>
      <c r="O381" t="n">
        <v>0</v>
      </c>
      <c r="P381" t="n">
        <v>0</v>
      </c>
      <c r="Q381" t="n">
        <v>1</v>
      </c>
      <c r="R381" s="2" t="inlineStr">
        <is>
          <t>Blomkålssvamp</t>
        </is>
      </c>
      <c r="S381">
        <f>HYPERLINK("https://klasma.github.io/Logging_0127/artfynd/A 3726-2022 artfynd.xlsx", "A 3726-2022")</f>
        <v/>
      </c>
      <c r="T381">
        <f>HYPERLINK("https://klasma.github.io/Logging_0127/kartor/A 3726-2022 karta.png", "A 3726-2022")</f>
        <v/>
      </c>
      <c r="V381">
        <f>HYPERLINK("https://klasma.github.io/Logging_0127/klagomål/A 3726-2022 FSC-klagomål.docx", "A 3726-2022")</f>
        <v/>
      </c>
      <c r="W381">
        <f>HYPERLINK("https://klasma.github.io/Logging_0127/klagomålsmail/A 3726-2022 FSC-klagomål mail.docx", "A 3726-2022")</f>
        <v/>
      </c>
      <c r="X381">
        <f>HYPERLINK("https://klasma.github.io/Logging_0127/tillsyn/A 3726-2022 tillsynsbegäran.docx", "A 3726-2022")</f>
        <v/>
      </c>
      <c r="Y381">
        <f>HYPERLINK("https://klasma.github.io/Logging_0127/tillsynsmail/A 3726-2022 tillsynsbegäran mail.docx", "A 3726-2022")</f>
        <v/>
      </c>
    </row>
    <row r="382" ht="15" customHeight="1">
      <c r="A382" t="inlineStr">
        <is>
          <t>A 19829-2022</t>
        </is>
      </c>
      <c r="B382" s="1" t="n">
        <v>44695.43527777777</v>
      </c>
      <c r="C382" s="1" t="n">
        <v>46033</v>
      </c>
      <c r="D382" t="inlineStr">
        <is>
          <t>STOCKHOLMS LÄN</t>
        </is>
      </c>
      <c r="E382" t="inlineStr">
        <is>
          <t>NORRTÄLJE</t>
        </is>
      </c>
      <c r="G382" t="n">
        <v>2</v>
      </c>
      <c r="H382" t="n">
        <v>1</v>
      </c>
      <c r="I382" t="n">
        <v>1</v>
      </c>
      <c r="J382" t="n">
        <v>0</v>
      </c>
      <c r="K382" t="n">
        <v>0</v>
      </c>
      <c r="L382" t="n">
        <v>0</v>
      </c>
      <c r="M382" t="n">
        <v>0</v>
      </c>
      <c r="N382" t="n">
        <v>0</v>
      </c>
      <c r="O382" t="n">
        <v>0</v>
      </c>
      <c r="P382" t="n">
        <v>0</v>
      </c>
      <c r="Q382" t="n">
        <v>1</v>
      </c>
      <c r="R382" s="2" t="inlineStr">
        <is>
          <t>Guckusko</t>
        </is>
      </c>
      <c r="S382">
        <f>HYPERLINK("https://klasma.github.io/Logging_0188/artfynd/A 19829-2022 artfynd.xlsx", "A 19829-2022")</f>
        <v/>
      </c>
      <c r="T382">
        <f>HYPERLINK("https://klasma.github.io/Logging_0188/kartor/A 19829-2022 karta.png", "A 19829-2022")</f>
        <v/>
      </c>
      <c r="V382">
        <f>HYPERLINK("https://klasma.github.io/Logging_0188/klagomål/A 19829-2022 FSC-klagomål.docx", "A 19829-2022")</f>
        <v/>
      </c>
      <c r="W382">
        <f>HYPERLINK("https://klasma.github.io/Logging_0188/klagomålsmail/A 19829-2022 FSC-klagomål mail.docx", "A 19829-2022")</f>
        <v/>
      </c>
      <c r="X382">
        <f>HYPERLINK("https://klasma.github.io/Logging_0188/tillsyn/A 19829-2022 tillsynsbegäran.docx", "A 19829-2022")</f>
        <v/>
      </c>
      <c r="Y382">
        <f>HYPERLINK("https://klasma.github.io/Logging_0188/tillsynsmail/A 19829-2022 tillsynsbegäran mail.docx", "A 19829-2022")</f>
        <v/>
      </c>
    </row>
    <row r="383" ht="15" customHeight="1">
      <c r="A383" t="inlineStr">
        <is>
          <t>A 54056-2022</t>
        </is>
      </c>
      <c r="B383" s="1" t="n">
        <v>44876</v>
      </c>
      <c r="C383" s="1" t="n">
        <v>46033</v>
      </c>
      <c r="D383" t="inlineStr">
        <is>
          <t>STOCKHOLMS LÄN</t>
        </is>
      </c>
      <c r="E383" t="inlineStr">
        <is>
          <t>VÄRMDÖ</t>
        </is>
      </c>
      <c r="F383" t="inlineStr">
        <is>
          <t>Kommuner</t>
        </is>
      </c>
      <c r="G383" t="n">
        <v>2</v>
      </c>
      <c r="H383" t="n">
        <v>0</v>
      </c>
      <c r="I383" t="n">
        <v>0</v>
      </c>
      <c r="J383" t="n">
        <v>1</v>
      </c>
      <c r="K383" t="n">
        <v>0</v>
      </c>
      <c r="L383" t="n">
        <v>0</v>
      </c>
      <c r="M383" t="n">
        <v>0</v>
      </c>
      <c r="N383" t="n">
        <v>0</v>
      </c>
      <c r="O383" t="n">
        <v>1</v>
      </c>
      <c r="P383" t="n">
        <v>0</v>
      </c>
      <c r="Q383" t="n">
        <v>1</v>
      </c>
      <c r="R383" s="2" t="inlineStr">
        <is>
          <t>Tallticka</t>
        </is>
      </c>
      <c r="S383">
        <f>HYPERLINK("https://klasma.github.io/Logging_0120/artfynd/A 54056-2022 artfynd.xlsx", "A 54056-2022")</f>
        <v/>
      </c>
      <c r="T383">
        <f>HYPERLINK("https://klasma.github.io/Logging_0120/kartor/A 54056-2022 karta.png", "A 54056-2022")</f>
        <v/>
      </c>
      <c r="V383">
        <f>HYPERLINK("https://klasma.github.io/Logging_0120/klagomål/A 54056-2022 FSC-klagomål.docx", "A 54056-2022")</f>
        <v/>
      </c>
      <c r="W383">
        <f>HYPERLINK("https://klasma.github.io/Logging_0120/klagomålsmail/A 54056-2022 FSC-klagomål mail.docx", "A 54056-2022")</f>
        <v/>
      </c>
      <c r="X383">
        <f>HYPERLINK("https://klasma.github.io/Logging_0120/tillsyn/A 54056-2022 tillsynsbegäran.docx", "A 54056-2022")</f>
        <v/>
      </c>
      <c r="Y383">
        <f>HYPERLINK("https://klasma.github.io/Logging_0120/tillsynsmail/A 54056-2022 tillsynsbegäran mail.docx", "A 54056-2022")</f>
        <v/>
      </c>
    </row>
    <row r="384" ht="15" customHeight="1">
      <c r="A384" t="inlineStr">
        <is>
          <t>A 7955-2023</t>
        </is>
      </c>
      <c r="B384" s="1" t="n">
        <v>44973</v>
      </c>
      <c r="C384" s="1" t="n">
        <v>46033</v>
      </c>
      <c r="D384" t="inlineStr">
        <is>
          <t>STOCKHOLMS LÄN</t>
        </is>
      </c>
      <c r="E384" t="inlineStr">
        <is>
          <t>UPPLANDS-BRO</t>
        </is>
      </c>
      <c r="G384" t="n">
        <v>2.9</v>
      </c>
      <c r="H384" t="n">
        <v>1</v>
      </c>
      <c r="I384" t="n">
        <v>0</v>
      </c>
      <c r="J384" t="n">
        <v>0</v>
      </c>
      <c r="K384" t="n">
        <v>1</v>
      </c>
      <c r="L384" t="n">
        <v>0</v>
      </c>
      <c r="M384" t="n">
        <v>0</v>
      </c>
      <c r="N384" t="n">
        <v>0</v>
      </c>
      <c r="O384" t="n">
        <v>1</v>
      </c>
      <c r="P384" t="n">
        <v>1</v>
      </c>
      <c r="Q384" t="n">
        <v>1</v>
      </c>
      <c r="R384" s="2" t="inlineStr">
        <is>
          <t>Bombmurkla</t>
        </is>
      </c>
      <c r="S384">
        <f>HYPERLINK("https://klasma.github.io/Logging_0139/artfynd/A 7955-2023 artfynd.xlsx", "A 7955-2023")</f>
        <v/>
      </c>
      <c r="T384">
        <f>HYPERLINK("https://klasma.github.io/Logging_0139/kartor/A 7955-2023 karta.png", "A 7955-2023")</f>
        <v/>
      </c>
      <c r="V384">
        <f>HYPERLINK("https://klasma.github.io/Logging_0139/klagomål/A 7955-2023 FSC-klagomål.docx", "A 7955-2023")</f>
        <v/>
      </c>
      <c r="W384">
        <f>HYPERLINK("https://klasma.github.io/Logging_0139/klagomålsmail/A 7955-2023 FSC-klagomål mail.docx", "A 7955-2023")</f>
        <v/>
      </c>
      <c r="X384">
        <f>HYPERLINK("https://klasma.github.io/Logging_0139/tillsyn/A 7955-2023 tillsynsbegäran.docx", "A 7955-2023")</f>
        <v/>
      </c>
      <c r="Y384">
        <f>HYPERLINK("https://klasma.github.io/Logging_0139/tillsynsmail/A 7955-2023 tillsynsbegäran mail.docx", "A 7955-2023")</f>
        <v/>
      </c>
    </row>
    <row r="385" ht="15" customHeight="1">
      <c r="A385" t="inlineStr">
        <is>
          <t>A 34458-2023</t>
        </is>
      </c>
      <c r="B385" s="1" t="n">
        <v>45139</v>
      </c>
      <c r="C385" s="1" t="n">
        <v>46033</v>
      </c>
      <c r="D385" t="inlineStr">
        <is>
          <t>STOCKHOLMS LÄN</t>
        </is>
      </c>
      <c r="E385" t="inlineStr">
        <is>
          <t>VALLENTUNA</t>
        </is>
      </c>
      <c r="G385" t="n">
        <v>2.5</v>
      </c>
      <c r="H385" t="n">
        <v>0</v>
      </c>
      <c r="I385" t="n">
        <v>0</v>
      </c>
      <c r="J385" t="n">
        <v>1</v>
      </c>
      <c r="K385" t="n">
        <v>0</v>
      </c>
      <c r="L385" t="n">
        <v>0</v>
      </c>
      <c r="M385" t="n">
        <v>0</v>
      </c>
      <c r="N385" t="n">
        <v>0</v>
      </c>
      <c r="O385" t="n">
        <v>1</v>
      </c>
      <c r="P385" t="n">
        <v>0</v>
      </c>
      <c r="Q385" t="n">
        <v>1</v>
      </c>
      <c r="R385" s="2" t="inlineStr">
        <is>
          <t>Motaggsvamp</t>
        </is>
      </c>
      <c r="S385">
        <f>HYPERLINK("https://klasma.github.io/Logging_0115/artfynd/A 34458-2023 artfynd.xlsx", "A 34458-2023")</f>
        <v/>
      </c>
      <c r="T385">
        <f>HYPERLINK("https://klasma.github.io/Logging_0115/kartor/A 34458-2023 karta.png", "A 34458-2023")</f>
        <v/>
      </c>
      <c r="V385">
        <f>HYPERLINK("https://klasma.github.io/Logging_0115/klagomål/A 34458-2023 FSC-klagomål.docx", "A 34458-2023")</f>
        <v/>
      </c>
      <c r="W385">
        <f>HYPERLINK("https://klasma.github.io/Logging_0115/klagomålsmail/A 34458-2023 FSC-klagomål mail.docx", "A 34458-2023")</f>
        <v/>
      </c>
      <c r="X385">
        <f>HYPERLINK("https://klasma.github.io/Logging_0115/tillsyn/A 34458-2023 tillsynsbegäran.docx", "A 34458-2023")</f>
        <v/>
      </c>
      <c r="Y385">
        <f>HYPERLINK("https://klasma.github.io/Logging_0115/tillsynsmail/A 34458-2023 tillsynsbegäran mail.docx", "A 34458-2023")</f>
        <v/>
      </c>
    </row>
    <row r="386" ht="15" customHeight="1">
      <c r="A386" t="inlineStr">
        <is>
          <t>A 2987-2023</t>
        </is>
      </c>
      <c r="B386" s="1" t="n">
        <v>44945</v>
      </c>
      <c r="C386" s="1" t="n">
        <v>46033</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1946-2022</t>
        </is>
      </c>
      <c r="B387" s="1" t="n">
        <v>44575</v>
      </c>
      <c r="C387" s="1" t="n">
        <v>46033</v>
      </c>
      <c r="D387" t="inlineStr">
        <is>
          <t>STOCKHOLMS LÄN</t>
        </is>
      </c>
      <c r="E387" t="inlineStr">
        <is>
          <t>SÖDERTÄLJE</t>
        </is>
      </c>
      <c r="G387" t="n">
        <v>6.7</v>
      </c>
      <c r="H387" t="n">
        <v>1</v>
      </c>
      <c r="I387" t="n">
        <v>0</v>
      </c>
      <c r="J387" t="n">
        <v>0</v>
      </c>
      <c r="K387" t="n">
        <v>0</v>
      </c>
      <c r="L387" t="n">
        <v>0</v>
      </c>
      <c r="M387" t="n">
        <v>0</v>
      </c>
      <c r="N387" t="n">
        <v>0</v>
      </c>
      <c r="O387" t="n">
        <v>0</v>
      </c>
      <c r="P387" t="n">
        <v>0</v>
      </c>
      <c r="Q387" t="n">
        <v>1</v>
      </c>
      <c r="R387" s="2" t="inlineStr">
        <is>
          <t>Större vattensalamander</t>
        </is>
      </c>
      <c r="S387">
        <f>HYPERLINK("https://klasma.github.io/Logging_0181/artfynd/A 1946-2022 artfynd.xlsx", "A 1946-2022")</f>
        <v/>
      </c>
      <c r="T387">
        <f>HYPERLINK("https://klasma.github.io/Logging_0181/kartor/A 1946-2022 karta.png", "A 1946-2022")</f>
        <v/>
      </c>
      <c r="V387">
        <f>HYPERLINK("https://klasma.github.io/Logging_0181/klagomål/A 1946-2022 FSC-klagomål.docx", "A 1946-2022")</f>
        <v/>
      </c>
      <c r="W387">
        <f>HYPERLINK("https://klasma.github.io/Logging_0181/klagomålsmail/A 1946-2022 FSC-klagomål mail.docx", "A 1946-2022")</f>
        <v/>
      </c>
      <c r="X387">
        <f>HYPERLINK("https://klasma.github.io/Logging_0181/tillsyn/A 1946-2022 tillsynsbegäran.docx", "A 1946-2022")</f>
        <v/>
      </c>
      <c r="Y387">
        <f>HYPERLINK("https://klasma.github.io/Logging_0181/tillsynsmail/A 1946-2022 tillsynsbegäran mail.docx", "A 1946-2022")</f>
        <v/>
      </c>
    </row>
    <row r="388" ht="15" customHeight="1">
      <c r="A388" t="inlineStr">
        <is>
          <t>A 37597-2024</t>
        </is>
      </c>
      <c r="B388" s="1" t="n">
        <v>45541.47459490741</v>
      </c>
      <c r="C388" s="1" t="n">
        <v>46033</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21-2022</t>
        </is>
      </c>
      <c r="B389" s="1" t="n">
        <v>44560</v>
      </c>
      <c r="C389" s="1" t="n">
        <v>46033</v>
      </c>
      <c r="D389" t="inlineStr">
        <is>
          <t>STOCKHOLMS LÄN</t>
        </is>
      </c>
      <c r="E389" t="inlineStr">
        <is>
          <t>VALLENTUNA</t>
        </is>
      </c>
      <c r="F389" t="inlineStr">
        <is>
          <t>Övriga Aktiebolag</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HYPERLINK("https://klasma.github.io/Logging_0115/artfynd/A 21-2022 artfynd.xlsx", "A 21-2022")</f>
        <v/>
      </c>
      <c r="T389">
        <f>HYPERLINK("https://klasma.github.io/Logging_0115/kartor/A 21-2022 karta.png", "A 21-2022")</f>
        <v/>
      </c>
      <c r="V389">
        <f>HYPERLINK("https://klasma.github.io/Logging_0115/klagomål/A 21-2022 FSC-klagomål.docx", "A 21-2022")</f>
        <v/>
      </c>
      <c r="W389">
        <f>HYPERLINK("https://klasma.github.io/Logging_0115/klagomålsmail/A 21-2022 FSC-klagomål mail.docx", "A 21-2022")</f>
        <v/>
      </c>
      <c r="X389">
        <f>HYPERLINK("https://klasma.github.io/Logging_0115/tillsyn/A 21-2022 tillsynsbegäran.docx", "A 21-2022")</f>
        <v/>
      </c>
      <c r="Y389">
        <f>HYPERLINK("https://klasma.github.io/Logging_0115/tillsynsmail/A 21-2022 tillsynsbegäran mail.docx", "A 21-2022")</f>
        <v/>
      </c>
    </row>
    <row r="390" ht="15" customHeight="1">
      <c r="A390" t="inlineStr">
        <is>
          <t>A 8285-2022</t>
        </is>
      </c>
      <c r="B390" s="1" t="n">
        <v>44610</v>
      </c>
      <c r="C390" s="1" t="n">
        <v>46033</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49421-2023</t>
        </is>
      </c>
      <c r="B391" s="1" t="n">
        <v>45211</v>
      </c>
      <c r="C391" s="1" t="n">
        <v>46033</v>
      </c>
      <c r="D391" t="inlineStr">
        <is>
          <t>STOCKHOLMS LÄN</t>
        </is>
      </c>
      <c r="E391" t="inlineStr">
        <is>
          <t>HUDDINGE</t>
        </is>
      </c>
      <c r="F391" t="inlineStr">
        <is>
          <t>Kommuner</t>
        </is>
      </c>
      <c r="G391" t="n">
        <v>1.4</v>
      </c>
      <c r="H391" t="n">
        <v>1</v>
      </c>
      <c r="I391" t="n">
        <v>0</v>
      </c>
      <c r="J391" t="n">
        <v>0</v>
      </c>
      <c r="K391" t="n">
        <v>0</v>
      </c>
      <c r="L391" t="n">
        <v>1</v>
      </c>
      <c r="M391" t="n">
        <v>0</v>
      </c>
      <c r="N391" t="n">
        <v>0</v>
      </c>
      <c r="O391" t="n">
        <v>1</v>
      </c>
      <c r="P391" t="n">
        <v>1</v>
      </c>
      <c r="Q391" t="n">
        <v>1</v>
      </c>
      <c r="R391" s="2" t="inlineStr">
        <is>
          <t>Grönfink</t>
        </is>
      </c>
      <c r="S391">
        <f>HYPERLINK("https://klasma.github.io/Logging_0126/artfynd/A 49421-2023 artfynd.xlsx", "A 49421-2023")</f>
        <v/>
      </c>
      <c r="T391">
        <f>HYPERLINK("https://klasma.github.io/Logging_0126/kartor/A 49421-2023 karta.png", "A 49421-2023")</f>
        <v/>
      </c>
      <c r="V391">
        <f>HYPERLINK("https://klasma.github.io/Logging_0126/klagomål/A 49421-2023 FSC-klagomål.docx", "A 49421-2023")</f>
        <v/>
      </c>
      <c r="W391">
        <f>HYPERLINK("https://klasma.github.io/Logging_0126/klagomålsmail/A 49421-2023 FSC-klagomål mail.docx", "A 49421-2023")</f>
        <v/>
      </c>
      <c r="X391">
        <f>HYPERLINK("https://klasma.github.io/Logging_0126/tillsyn/A 49421-2023 tillsynsbegäran.docx", "A 49421-2023")</f>
        <v/>
      </c>
      <c r="Y391">
        <f>HYPERLINK("https://klasma.github.io/Logging_0126/tillsynsmail/A 49421-2023 tillsynsbegäran mail.docx", "A 49421-2023")</f>
        <v/>
      </c>
      <c r="Z391">
        <f>HYPERLINK("https://klasma.github.io/Logging_0126/fåglar/A 49421-2023 prioriterade fågelarter.docx", "A 49421-2023")</f>
        <v/>
      </c>
    </row>
    <row r="392" ht="15" customHeight="1">
      <c r="A392" t="inlineStr">
        <is>
          <t>A 64345-2023</t>
        </is>
      </c>
      <c r="B392" s="1" t="n">
        <v>45280</v>
      </c>
      <c r="C392" s="1" t="n">
        <v>46033</v>
      </c>
      <c r="D392" t="inlineStr">
        <is>
          <t>STOCKHOLMS LÄN</t>
        </is>
      </c>
      <c r="E392" t="inlineStr">
        <is>
          <t>SIGTUNA</t>
        </is>
      </c>
      <c r="G392" t="n">
        <v>2.7</v>
      </c>
      <c r="H392" t="n">
        <v>1</v>
      </c>
      <c r="I392" t="n">
        <v>0</v>
      </c>
      <c r="J392" t="n">
        <v>0</v>
      </c>
      <c r="K392" t="n">
        <v>0</v>
      </c>
      <c r="L392" t="n">
        <v>0</v>
      </c>
      <c r="M392" t="n">
        <v>0</v>
      </c>
      <c r="N392" t="n">
        <v>0</v>
      </c>
      <c r="O392" t="n">
        <v>0</v>
      </c>
      <c r="P392" t="n">
        <v>0</v>
      </c>
      <c r="Q392" t="n">
        <v>1</v>
      </c>
      <c r="R392" s="2" t="inlineStr">
        <is>
          <t>Kungsfågel</t>
        </is>
      </c>
      <c r="S392">
        <f>HYPERLINK("https://klasma.github.io/Logging_0191/artfynd/A 64345-2023 artfynd.xlsx", "A 64345-2023")</f>
        <v/>
      </c>
      <c r="T392">
        <f>HYPERLINK("https://klasma.github.io/Logging_0191/kartor/A 64345-2023 karta.png", "A 64345-2023")</f>
        <v/>
      </c>
      <c r="V392">
        <f>HYPERLINK("https://klasma.github.io/Logging_0191/klagomål/A 64345-2023 FSC-klagomål.docx", "A 64345-2023")</f>
        <v/>
      </c>
      <c r="W392">
        <f>HYPERLINK("https://klasma.github.io/Logging_0191/klagomålsmail/A 64345-2023 FSC-klagomål mail.docx", "A 64345-2023")</f>
        <v/>
      </c>
      <c r="X392">
        <f>HYPERLINK("https://klasma.github.io/Logging_0191/tillsyn/A 64345-2023 tillsynsbegäran.docx", "A 64345-2023")</f>
        <v/>
      </c>
      <c r="Y392">
        <f>HYPERLINK("https://klasma.github.io/Logging_0191/tillsynsmail/A 64345-2023 tillsynsbegäran mail.docx", "A 64345-2023")</f>
        <v/>
      </c>
      <c r="Z392">
        <f>HYPERLINK("https://klasma.github.io/Logging_0191/fåglar/A 64345-2023 prioriterade fågelarter.docx", "A 64345-2023")</f>
        <v/>
      </c>
    </row>
    <row r="393" ht="15" customHeight="1">
      <c r="A393" t="inlineStr">
        <is>
          <t>A 52508-2023</t>
        </is>
      </c>
      <c r="B393" s="1" t="n">
        <v>45225</v>
      </c>
      <c r="C393" s="1" t="n">
        <v>46033</v>
      </c>
      <c r="D393" t="inlineStr">
        <is>
          <t>STOCKHOLMS LÄN</t>
        </is>
      </c>
      <c r="E393" t="inlineStr">
        <is>
          <t>NORRTÄLJE</t>
        </is>
      </c>
      <c r="G393" t="n">
        <v>19.7</v>
      </c>
      <c r="H393" t="n">
        <v>1</v>
      </c>
      <c r="I393" t="n">
        <v>0</v>
      </c>
      <c r="J393" t="n">
        <v>0</v>
      </c>
      <c r="K393" t="n">
        <v>1</v>
      </c>
      <c r="L393" t="n">
        <v>0</v>
      </c>
      <c r="M393" t="n">
        <v>0</v>
      </c>
      <c r="N393" t="n">
        <v>0</v>
      </c>
      <c r="O393" t="n">
        <v>1</v>
      </c>
      <c r="P393" t="n">
        <v>1</v>
      </c>
      <c r="Q393" t="n">
        <v>1</v>
      </c>
      <c r="R393" s="2" t="inlineStr">
        <is>
          <t>Svärta</t>
        </is>
      </c>
      <c r="S393">
        <f>HYPERLINK("https://klasma.github.io/Logging_0188/artfynd/A 52508-2023 artfynd.xlsx", "A 52508-2023")</f>
        <v/>
      </c>
      <c r="T393">
        <f>HYPERLINK("https://klasma.github.io/Logging_0188/kartor/A 52508-2023 karta.png", "A 52508-2023")</f>
        <v/>
      </c>
      <c r="V393">
        <f>HYPERLINK("https://klasma.github.io/Logging_0188/klagomål/A 52508-2023 FSC-klagomål.docx", "A 52508-2023")</f>
        <v/>
      </c>
      <c r="W393">
        <f>HYPERLINK("https://klasma.github.io/Logging_0188/klagomålsmail/A 52508-2023 FSC-klagomål mail.docx", "A 52508-2023")</f>
        <v/>
      </c>
      <c r="X393">
        <f>HYPERLINK("https://klasma.github.io/Logging_0188/tillsyn/A 52508-2023 tillsynsbegäran.docx", "A 52508-2023")</f>
        <v/>
      </c>
      <c r="Y393">
        <f>HYPERLINK("https://klasma.github.io/Logging_0188/tillsynsmail/A 52508-2023 tillsynsbegäran mail.docx", "A 52508-2023")</f>
        <v/>
      </c>
    </row>
    <row r="394" ht="15" customHeight="1">
      <c r="A394" t="inlineStr">
        <is>
          <t>A 52046-2022</t>
        </is>
      </c>
      <c r="B394" s="1" t="n">
        <v>44868</v>
      </c>
      <c r="C394" s="1" t="n">
        <v>46033</v>
      </c>
      <c r="D394" t="inlineStr">
        <is>
          <t>STOCKHOLMS LÄN</t>
        </is>
      </c>
      <c r="E394" t="inlineStr">
        <is>
          <t>SÖDERTÄLJE</t>
        </is>
      </c>
      <c r="F394" t="inlineStr">
        <is>
          <t>Kommuner</t>
        </is>
      </c>
      <c r="G394" t="n">
        <v>14.4</v>
      </c>
      <c r="H394" t="n">
        <v>1</v>
      </c>
      <c r="I394" t="n">
        <v>0</v>
      </c>
      <c r="J394" t="n">
        <v>0</v>
      </c>
      <c r="K394" t="n">
        <v>0</v>
      </c>
      <c r="L394" t="n">
        <v>0</v>
      </c>
      <c r="M394" t="n">
        <v>0</v>
      </c>
      <c r="N394" t="n">
        <v>0</v>
      </c>
      <c r="O394" t="n">
        <v>0</v>
      </c>
      <c r="P394" t="n">
        <v>0</v>
      </c>
      <c r="Q394" t="n">
        <v>1</v>
      </c>
      <c r="R394" s="2" t="inlineStr">
        <is>
          <t>Nattviol</t>
        </is>
      </c>
      <c r="S394">
        <f>HYPERLINK("https://klasma.github.io/Logging_0181/artfynd/A 52046-2022 artfynd.xlsx", "A 52046-2022")</f>
        <v/>
      </c>
      <c r="T394">
        <f>HYPERLINK("https://klasma.github.io/Logging_0181/kartor/A 52046-2022 karta.png", "A 52046-2022")</f>
        <v/>
      </c>
      <c r="V394">
        <f>HYPERLINK("https://klasma.github.io/Logging_0181/klagomål/A 52046-2022 FSC-klagomål.docx", "A 52046-2022")</f>
        <v/>
      </c>
      <c r="W394">
        <f>HYPERLINK("https://klasma.github.io/Logging_0181/klagomålsmail/A 52046-2022 FSC-klagomål mail.docx", "A 52046-2022")</f>
        <v/>
      </c>
      <c r="X394">
        <f>HYPERLINK("https://klasma.github.io/Logging_0181/tillsyn/A 52046-2022 tillsynsbegäran.docx", "A 52046-2022")</f>
        <v/>
      </c>
      <c r="Y394">
        <f>HYPERLINK("https://klasma.github.io/Logging_0181/tillsynsmail/A 52046-2022 tillsynsbegäran mail.docx", "A 52046-2022")</f>
        <v/>
      </c>
    </row>
    <row r="395" ht="15" customHeight="1">
      <c r="A395" t="inlineStr">
        <is>
          <t>A 31828-2023</t>
        </is>
      </c>
      <c r="B395" s="1" t="n">
        <v>45118</v>
      </c>
      <c r="C395" s="1" t="n">
        <v>46033</v>
      </c>
      <c r="D395" t="inlineStr">
        <is>
          <t>STOCKHOLMS LÄN</t>
        </is>
      </c>
      <c r="E395" t="inlineStr">
        <is>
          <t>NYNÄSHAMN</t>
        </is>
      </c>
      <c r="F395" t="inlineStr">
        <is>
          <t>Kommuner</t>
        </is>
      </c>
      <c r="G395" t="n">
        <v>2.7</v>
      </c>
      <c r="H395" t="n">
        <v>0</v>
      </c>
      <c r="I395" t="n">
        <v>1</v>
      </c>
      <c r="J395" t="n">
        <v>0</v>
      </c>
      <c r="K395" t="n">
        <v>0</v>
      </c>
      <c r="L395" t="n">
        <v>0</v>
      </c>
      <c r="M395" t="n">
        <v>0</v>
      </c>
      <c r="N395" t="n">
        <v>0</v>
      </c>
      <c r="O395" t="n">
        <v>0</v>
      </c>
      <c r="P395" t="n">
        <v>0</v>
      </c>
      <c r="Q395" t="n">
        <v>1</v>
      </c>
      <c r="R395" s="2" t="inlineStr">
        <is>
          <t>Björksplintborre</t>
        </is>
      </c>
      <c r="S395">
        <f>HYPERLINK("https://klasma.github.io/Logging_0192/artfynd/A 31828-2023 artfynd.xlsx", "A 31828-2023")</f>
        <v/>
      </c>
      <c r="T395">
        <f>HYPERLINK("https://klasma.github.io/Logging_0192/kartor/A 31828-2023 karta.png", "A 31828-2023")</f>
        <v/>
      </c>
      <c r="V395">
        <f>HYPERLINK("https://klasma.github.io/Logging_0192/klagomål/A 31828-2023 FSC-klagomål.docx", "A 31828-2023")</f>
        <v/>
      </c>
      <c r="W395">
        <f>HYPERLINK("https://klasma.github.io/Logging_0192/klagomålsmail/A 31828-2023 FSC-klagomål mail.docx", "A 31828-2023")</f>
        <v/>
      </c>
      <c r="X395">
        <f>HYPERLINK("https://klasma.github.io/Logging_0192/tillsyn/A 31828-2023 tillsynsbegäran.docx", "A 31828-2023")</f>
        <v/>
      </c>
      <c r="Y395">
        <f>HYPERLINK("https://klasma.github.io/Logging_0192/tillsynsmail/A 31828-2023 tillsynsbegäran mail.docx", "A 31828-2023")</f>
        <v/>
      </c>
    </row>
    <row r="396" ht="15" customHeight="1">
      <c r="A396" t="inlineStr">
        <is>
          <t>A 19793-2024</t>
        </is>
      </c>
      <c r="B396" s="1" t="n">
        <v>45432</v>
      </c>
      <c r="C396" s="1" t="n">
        <v>46033</v>
      </c>
      <c r="D396" t="inlineStr">
        <is>
          <t>STOCKHOLMS LÄN</t>
        </is>
      </c>
      <c r="E396" t="inlineStr">
        <is>
          <t>SÖDERTÄLJE</t>
        </is>
      </c>
      <c r="F396" t="inlineStr">
        <is>
          <t>Övriga Aktiebolag</t>
        </is>
      </c>
      <c r="G396" t="n">
        <v>4.1</v>
      </c>
      <c r="H396" t="n">
        <v>0</v>
      </c>
      <c r="I396" t="n">
        <v>1</v>
      </c>
      <c r="J396" t="n">
        <v>0</v>
      </c>
      <c r="K396" t="n">
        <v>0</v>
      </c>
      <c r="L396" t="n">
        <v>0</v>
      </c>
      <c r="M396" t="n">
        <v>0</v>
      </c>
      <c r="N396" t="n">
        <v>0</v>
      </c>
      <c r="O396" t="n">
        <v>0</v>
      </c>
      <c r="P396" t="n">
        <v>0</v>
      </c>
      <c r="Q396" t="n">
        <v>1</v>
      </c>
      <c r="R396" s="2" t="inlineStr">
        <is>
          <t>Fjällig taggsvamp s.str.</t>
        </is>
      </c>
      <c r="S396">
        <f>HYPERLINK("https://klasma.github.io/Logging_0181/artfynd/A 19793-2024 artfynd.xlsx", "A 19793-2024")</f>
        <v/>
      </c>
      <c r="T396">
        <f>HYPERLINK("https://klasma.github.io/Logging_0181/kartor/A 19793-2024 karta.png", "A 19793-2024")</f>
        <v/>
      </c>
      <c r="V396">
        <f>HYPERLINK("https://klasma.github.io/Logging_0181/klagomål/A 19793-2024 FSC-klagomål.docx", "A 19793-2024")</f>
        <v/>
      </c>
      <c r="W396">
        <f>HYPERLINK("https://klasma.github.io/Logging_0181/klagomålsmail/A 19793-2024 FSC-klagomål mail.docx", "A 19793-2024")</f>
        <v/>
      </c>
      <c r="X396">
        <f>HYPERLINK("https://klasma.github.io/Logging_0181/tillsyn/A 19793-2024 tillsynsbegäran.docx", "A 19793-2024")</f>
        <v/>
      </c>
      <c r="Y396">
        <f>HYPERLINK("https://klasma.github.io/Logging_0181/tillsynsmail/A 19793-2024 tillsynsbegäran mail.docx", "A 19793-2024")</f>
        <v/>
      </c>
    </row>
    <row r="397" ht="15" customHeight="1">
      <c r="A397" t="inlineStr">
        <is>
          <t>A 1691-2023</t>
        </is>
      </c>
      <c r="B397" s="1" t="n">
        <v>44938</v>
      </c>
      <c r="C397" s="1" t="n">
        <v>46033</v>
      </c>
      <c r="D397" t="inlineStr">
        <is>
          <t>STOCKHOLMS LÄN</t>
        </is>
      </c>
      <c r="E397" t="inlineStr">
        <is>
          <t>BOTKYRKA</t>
        </is>
      </c>
      <c r="G397" t="n">
        <v>1.7</v>
      </c>
      <c r="H397" t="n">
        <v>0</v>
      </c>
      <c r="I397" t="n">
        <v>1</v>
      </c>
      <c r="J397" t="n">
        <v>0</v>
      </c>
      <c r="K397" t="n">
        <v>0</v>
      </c>
      <c r="L397" t="n">
        <v>0</v>
      </c>
      <c r="M397" t="n">
        <v>0</v>
      </c>
      <c r="N397" t="n">
        <v>0</v>
      </c>
      <c r="O397" t="n">
        <v>0</v>
      </c>
      <c r="P397" t="n">
        <v>0</v>
      </c>
      <c r="Q397" t="n">
        <v>1</v>
      </c>
      <c r="R397" s="2" t="inlineStr">
        <is>
          <t>Tibast</t>
        </is>
      </c>
      <c r="S397">
        <f>HYPERLINK("https://klasma.github.io/Logging_0127/artfynd/A 1691-2023 artfynd.xlsx", "A 1691-2023")</f>
        <v/>
      </c>
      <c r="T397">
        <f>HYPERLINK("https://klasma.github.io/Logging_0127/kartor/A 1691-2023 karta.png", "A 1691-2023")</f>
        <v/>
      </c>
      <c r="V397">
        <f>HYPERLINK("https://klasma.github.io/Logging_0127/klagomål/A 1691-2023 FSC-klagomål.docx", "A 1691-2023")</f>
        <v/>
      </c>
      <c r="W397">
        <f>HYPERLINK("https://klasma.github.io/Logging_0127/klagomålsmail/A 1691-2023 FSC-klagomål mail.docx", "A 1691-2023")</f>
        <v/>
      </c>
      <c r="X397">
        <f>HYPERLINK("https://klasma.github.io/Logging_0127/tillsyn/A 1691-2023 tillsynsbegäran.docx", "A 1691-2023")</f>
        <v/>
      </c>
      <c r="Y397">
        <f>HYPERLINK("https://klasma.github.io/Logging_0127/tillsynsmail/A 1691-2023 tillsynsbegäran mail.docx", "A 1691-2023")</f>
        <v/>
      </c>
    </row>
    <row r="398" ht="15" customHeight="1">
      <c r="A398" t="inlineStr">
        <is>
          <t>A 6435-2023</t>
        </is>
      </c>
      <c r="B398" s="1" t="n">
        <v>44965</v>
      </c>
      <c r="C398" s="1" t="n">
        <v>46033</v>
      </c>
      <c r="D398" t="inlineStr">
        <is>
          <t>STOCKHOLMS LÄN</t>
        </is>
      </c>
      <c r="E398" t="inlineStr">
        <is>
          <t>NYNÄSHAMN</t>
        </is>
      </c>
      <c r="G398" t="n">
        <v>1.8</v>
      </c>
      <c r="H398" t="n">
        <v>0</v>
      </c>
      <c r="I398" t="n">
        <v>0</v>
      </c>
      <c r="J398" t="n">
        <v>1</v>
      </c>
      <c r="K398" t="n">
        <v>0</v>
      </c>
      <c r="L398" t="n">
        <v>0</v>
      </c>
      <c r="M398" t="n">
        <v>0</v>
      </c>
      <c r="N398" t="n">
        <v>0</v>
      </c>
      <c r="O398" t="n">
        <v>1</v>
      </c>
      <c r="P398" t="n">
        <v>0</v>
      </c>
      <c r="Q398" t="n">
        <v>1</v>
      </c>
      <c r="R398" s="2" t="inlineStr">
        <is>
          <t>Tallticka</t>
        </is>
      </c>
      <c r="S398">
        <f>HYPERLINK("https://klasma.github.io/Logging_0192/artfynd/A 6435-2023 artfynd.xlsx", "A 6435-2023")</f>
        <v/>
      </c>
      <c r="T398">
        <f>HYPERLINK("https://klasma.github.io/Logging_0192/kartor/A 6435-2023 karta.png", "A 6435-2023")</f>
        <v/>
      </c>
      <c r="V398">
        <f>HYPERLINK("https://klasma.github.io/Logging_0192/klagomål/A 6435-2023 FSC-klagomål.docx", "A 6435-2023")</f>
        <v/>
      </c>
      <c r="W398">
        <f>HYPERLINK("https://klasma.github.io/Logging_0192/klagomålsmail/A 6435-2023 FSC-klagomål mail.docx", "A 6435-2023")</f>
        <v/>
      </c>
      <c r="X398">
        <f>HYPERLINK("https://klasma.github.io/Logging_0192/tillsyn/A 6435-2023 tillsynsbegäran.docx", "A 6435-2023")</f>
        <v/>
      </c>
      <c r="Y398">
        <f>HYPERLINK("https://klasma.github.io/Logging_0192/tillsynsmail/A 6435-2023 tillsynsbegäran mail.docx", "A 6435-2023")</f>
        <v/>
      </c>
    </row>
    <row r="399" ht="15" customHeight="1">
      <c r="A399" t="inlineStr">
        <is>
          <t>A 27827-2022</t>
        </is>
      </c>
      <c r="B399" s="1" t="n">
        <v>44743.59504629629</v>
      </c>
      <c r="C399" s="1" t="n">
        <v>46033</v>
      </c>
      <c r="D399" t="inlineStr">
        <is>
          <t>STOCKHOLMS LÄN</t>
        </is>
      </c>
      <c r="E399" t="inlineStr">
        <is>
          <t>NORRTÄLJE</t>
        </is>
      </c>
      <c r="F399" t="inlineStr">
        <is>
          <t>Holmen skog AB</t>
        </is>
      </c>
      <c r="G399" t="n">
        <v>4.7</v>
      </c>
      <c r="H399" t="n">
        <v>1</v>
      </c>
      <c r="I399" t="n">
        <v>0</v>
      </c>
      <c r="J399" t="n">
        <v>1</v>
      </c>
      <c r="K399" t="n">
        <v>0</v>
      </c>
      <c r="L399" t="n">
        <v>0</v>
      </c>
      <c r="M399" t="n">
        <v>0</v>
      </c>
      <c r="N399" t="n">
        <v>0</v>
      </c>
      <c r="O399" t="n">
        <v>1</v>
      </c>
      <c r="P399" t="n">
        <v>0</v>
      </c>
      <c r="Q399" t="n">
        <v>1</v>
      </c>
      <c r="R399" s="2" t="inlineStr">
        <is>
          <t>Nordfladdermus</t>
        </is>
      </c>
      <c r="S399">
        <f>HYPERLINK("https://klasma.github.io/Logging_0188/artfynd/A 27827-2022 artfynd.xlsx", "A 27827-2022")</f>
        <v/>
      </c>
      <c r="T399">
        <f>HYPERLINK("https://klasma.github.io/Logging_0188/kartor/A 27827-2022 karta.png", "A 27827-2022")</f>
        <v/>
      </c>
      <c r="V399">
        <f>HYPERLINK("https://klasma.github.io/Logging_0188/klagomål/A 27827-2022 FSC-klagomål.docx", "A 27827-2022")</f>
        <v/>
      </c>
      <c r="W399">
        <f>HYPERLINK("https://klasma.github.io/Logging_0188/klagomålsmail/A 27827-2022 FSC-klagomål mail.docx", "A 27827-2022")</f>
        <v/>
      </c>
      <c r="X399">
        <f>HYPERLINK("https://klasma.github.io/Logging_0188/tillsyn/A 27827-2022 tillsynsbegäran.docx", "A 27827-2022")</f>
        <v/>
      </c>
      <c r="Y399">
        <f>HYPERLINK("https://klasma.github.io/Logging_0188/tillsynsmail/A 27827-2022 tillsynsbegäran mail.docx", "A 27827-2022")</f>
        <v/>
      </c>
    </row>
    <row r="400" ht="15" customHeight="1">
      <c r="A400" t="inlineStr">
        <is>
          <t>A 18100-2022</t>
        </is>
      </c>
      <c r="B400" s="1" t="n">
        <v>44684</v>
      </c>
      <c r="C400" s="1" t="n">
        <v>46033</v>
      </c>
      <c r="D400" t="inlineStr">
        <is>
          <t>STOCKHOLMS LÄN</t>
        </is>
      </c>
      <c r="E400" t="inlineStr">
        <is>
          <t>BOTKYRKA</t>
        </is>
      </c>
      <c r="G400" t="n">
        <v>3.1</v>
      </c>
      <c r="H400" t="n">
        <v>1</v>
      </c>
      <c r="I400" t="n">
        <v>0</v>
      </c>
      <c r="J400" t="n">
        <v>0</v>
      </c>
      <c r="K400" t="n">
        <v>0</v>
      </c>
      <c r="L400" t="n">
        <v>0</v>
      </c>
      <c r="M400" t="n">
        <v>0</v>
      </c>
      <c r="N400" t="n">
        <v>0</v>
      </c>
      <c r="O400" t="n">
        <v>0</v>
      </c>
      <c r="P400" t="n">
        <v>0</v>
      </c>
      <c r="Q400" t="n">
        <v>1</v>
      </c>
      <c r="R400" s="2" t="inlineStr">
        <is>
          <t>Gullviva</t>
        </is>
      </c>
      <c r="S400">
        <f>HYPERLINK("https://klasma.github.io/Logging_0127/artfynd/A 18100-2022 artfynd.xlsx", "A 18100-2022")</f>
        <v/>
      </c>
      <c r="T400">
        <f>HYPERLINK("https://klasma.github.io/Logging_0127/kartor/A 18100-2022 karta.png", "A 18100-2022")</f>
        <v/>
      </c>
      <c r="V400">
        <f>HYPERLINK("https://klasma.github.io/Logging_0127/klagomål/A 18100-2022 FSC-klagomål.docx", "A 18100-2022")</f>
        <v/>
      </c>
      <c r="W400">
        <f>HYPERLINK("https://klasma.github.io/Logging_0127/klagomålsmail/A 18100-2022 FSC-klagomål mail.docx", "A 18100-2022")</f>
        <v/>
      </c>
      <c r="X400">
        <f>HYPERLINK("https://klasma.github.io/Logging_0127/tillsyn/A 18100-2022 tillsynsbegäran.docx", "A 18100-2022")</f>
        <v/>
      </c>
      <c r="Y400">
        <f>HYPERLINK("https://klasma.github.io/Logging_0127/tillsynsmail/A 18100-2022 tillsynsbegäran mail.docx", "A 18100-2022")</f>
        <v/>
      </c>
    </row>
    <row r="401" ht="15" customHeight="1">
      <c r="A401" t="inlineStr">
        <is>
          <t>A 23146-2024</t>
        </is>
      </c>
      <c r="B401" s="1" t="n">
        <v>45450.63958333333</v>
      </c>
      <c r="C401" s="1" t="n">
        <v>46033</v>
      </c>
      <c r="D401" t="inlineStr">
        <is>
          <t>STOCKHOLMS LÄN</t>
        </is>
      </c>
      <c r="E401" t="inlineStr">
        <is>
          <t>NORRTÄLJE</t>
        </is>
      </c>
      <c r="F401" t="inlineStr">
        <is>
          <t>Kommuner</t>
        </is>
      </c>
      <c r="G401" t="n">
        <v>6</v>
      </c>
      <c r="H401" t="n">
        <v>0</v>
      </c>
      <c r="I401" t="n">
        <v>0</v>
      </c>
      <c r="J401" t="n">
        <v>1</v>
      </c>
      <c r="K401" t="n">
        <v>0</v>
      </c>
      <c r="L401" t="n">
        <v>0</v>
      </c>
      <c r="M401" t="n">
        <v>0</v>
      </c>
      <c r="N401" t="n">
        <v>0</v>
      </c>
      <c r="O401" t="n">
        <v>1</v>
      </c>
      <c r="P401" t="n">
        <v>0</v>
      </c>
      <c r="Q401" t="n">
        <v>1</v>
      </c>
      <c r="R401" s="2" t="inlineStr">
        <is>
          <t>Motaggsvamp</t>
        </is>
      </c>
      <c r="S401">
        <f>HYPERLINK("https://klasma.github.io/Logging_0188/artfynd/A 23146-2024 artfynd.xlsx", "A 23146-2024")</f>
        <v/>
      </c>
      <c r="T401">
        <f>HYPERLINK("https://klasma.github.io/Logging_0188/kartor/A 23146-2024 karta.png", "A 23146-2024")</f>
        <v/>
      </c>
      <c r="V401">
        <f>HYPERLINK("https://klasma.github.io/Logging_0188/klagomål/A 23146-2024 FSC-klagomål.docx", "A 23146-2024")</f>
        <v/>
      </c>
      <c r="W401">
        <f>HYPERLINK("https://klasma.github.io/Logging_0188/klagomålsmail/A 23146-2024 FSC-klagomål mail.docx", "A 23146-2024")</f>
        <v/>
      </c>
      <c r="X401">
        <f>HYPERLINK("https://klasma.github.io/Logging_0188/tillsyn/A 23146-2024 tillsynsbegäran.docx", "A 23146-2024")</f>
        <v/>
      </c>
      <c r="Y401">
        <f>HYPERLINK("https://klasma.github.io/Logging_0188/tillsynsmail/A 23146-2024 tillsynsbegäran mail.docx", "A 23146-2024")</f>
        <v/>
      </c>
    </row>
    <row r="402" ht="15" customHeight="1">
      <c r="A402" t="inlineStr">
        <is>
          <t>A 24233-2023</t>
        </is>
      </c>
      <c r="B402" s="1" t="n">
        <v>45076</v>
      </c>
      <c r="C402" s="1" t="n">
        <v>46033</v>
      </c>
      <c r="D402" t="inlineStr">
        <is>
          <t>STOCKHOLMS LÄN</t>
        </is>
      </c>
      <c r="E402" t="inlineStr">
        <is>
          <t>HUDDINGE</t>
        </is>
      </c>
      <c r="G402" t="n">
        <v>3.7</v>
      </c>
      <c r="H402" t="n">
        <v>0</v>
      </c>
      <c r="I402" t="n">
        <v>0</v>
      </c>
      <c r="J402" t="n">
        <v>1</v>
      </c>
      <c r="K402" t="n">
        <v>0</v>
      </c>
      <c r="L402" t="n">
        <v>0</v>
      </c>
      <c r="M402" t="n">
        <v>0</v>
      </c>
      <c r="N402" t="n">
        <v>0</v>
      </c>
      <c r="O402" t="n">
        <v>1</v>
      </c>
      <c r="P402" t="n">
        <v>0</v>
      </c>
      <c r="Q402" t="n">
        <v>1</v>
      </c>
      <c r="R402" s="2" t="inlineStr">
        <is>
          <t>Svartvit taggsvamp</t>
        </is>
      </c>
      <c r="S402">
        <f>HYPERLINK("https://klasma.github.io/Logging_0126/artfynd/A 24233-2023 artfynd.xlsx", "A 24233-2023")</f>
        <v/>
      </c>
      <c r="T402">
        <f>HYPERLINK("https://klasma.github.io/Logging_0126/kartor/A 24233-2023 karta.png", "A 24233-2023")</f>
        <v/>
      </c>
      <c r="V402">
        <f>HYPERLINK("https://klasma.github.io/Logging_0126/klagomål/A 24233-2023 FSC-klagomål.docx", "A 24233-2023")</f>
        <v/>
      </c>
      <c r="W402">
        <f>HYPERLINK("https://klasma.github.io/Logging_0126/klagomålsmail/A 24233-2023 FSC-klagomål mail.docx", "A 24233-2023")</f>
        <v/>
      </c>
      <c r="X402">
        <f>HYPERLINK("https://klasma.github.io/Logging_0126/tillsyn/A 24233-2023 tillsynsbegäran.docx", "A 24233-2023")</f>
        <v/>
      </c>
      <c r="Y402">
        <f>HYPERLINK("https://klasma.github.io/Logging_0126/tillsynsmail/A 24233-2023 tillsynsbegäran mail.docx", "A 24233-2023")</f>
        <v/>
      </c>
    </row>
    <row r="403" ht="15" customHeight="1">
      <c r="A403" t="inlineStr">
        <is>
          <t>A 17341-2025</t>
        </is>
      </c>
      <c r="B403" s="1" t="n">
        <v>45756</v>
      </c>
      <c r="C403" s="1" t="n">
        <v>46033</v>
      </c>
      <c r="D403" t="inlineStr">
        <is>
          <t>STOCKHOLMS LÄN</t>
        </is>
      </c>
      <c r="E403" t="inlineStr">
        <is>
          <t>VALLENTUNA</t>
        </is>
      </c>
      <c r="F403" t="inlineStr">
        <is>
          <t>Övriga Aktiebolag</t>
        </is>
      </c>
      <c r="G403" t="n">
        <v>5.2</v>
      </c>
      <c r="H403" t="n">
        <v>0</v>
      </c>
      <c r="I403" t="n">
        <v>1</v>
      </c>
      <c r="J403" t="n">
        <v>0</v>
      </c>
      <c r="K403" t="n">
        <v>0</v>
      </c>
      <c r="L403" t="n">
        <v>0</v>
      </c>
      <c r="M403" t="n">
        <v>0</v>
      </c>
      <c r="N403" t="n">
        <v>0</v>
      </c>
      <c r="O403" t="n">
        <v>0</v>
      </c>
      <c r="P403" t="n">
        <v>0</v>
      </c>
      <c r="Q403" t="n">
        <v>1</v>
      </c>
      <c r="R403" s="2" t="inlineStr">
        <is>
          <t>Björksplintborre</t>
        </is>
      </c>
      <c r="S403">
        <f>HYPERLINK("https://klasma.github.io/Logging_0115/artfynd/A 17341-2025 artfynd.xlsx", "A 17341-2025")</f>
        <v/>
      </c>
      <c r="T403">
        <f>HYPERLINK("https://klasma.github.io/Logging_0115/kartor/A 17341-2025 karta.png", "A 17341-2025")</f>
        <v/>
      </c>
      <c r="V403">
        <f>HYPERLINK("https://klasma.github.io/Logging_0115/klagomål/A 17341-2025 FSC-klagomål.docx", "A 17341-2025")</f>
        <v/>
      </c>
      <c r="W403">
        <f>HYPERLINK("https://klasma.github.io/Logging_0115/klagomålsmail/A 17341-2025 FSC-klagomål mail.docx", "A 17341-2025")</f>
        <v/>
      </c>
      <c r="X403">
        <f>HYPERLINK("https://klasma.github.io/Logging_0115/tillsyn/A 17341-2025 tillsynsbegäran.docx", "A 17341-2025")</f>
        <v/>
      </c>
      <c r="Y403">
        <f>HYPERLINK("https://klasma.github.io/Logging_0115/tillsynsmail/A 17341-2025 tillsynsbegäran mail.docx", "A 17341-2025")</f>
        <v/>
      </c>
    </row>
    <row r="404" ht="15" customHeight="1">
      <c r="A404" t="inlineStr">
        <is>
          <t>A 11393-2022</t>
        </is>
      </c>
      <c r="B404" s="1" t="n">
        <v>44630</v>
      </c>
      <c r="C404" s="1" t="n">
        <v>46033</v>
      </c>
      <c r="D404" t="inlineStr">
        <is>
          <t>STOCKHOLMS LÄN</t>
        </is>
      </c>
      <c r="E404" t="inlineStr">
        <is>
          <t>NYKVARN</t>
        </is>
      </c>
      <c r="G404" t="n">
        <v>3.8</v>
      </c>
      <c r="H404" t="n">
        <v>0</v>
      </c>
      <c r="I404" t="n">
        <v>1</v>
      </c>
      <c r="J404" t="n">
        <v>0</v>
      </c>
      <c r="K404" t="n">
        <v>0</v>
      </c>
      <c r="L404" t="n">
        <v>0</v>
      </c>
      <c r="M404" t="n">
        <v>0</v>
      </c>
      <c r="N404" t="n">
        <v>0</v>
      </c>
      <c r="O404" t="n">
        <v>0</v>
      </c>
      <c r="P404" t="n">
        <v>0</v>
      </c>
      <c r="Q404" t="n">
        <v>1</v>
      </c>
      <c r="R404" s="2" t="inlineStr">
        <is>
          <t>Björksplintborre</t>
        </is>
      </c>
      <c r="S404">
        <f>HYPERLINK("https://klasma.github.io/Logging_0140/artfynd/A 11393-2022 artfynd.xlsx", "A 11393-2022")</f>
        <v/>
      </c>
      <c r="T404">
        <f>HYPERLINK("https://klasma.github.io/Logging_0140/kartor/A 11393-2022 karta.png", "A 11393-2022")</f>
        <v/>
      </c>
      <c r="V404">
        <f>HYPERLINK("https://klasma.github.io/Logging_0140/klagomål/A 11393-2022 FSC-klagomål.docx", "A 11393-2022")</f>
        <v/>
      </c>
      <c r="W404">
        <f>HYPERLINK("https://klasma.github.io/Logging_0140/klagomålsmail/A 11393-2022 FSC-klagomål mail.docx", "A 11393-2022")</f>
        <v/>
      </c>
      <c r="X404">
        <f>HYPERLINK("https://klasma.github.io/Logging_0140/tillsyn/A 11393-2022 tillsynsbegäran.docx", "A 11393-2022")</f>
        <v/>
      </c>
      <c r="Y404">
        <f>HYPERLINK("https://klasma.github.io/Logging_0140/tillsynsmail/A 11393-2022 tillsynsbegäran mail.docx", "A 11393-2022")</f>
        <v/>
      </c>
    </row>
    <row r="405" ht="15" customHeight="1">
      <c r="A405" t="inlineStr">
        <is>
          <t>A 52545-2024</t>
        </is>
      </c>
      <c r="B405" s="1" t="n">
        <v>45609.63619212963</v>
      </c>
      <c r="C405" s="1" t="n">
        <v>46033</v>
      </c>
      <c r="D405" t="inlineStr">
        <is>
          <t>STOCKHOLMS LÄN</t>
        </is>
      </c>
      <c r="E405" t="inlineStr">
        <is>
          <t>EKERÖ</t>
        </is>
      </c>
      <c r="G405" t="n">
        <v>2.8</v>
      </c>
      <c r="H405" t="n">
        <v>1</v>
      </c>
      <c r="I405" t="n">
        <v>1</v>
      </c>
      <c r="J405" t="n">
        <v>0</v>
      </c>
      <c r="K405" t="n">
        <v>0</v>
      </c>
      <c r="L405" t="n">
        <v>0</v>
      </c>
      <c r="M405" t="n">
        <v>0</v>
      </c>
      <c r="N405" t="n">
        <v>0</v>
      </c>
      <c r="O405" t="n">
        <v>0</v>
      </c>
      <c r="P405" t="n">
        <v>0</v>
      </c>
      <c r="Q405" t="n">
        <v>1</v>
      </c>
      <c r="R405" s="2" t="inlineStr">
        <is>
          <t>Grön sköldmossa</t>
        </is>
      </c>
      <c r="S405">
        <f>HYPERLINK("https://klasma.github.io/Logging_0125/artfynd/A 52545-2024 artfynd.xlsx", "A 52545-2024")</f>
        <v/>
      </c>
      <c r="T405">
        <f>HYPERLINK("https://klasma.github.io/Logging_0125/kartor/A 52545-2024 karta.png", "A 52545-2024")</f>
        <v/>
      </c>
      <c r="V405">
        <f>HYPERLINK("https://klasma.github.io/Logging_0125/klagomål/A 52545-2024 FSC-klagomål.docx", "A 52545-2024")</f>
        <v/>
      </c>
      <c r="W405">
        <f>HYPERLINK("https://klasma.github.io/Logging_0125/klagomålsmail/A 52545-2024 FSC-klagomål mail.docx", "A 52545-2024")</f>
        <v/>
      </c>
      <c r="X405">
        <f>HYPERLINK("https://klasma.github.io/Logging_0125/tillsyn/A 52545-2024 tillsynsbegäran.docx", "A 52545-2024")</f>
        <v/>
      </c>
      <c r="Y405">
        <f>HYPERLINK("https://klasma.github.io/Logging_0125/tillsynsmail/A 52545-2024 tillsynsbegäran mail.docx", "A 52545-2024")</f>
        <v/>
      </c>
    </row>
    <row r="406" ht="15" customHeight="1">
      <c r="A406" t="inlineStr">
        <is>
          <t>A 27538-2024</t>
        </is>
      </c>
      <c r="B406" s="1" t="n">
        <v>45474</v>
      </c>
      <c r="C406" s="1" t="n">
        <v>46033</v>
      </c>
      <c r="D406" t="inlineStr">
        <is>
          <t>STOCKHOLMS LÄN</t>
        </is>
      </c>
      <c r="E406" t="inlineStr">
        <is>
          <t>NORRTÄLJE</t>
        </is>
      </c>
      <c r="G406" t="n">
        <v>1.5</v>
      </c>
      <c r="H406" t="n">
        <v>1</v>
      </c>
      <c r="I406" t="n">
        <v>1</v>
      </c>
      <c r="J406" t="n">
        <v>0</v>
      </c>
      <c r="K406" t="n">
        <v>0</v>
      </c>
      <c r="L406" t="n">
        <v>0</v>
      </c>
      <c r="M406" t="n">
        <v>0</v>
      </c>
      <c r="N406" t="n">
        <v>0</v>
      </c>
      <c r="O406" t="n">
        <v>0</v>
      </c>
      <c r="P406" t="n">
        <v>0</v>
      </c>
      <c r="Q406" t="n">
        <v>1</v>
      </c>
      <c r="R406" s="2" t="inlineStr">
        <is>
          <t>Skogsknipprot</t>
        </is>
      </c>
      <c r="S406">
        <f>HYPERLINK("https://klasma.github.io/Logging_0188/artfynd/A 27538-2024 artfynd.xlsx", "A 27538-2024")</f>
        <v/>
      </c>
      <c r="T406">
        <f>HYPERLINK("https://klasma.github.io/Logging_0188/kartor/A 27538-2024 karta.png", "A 27538-2024")</f>
        <v/>
      </c>
      <c r="V406">
        <f>HYPERLINK("https://klasma.github.io/Logging_0188/klagomål/A 27538-2024 FSC-klagomål.docx", "A 27538-2024")</f>
        <v/>
      </c>
      <c r="W406">
        <f>HYPERLINK("https://klasma.github.io/Logging_0188/klagomålsmail/A 27538-2024 FSC-klagomål mail.docx", "A 27538-2024")</f>
        <v/>
      </c>
      <c r="X406">
        <f>HYPERLINK("https://klasma.github.io/Logging_0188/tillsyn/A 27538-2024 tillsynsbegäran.docx", "A 27538-2024")</f>
        <v/>
      </c>
      <c r="Y406">
        <f>HYPERLINK("https://klasma.github.io/Logging_0188/tillsynsmail/A 27538-2024 tillsynsbegäran mail.docx", "A 27538-2024")</f>
        <v/>
      </c>
    </row>
    <row r="407" ht="15" customHeight="1">
      <c r="A407" t="inlineStr">
        <is>
          <t>A 39716-2023</t>
        </is>
      </c>
      <c r="B407" s="1" t="n">
        <v>45166</v>
      </c>
      <c r="C407" s="1" t="n">
        <v>46033</v>
      </c>
      <c r="D407" t="inlineStr">
        <is>
          <t>STOCKHOLMS LÄN</t>
        </is>
      </c>
      <c r="E407" t="inlineStr">
        <is>
          <t>SIGTUNA</t>
        </is>
      </c>
      <c r="G407" t="n">
        <v>3.5</v>
      </c>
      <c r="H407" t="n">
        <v>1</v>
      </c>
      <c r="I407" t="n">
        <v>0</v>
      </c>
      <c r="J407" t="n">
        <v>1</v>
      </c>
      <c r="K407" t="n">
        <v>0</v>
      </c>
      <c r="L407" t="n">
        <v>0</v>
      </c>
      <c r="M407" t="n">
        <v>0</v>
      </c>
      <c r="N407" t="n">
        <v>0</v>
      </c>
      <c r="O407" t="n">
        <v>1</v>
      </c>
      <c r="P407" t="n">
        <v>0</v>
      </c>
      <c r="Q407" t="n">
        <v>1</v>
      </c>
      <c r="R407" s="2" t="inlineStr">
        <is>
          <t>Hornuggla</t>
        </is>
      </c>
      <c r="S407">
        <f>HYPERLINK("https://klasma.github.io/Logging_0191/artfynd/A 39716-2023 artfynd.xlsx", "A 39716-2023")</f>
        <v/>
      </c>
      <c r="T407">
        <f>HYPERLINK("https://klasma.github.io/Logging_0191/kartor/A 39716-2023 karta.png", "A 39716-2023")</f>
        <v/>
      </c>
      <c r="V407">
        <f>HYPERLINK("https://klasma.github.io/Logging_0191/klagomål/A 39716-2023 FSC-klagomål.docx", "A 39716-2023")</f>
        <v/>
      </c>
      <c r="W407">
        <f>HYPERLINK("https://klasma.github.io/Logging_0191/klagomålsmail/A 39716-2023 FSC-klagomål mail.docx", "A 39716-2023")</f>
        <v/>
      </c>
      <c r="X407">
        <f>HYPERLINK("https://klasma.github.io/Logging_0191/tillsyn/A 39716-2023 tillsynsbegäran.docx", "A 39716-2023")</f>
        <v/>
      </c>
      <c r="Y407">
        <f>HYPERLINK("https://klasma.github.io/Logging_0191/tillsynsmail/A 39716-2023 tillsynsbegäran mail.docx", "A 39716-2023")</f>
        <v/>
      </c>
      <c r="Z407">
        <f>HYPERLINK("https://klasma.github.io/Logging_0191/fåglar/A 39716-2023 prioriterade fågelarter.docx", "A 39716-2023")</f>
        <v/>
      </c>
    </row>
    <row r="408" ht="15" customHeight="1">
      <c r="A408" t="inlineStr">
        <is>
          <t>A 3919-2023</t>
        </is>
      </c>
      <c r="B408" s="1" t="n">
        <v>44952</v>
      </c>
      <c r="C408" s="1" t="n">
        <v>46033</v>
      </c>
      <c r="D408" t="inlineStr">
        <is>
          <t>STOCKHOLMS LÄN</t>
        </is>
      </c>
      <c r="E408" t="inlineStr">
        <is>
          <t>ÖSTERÅKER</t>
        </is>
      </c>
      <c r="F408" t="inlineStr">
        <is>
          <t>Kommuner</t>
        </is>
      </c>
      <c r="G408" t="n">
        <v>4.9</v>
      </c>
      <c r="H408" t="n">
        <v>0</v>
      </c>
      <c r="I408" t="n">
        <v>0</v>
      </c>
      <c r="J408" t="n">
        <v>1</v>
      </c>
      <c r="K408" t="n">
        <v>0</v>
      </c>
      <c r="L408" t="n">
        <v>0</v>
      </c>
      <c r="M408" t="n">
        <v>0</v>
      </c>
      <c r="N408" t="n">
        <v>0</v>
      </c>
      <c r="O408" t="n">
        <v>1</v>
      </c>
      <c r="P408" t="n">
        <v>0</v>
      </c>
      <c r="Q408" t="n">
        <v>1</v>
      </c>
      <c r="R408" s="2" t="inlineStr">
        <is>
          <t>Tallticka</t>
        </is>
      </c>
      <c r="S408">
        <f>HYPERLINK("https://klasma.github.io/Logging_0117/artfynd/A 3919-2023 artfynd.xlsx", "A 3919-2023")</f>
        <v/>
      </c>
      <c r="T408">
        <f>HYPERLINK("https://klasma.github.io/Logging_0117/kartor/A 3919-2023 karta.png", "A 3919-2023")</f>
        <v/>
      </c>
      <c r="V408">
        <f>HYPERLINK("https://klasma.github.io/Logging_0117/klagomål/A 3919-2023 FSC-klagomål.docx", "A 3919-2023")</f>
        <v/>
      </c>
      <c r="W408">
        <f>HYPERLINK("https://klasma.github.io/Logging_0117/klagomålsmail/A 3919-2023 FSC-klagomål mail.docx", "A 3919-2023")</f>
        <v/>
      </c>
      <c r="X408">
        <f>HYPERLINK("https://klasma.github.io/Logging_0117/tillsyn/A 3919-2023 tillsynsbegäran.docx", "A 3919-2023")</f>
        <v/>
      </c>
      <c r="Y408">
        <f>HYPERLINK("https://klasma.github.io/Logging_0117/tillsynsmail/A 3919-2023 tillsynsbegäran mail.docx", "A 3919-2023")</f>
        <v/>
      </c>
    </row>
    <row r="409" ht="15" customHeight="1">
      <c r="A409" t="inlineStr">
        <is>
          <t>A 48131-2023</t>
        </is>
      </c>
      <c r="B409" s="1" t="n">
        <v>45205</v>
      </c>
      <c r="C409" s="1" t="n">
        <v>46033</v>
      </c>
      <c r="D409" t="inlineStr">
        <is>
          <t>STOCKHOLMS LÄN</t>
        </is>
      </c>
      <c r="E409" t="inlineStr">
        <is>
          <t>NORRTÄLJE</t>
        </is>
      </c>
      <c r="G409" t="n">
        <v>2.3</v>
      </c>
      <c r="H409" t="n">
        <v>0</v>
      </c>
      <c r="I409" t="n">
        <v>0</v>
      </c>
      <c r="J409" t="n">
        <v>1</v>
      </c>
      <c r="K409" t="n">
        <v>0</v>
      </c>
      <c r="L409" t="n">
        <v>0</v>
      </c>
      <c r="M409" t="n">
        <v>0</v>
      </c>
      <c r="N409" t="n">
        <v>0</v>
      </c>
      <c r="O409" t="n">
        <v>1</v>
      </c>
      <c r="P409" t="n">
        <v>0</v>
      </c>
      <c r="Q409" t="n">
        <v>1</v>
      </c>
      <c r="R409" s="2" t="inlineStr">
        <is>
          <t>Slåtterfibbla</t>
        </is>
      </c>
      <c r="S409">
        <f>HYPERLINK("https://klasma.github.io/Logging_0188/artfynd/A 48131-2023 artfynd.xlsx", "A 48131-2023")</f>
        <v/>
      </c>
      <c r="T409">
        <f>HYPERLINK("https://klasma.github.io/Logging_0188/kartor/A 48131-2023 karta.png", "A 48131-2023")</f>
        <v/>
      </c>
      <c r="V409">
        <f>HYPERLINK("https://klasma.github.io/Logging_0188/klagomål/A 48131-2023 FSC-klagomål.docx", "A 48131-2023")</f>
        <v/>
      </c>
      <c r="W409">
        <f>HYPERLINK("https://klasma.github.io/Logging_0188/klagomålsmail/A 48131-2023 FSC-klagomål mail.docx", "A 48131-2023")</f>
        <v/>
      </c>
      <c r="X409">
        <f>HYPERLINK("https://klasma.github.io/Logging_0188/tillsyn/A 48131-2023 tillsynsbegäran.docx", "A 48131-2023")</f>
        <v/>
      </c>
      <c r="Y409">
        <f>HYPERLINK("https://klasma.github.io/Logging_0188/tillsynsmail/A 48131-2023 tillsynsbegäran mail.docx", "A 48131-2023")</f>
        <v/>
      </c>
    </row>
    <row r="410" ht="15" customHeight="1">
      <c r="A410" t="inlineStr">
        <is>
          <t>A 52046-2022</t>
        </is>
      </c>
      <c r="B410" s="1" t="n">
        <v>44868</v>
      </c>
      <c r="C410" s="1" t="n">
        <v>46033</v>
      </c>
      <c r="D410" t="inlineStr">
        <is>
          <t>STOCKHOLMS LÄN</t>
        </is>
      </c>
      <c r="E410" t="inlineStr">
        <is>
          <t>SÖDERTÄLJE</t>
        </is>
      </c>
      <c r="F410" t="inlineStr">
        <is>
          <t>Kommuner</t>
        </is>
      </c>
      <c r="G410" t="n">
        <v>8.4</v>
      </c>
      <c r="H410" t="n">
        <v>0</v>
      </c>
      <c r="I410" t="n">
        <v>1</v>
      </c>
      <c r="J410" t="n">
        <v>0</v>
      </c>
      <c r="K410" t="n">
        <v>0</v>
      </c>
      <c r="L410" t="n">
        <v>0</v>
      </c>
      <c r="M410" t="n">
        <v>0</v>
      </c>
      <c r="N410" t="n">
        <v>0</v>
      </c>
      <c r="O410" t="n">
        <v>0</v>
      </c>
      <c r="P410" t="n">
        <v>0</v>
      </c>
      <c r="Q410" t="n">
        <v>1</v>
      </c>
      <c r="R410" s="2" t="inlineStr">
        <is>
          <t>Tjockfotad fingersvamp</t>
        </is>
      </c>
      <c r="S410">
        <f>HYPERLINK("https://klasma.github.io/Logging_0181/artfynd/A 52046-2022 artfynd.xlsx", "A 52046-2022")</f>
        <v/>
      </c>
      <c r="T410">
        <f>HYPERLINK("https://klasma.github.io/Logging_0181/kartor/A 52046-2022 karta.png", "A 52046-2022")</f>
        <v/>
      </c>
      <c r="V410">
        <f>HYPERLINK("https://klasma.github.io/Logging_0181/klagomål/A 52046-2022 FSC-klagomål.docx", "A 52046-2022")</f>
        <v/>
      </c>
      <c r="W410">
        <f>HYPERLINK("https://klasma.github.io/Logging_0181/klagomålsmail/A 52046-2022 FSC-klagomål mail.docx", "A 52046-2022")</f>
        <v/>
      </c>
      <c r="X410">
        <f>HYPERLINK("https://klasma.github.io/Logging_0181/tillsyn/A 52046-2022 tillsynsbegäran.docx", "A 52046-2022")</f>
        <v/>
      </c>
      <c r="Y410">
        <f>HYPERLINK("https://klasma.github.io/Logging_0181/tillsynsmail/A 52046-2022 tillsynsbegäran mail.docx", "A 52046-2022")</f>
        <v/>
      </c>
    </row>
    <row r="411" ht="15" customHeight="1">
      <c r="A411" t="inlineStr">
        <is>
          <t>A 30154-2022</t>
        </is>
      </c>
      <c r="B411" s="1" t="n">
        <v>44757</v>
      </c>
      <c r="C411" s="1" t="n">
        <v>46033</v>
      </c>
      <c r="D411" t="inlineStr">
        <is>
          <t>STOCKHOLMS LÄN</t>
        </is>
      </c>
      <c r="E411" t="inlineStr">
        <is>
          <t>VÄRMDÖ</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HYPERLINK("https://klasma.github.io/Logging_0120/artfynd/A 30154-2022 artfynd.xlsx", "A 30154-2022")</f>
        <v/>
      </c>
      <c r="T411">
        <f>HYPERLINK("https://klasma.github.io/Logging_0120/kartor/A 30154-2022 karta.png", "A 30154-2022")</f>
        <v/>
      </c>
      <c r="V411">
        <f>HYPERLINK("https://klasma.github.io/Logging_0120/klagomål/A 30154-2022 FSC-klagomål.docx", "A 30154-2022")</f>
        <v/>
      </c>
      <c r="W411">
        <f>HYPERLINK("https://klasma.github.io/Logging_0120/klagomålsmail/A 30154-2022 FSC-klagomål mail.docx", "A 30154-2022")</f>
        <v/>
      </c>
      <c r="X411">
        <f>HYPERLINK("https://klasma.github.io/Logging_0120/tillsyn/A 30154-2022 tillsynsbegäran.docx", "A 30154-2022")</f>
        <v/>
      </c>
      <c r="Y411">
        <f>HYPERLINK("https://klasma.github.io/Logging_0120/tillsynsmail/A 30154-2022 tillsynsbegäran mail.docx", "A 30154-2022")</f>
        <v/>
      </c>
    </row>
    <row r="412" ht="15" customHeight="1">
      <c r="A412" t="inlineStr">
        <is>
          <t>A 16309-2022</t>
        </is>
      </c>
      <c r="B412" s="1" t="n">
        <v>44670</v>
      </c>
      <c r="C412" s="1" t="n">
        <v>46033</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64098-2023</t>
        </is>
      </c>
      <c r="B413" s="1" t="n">
        <v>45279</v>
      </c>
      <c r="C413" s="1" t="n">
        <v>46033</v>
      </c>
      <c r="D413" t="inlineStr">
        <is>
          <t>STOCKHOLMS LÄN</t>
        </is>
      </c>
      <c r="E413" t="inlineStr">
        <is>
          <t>UPPLANDS-BRO</t>
        </is>
      </c>
      <c r="G413" t="n">
        <v>0.3</v>
      </c>
      <c r="H413" t="n">
        <v>0</v>
      </c>
      <c r="I413" t="n">
        <v>0</v>
      </c>
      <c r="J413" t="n">
        <v>1</v>
      </c>
      <c r="K413" t="n">
        <v>0</v>
      </c>
      <c r="L413" t="n">
        <v>0</v>
      </c>
      <c r="M413" t="n">
        <v>0</v>
      </c>
      <c r="N413" t="n">
        <v>0</v>
      </c>
      <c r="O413" t="n">
        <v>1</v>
      </c>
      <c r="P413" t="n">
        <v>0</v>
      </c>
      <c r="Q413" t="n">
        <v>1</v>
      </c>
      <c r="R413" s="2" t="inlineStr">
        <is>
          <t>Skogsalmsdvärgmal</t>
        </is>
      </c>
      <c r="S413">
        <f>HYPERLINK("https://klasma.github.io/Logging_0139/artfynd/A 64098-2023 artfynd.xlsx", "A 64098-2023")</f>
        <v/>
      </c>
      <c r="T413">
        <f>HYPERLINK("https://klasma.github.io/Logging_0139/kartor/A 64098-2023 karta.png", "A 64098-2023")</f>
        <v/>
      </c>
      <c r="V413">
        <f>HYPERLINK("https://klasma.github.io/Logging_0139/klagomål/A 64098-2023 FSC-klagomål.docx", "A 64098-2023")</f>
        <v/>
      </c>
      <c r="W413">
        <f>HYPERLINK("https://klasma.github.io/Logging_0139/klagomålsmail/A 64098-2023 FSC-klagomål mail.docx", "A 64098-2023")</f>
        <v/>
      </c>
      <c r="X413">
        <f>HYPERLINK("https://klasma.github.io/Logging_0139/tillsyn/A 64098-2023 tillsynsbegäran.docx", "A 64098-2023")</f>
        <v/>
      </c>
      <c r="Y413">
        <f>HYPERLINK("https://klasma.github.io/Logging_0139/tillsynsmail/A 64098-2023 tillsynsbegäran mail.docx", "A 64098-2023")</f>
        <v/>
      </c>
    </row>
    <row r="414" ht="15" customHeight="1">
      <c r="A414" t="inlineStr">
        <is>
          <t>A 21150-2022</t>
        </is>
      </c>
      <c r="B414" s="1" t="n">
        <v>44704</v>
      </c>
      <c r="C414" s="1" t="n">
        <v>46033</v>
      </c>
      <c r="D414" t="inlineStr">
        <is>
          <t>STOCKHOLMS LÄN</t>
        </is>
      </c>
      <c r="E414" t="inlineStr">
        <is>
          <t>NORRTÄLJE</t>
        </is>
      </c>
      <c r="G414" t="n">
        <v>12.5</v>
      </c>
      <c r="H414" t="n">
        <v>1</v>
      </c>
      <c r="I414" t="n">
        <v>0</v>
      </c>
      <c r="J414" t="n">
        <v>0</v>
      </c>
      <c r="K414" t="n">
        <v>0</v>
      </c>
      <c r="L414" t="n">
        <v>1</v>
      </c>
      <c r="M414" t="n">
        <v>0</v>
      </c>
      <c r="N414" t="n">
        <v>0</v>
      </c>
      <c r="O414" t="n">
        <v>1</v>
      </c>
      <c r="P414" t="n">
        <v>1</v>
      </c>
      <c r="Q414" t="n">
        <v>1</v>
      </c>
      <c r="R414" s="2" t="inlineStr">
        <is>
          <t>Asknätfjäril</t>
        </is>
      </c>
      <c r="S414">
        <f>HYPERLINK("https://klasma.github.io/Logging_0188/artfynd/A 21150-2022 artfynd.xlsx", "A 21150-2022")</f>
        <v/>
      </c>
      <c r="T414">
        <f>HYPERLINK("https://klasma.github.io/Logging_0188/kartor/A 21150-2022 karta.png", "A 21150-2022")</f>
        <v/>
      </c>
      <c r="V414">
        <f>HYPERLINK("https://klasma.github.io/Logging_0188/klagomål/A 21150-2022 FSC-klagomål.docx", "A 21150-2022")</f>
        <v/>
      </c>
      <c r="W414">
        <f>HYPERLINK("https://klasma.github.io/Logging_0188/klagomålsmail/A 21150-2022 FSC-klagomål mail.docx", "A 21150-2022")</f>
        <v/>
      </c>
      <c r="X414">
        <f>HYPERLINK("https://klasma.github.io/Logging_0188/tillsyn/A 21150-2022 tillsynsbegäran.docx", "A 21150-2022")</f>
        <v/>
      </c>
      <c r="Y414">
        <f>HYPERLINK("https://klasma.github.io/Logging_0188/tillsynsmail/A 21150-2022 tillsynsbegäran mail.docx", "A 21150-2022")</f>
        <v/>
      </c>
    </row>
    <row r="415" ht="15" customHeight="1">
      <c r="A415" t="inlineStr">
        <is>
          <t>A 33751-2024</t>
        </is>
      </c>
      <c r="B415" s="1" t="n">
        <v>45520</v>
      </c>
      <c r="C415" s="1" t="n">
        <v>46033</v>
      </c>
      <c r="D415" t="inlineStr">
        <is>
          <t>STOCKHOLMS LÄN</t>
        </is>
      </c>
      <c r="E415" t="inlineStr">
        <is>
          <t>SIGTUNA</t>
        </is>
      </c>
      <c r="F415" t="inlineStr">
        <is>
          <t>Allmännings- och besparingsskogar</t>
        </is>
      </c>
      <c r="G415" t="n">
        <v>1.5</v>
      </c>
      <c r="H415" t="n">
        <v>1</v>
      </c>
      <c r="I415" t="n">
        <v>0</v>
      </c>
      <c r="J415" t="n">
        <v>0</v>
      </c>
      <c r="K415" t="n">
        <v>0</v>
      </c>
      <c r="L415" t="n">
        <v>1</v>
      </c>
      <c r="M415" t="n">
        <v>0</v>
      </c>
      <c r="N415" t="n">
        <v>0</v>
      </c>
      <c r="O415" t="n">
        <v>1</v>
      </c>
      <c r="P415" t="n">
        <v>1</v>
      </c>
      <c r="Q415" t="n">
        <v>1</v>
      </c>
      <c r="R415" s="2" t="inlineStr">
        <is>
          <t>Grönfink</t>
        </is>
      </c>
      <c r="S415">
        <f>HYPERLINK("https://klasma.github.io/Logging_0191/artfynd/A 33751-2024 artfynd.xlsx", "A 33751-2024")</f>
        <v/>
      </c>
      <c r="T415">
        <f>HYPERLINK("https://klasma.github.io/Logging_0191/kartor/A 33751-2024 karta.png", "A 33751-2024")</f>
        <v/>
      </c>
      <c r="V415">
        <f>HYPERLINK("https://klasma.github.io/Logging_0191/klagomål/A 33751-2024 FSC-klagomål.docx", "A 33751-2024")</f>
        <v/>
      </c>
      <c r="W415">
        <f>HYPERLINK("https://klasma.github.io/Logging_0191/klagomålsmail/A 33751-2024 FSC-klagomål mail.docx", "A 33751-2024")</f>
        <v/>
      </c>
      <c r="X415">
        <f>HYPERLINK("https://klasma.github.io/Logging_0191/tillsyn/A 33751-2024 tillsynsbegäran.docx", "A 33751-2024")</f>
        <v/>
      </c>
      <c r="Y415">
        <f>HYPERLINK("https://klasma.github.io/Logging_0191/tillsynsmail/A 33751-2024 tillsynsbegäran mail.docx", "A 33751-2024")</f>
        <v/>
      </c>
      <c r="Z415">
        <f>HYPERLINK("https://klasma.github.io/Logging_0191/fåglar/A 33751-2024 prioriterade fågelarter.docx", "A 33751-2024")</f>
        <v/>
      </c>
    </row>
    <row r="416" ht="15" customHeight="1">
      <c r="A416" t="inlineStr">
        <is>
          <t>A 14508-2024</t>
        </is>
      </c>
      <c r="B416" s="1" t="n">
        <v>45394.61583333334</v>
      </c>
      <c r="C416" s="1" t="n">
        <v>46033</v>
      </c>
      <c r="D416" t="inlineStr">
        <is>
          <t>STOCKHOLMS LÄN</t>
        </is>
      </c>
      <c r="E416" t="inlineStr">
        <is>
          <t>VALLENTUNA</t>
        </is>
      </c>
      <c r="G416" t="n">
        <v>1.7</v>
      </c>
      <c r="H416" t="n">
        <v>1</v>
      </c>
      <c r="I416" t="n">
        <v>0</v>
      </c>
      <c r="J416" t="n">
        <v>1</v>
      </c>
      <c r="K416" t="n">
        <v>0</v>
      </c>
      <c r="L416" t="n">
        <v>0</v>
      </c>
      <c r="M416" t="n">
        <v>0</v>
      </c>
      <c r="N416" t="n">
        <v>0</v>
      </c>
      <c r="O416" t="n">
        <v>1</v>
      </c>
      <c r="P416" t="n">
        <v>0</v>
      </c>
      <c r="Q416" t="n">
        <v>1</v>
      </c>
      <c r="R416" s="2" t="inlineStr">
        <is>
          <t>Mindre hackspett</t>
        </is>
      </c>
      <c r="S416">
        <f>HYPERLINK("https://klasma.github.io/Logging_0115/artfynd/A 14508-2024 artfynd.xlsx", "A 14508-2024")</f>
        <v/>
      </c>
      <c r="T416">
        <f>HYPERLINK("https://klasma.github.io/Logging_0115/kartor/A 14508-2024 karta.png", "A 14508-2024")</f>
        <v/>
      </c>
      <c r="V416">
        <f>HYPERLINK("https://klasma.github.io/Logging_0115/klagomål/A 14508-2024 FSC-klagomål.docx", "A 14508-2024")</f>
        <v/>
      </c>
      <c r="W416">
        <f>HYPERLINK("https://klasma.github.io/Logging_0115/klagomålsmail/A 14508-2024 FSC-klagomål mail.docx", "A 14508-2024")</f>
        <v/>
      </c>
      <c r="X416">
        <f>HYPERLINK("https://klasma.github.io/Logging_0115/tillsyn/A 14508-2024 tillsynsbegäran.docx", "A 14508-2024")</f>
        <v/>
      </c>
      <c r="Y416">
        <f>HYPERLINK("https://klasma.github.io/Logging_0115/tillsynsmail/A 14508-2024 tillsynsbegäran mail.docx", "A 14508-2024")</f>
        <v/>
      </c>
      <c r="Z416">
        <f>HYPERLINK("https://klasma.github.io/Logging_0115/fåglar/A 14508-2024 prioriterade fågelarter.docx", "A 14508-2024")</f>
        <v/>
      </c>
    </row>
    <row r="417" ht="15" customHeight="1">
      <c r="A417" t="inlineStr">
        <is>
          <t>A 6412-2024</t>
        </is>
      </c>
      <c r="B417" s="1" t="n">
        <v>45338</v>
      </c>
      <c r="C417" s="1" t="n">
        <v>46033</v>
      </c>
      <c r="D417" t="inlineStr">
        <is>
          <t>STOCKHOLMS LÄN</t>
        </is>
      </c>
      <c r="E417" t="inlineStr">
        <is>
          <t>VÄRMDÖ</t>
        </is>
      </c>
      <c r="G417" t="n">
        <v>2.4</v>
      </c>
      <c r="H417" t="n">
        <v>1</v>
      </c>
      <c r="I417" t="n">
        <v>1</v>
      </c>
      <c r="J417" t="n">
        <v>0</v>
      </c>
      <c r="K417" t="n">
        <v>0</v>
      </c>
      <c r="L417" t="n">
        <v>0</v>
      </c>
      <c r="M417" t="n">
        <v>0</v>
      </c>
      <c r="N417" t="n">
        <v>0</v>
      </c>
      <c r="O417" t="n">
        <v>0</v>
      </c>
      <c r="P417" t="n">
        <v>0</v>
      </c>
      <c r="Q417" t="n">
        <v>1</v>
      </c>
      <c r="R417" s="2" t="inlineStr">
        <is>
          <t>Skogsknipprot</t>
        </is>
      </c>
      <c r="S417">
        <f>HYPERLINK("https://klasma.github.io/Logging_0120/artfynd/A 6412-2024 artfynd.xlsx", "A 6412-2024")</f>
        <v/>
      </c>
      <c r="T417">
        <f>HYPERLINK("https://klasma.github.io/Logging_0120/kartor/A 6412-2024 karta.png", "A 6412-2024")</f>
        <v/>
      </c>
      <c r="V417">
        <f>HYPERLINK("https://klasma.github.io/Logging_0120/klagomål/A 6412-2024 FSC-klagomål.docx", "A 6412-2024")</f>
        <v/>
      </c>
      <c r="W417">
        <f>HYPERLINK("https://klasma.github.io/Logging_0120/klagomålsmail/A 6412-2024 FSC-klagomål mail.docx", "A 6412-2024")</f>
        <v/>
      </c>
      <c r="X417">
        <f>HYPERLINK("https://klasma.github.io/Logging_0120/tillsyn/A 6412-2024 tillsynsbegäran.docx", "A 6412-2024")</f>
        <v/>
      </c>
      <c r="Y417">
        <f>HYPERLINK("https://klasma.github.io/Logging_0120/tillsynsmail/A 6412-2024 tillsynsbegäran mail.docx", "A 6412-2024")</f>
        <v/>
      </c>
    </row>
    <row r="418" ht="15" customHeight="1">
      <c r="A418" t="inlineStr">
        <is>
          <t>A 58888-2021</t>
        </is>
      </c>
      <c r="B418" s="1" t="n">
        <v>44489</v>
      </c>
      <c r="C418" s="1" t="n">
        <v>46033</v>
      </c>
      <c r="D418" t="inlineStr">
        <is>
          <t>STOCKHOLMS LÄN</t>
        </is>
      </c>
      <c r="E418" t="inlineStr">
        <is>
          <t>NORRTÄLJE</t>
        </is>
      </c>
      <c r="F418" t="inlineStr">
        <is>
          <t>Holmen skog AB</t>
        </is>
      </c>
      <c r="G418" t="n">
        <v>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58888-2021 artfynd.xlsx", "A 58888-2021")</f>
        <v/>
      </c>
      <c r="T418">
        <f>HYPERLINK("https://klasma.github.io/Logging_0188/kartor/A 58888-2021 karta.png", "A 58888-2021")</f>
        <v/>
      </c>
      <c r="V418">
        <f>HYPERLINK("https://klasma.github.io/Logging_0188/klagomål/A 58888-2021 FSC-klagomål.docx", "A 58888-2021")</f>
        <v/>
      </c>
      <c r="W418">
        <f>HYPERLINK("https://klasma.github.io/Logging_0188/klagomålsmail/A 58888-2021 FSC-klagomål mail.docx", "A 58888-2021")</f>
        <v/>
      </c>
      <c r="X418">
        <f>HYPERLINK("https://klasma.github.io/Logging_0188/tillsyn/A 58888-2021 tillsynsbegäran.docx", "A 58888-2021")</f>
        <v/>
      </c>
      <c r="Y418">
        <f>HYPERLINK("https://klasma.github.io/Logging_0188/tillsynsmail/A 58888-2021 tillsynsbegäran mail.docx", "A 58888-2021")</f>
        <v/>
      </c>
    </row>
    <row r="419" ht="15" customHeight="1">
      <c r="A419" t="inlineStr">
        <is>
          <t>A 21439-2025</t>
        </is>
      </c>
      <c r="B419" s="1" t="n">
        <v>45782.52939814814</v>
      </c>
      <c r="C419" s="1" t="n">
        <v>46033</v>
      </c>
      <c r="D419" t="inlineStr">
        <is>
          <t>STOCKHOLMS LÄN</t>
        </is>
      </c>
      <c r="E419" t="inlineStr">
        <is>
          <t>VALLENTUNA</t>
        </is>
      </c>
      <c r="G419" t="n">
        <v>2.1</v>
      </c>
      <c r="H419" t="n">
        <v>0</v>
      </c>
      <c r="I419" t="n">
        <v>1</v>
      </c>
      <c r="J419" t="n">
        <v>0</v>
      </c>
      <c r="K419" t="n">
        <v>0</v>
      </c>
      <c r="L419" t="n">
        <v>0</v>
      </c>
      <c r="M419" t="n">
        <v>0</v>
      </c>
      <c r="N419" t="n">
        <v>0</v>
      </c>
      <c r="O419" t="n">
        <v>0</v>
      </c>
      <c r="P419" t="n">
        <v>0</v>
      </c>
      <c r="Q419" t="n">
        <v>1</v>
      </c>
      <c r="R419" s="2" t="inlineStr">
        <is>
          <t>Mindre märgborre</t>
        </is>
      </c>
      <c r="S419">
        <f>HYPERLINK("https://klasma.github.io/Logging_0115/artfynd/A 21439-2025 artfynd.xlsx", "A 21439-2025")</f>
        <v/>
      </c>
      <c r="T419">
        <f>HYPERLINK("https://klasma.github.io/Logging_0115/kartor/A 21439-2025 karta.png", "A 21439-2025")</f>
        <v/>
      </c>
      <c r="V419">
        <f>HYPERLINK("https://klasma.github.io/Logging_0115/klagomål/A 21439-2025 FSC-klagomål.docx", "A 21439-2025")</f>
        <v/>
      </c>
      <c r="W419">
        <f>HYPERLINK("https://klasma.github.io/Logging_0115/klagomålsmail/A 21439-2025 FSC-klagomål mail.docx", "A 21439-2025")</f>
        <v/>
      </c>
      <c r="X419">
        <f>HYPERLINK("https://klasma.github.io/Logging_0115/tillsyn/A 21439-2025 tillsynsbegäran.docx", "A 21439-2025")</f>
        <v/>
      </c>
      <c r="Y419">
        <f>HYPERLINK("https://klasma.github.io/Logging_0115/tillsynsmail/A 21439-2025 tillsynsbegäran mail.docx", "A 21439-2025")</f>
        <v/>
      </c>
    </row>
    <row r="420" ht="15" customHeight="1">
      <c r="A420" t="inlineStr">
        <is>
          <t>A 21726-2025</t>
        </is>
      </c>
      <c r="B420" s="1" t="n">
        <v>45783.56921296296</v>
      </c>
      <c r="C420" s="1" t="n">
        <v>46033</v>
      </c>
      <c r="D420" t="inlineStr">
        <is>
          <t>STOCKHOLMS LÄN</t>
        </is>
      </c>
      <c r="E420" t="inlineStr">
        <is>
          <t>SÖDERTÄLJE</t>
        </is>
      </c>
      <c r="G420" t="n">
        <v>0.9</v>
      </c>
      <c r="H420" t="n">
        <v>0</v>
      </c>
      <c r="I420" t="n">
        <v>0</v>
      </c>
      <c r="J420" t="n">
        <v>1</v>
      </c>
      <c r="K420" t="n">
        <v>0</v>
      </c>
      <c r="L420" t="n">
        <v>0</v>
      </c>
      <c r="M420" t="n">
        <v>0</v>
      </c>
      <c r="N420" t="n">
        <v>0</v>
      </c>
      <c r="O420" t="n">
        <v>1</v>
      </c>
      <c r="P420" t="n">
        <v>0</v>
      </c>
      <c r="Q420" t="n">
        <v>1</v>
      </c>
      <c r="R420" s="2" t="inlineStr">
        <is>
          <t>Druvfingersvamp</t>
        </is>
      </c>
      <c r="S420">
        <f>HYPERLINK("https://klasma.github.io/Logging_0181/artfynd/A 21726-2025 artfynd.xlsx", "A 21726-2025")</f>
        <v/>
      </c>
      <c r="T420">
        <f>HYPERLINK("https://klasma.github.io/Logging_0181/kartor/A 21726-2025 karta.png", "A 21726-2025")</f>
        <v/>
      </c>
      <c r="V420">
        <f>HYPERLINK("https://klasma.github.io/Logging_0181/klagomål/A 21726-2025 FSC-klagomål.docx", "A 21726-2025")</f>
        <v/>
      </c>
      <c r="W420">
        <f>HYPERLINK("https://klasma.github.io/Logging_0181/klagomålsmail/A 21726-2025 FSC-klagomål mail.docx", "A 21726-2025")</f>
        <v/>
      </c>
      <c r="X420">
        <f>HYPERLINK("https://klasma.github.io/Logging_0181/tillsyn/A 21726-2025 tillsynsbegäran.docx", "A 21726-2025")</f>
        <v/>
      </c>
      <c r="Y420">
        <f>HYPERLINK("https://klasma.github.io/Logging_0181/tillsynsmail/A 21726-2025 tillsynsbegäran mail.docx", "A 21726-2025")</f>
        <v/>
      </c>
    </row>
    <row r="421" ht="15" customHeight="1">
      <c r="A421" t="inlineStr">
        <is>
          <t>A 31780-2021</t>
        </is>
      </c>
      <c r="B421" s="1" t="n">
        <v>44369</v>
      </c>
      <c r="C421" s="1" t="n">
        <v>46033</v>
      </c>
      <c r="D421" t="inlineStr">
        <is>
          <t>STOCKHOLMS LÄN</t>
        </is>
      </c>
      <c r="E421" t="inlineStr">
        <is>
          <t>HANINGE</t>
        </is>
      </c>
      <c r="G421" t="n">
        <v>11.5</v>
      </c>
      <c r="H421" t="n">
        <v>0</v>
      </c>
      <c r="I421" t="n">
        <v>0</v>
      </c>
      <c r="J421" t="n">
        <v>0</v>
      </c>
      <c r="K421" t="n">
        <v>0</v>
      </c>
      <c r="L421" t="n">
        <v>0</v>
      </c>
      <c r="M421" t="n">
        <v>0</v>
      </c>
      <c r="N421" t="n">
        <v>0</v>
      </c>
      <c r="O421" t="n">
        <v>0</v>
      </c>
      <c r="P421" t="n">
        <v>0</v>
      </c>
      <c r="Q421" t="n">
        <v>0</v>
      </c>
      <c r="R421" s="2" t="inlineStr"/>
    </row>
    <row r="422" ht="15" customHeight="1">
      <c r="A422" t="inlineStr">
        <is>
          <t>A 1970-2021</t>
        </is>
      </c>
      <c r="B422" s="1" t="n">
        <v>44210</v>
      </c>
      <c r="C422" s="1" t="n">
        <v>46033</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1637-2021</t>
        </is>
      </c>
      <c r="B423" s="1" t="n">
        <v>44209</v>
      </c>
      <c r="C423" s="1" t="n">
        <v>46033</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20612-2021</t>
        </is>
      </c>
      <c r="B424" s="1" t="n">
        <v>44315</v>
      </c>
      <c r="C424" s="1" t="n">
        <v>46033</v>
      </c>
      <c r="D424" t="inlineStr">
        <is>
          <t>STOCKHOLMS LÄN</t>
        </is>
      </c>
      <c r="E424" t="inlineStr">
        <is>
          <t>VALLENTUNA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18580-2021</t>
        </is>
      </c>
      <c r="B425" s="1" t="n">
        <v>44306</v>
      </c>
      <c r="C425" s="1" t="n">
        <v>46033</v>
      </c>
      <c r="D425" t="inlineStr">
        <is>
          <t>STOCKHOLMS LÄN</t>
        </is>
      </c>
      <c r="E425" t="inlineStr">
        <is>
          <t>NORRTÄLJE</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38752-2021</t>
        </is>
      </c>
      <c r="B426" s="1" t="n">
        <v>44410.60496527778</v>
      </c>
      <c r="C426" s="1" t="n">
        <v>46033</v>
      </c>
      <c r="D426" t="inlineStr">
        <is>
          <t>STOCKHOLMS LÄN</t>
        </is>
      </c>
      <c r="E426" t="inlineStr">
        <is>
          <t>NYNÄSHAMN</t>
        </is>
      </c>
      <c r="G426" t="n">
        <v>4.3</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46033</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12578-2022</t>
        </is>
      </c>
      <c r="B428" s="1" t="n">
        <v>44638</v>
      </c>
      <c r="C428" s="1" t="n">
        <v>46033</v>
      </c>
      <c r="D428" t="inlineStr">
        <is>
          <t>STOCKHOLMS LÄN</t>
        </is>
      </c>
      <c r="E428" t="inlineStr">
        <is>
          <t>NYKVARN</t>
        </is>
      </c>
      <c r="G428" t="n">
        <v>2.2</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46033</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46033</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46033</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46033</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1553-2021</t>
        </is>
      </c>
      <c r="B433" s="1" t="n">
        <v>44209</v>
      </c>
      <c r="C433" s="1" t="n">
        <v>46033</v>
      </c>
      <c r="D433" t="inlineStr">
        <is>
          <t>STOCKHOLMS LÄN</t>
        </is>
      </c>
      <c r="E433" t="inlineStr">
        <is>
          <t>EKERÖ</t>
        </is>
      </c>
      <c r="G433" t="n">
        <v>6.3</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46033</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46033</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46033</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46033</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46033</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46033</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1438-2021</t>
        </is>
      </c>
      <c r="B440" s="1" t="n">
        <v>44208</v>
      </c>
      <c r="C440" s="1" t="n">
        <v>46033</v>
      </c>
      <c r="D440" t="inlineStr">
        <is>
          <t>STOCKHOLMS LÄN</t>
        </is>
      </c>
      <c r="E440" t="inlineStr">
        <is>
          <t>HANINGE</t>
        </is>
      </c>
      <c r="G440" t="n">
        <v>3</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46033</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46033</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46033</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8791-2021</t>
        </is>
      </c>
      <c r="B444" s="1" t="n">
        <v>44246</v>
      </c>
      <c r="C444" s="1" t="n">
        <v>46033</v>
      </c>
      <c r="D444" t="inlineStr">
        <is>
          <t>STOCKHOLMS LÄN</t>
        </is>
      </c>
      <c r="E444" t="inlineStr">
        <is>
          <t>VALLENTUNA</t>
        </is>
      </c>
      <c r="G444" t="n">
        <v>0.8</v>
      </c>
      <c r="H444" t="n">
        <v>0</v>
      </c>
      <c r="I444" t="n">
        <v>0</v>
      </c>
      <c r="J444" t="n">
        <v>0</v>
      </c>
      <c r="K444" t="n">
        <v>0</v>
      </c>
      <c r="L444" t="n">
        <v>0</v>
      </c>
      <c r="M444" t="n">
        <v>0</v>
      </c>
      <c r="N444" t="n">
        <v>0</v>
      </c>
      <c r="O444" t="n">
        <v>0</v>
      </c>
      <c r="P444" t="n">
        <v>0</v>
      </c>
      <c r="Q444" t="n">
        <v>0</v>
      </c>
      <c r="R444" s="2" t="inlineStr"/>
    </row>
    <row r="445" ht="15" customHeight="1">
      <c r="A445" t="inlineStr">
        <is>
          <t>A 16090-2021</t>
        </is>
      </c>
      <c r="B445" s="1" t="n">
        <v>44288</v>
      </c>
      <c r="C445" s="1" t="n">
        <v>46033</v>
      </c>
      <c r="D445" t="inlineStr">
        <is>
          <t>STOCKHOLMS LÄN</t>
        </is>
      </c>
      <c r="E445" t="inlineStr">
        <is>
          <t>VÄRMDÖ</t>
        </is>
      </c>
      <c r="G445" t="n">
        <v>1.4</v>
      </c>
      <c r="H445" t="n">
        <v>0</v>
      </c>
      <c r="I445" t="n">
        <v>0</v>
      </c>
      <c r="J445" t="n">
        <v>0</v>
      </c>
      <c r="K445" t="n">
        <v>0</v>
      </c>
      <c r="L445" t="n">
        <v>0</v>
      </c>
      <c r="M445" t="n">
        <v>0</v>
      </c>
      <c r="N445" t="n">
        <v>0</v>
      </c>
      <c r="O445" t="n">
        <v>0</v>
      </c>
      <c r="P445" t="n">
        <v>0</v>
      </c>
      <c r="Q445" t="n">
        <v>0</v>
      </c>
      <c r="R445" s="2" t="inlineStr"/>
    </row>
    <row r="446" ht="15" customHeight="1">
      <c r="A446" t="inlineStr">
        <is>
          <t>A 16091-2021</t>
        </is>
      </c>
      <c r="B446" s="1" t="n">
        <v>44288</v>
      </c>
      <c r="C446" s="1" t="n">
        <v>46033</v>
      </c>
      <c r="D446" t="inlineStr">
        <is>
          <t>STOCKHOLMS LÄN</t>
        </is>
      </c>
      <c r="E446" t="inlineStr">
        <is>
          <t>VÄRMDÖ</t>
        </is>
      </c>
      <c r="G446" t="n">
        <v>0.7</v>
      </c>
      <c r="H446" t="n">
        <v>0</v>
      </c>
      <c r="I446" t="n">
        <v>0</v>
      </c>
      <c r="J446" t="n">
        <v>0</v>
      </c>
      <c r="K446" t="n">
        <v>0</v>
      </c>
      <c r="L446" t="n">
        <v>0</v>
      </c>
      <c r="M446" t="n">
        <v>0</v>
      </c>
      <c r="N446" t="n">
        <v>0</v>
      </c>
      <c r="O446" t="n">
        <v>0</v>
      </c>
      <c r="P446" t="n">
        <v>0</v>
      </c>
      <c r="Q446" t="n">
        <v>0</v>
      </c>
      <c r="R446" s="2" t="inlineStr"/>
    </row>
    <row r="447" ht="15" customHeight="1">
      <c r="A447" t="inlineStr">
        <is>
          <t>A 27791-2021</t>
        </is>
      </c>
      <c r="B447" s="1" t="n">
        <v>44354</v>
      </c>
      <c r="C447" s="1" t="n">
        <v>46033</v>
      </c>
      <c r="D447" t="inlineStr">
        <is>
          <t>STOCKHOLMS LÄN</t>
        </is>
      </c>
      <c r="E447" t="inlineStr">
        <is>
          <t>BOTKYRKA</t>
        </is>
      </c>
      <c r="G447" t="n">
        <v>3.8</v>
      </c>
      <c r="H447" t="n">
        <v>0</v>
      </c>
      <c r="I447" t="n">
        <v>0</v>
      </c>
      <c r="J447" t="n">
        <v>0</v>
      </c>
      <c r="K447" t="n">
        <v>0</v>
      </c>
      <c r="L447" t="n">
        <v>0</v>
      </c>
      <c r="M447" t="n">
        <v>0</v>
      </c>
      <c r="N447" t="n">
        <v>0</v>
      </c>
      <c r="O447" t="n">
        <v>0</v>
      </c>
      <c r="P447" t="n">
        <v>0</v>
      </c>
      <c r="Q447" t="n">
        <v>0</v>
      </c>
      <c r="R447" s="2" t="inlineStr"/>
    </row>
    <row r="448" ht="15" customHeight="1">
      <c r="A448" t="inlineStr">
        <is>
          <t>A 22479-2021</t>
        </is>
      </c>
      <c r="B448" s="1" t="n">
        <v>44322</v>
      </c>
      <c r="C448" s="1" t="n">
        <v>46033</v>
      </c>
      <c r="D448" t="inlineStr">
        <is>
          <t>STOCKHOLMS LÄN</t>
        </is>
      </c>
      <c r="E448" t="inlineStr">
        <is>
          <t>VÄRMDÖ</t>
        </is>
      </c>
      <c r="G448" t="n">
        <v>0.5</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46033</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46033</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46033</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46033</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46033</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46033</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46033</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46033</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46033</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46033</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46033</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46033</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46033</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46033</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46033</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46033</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46033</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1418-2021</t>
        </is>
      </c>
      <c r="B466" s="1" t="n">
        <v>44208</v>
      </c>
      <c r="C466" s="1" t="n">
        <v>46033</v>
      </c>
      <c r="D466" t="inlineStr">
        <is>
          <t>STOCKHOLMS LÄN</t>
        </is>
      </c>
      <c r="E466" t="inlineStr">
        <is>
          <t>HANINGE</t>
        </is>
      </c>
      <c r="G466" t="n">
        <v>4.2</v>
      </c>
      <c r="H466" t="n">
        <v>0</v>
      </c>
      <c r="I466" t="n">
        <v>0</v>
      </c>
      <c r="J466" t="n">
        <v>0</v>
      </c>
      <c r="K466" t="n">
        <v>0</v>
      </c>
      <c r="L466" t="n">
        <v>0</v>
      </c>
      <c r="M466" t="n">
        <v>0</v>
      </c>
      <c r="N466" t="n">
        <v>0</v>
      </c>
      <c r="O466" t="n">
        <v>0</v>
      </c>
      <c r="P466" t="n">
        <v>0</v>
      </c>
      <c r="Q466" t="n">
        <v>0</v>
      </c>
      <c r="R466" s="2" t="inlineStr"/>
    </row>
    <row r="467" ht="15" customHeight="1">
      <c r="A467" t="inlineStr">
        <is>
          <t>A 1420-2021</t>
        </is>
      </c>
      <c r="B467" s="1" t="n">
        <v>44208</v>
      </c>
      <c r="C467" s="1" t="n">
        <v>46033</v>
      </c>
      <c r="D467" t="inlineStr">
        <is>
          <t>STOCKHOLMS LÄN</t>
        </is>
      </c>
      <c r="E467" t="inlineStr">
        <is>
          <t>HANINGE</t>
        </is>
      </c>
      <c r="G467" t="n">
        <v>6.3</v>
      </c>
      <c r="H467" t="n">
        <v>0</v>
      </c>
      <c r="I467" t="n">
        <v>0</v>
      </c>
      <c r="J467" t="n">
        <v>0</v>
      </c>
      <c r="K467" t="n">
        <v>0</v>
      </c>
      <c r="L467" t="n">
        <v>0</v>
      </c>
      <c r="M467" t="n">
        <v>0</v>
      </c>
      <c r="N467" t="n">
        <v>0</v>
      </c>
      <c r="O467" t="n">
        <v>0</v>
      </c>
      <c r="P467" t="n">
        <v>0</v>
      </c>
      <c r="Q467" t="n">
        <v>0</v>
      </c>
      <c r="R467" s="2" t="inlineStr"/>
    </row>
    <row r="468" ht="15" customHeight="1">
      <c r="A468" t="inlineStr">
        <is>
          <t>A 11361-2021</t>
        </is>
      </c>
      <c r="B468" s="1" t="n">
        <v>44263</v>
      </c>
      <c r="C468" s="1" t="n">
        <v>46033</v>
      </c>
      <c r="D468" t="inlineStr">
        <is>
          <t>STOCKHOLMS LÄN</t>
        </is>
      </c>
      <c r="E468" t="inlineStr">
        <is>
          <t>SÖDERTÄLJE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46033</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46033</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46033</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67756-2021</t>
        </is>
      </c>
      <c r="B472" s="1" t="n">
        <v>44524</v>
      </c>
      <c r="C472" s="1" t="n">
        <v>46033</v>
      </c>
      <c r="D472" t="inlineStr">
        <is>
          <t>STOCKHOLMS LÄN</t>
        </is>
      </c>
      <c r="E472" t="inlineStr">
        <is>
          <t>VAXHOLM</t>
        </is>
      </c>
      <c r="F472" t="inlineStr">
        <is>
          <t>Övriga statliga verk och myndigheter</t>
        </is>
      </c>
      <c r="G472" t="n">
        <v>1.6</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46033</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46033</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46033</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46033</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46033</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46033</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46033</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46033</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46033</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46033</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34436-2021</t>
        </is>
      </c>
      <c r="B483" s="1" t="n">
        <v>44380</v>
      </c>
      <c r="C483" s="1" t="n">
        <v>46033</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46033</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46033</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46033</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46033</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1704-2022</t>
        </is>
      </c>
      <c r="B488" s="1" t="n">
        <v>44574.42978009259</v>
      </c>
      <c r="C488" s="1" t="n">
        <v>46033</v>
      </c>
      <c r="D488" t="inlineStr">
        <is>
          <t>STOCKHOLMS LÄN</t>
        </is>
      </c>
      <c r="E488" t="inlineStr">
        <is>
          <t>NORRTÄLJE</t>
        </is>
      </c>
      <c r="G488" t="n">
        <v>6.2</v>
      </c>
      <c r="H488" t="n">
        <v>0</v>
      </c>
      <c r="I488" t="n">
        <v>0</v>
      </c>
      <c r="J488" t="n">
        <v>0</v>
      </c>
      <c r="K488" t="n">
        <v>0</v>
      </c>
      <c r="L488" t="n">
        <v>0</v>
      </c>
      <c r="M488" t="n">
        <v>0</v>
      </c>
      <c r="N488" t="n">
        <v>0</v>
      </c>
      <c r="O488" t="n">
        <v>0</v>
      </c>
      <c r="P488" t="n">
        <v>0</v>
      </c>
      <c r="Q488" t="n">
        <v>0</v>
      </c>
      <c r="R488" s="2" t="inlineStr"/>
    </row>
    <row r="489" ht="15" customHeight="1">
      <c r="A489" t="inlineStr">
        <is>
          <t>A 11477-2021</t>
        </is>
      </c>
      <c r="B489" s="1" t="n">
        <v>44264</v>
      </c>
      <c r="C489" s="1" t="n">
        <v>46033</v>
      </c>
      <c r="D489" t="inlineStr">
        <is>
          <t>STOCKHOLMS LÄN</t>
        </is>
      </c>
      <c r="E489" t="inlineStr">
        <is>
          <t>SIGTUNA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46033</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46033</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12126-2021</t>
        </is>
      </c>
      <c r="B492" s="1" t="n">
        <v>44266</v>
      </c>
      <c r="C492" s="1" t="n">
        <v>46033</v>
      </c>
      <c r="D492" t="inlineStr">
        <is>
          <t>STOCKHOLMS LÄN</t>
        </is>
      </c>
      <c r="E492" t="inlineStr">
        <is>
          <t>SÖDERTÄLJE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19283-2021</t>
        </is>
      </c>
      <c r="B493" s="1" t="n">
        <v>44309.47061342592</v>
      </c>
      <c r="C493" s="1" t="n">
        <v>46033</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50903-2021</t>
        </is>
      </c>
      <c r="B494" s="1" t="n">
        <v>44460</v>
      </c>
      <c r="C494" s="1" t="n">
        <v>46033</v>
      </c>
      <c r="D494" t="inlineStr">
        <is>
          <t>STOCKHOLMS LÄN</t>
        </is>
      </c>
      <c r="E494" t="inlineStr">
        <is>
          <t>HANINGE</t>
        </is>
      </c>
      <c r="G494" t="n">
        <v>1.5</v>
      </c>
      <c r="H494" t="n">
        <v>0</v>
      </c>
      <c r="I494" t="n">
        <v>0</v>
      </c>
      <c r="J494" t="n">
        <v>0</v>
      </c>
      <c r="K494" t="n">
        <v>0</v>
      </c>
      <c r="L494" t="n">
        <v>0</v>
      </c>
      <c r="M494" t="n">
        <v>0</v>
      </c>
      <c r="N494" t="n">
        <v>0</v>
      </c>
      <c r="O494" t="n">
        <v>0</v>
      </c>
      <c r="P494" t="n">
        <v>0</v>
      </c>
      <c r="Q494" t="n">
        <v>0</v>
      </c>
      <c r="R494" s="2" t="inlineStr"/>
    </row>
    <row r="495" ht="15" customHeight="1">
      <c r="A495" t="inlineStr">
        <is>
          <t>A 37712-2021</t>
        </is>
      </c>
      <c r="B495" s="1" t="n">
        <v>44400</v>
      </c>
      <c r="C495" s="1" t="n">
        <v>46033</v>
      </c>
      <c r="D495" t="inlineStr">
        <is>
          <t>STOCKHOLMS LÄN</t>
        </is>
      </c>
      <c r="E495" t="inlineStr">
        <is>
          <t>NORRTÄLJE</t>
        </is>
      </c>
      <c r="G495" t="n">
        <v>22.9</v>
      </c>
      <c r="H495" t="n">
        <v>0</v>
      </c>
      <c r="I495" t="n">
        <v>0</v>
      </c>
      <c r="J495" t="n">
        <v>0</v>
      </c>
      <c r="K495" t="n">
        <v>0</v>
      </c>
      <c r="L495" t="n">
        <v>0</v>
      </c>
      <c r="M495" t="n">
        <v>0</v>
      </c>
      <c r="N495" t="n">
        <v>0</v>
      </c>
      <c r="O495" t="n">
        <v>0</v>
      </c>
      <c r="P495" t="n">
        <v>0</v>
      </c>
      <c r="Q495" t="n">
        <v>0</v>
      </c>
      <c r="R495" s="2" t="inlineStr"/>
    </row>
    <row r="496" ht="15" customHeight="1">
      <c r="A496" t="inlineStr">
        <is>
          <t>A 9719-2021</t>
        </is>
      </c>
      <c r="B496" s="1" t="n">
        <v>44252</v>
      </c>
      <c r="C496" s="1" t="n">
        <v>46033</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48384-2021</t>
        </is>
      </c>
      <c r="B497" s="1" t="n">
        <v>44451</v>
      </c>
      <c r="C497" s="1" t="n">
        <v>46033</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46033</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48492-2022</t>
        </is>
      </c>
      <c r="B499" s="1" t="n">
        <v>44858</v>
      </c>
      <c r="C499" s="1" t="n">
        <v>46033</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3702-2021</t>
        </is>
      </c>
      <c r="B500" s="1" t="n">
        <v>44221</v>
      </c>
      <c r="C500" s="1" t="n">
        <v>46033</v>
      </c>
      <c r="D500" t="inlineStr">
        <is>
          <t>STOCKHOLMS LÄN</t>
        </is>
      </c>
      <c r="E500" t="inlineStr">
        <is>
          <t>EKERÖ</t>
        </is>
      </c>
      <c r="G500" t="n">
        <v>1.5</v>
      </c>
      <c r="H500" t="n">
        <v>0</v>
      </c>
      <c r="I500" t="n">
        <v>0</v>
      </c>
      <c r="J500" t="n">
        <v>0</v>
      </c>
      <c r="K500" t="n">
        <v>0</v>
      </c>
      <c r="L500" t="n">
        <v>0</v>
      </c>
      <c r="M500" t="n">
        <v>0</v>
      </c>
      <c r="N500" t="n">
        <v>0</v>
      </c>
      <c r="O500" t="n">
        <v>0</v>
      </c>
      <c r="P500" t="n">
        <v>0</v>
      </c>
      <c r="Q500" t="n">
        <v>0</v>
      </c>
      <c r="R500" s="2" t="inlineStr"/>
    </row>
    <row r="501" ht="15" customHeight="1">
      <c r="A501" t="inlineStr">
        <is>
          <t>A 8338-2021</t>
        </is>
      </c>
      <c r="B501" s="1" t="n">
        <v>44244</v>
      </c>
      <c r="C501" s="1" t="n">
        <v>46033</v>
      </c>
      <c r="D501" t="inlineStr">
        <is>
          <t>STOCKHOLMS LÄN</t>
        </is>
      </c>
      <c r="E501" t="inlineStr">
        <is>
          <t>NORRTÄLJE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46033</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14664-2021</t>
        </is>
      </c>
      <c r="B503" s="1" t="n">
        <v>44280</v>
      </c>
      <c r="C503" s="1" t="n">
        <v>46033</v>
      </c>
      <c r="D503" t="inlineStr">
        <is>
          <t>STOCKHOLMS LÄN</t>
        </is>
      </c>
      <c r="E503" t="inlineStr">
        <is>
          <t>SÖDERTÄLJE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60822-2021</t>
        </is>
      </c>
      <c r="B504" s="1" t="n">
        <v>44496</v>
      </c>
      <c r="C504" s="1" t="n">
        <v>46033</v>
      </c>
      <c r="D504" t="inlineStr">
        <is>
          <t>STOCKHOLMS LÄN</t>
        </is>
      </c>
      <c r="E504" t="inlineStr">
        <is>
          <t>NORRTÄLJE</t>
        </is>
      </c>
      <c r="G504" t="n">
        <v>7.6</v>
      </c>
      <c r="H504" t="n">
        <v>0</v>
      </c>
      <c r="I504" t="n">
        <v>0</v>
      </c>
      <c r="J504" t="n">
        <v>0</v>
      </c>
      <c r="K504" t="n">
        <v>0</v>
      </c>
      <c r="L504" t="n">
        <v>0</v>
      </c>
      <c r="M504" t="n">
        <v>0</v>
      </c>
      <c r="N504" t="n">
        <v>0</v>
      </c>
      <c r="O504" t="n">
        <v>0</v>
      </c>
      <c r="P504" t="n">
        <v>0</v>
      </c>
      <c r="Q504" t="n">
        <v>0</v>
      </c>
      <c r="R504" s="2" t="inlineStr"/>
    </row>
    <row r="505" ht="15" customHeight="1">
      <c r="A505" t="inlineStr">
        <is>
          <t>A 10711-2022</t>
        </is>
      </c>
      <c r="B505" s="1" t="n">
        <v>44626</v>
      </c>
      <c r="C505" s="1" t="n">
        <v>46033</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9442-2022</t>
        </is>
      </c>
      <c r="B506" s="1" t="n">
        <v>44616</v>
      </c>
      <c r="C506" s="1" t="n">
        <v>46033</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17777-2022</t>
        </is>
      </c>
      <c r="B507" s="1" t="n">
        <v>44682.79203703703</v>
      </c>
      <c r="C507" s="1" t="n">
        <v>46033</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23339-2021</t>
        </is>
      </c>
      <c r="B508" s="1" t="n">
        <v>44333</v>
      </c>
      <c r="C508" s="1" t="n">
        <v>46033</v>
      </c>
      <c r="D508" t="inlineStr">
        <is>
          <t>STOCKHOLMS LÄN</t>
        </is>
      </c>
      <c r="E508" t="inlineStr">
        <is>
          <t>NYNÄSHAMN</t>
        </is>
      </c>
      <c r="G508" t="n">
        <v>0.4</v>
      </c>
      <c r="H508" t="n">
        <v>0</v>
      </c>
      <c r="I508" t="n">
        <v>0</v>
      </c>
      <c r="J508" t="n">
        <v>0</v>
      </c>
      <c r="K508" t="n">
        <v>0</v>
      </c>
      <c r="L508" t="n">
        <v>0</v>
      </c>
      <c r="M508" t="n">
        <v>0</v>
      </c>
      <c r="N508" t="n">
        <v>0</v>
      </c>
      <c r="O508" t="n">
        <v>0</v>
      </c>
      <c r="P508" t="n">
        <v>0</v>
      </c>
      <c r="Q508" t="n">
        <v>0</v>
      </c>
      <c r="R508" s="2" t="inlineStr"/>
    </row>
    <row r="509" ht="15" customHeight="1">
      <c r="A509" t="inlineStr">
        <is>
          <t>A 21723-2022</t>
        </is>
      </c>
      <c r="B509" s="1" t="n">
        <v>44708</v>
      </c>
      <c r="C509" s="1" t="n">
        <v>46033</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12816-2022</t>
        </is>
      </c>
      <c r="B510" s="1" t="n">
        <v>44642</v>
      </c>
      <c r="C510" s="1" t="n">
        <v>46033</v>
      </c>
      <c r="D510" t="inlineStr">
        <is>
          <t>STOCKHOLMS LÄN</t>
        </is>
      </c>
      <c r="E510" t="inlineStr">
        <is>
          <t>NORRTÄLJE</t>
        </is>
      </c>
      <c r="G510" t="n">
        <v>4.4</v>
      </c>
      <c r="H510" t="n">
        <v>0</v>
      </c>
      <c r="I510" t="n">
        <v>0</v>
      </c>
      <c r="J510" t="n">
        <v>0</v>
      </c>
      <c r="K510" t="n">
        <v>0</v>
      </c>
      <c r="L510" t="n">
        <v>0</v>
      </c>
      <c r="M510" t="n">
        <v>0</v>
      </c>
      <c r="N510" t="n">
        <v>0</v>
      </c>
      <c r="O510" t="n">
        <v>0</v>
      </c>
      <c r="P510" t="n">
        <v>0</v>
      </c>
      <c r="Q510" t="n">
        <v>0</v>
      </c>
      <c r="R510" s="2" t="inlineStr"/>
    </row>
    <row r="511" ht="15" customHeight="1">
      <c r="A511" t="inlineStr">
        <is>
          <t>A 1910-2022</t>
        </is>
      </c>
      <c r="B511" s="1" t="n">
        <v>44575</v>
      </c>
      <c r="C511" s="1" t="n">
        <v>46033</v>
      </c>
      <c r="D511" t="inlineStr">
        <is>
          <t>STOCKHOLMS LÄN</t>
        </is>
      </c>
      <c r="E511" t="inlineStr">
        <is>
          <t>ÖSTERÅKER</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3596-2022</t>
        </is>
      </c>
      <c r="B512" s="1" t="n">
        <v>44586</v>
      </c>
      <c r="C512" s="1" t="n">
        <v>46033</v>
      </c>
      <c r="D512" t="inlineStr">
        <is>
          <t>STOCKHOLMS LÄN</t>
        </is>
      </c>
      <c r="E512" t="inlineStr">
        <is>
          <t>SÖDERTÄLJE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46033</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31807-2022</t>
        </is>
      </c>
      <c r="B514" s="1" t="n">
        <v>44776</v>
      </c>
      <c r="C514" s="1" t="n">
        <v>46033</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1244-2022</t>
        </is>
      </c>
      <c r="B515" s="1" t="n">
        <v>44572</v>
      </c>
      <c r="C515" s="1" t="n">
        <v>46033</v>
      </c>
      <c r="D515" t="inlineStr">
        <is>
          <t>STOCKHOLMS LÄN</t>
        </is>
      </c>
      <c r="E515" t="inlineStr">
        <is>
          <t>VÄRMDÖ</t>
        </is>
      </c>
      <c r="G515" t="n">
        <v>0.2</v>
      </c>
      <c r="H515" t="n">
        <v>0</v>
      </c>
      <c r="I515" t="n">
        <v>0</v>
      </c>
      <c r="J515" t="n">
        <v>0</v>
      </c>
      <c r="K515" t="n">
        <v>0</v>
      </c>
      <c r="L515" t="n">
        <v>0</v>
      </c>
      <c r="M515" t="n">
        <v>0</v>
      </c>
      <c r="N515" t="n">
        <v>0</v>
      </c>
      <c r="O515" t="n">
        <v>0</v>
      </c>
      <c r="P515" t="n">
        <v>0</v>
      </c>
      <c r="Q515" t="n">
        <v>0</v>
      </c>
      <c r="R515" s="2" t="inlineStr"/>
      <c r="T515">
        <f>HYPERLINK("https://klasma.github.io/Logging_0120/kartor/A 1244-2022 karta.png", "A 1244-2022")</f>
        <v/>
      </c>
      <c r="V515">
        <f>HYPERLINK("https://klasma.github.io/Logging_0120/klagomål/A 1244-2022 FSC-klagomål.docx", "A 1244-2022")</f>
        <v/>
      </c>
      <c r="W515">
        <f>HYPERLINK("https://klasma.github.io/Logging_0120/klagomålsmail/A 1244-2022 FSC-klagomål mail.docx", "A 1244-2022")</f>
        <v/>
      </c>
      <c r="X515">
        <f>HYPERLINK("https://klasma.github.io/Logging_0120/tillsyn/A 1244-2022 tillsynsbegäran.docx", "A 1244-2022")</f>
        <v/>
      </c>
      <c r="Y515">
        <f>HYPERLINK("https://klasma.github.io/Logging_0120/tillsynsmail/A 1244-2022 tillsynsbegäran mail.docx", "A 1244-2022")</f>
        <v/>
      </c>
      <c r="Z515">
        <f>HYPERLINK("https://klasma.github.io/Logging_0120/fåglar/A 1244-2022 prioriterade fågelarter.docx", "A 1244-2022")</f>
        <v/>
      </c>
    </row>
    <row r="516" ht="15" customHeight="1">
      <c r="A516" t="inlineStr">
        <is>
          <t>A 16242-2022</t>
        </is>
      </c>
      <c r="B516" s="1" t="n">
        <v>44670</v>
      </c>
      <c r="C516" s="1" t="n">
        <v>46033</v>
      </c>
      <c r="D516" t="inlineStr">
        <is>
          <t>STOCKHOLMS LÄN</t>
        </is>
      </c>
      <c r="E516" t="inlineStr">
        <is>
          <t>EKERÖ</t>
        </is>
      </c>
      <c r="G516" t="n">
        <v>0.6</v>
      </c>
      <c r="H516" t="n">
        <v>0</v>
      </c>
      <c r="I516" t="n">
        <v>0</v>
      </c>
      <c r="J516" t="n">
        <v>0</v>
      </c>
      <c r="K516" t="n">
        <v>0</v>
      </c>
      <c r="L516" t="n">
        <v>0</v>
      </c>
      <c r="M516" t="n">
        <v>0</v>
      </c>
      <c r="N516" t="n">
        <v>0</v>
      </c>
      <c r="O516" t="n">
        <v>0</v>
      </c>
      <c r="P516" t="n">
        <v>0</v>
      </c>
      <c r="Q516" t="n">
        <v>0</v>
      </c>
      <c r="R516" s="2" t="inlineStr"/>
    </row>
    <row r="517" ht="15" customHeight="1">
      <c r="A517" t="inlineStr">
        <is>
          <t>A 72508-2021</t>
        </is>
      </c>
      <c r="B517" s="1" t="n">
        <v>44544</v>
      </c>
      <c r="C517" s="1" t="n">
        <v>46033</v>
      </c>
      <c r="D517" t="inlineStr">
        <is>
          <t>STOCKHOLMS LÄN</t>
        </is>
      </c>
      <c r="E517" t="inlineStr">
        <is>
          <t>ÖSTERÅKER</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72523-2021</t>
        </is>
      </c>
      <c r="B518" s="1" t="n">
        <v>44546</v>
      </c>
      <c r="C518" s="1" t="n">
        <v>46033</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40158-2021</t>
        </is>
      </c>
      <c r="B519" s="1" t="n">
        <v>44418</v>
      </c>
      <c r="C519" s="1" t="n">
        <v>46033</v>
      </c>
      <c r="D519" t="inlineStr">
        <is>
          <t>STOCKHOLMS LÄN</t>
        </is>
      </c>
      <c r="E519" t="inlineStr">
        <is>
          <t>NYNÄSHAMN</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22708-2021</t>
        </is>
      </c>
      <c r="B520" s="1" t="n">
        <v>44327</v>
      </c>
      <c r="C520" s="1" t="n">
        <v>46033</v>
      </c>
      <c r="D520" t="inlineStr">
        <is>
          <t>STOCKHOLMS LÄN</t>
        </is>
      </c>
      <c r="E520" t="inlineStr">
        <is>
          <t>VÄRMDÖ</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46033</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16087-2021</t>
        </is>
      </c>
      <c r="B522" s="1" t="n">
        <v>44288</v>
      </c>
      <c r="C522" s="1" t="n">
        <v>46033</v>
      </c>
      <c r="D522" t="inlineStr">
        <is>
          <t>STOCKHOLMS LÄN</t>
        </is>
      </c>
      <c r="E522" t="inlineStr">
        <is>
          <t>VÄRMDÖ</t>
        </is>
      </c>
      <c r="G522" t="n">
        <v>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46033</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46033</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2867-2021</t>
        </is>
      </c>
      <c r="B525" s="1" t="n">
        <v>44216</v>
      </c>
      <c r="C525" s="1" t="n">
        <v>46033</v>
      </c>
      <c r="D525" t="inlineStr">
        <is>
          <t>STOCKHOLMS LÄN</t>
        </is>
      </c>
      <c r="E525" t="inlineStr">
        <is>
          <t>NYNÄSHAMN</t>
        </is>
      </c>
      <c r="G525" t="n">
        <v>5.1</v>
      </c>
      <c r="H525" t="n">
        <v>0</v>
      </c>
      <c r="I525" t="n">
        <v>0</v>
      </c>
      <c r="J525" t="n">
        <v>0</v>
      </c>
      <c r="K525" t="n">
        <v>0</v>
      </c>
      <c r="L525" t="n">
        <v>0</v>
      </c>
      <c r="M525" t="n">
        <v>0</v>
      </c>
      <c r="N525" t="n">
        <v>0</v>
      </c>
      <c r="O525" t="n">
        <v>0</v>
      </c>
      <c r="P525" t="n">
        <v>0</v>
      </c>
      <c r="Q525" t="n">
        <v>0</v>
      </c>
      <c r="R525" s="2" t="inlineStr"/>
    </row>
    <row r="526" ht="15" customHeight="1">
      <c r="A526" t="inlineStr">
        <is>
          <t>A 24534-2022</t>
        </is>
      </c>
      <c r="B526" s="1" t="n">
        <v>44727</v>
      </c>
      <c r="C526" s="1" t="n">
        <v>46033</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16086-2021</t>
        </is>
      </c>
      <c r="B527" s="1" t="n">
        <v>44288</v>
      </c>
      <c r="C527" s="1" t="n">
        <v>46033</v>
      </c>
      <c r="D527" t="inlineStr">
        <is>
          <t>STOCKHOLMS LÄN</t>
        </is>
      </c>
      <c r="E527" t="inlineStr">
        <is>
          <t>VÄRMDÖ</t>
        </is>
      </c>
      <c r="G527" t="n">
        <v>2.2</v>
      </c>
      <c r="H527" t="n">
        <v>0</v>
      </c>
      <c r="I527" t="n">
        <v>0</v>
      </c>
      <c r="J527" t="n">
        <v>0</v>
      </c>
      <c r="K527" t="n">
        <v>0</v>
      </c>
      <c r="L527" t="n">
        <v>0</v>
      </c>
      <c r="M527" t="n">
        <v>0</v>
      </c>
      <c r="N527" t="n">
        <v>0</v>
      </c>
      <c r="O527" t="n">
        <v>0</v>
      </c>
      <c r="P527" t="n">
        <v>0</v>
      </c>
      <c r="Q527" t="n">
        <v>0</v>
      </c>
      <c r="R527" s="2" t="inlineStr"/>
    </row>
    <row r="528" ht="15" customHeight="1">
      <c r="A528" t="inlineStr">
        <is>
          <t>A 14434-2021</t>
        </is>
      </c>
      <c r="B528" s="1" t="n">
        <v>44279</v>
      </c>
      <c r="C528" s="1" t="n">
        <v>46033</v>
      </c>
      <c r="D528" t="inlineStr">
        <is>
          <t>STOCKHOLMS LÄN</t>
        </is>
      </c>
      <c r="E528" t="inlineStr">
        <is>
          <t>VALLENTUNA</t>
        </is>
      </c>
      <c r="G528" t="n">
        <v>2</v>
      </c>
      <c r="H528" t="n">
        <v>0</v>
      </c>
      <c r="I528" t="n">
        <v>0</v>
      </c>
      <c r="J528" t="n">
        <v>0</v>
      </c>
      <c r="K528" t="n">
        <v>0</v>
      </c>
      <c r="L528" t="n">
        <v>0</v>
      </c>
      <c r="M528" t="n">
        <v>0</v>
      </c>
      <c r="N528" t="n">
        <v>0</v>
      </c>
      <c r="O528" t="n">
        <v>0</v>
      </c>
      <c r="P528" t="n">
        <v>0</v>
      </c>
      <c r="Q528" t="n">
        <v>0</v>
      </c>
      <c r="R528" s="2" t="inlineStr"/>
    </row>
    <row r="529" ht="15" customHeight="1">
      <c r="A529" t="inlineStr">
        <is>
          <t>A 71876-2021</t>
        </is>
      </c>
      <c r="B529" s="1" t="n">
        <v>44543</v>
      </c>
      <c r="C529" s="1" t="n">
        <v>46033</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71878-2021</t>
        </is>
      </c>
      <c r="B530" s="1" t="n">
        <v>44543</v>
      </c>
      <c r="C530" s="1" t="n">
        <v>46033</v>
      </c>
      <c r="D530" t="inlineStr">
        <is>
          <t>STOCKHOLMS LÄN</t>
        </is>
      </c>
      <c r="E530" t="inlineStr">
        <is>
          <t>NORRTÄLJE</t>
        </is>
      </c>
      <c r="G530" t="n">
        <v>1.2</v>
      </c>
      <c r="H530" t="n">
        <v>0</v>
      </c>
      <c r="I530" t="n">
        <v>0</v>
      </c>
      <c r="J530" t="n">
        <v>0</v>
      </c>
      <c r="K530" t="n">
        <v>0</v>
      </c>
      <c r="L530" t="n">
        <v>0</v>
      </c>
      <c r="M530" t="n">
        <v>0</v>
      </c>
      <c r="N530" t="n">
        <v>0</v>
      </c>
      <c r="O530" t="n">
        <v>0</v>
      </c>
      <c r="P530" t="n">
        <v>0</v>
      </c>
      <c r="Q530" t="n">
        <v>0</v>
      </c>
      <c r="R530" s="2" t="inlineStr"/>
    </row>
    <row r="531" ht="15" customHeight="1">
      <c r="A531" t="inlineStr">
        <is>
          <t>A 74167-2021</t>
        </is>
      </c>
      <c r="B531" s="1" t="n">
        <v>44557</v>
      </c>
      <c r="C531" s="1" t="n">
        <v>46033</v>
      </c>
      <c r="D531" t="inlineStr">
        <is>
          <t>STOCKHOLMS LÄN</t>
        </is>
      </c>
      <c r="E531" t="inlineStr">
        <is>
          <t>SIGTUNA</t>
        </is>
      </c>
      <c r="G531" t="n">
        <v>5.4</v>
      </c>
      <c r="H531" t="n">
        <v>0</v>
      </c>
      <c r="I531" t="n">
        <v>0</v>
      </c>
      <c r="J531" t="n">
        <v>0</v>
      </c>
      <c r="K531" t="n">
        <v>0</v>
      </c>
      <c r="L531" t="n">
        <v>0</v>
      </c>
      <c r="M531" t="n">
        <v>0</v>
      </c>
      <c r="N531" t="n">
        <v>0</v>
      </c>
      <c r="O531" t="n">
        <v>0</v>
      </c>
      <c r="P531" t="n">
        <v>0</v>
      </c>
      <c r="Q531" t="n">
        <v>0</v>
      </c>
      <c r="R531" s="2" t="inlineStr"/>
    </row>
    <row r="532" ht="15" customHeight="1">
      <c r="A532" t="inlineStr">
        <is>
          <t>A 74173-2021</t>
        </is>
      </c>
      <c r="B532" s="1" t="n">
        <v>44558</v>
      </c>
      <c r="C532" s="1" t="n">
        <v>46033</v>
      </c>
      <c r="D532" t="inlineStr">
        <is>
          <t>STOCKHOLMS LÄN</t>
        </is>
      </c>
      <c r="E532" t="inlineStr">
        <is>
          <t>NYKVARN</t>
        </is>
      </c>
      <c r="F532" t="inlineStr">
        <is>
          <t>Allmännings- och besparingsskogar</t>
        </is>
      </c>
      <c r="G532" t="n">
        <v>5.5</v>
      </c>
      <c r="H532" t="n">
        <v>0</v>
      </c>
      <c r="I532" t="n">
        <v>0</v>
      </c>
      <c r="J532" t="n">
        <v>0</v>
      </c>
      <c r="K532" t="n">
        <v>0</v>
      </c>
      <c r="L532" t="n">
        <v>0</v>
      </c>
      <c r="M532" t="n">
        <v>0</v>
      </c>
      <c r="N532" t="n">
        <v>0</v>
      </c>
      <c r="O532" t="n">
        <v>0</v>
      </c>
      <c r="P532" t="n">
        <v>0</v>
      </c>
      <c r="Q532" t="n">
        <v>0</v>
      </c>
      <c r="R532" s="2" t="inlineStr"/>
    </row>
    <row r="533" ht="15" customHeight="1">
      <c r="A533" t="inlineStr">
        <is>
          <t>A 45501-2022</t>
        </is>
      </c>
      <c r="B533" s="1" t="n">
        <v>44845.42407407407</v>
      </c>
      <c r="C533" s="1" t="n">
        <v>46033</v>
      </c>
      <c r="D533" t="inlineStr">
        <is>
          <t>STOCKHOLMS LÄN</t>
        </is>
      </c>
      <c r="E533" t="inlineStr">
        <is>
          <t>HANINGE</t>
        </is>
      </c>
      <c r="G533" t="n">
        <v>2.7</v>
      </c>
      <c r="H533" t="n">
        <v>0</v>
      </c>
      <c r="I533" t="n">
        <v>0</v>
      </c>
      <c r="J533" t="n">
        <v>0</v>
      </c>
      <c r="K533" t="n">
        <v>0</v>
      </c>
      <c r="L533" t="n">
        <v>0</v>
      </c>
      <c r="M533" t="n">
        <v>0</v>
      </c>
      <c r="N533" t="n">
        <v>0</v>
      </c>
      <c r="O533" t="n">
        <v>0</v>
      </c>
      <c r="P533" t="n">
        <v>0</v>
      </c>
      <c r="Q533" t="n">
        <v>0</v>
      </c>
      <c r="R533" s="2" t="inlineStr"/>
    </row>
    <row r="534" ht="15" customHeight="1">
      <c r="A534" t="inlineStr">
        <is>
          <t>A 11459-2021</t>
        </is>
      </c>
      <c r="B534" s="1" t="n">
        <v>44264.31767361111</v>
      </c>
      <c r="C534" s="1" t="n">
        <v>46033</v>
      </c>
      <c r="D534" t="inlineStr">
        <is>
          <t>STOCKHOLMS LÄN</t>
        </is>
      </c>
      <c r="E534" t="inlineStr">
        <is>
          <t>SIGTUNA</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45539-2022</t>
        </is>
      </c>
      <c r="B535" s="1" t="n">
        <v>44845.47585648148</v>
      </c>
      <c r="C535" s="1" t="n">
        <v>46033</v>
      </c>
      <c r="D535" t="inlineStr">
        <is>
          <t>STOCKHOLMS LÄN</t>
        </is>
      </c>
      <c r="E535" t="inlineStr">
        <is>
          <t>NORRTÄLJE</t>
        </is>
      </c>
      <c r="G535" t="n">
        <v>0.3</v>
      </c>
      <c r="H535" t="n">
        <v>0</v>
      </c>
      <c r="I535" t="n">
        <v>0</v>
      </c>
      <c r="J535" t="n">
        <v>0</v>
      </c>
      <c r="K535" t="n">
        <v>0</v>
      </c>
      <c r="L535" t="n">
        <v>0</v>
      </c>
      <c r="M535" t="n">
        <v>0</v>
      </c>
      <c r="N535" t="n">
        <v>0</v>
      </c>
      <c r="O535" t="n">
        <v>0</v>
      </c>
      <c r="P535" t="n">
        <v>0</v>
      </c>
      <c r="Q535" t="n">
        <v>0</v>
      </c>
      <c r="R535" s="2" t="inlineStr"/>
    </row>
    <row r="536" ht="15" customHeight="1">
      <c r="A536" t="inlineStr">
        <is>
          <t>A 17263-2022</t>
        </is>
      </c>
      <c r="B536" s="1" t="n">
        <v>44678</v>
      </c>
      <c r="C536" s="1" t="n">
        <v>46033</v>
      </c>
      <c r="D536" t="inlineStr">
        <is>
          <t>STOCKHOLMS LÄN</t>
        </is>
      </c>
      <c r="E536" t="inlineStr">
        <is>
          <t>ÖSTERÅKER</t>
        </is>
      </c>
      <c r="G536" t="n">
        <v>2.4</v>
      </c>
      <c r="H536" t="n">
        <v>0</v>
      </c>
      <c r="I536" t="n">
        <v>0</v>
      </c>
      <c r="J536" t="n">
        <v>0</v>
      </c>
      <c r="K536" t="n">
        <v>0</v>
      </c>
      <c r="L536" t="n">
        <v>0</v>
      </c>
      <c r="M536" t="n">
        <v>0</v>
      </c>
      <c r="N536" t="n">
        <v>0</v>
      </c>
      <c r="O536" t="n">
        <v>0</v>
      </c>
      <c r="P536" t="n">
        <v>0</v>
      </c>
      <c r="Q536" t="n">
        <v>0</v>
      </c>
      <c r="R536" s="2" t="inlineStr"/>
    </row>
    <row r="537" ht="15" customHeight="1">
      <c r="A537" t="inlineStr">
        <is>
          <t>A 60186-2021</t>
        </is>
      </c>
      <c r="B537" s="1" t="n">
        <v>44495</v>
      </c>
      <c r="C537" s="1" t="n">
        <v>46033</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28959-2022</t>
        </is>
      </c>
      <c r="B538" s="1" t="n">
        <v>44749.61980324074</v>
      </c>
      <c r="C538" s="1" t="n">
        <v>46033</v>
      </c>
      <c r="D538" t="inlineStr">
        <is>
          <t>STOCKHOLMS LÄN</t>
        </is>
      </c>
      <c r="E538" t="inlineStr">
        <is>
          <t>NORRTÄLJE</t>
        </is>
      </c>
      <c r="G538" t="n">
        <v>5.2</v>
      </c>
      <c r="H538" t="n">
        <v>0</v>
      </c>
      <c r="I538" t="n">
        <v>0</v>
      </c>
      <c r="J538" t="n">
        <v>0</v>
      </c>
      <c r="K538" t="n">
        <v>0</v>
      </c>
      <c r="L538" t="n">
        <v>0</v>
      </c>
      <c r="M538" t="n">
        <v>0</v>
      </c>
      <c r="N538" t="n">
        <v>0</v>
      </c>
      <c r="O538" t="n">
        <v>0</v>
      </c>
      <c r="P538" t="n">
        <v>0</v>
      </c>
      <c r="Q538" t="n">
        <v>0</v>
      </c>
      <c r="R538" s="2" t="inlineStr"/>
    </row>
    <row r="539" ht="15" customHeight="1">
      <c r="A539" t="inlineStr">
        <is>
          <t>A 54340-2022</t>
        </is>
      </c>
      <c r="B539" s="1" t="n">
        <v>44882.44732638889</v>
      </c>
      <c r="C539" s="1" t="n">
        <v>46033</v>
      </c>
      <c r="D539" t="inlineStr">
        <is>
          <t>STOCKHOLMS LÄN</t>
        </is>
      </c>
      <c r="E539" t="inlineStr">
        <is>
          <t>NORRTÄLJE</t>
        </is>
      </c>
      <c r="G539" t="n">
        <v>6.7</v>
      </c>
      <c r="H539" t="n">
        <v>0</v>
      </c>
      <c r="I539" t="n">
        <v>0</v>
      </c>
      <c r="J539" t="n">
        <v>0</v>
      </c>
      <c r="K539" t="n">
        <v>0</v>
      </c>
      <c r="L539" t="n">
        <v>0</v>
      </c>
      <c r="M539" t="n">
        <v>0</v>
      </c>
      <c r="N539" t="n">
        <v>0</v>
      </c>
      <c r="O539" t="n">
        <v>0</v>
      </c>
      <c r="P539" t="n">
        <v>0</v>
      </c>
      <c r="Q539" t="n">
        <v>0</v>
      </c>
      <c r="R539" s="2" t="inlineStr"/>
    </row>
    <row r="540" ht="15" customHeight="1">
      <c r="A540" t="inlineStr">
        <is>
          <t>A 54355-2022</t>
        </is>
      </c>
      <c r="B540" s="1" t="n">
        <v>44882</v>
      </c>
      <c r="C540" s="1" t="n">
        <v>46033</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31075-2021</t>
        </is>
      </c>
      <c r="B541" s="1" t="n">
        <v>44368</v>
      </c>
      <c r="C541" s="1" t="n">
        <v>46033</v>
      </c>
      <c r="D541" t="inlineStr">
        <is>
          <t>STOCKHOLMS LÄN</t>
        </is>
      </c>
      <c r="E541" t="inlineStr">
        <is>
          <t>ÖSTERÅKER</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178-2022</t>
        </is>
      </c>
      <c r="B542" s="1" t="n">
        <v>44560</v>
      </c>
      <c r="C542" s="1" t="n">
        <v>46033</v>
      </c>
      <c r="D542" t="inlineStr">
        <is>
          <t>STOCKHOLMS LÄN</t>
        </is>
      </c>
      <c r="E542" t="inlineStr">
        <is>
          <t>VALLENTUNA</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72308-2021</t>
        </is>
      </c>
      <c r="B543" s="1" t="n">
        <v>44545.4189699074</v>
      </c>
      <c r="C543" s="1" t="n">
        <v>46033</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9986-2021</t>
        </is>
      </c>
      <c r="B544" s="1" t="n">
        <v>44254</v>
      </c>
      <c r="C544" s="1" t="n">
        <v>46033</v>
      </c>
      <c r="D544" t="inlineStr">
        <is>
          <t>STOCKHOLMS LÄN</t>
        </is>
      </c>
      <c r="E544" t="inlineStr">
        <is>
          <t>SÖDERTÄLJE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46244-2021</t>
        </is>
      </c>
      <c r="B545" s="1" t="n">
        <v>44442</v>
      </c>
      <c r="C545" s="1" t="n">
        <v>46033</v>
      </c>
      <c r="D545" t="inlineStr">
        <is>
          <t>STOCKHOLMS LÄN</t>
        </is>
      </c>
      <c r="E545" t="inlineStr">
        <is>
          <t>UPPLANDS-BRO</t>
        </is>
      </c>
      <c r="G545" t="n">
        <v>0.9</v>
      </c>
      <c r="H545" t="n">
        <v>0</v>
      </c>
      <c r="I545" t="n">
        <v>0</v>
      </c>
      <c r="J545" t="n">
        <v>0</v>
      </c>
      <c r="K545" t="n">
        <v>0</v>
      </c>
      <c r="L545" t="n">
        <v>0</v>
      </c>
      <c r="M545" t="n">
        <v>0</v>
      </c>
      <c r="N545" t="n">
        <v>0</v>
      </c>
      <c r="O545" t="n">
        <v>0</v>
      </c>
      <c r="P545" t="n">
        <v>0</v>
      </c>
      <c r="Q545" t="n">
        <v>0</v>
      </c>
      <c r="R545" s="2" t="inlineStr"/>
    </row>
    <row r="546" ht="15" customHeight="1">
      <c r="A546" t="inlineStr">
        <is>
          <t>A 18172-2021</t>
        </is>
      </c>
      <c r="B546" s="1" t="n">
        <v>44302.62196759259</v>
      </c>
      <c r="C546" s="1" t="n">
        <v>46033</v>
      </c>
      <c r="D546" t="inlineStr">
        <is>
          <t>STOCKHOLMS LÄN</t>
        </is>
      </c>
      <c r="E546" t="inlineStr">
        <is>
          <t>ÖSTERÅKER</t>
        </is>
      </c>
      <c r="G546" t="n">
        <v>3.2</v>
      </c>
      <c r="H546" t="n">
        <v>0</v>
      </c>
      <c r="I546" t="n">
        <v>0</v>
      </c>
      <c r="J546" t="n">
        <v>0</v>
      </c>
      <c r="K546" t="n">
        <v>0</v>
      </c>
      <c r="L546" t="n">
        <v>0</v>
      </c>
      <c r="M546" t="n">
        <v>0</v>
      </c>
      <c r="N546" t="n">
        <v>0</v>
      </c>
      <c r="O546" t="n">
        <v>0</v>
      </c>
      <c r="P546" t="n">
        <v>0</v>
      </c>
      <c r="Q546" t="n">
        <v>0</v>
      </c>
      <c r="R546" s="2" t="inlineStr"/>
    </row>
    <row r="547" ht="15" customHeight="1">
      <c r="A547" t="inlineStr">
        <is>
          <t>A 20073-2021</t>
        </is>
      </c>
      <c r="B547" s="1" t="n">
        <v>44314</v>
      </c>
      <c r="C547" s="1" t="n">
        <v>46033</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14381-2021</t>
        </is>
      </c>
      <c r="B548" s="1" t="n">
        <v>44279</v>
      </c>
      <c r="C548" s="1" t="n">
        <v>46033</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14584-2021</t>
        </is>
      </c>
      <c r="B549" s="1" t="n">
        <v>44279.91693287037</v>
      </c>
      <c r="C549" s="1" t="n">
        <v>46033</v>
      </c>
      <c r="D549" t="inlineStr">
        <is>
          <t>STOCKHOLMS LÄN</t>
        </is>
      </c>
      <c r="E549" t="inlineStr">
        <is>
          <t>NYKVARN</t>
        </is>
      </c>
      <c r="G549" t="n">
        <v>0.9</v>
      </c>
      <c r="H549" t="n">
        <v>0</v>
      </c>
      <c r="I549" t="n">
        <v>0</v>
      </c>
      <c r="J549" t="n">
        <v>0</v>
      </c>
      <c r="K549" t="n">
        <v>0</v>
      </c>
      <c r="L549" t="n">
        <v>0</v>
      </c>
      <c r="M549" t="n">
        <v>0</v>
      </c>
      <c r="N549" t="n">
        <v>0</v>
      </c>
      <c r="O549" t="n">
        <v>0</v>
      </c>
      <c r="P549" t="n">
        <v>0</v>
      </c>
      <c r="Q549" t="n">
        <v>0</v>
      </c>
      <c r="R549" s="2" t="inlineStr"/>
    </row>
    <row r="550" ht="15" customHeight="1">
      <c r="A550" t="inlineStr">
        <is>
          <t>A 20604-2022</t>
        </is>
      </c>
      <c r="B550" s="1" t="n">
        <v>44700.46938657408</v>
      </c>
      <c r="C550" s="1" t="n">
        <v>46033</v>
      </c>
      <c r="D550" t="inlineStr">
        <is>
          <t>STOCKHOLMS LÄN</t>
        </is>
      </c>
      <c r="E550" t="inlineStr">
        <is>
          <t>UPPLANDS-BRO</t>
        </is>
      </c>
      <c r="G550" t="n">
        <v>2</v>
      </c>
      <c r="H550" t="n">
        <v>0</v>
      </c>
      <c r="I550" t="n">
        <v>0</v>
      </c>
      <c r="J550" t="n">
        <v>0</v>
      </c>
      <c r="K550" t="n">
        <v>0</v>
      </c>
      <c r="L550" t="n">
        <v>0</v>
      </c>
      <c r="M550" t="n">
        <v>0</v>
      </c>
      <c r="N550" t="n">
        <v>0</v>
      </c>
      <c r="O550" t="n">
        <v>0</v>
      </c>
      <c r="P550" t="n">
        <v>0</v>
      </c>
      <c r="Q550" t="n">
        <v>0</v>
      </c>
      <c r="R550" s="2" t="inlineStr"/>
    </row>
    <row r="551" ht="15" customHeight="1">
      <c r="A551" t="inlineStr">
        <is>
          <t>A 3592-2022</t>
        </is>
      </c>
      <c r="B551" s="1" t="n">
        <v>44586.35570601852</v>
      </c>
      <c r="C551" s="1" t="n">
        <v>46033</v>
      </c>
      <c r="D551" t="inlineStr">
        <is>
          <t>STOCKHOLMS LÄN</t>
        </is>
      </c>
      <c r="E551" t="inlineStr">
        <is>
          <t>SÖDERTÄLJE</t>
        </is>
      </c>
      <c r="G551" t="n">
        <v>3.5</v>
      </c>
      <c r="H551" t="n">
        <v>0</v>
      </c>
      <c r="I551" t="n">
        <v>0</v>
      </c>
      <c r="J551" t="n">
        <v>0</v>
      </c>
      <c r="K551" t="n">
        <v>0</v>
      </c>
      <c r="L551" t="n">
        <v>0</v>
      </c>
      <c r="M551" t="n">
        <v>0</v>
      </c>
      <c r="N551" t="n">
        <v>0</v>
      </c>
      <c r="O551" t="n">
        <v>0</v>
      </c>
      <c r="P551" t="n">
        <v>0</v>
      </c>
      <c r="Q551" t="n">
        <v>0</v>
      </c>
      <c r="R551" s="2" t="inlineStr"/>
    </row>
    <row r="552" ht="15" customHeight="1">
      <c r="A552" t="inlineStr">
        <is>
          <t>A 17703-2021</t>
        </is>
      </c>
      <c r="B552" s="1" t="n">
        <v>44300</v>
      </c>
      <c r="C552" s="1" t="n">
        <v>46033</v>
      </c>
      <c r="D552" t="inlineStr">
        <is>
          <t>STOCKHOLMS LÄN</t>
        </is>
      </c>
      <c r="E552" t="inlineStr">
        <is>
          <t>NORRTÄLJE</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22060-2021</t>
        </is>
      </c>
      <c r="B553" s="1" t="n">
        <v>44323</v>
      </c>
      <c r="C553" s="1" t="n">
        <v>46033</v>
      </c>
      <c r="D553" t="inlineStr">
        <is>
          <t>STOCKHOLMS LÄN</t>
        </is>
      </c>
      <c r="E553" t="inlineStr">
        <is>
          <t>VALLENTUNA</t>
        </is>
      </c>
      <c r="G553" t="n">
        <v>3</v>
      </c>
      <c r="H553" t="n">
        <v>0</v>
      </c>
      <c r="I553" t="n">
        <v>0</v>
      </c>
      <c r="J553" t="n">
        <v>0</v>
      </c>
      <c r="K553" t="n">
        <v>0</v>
      </c>
      <c r="L553" t="n">
        <v>0</v>
      </c>
      <c r="M553" t="n">
        <v>0</v>
      </c>
      <c r="N553" t="n">
        <v>0</v>
      </c>
      <c r="O553" t="n">
        <v>0</v>
      </c>
      <c r="P553" t="n">
        <v>0</v>
      </c>
      <c r="Q553" t="n">
        <v>0</v>
      </c>
      <c r="R553" s="2" t="inlineStr"/>
    </row>
    <row r="554" ht="15" customHeight="1">
      <c r="A554" t="inlineStr">
        <is>
          <t>A 28136-2021</t>
        </is>
      </c>
      <c r="B554" s="1" t="n">
        <v>44355</v>
      </c>
      <c r="C554" s="1" t="n">
        <v>46033</v>
      </c>
      <c r="D554" t="inlineStr">
        <is>
          <t>STOCKHOLMS LÄN</t>
        </is>
      </c>
      <c r="E554" t="inlineStr">
        <is>
          <t>SÖDERTÄLJE</t>
        </is>
      </c>
      <c r="F554" t="inlineStr">
        <is>
          <t>Kommuner</t>
        </is>
      </c>
      <c r="G554" t="n">
        <v>0.6</v>
      </c>
      <c r="H554" t="n">
        <v>0</v>
      </c>
      <c r="I554" t="n">
        <v>0</v>
      </c>
      <c r="J554" t="n">
        <v>0</v>
      </c>
      <c r="K554" t="n">
        <v>0</v>
      </c>
      <c r="L554" t="n">
        <v>0</v>
      </c>
      <c r="M554" t="n">
        <v>0</v>
      </c>
      <c r="N554" t="n">
        <v>0</v>
      </c>
      <c r="O554" t="n">
        <v>0</v>
      </c>
      <c r="P554" t="n">
        <v>0</v>
      </c>
      <c r="Q554" t="n">
        <v>0</v>
      </c>
      <c r="R554" s="2" t="inlineStr"/>
    </row>
    <row r="555" ht="15" customHeight="1">
      <c r="A555" t="inlineStr">
        <is>
          <t>A 23770-2022</t>
        </is>
      </c>
      <c r="B555" s="1" t="n">
        <v>44722</v>
      </c>
      <c r="C555" s="1" t="n">
        <v>46033</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27538-2022</t>
        </is>
      </c>
      <c r="B556" s="1" t="n">
        <v>44742</v>
      </c>
      <c r="C556" s="1" t="n">
        <v>46033</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51454-2021</t>
        </is>
      </c>
      <c r="B557" s="1" t="n">
        <v>44460</v>
      </c>
      <c r="C557" s="1" t="n">
        <v>46033</v>
      </c>
      <c r="D557" t="inlineStr">
        <is>
          <t>STOCKHOLMS LÄN</t>
        </is>
      </c>
      <c r="E557" t="inlineStr">
        <is>
          <t>SÖDERTÄLJE</t>
        </is>
      </c>
      <c r="G557" t="n">
        <v>5.6</v>
      </c>
      <c r="H557" t="n">
        <v>0</v>
      </c>
      <c r="I557" t="n">
        <v>0</v>
      </c>
      <c r="J557" t="n">
        <v>0</v>
      </c>
      <c r="K557" t="n">
        <v>0</v>
      </c>
      <c r="L557" t="n">
        <v>0</v>
      </c>
      <c r="M557" t="n">
        <v>0</v>
      </c>
      <c r="N557" t="n">
        <v>0</v>
      </c>
      <c r="O557" t="n">
        <v>0</v>
      </c>
      <c r="P557" t="n">
        <v>0</v>
      </c>
      <c r="Q557" t="n">
        <v>0</v>
      </c>
      <c r="R557" s="2" t="inlineStr"/>
    </row>
    <row r="558" ht="15" customHeight="1">
      <c r="A558" t="inlineStr">
        <is>
          <t>A 29868-2022</t>
        </is>
      </c>
      <c r="B558" s="1" t="n">
        <v>44756.40881944444</v>
      </c>
      <c r="C558" s="1" t="n">
        <v>46033</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35953-2021</t>
        </is>
      </c>
      <c r="B559" s="1" t="n">
        <v>44385</v>
      </c>
      <c r="C559" s="1" t="n">
        <v>46033</v>
      </c>
      <c r="D559" t="inlineStr">
        <is>
          <t>STOCKHOLMS LÄN</t>
        </is>
      </c>
      <c r="E559" t="inlineStr">
        <is>
          <t>SIGTUNA</t>
        </is>
      </c>
      <c r="G559" t="n">
        <v>2</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46033</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36975-2022</t>
        </is>
      </c>
      <c r="B561" s="1" t="n">
        <v>44806.34577546296</v>
      </c>
      <c r="C561" s="1" t="n">
        <v>46033</v>
      </c>
      <c r="D561" t="inlineStr">
        <is>
          <t>STOCKHOLMS LÄN</t>
        </is>
      </c>
      <c r="E561" t="inlineStr">
        <is>
          <t>NORRTÄLJE</t>
        </is>
      </c>
      <c r="G561" t="n">
        <v>4.7</v>
      </c>
      <c r="H561" t="n">
        <v>0</v>
      </c>
      <c r="I561" t="n">
        <v>0</v>
      </c>
      <c r="J561" t="n">
        <v>0</v>
      </c>
      <c r="K561" t="n">
        <v>0</v>
      </c>
      <c r="L561" t="n">
        <v>0</v>
      </c>
      <c r="M561" t="n">
        <v>0</v>
      </c>
      <c r="N561" t="n">
        <v>0</v>
      </c>
      <c r="O561" t="n">
        <v>0</v>
      </c>
      <c r="P561" t="n">
        <v>0</v>
      </c>
      <c r="Q561" t="n">
        <v>0</v>
      </c>
      <c r="R561" s="2" t="inlineStr"/>
    </row>
    <row r="562" ht="15" customHeight="1">
      <c r="A562" t="inlineStr">
        <is>
          <t>A 23122-2021</t>
        </is>
      </c>
      <c r="B562" s="1" t="n">
        <v>44330</v>
      </c>
      <c r="C562" s="1" t="n">
        <v>46033</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23123-2021</t>
        </is>
      </c>
      <c r="B563" s="1" t="n">
        <v>44330</v>
      </c>
      <c r="C563" s="1" t="n">
        <v>46033</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72108-2021</t>
        </is>
      </c>
      <c r="B564" s="1" t="n">
        <v>44544</v>
      </c>
      <c r="C564" s="1" t="n">
        <v>46033</v>
      </c>
      <c r="D564" t="inlineStr">
        <is>
          <t>STOCKHOLMS LÄN</t>
        </is>
      </c>
      <c r="E564" t="inlineStr">
        <is>
          <t>VÄRMDÖ</t>
        </is>
      </c>
      <c r="G564" t="n">
        <v>1.6</v>
      </c>
      <c r="H564" t="n">
        <v>0</v>
      </c>
      <c r="I564" t="n">
        <v>0</v>
      </c>
      <c r="J564" t="n">
        <v>0</v>
      </c>
      <c r="K564" t="n">
        <v>0</v>
      </c>
      <c r="L564" t="n">
        <v>0</v>
      </c>
      <c r="M564" t="n">
        <v>0</v>
      </c>
      <c r="N564" t="n">
        <v>0</v>
      </c>
      <c r="O564" t="n">
        <v>0</v>
      </c>
      <c r="P564" t="n">
        <v>0</v>
      </c>
      <c r="Q564" t="n">
        <v>0</v>
      </c>
      <c r="R564" s="2" t="inlineStr"/>
    </row>
    <row r="565" ht="15" customHeight="1">
      <c r="A565" t="inlineStr">
        <is>
          <t>A 64599-2021</t>
        </is>
      </c>
      <c r="B565" s="1" t="n">
        <v>44511.69885416667</v>
      </c>
      <c r="C565" s="1" t="n">
        <v>46033</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67244-2021</t>
        </is>
      </c>
      <c r="B566" s="1" t="n">
        <v>44523</v>
      </c>
      <c r="C566" s="1" t="n">
        <v>46033</v>
      </c>
      <c r="D566" t="inlineStr">
        <is>
          <t>STOCKHOLMS LÄN</t>
        </is>
      </c>
      <c r="E566" t="inlineStr">
        <is>
          <t>ÖSTERÅKER</t>
        </is>
      </c>
      <c r="F566" t="inlineStr">
        <is>
          <t>Kommuner</t>
        </is>
      </c>
      <c r="G566" t="n">
        <v>5.3</v>
      </c>
      <c r="H566" t="n">
        <v>0</v>
      </c>
      <c r="I566" t="n">
        <v>0</v>
      </c>
      <c r="J566" t="n">
        <v>0</v>
      </c>
      <c r="K566" t="n">
        <v>0</v>
      </c>
      <c r="L566" t="n">
        <v>0</v>
      </c>
      <c r="M566" t="n">
        <v>0</v>
      </c>
      <c r="N566" t="n">
        <v>0</v>
      </c>
      <c r="O566" t="n">
        <v>0</v>
      </c>
      <c r="P566" t="n">
        <v>0</v>
      </c>
      <c r="Q566" t="n">
        <v>0</v>
      </c>
      <c r="R566" s="2" t="inlineStr"/>
    </row>
    <row r="567" ht="15" customHeight="1">
      <c r="A567" t="inlineStr">
        <is>
          <t>A 45498-2022</t>
        </is>
      </c>
      <c r="B567" s="1" t="n">
        <v>44845.42118055555</v>
      </c>
      <c r="C567" s="1" t="n">
        <v>46033</v>
      </c>
      <c r="D567" t="inlineStr">
        <is>
          <t>STOCKHOLMS LÄN</t>
        </is>
      </c>
      <c r="E567" t="inlineStr">
        <is>
          <t>HANINGE</t>
        </is>
      </c>
      <c r="G567" t="n">
        <v>2.1</v>
      </c>
      <c r="H567" t="n">
        <v>0</v>
      </c>
      <c r="I567" t="n">
        <v>0</v>
      </c>
      <c r="J567" t="n">
        <v>0</v>
      </c>
      <c r="K567" t="n">
        <v>0</v>
      </c>
      <c r="L567" t="n">
        <v>0</v>
      </c>
      <c r="M567" t="n">
        <v>0</v>
      </c>
      <c r="N567" t="n">
        <v>0</v>
      </c>
      <c r="O567" t="n">
        <v>0</v>
      </c>
      <c r="P567" t="n">
        <v>0</v>
      </c>
      <c r="Q567" t="n">
        <v>0</v>
      </c>
      <c r="R567" s="2" t="inlineStr"/>
    </row>
    <row r="568" ht="15" customHeight="1">
      <c r="A568" t="inlineStr">
        <is>
          <t>A 64212-2021</t>
        </is>
      </c>
      <c r="B568" s="1" t="n">
        <v>44510</v>
      </c>
      <c r="C568" s="1" t="n">
        <v>46033</v>
      </c>
      <c r="D568" t="inlineStr">
        <is>
          <t>STOCKHOLMS LÄN</t>
        </is>
      </c>
      <c r="E568" t="inlineStr">
        <is>
          <t>NORRTÄLJE</t>
        </is>
      </c>
      <c r="G568" t="n">
        <v>28.7</v>
      </c>
      <c r="H568" t="n">
        <v>0</v>
      </c>
      <c r="I568" t="n">
        <v>0</v>
      </c>
      <c r="J568" t="n">
        <v>0</v>
      </c>
      <c r="K568" t="n">
        <v>0</v>
      </c>
      <c r="L568" t="n">
        <v>0</v>
      </c>
      <c r="M568" t="n">
        <v>0</v>
      </c>
      <c r="N568" t="n">
        <v>0</v>
      </c>
      <c r="O568" t="n">
        <v>0</v>
      </c>
      <c r="P568" t="n">
        <v>0</v>
      </c>
      <c r="Q568" t="n">
        <v>0</v>
      </c>
      <c r="R568" s="2" t="inlineStr"/>
    </row>
    <row r="569" ht="15" customHeight="1">
      <c r="A569" t="inlineStr">
        <is>
          <t>A 47349-2021</t>
        </is>
      </c>
      <c r="B569" s="1" t="n">
        <v>44447</v>
      </c>
      <c r="C569" s="1" t="n">
        <v>46033</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242-2022</t>
        </is>
      </c>
      <c r="B570" s="1" t="n">
        <v>44560</v>
      </c>
      <c r="C570" s="1" t="n">
        <v>46033</v>
      </c>
      <c r="D570" t="inlineStr">
        <is>
          <t>STOCKHOLMS LÄN</t>
        </is>
      </c>
      <c r="E570" t="inlineStr">
        <is>
          <t>VALLENTUNA</t>
        </is>
      </c>
      <c r="F570" t="inlineStr">
        <is>
          <t>Övriga Aktiebolag</t>
        </is>
      </c>
      <c r="G570" t="n">
        <v>1</v>
      </c>
      <c r="H570" t="n">
        <v>0</v>
      </c>
      <c r="I570" t="n">
        <v>0</v>
      </c>
      <c r="J570" t="n">
        <v>0</v>
      </c>
      <c r="K570" t="n">
        <v>0</v>
      </c>
      <c r="L570" t="n">
        <v>0</v>
      </c>
      <c r="M570" t="n">
        <v>0</v>
      </c>
      <c r="N570" t="n">
        <v>0</v>
      </c>
      <c r="O570" t="n">
        <v>0</v>
      </c>
      <c r="P570" t="n">
        <v>0</v>
      </c>
      <c r="Q570" t="n">
        <v>0</v>
      </c>
      <c r="R570" s="2" t="inlineStr"/>
    </row>
    <row r="571" ht="15" customHeight="1">
      <c r="A571" t="inlineStr">
        <is>
          <t>A 71317-2021</t>
        </is>
      </c>
      <c r="B571" s="1" t="n">
        <v>44539.68760416667</v>
      </c>
      <c r="C571" s="1" t="n">
        <v>46033</v>
      </c>
      <c r="D571" t="inlineStr">
        <is>
          <t>STOCKHOLMS LÄN</t>
        </is>
      </c>
      <c r="E571" t="inlineStr">
        <is>
          <t>VÄRMDÖ</t>
        </is>
      </c>
      <c r="F571" t="inlineStr">
        <is>
          <t>Övriga Aktiebolag</t>
        </is>
      </c>
      <c r="G571" t="n">
        <v>2.7</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44391.5580787037</v>
      </c>
      <c r="C572" s="1" t="n">
        <v>46033</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2867-2022</t>
        </is>
      </c>
      <c r="B573" s="1" t="n">
        <v>44581</v>
      </c>
      <c r="C573" s="1" t="n">
        <v>46033</v>
      </c>
      <c r="D573" t="inlineStr">
        <is>
          <t>STOCKHOLMS LÄN</t>
        </is>
      </c>
      <c r="E573" t="inlineStr">
        <is>
          <t>VALLENTUNA</t>
        </is>
      </c>
      <c r="G573" t="n">
        <v>1.6</v>
      </c>
      <c r="H573" t="n">
        <v>0</v>
      </c>
      <c r="I573" t="n">
        <v>0</v>
      </c>
      <c r="J573" t="n">
        <v>0</v>
      </c>
      <c r="K573" t="n">
        <v>0</v>
      </c>
      <c r="L573" t="n">
        <v>0</v>
      </c>
      <c r="M573" t="n">
        <v>0</v>
      </c>
      <c r="N573" t="n">
        <v>0</v>
      </c>
      <c r="O573" t="n">
        <v>0</v>
      </c>
      <c r="P573" t="n">
        <v>0</v>
      </c>
      <c r="Q573" t="n">
        <v>0</v>
      </c>
      <c r="R573" s="2" t="inlineStr"/>
    </row>
    <row r="574" ht="15" customHeight="1">
      <c r="A574" t="inlineStr">
        <is>
          <t>A 44274-2021</t>
        </is>
      </c>
      <c r="B574" s="1" t="n">
        <v>44435</v>
      </c>
      <c r="C574" s="1" t="n">
        <v>46033</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3838-2022</t>
        </is>
      </c>
      <c r="B575" s="1" t="n">
        <v>44587.37274305556</v>
      </c>
      <c r="C575" s="1" t="n">
        <v>46033</v>
      </c>
      <c r="D575" t="inlineStr">
        <is>
          <t>STOCKHOLMS LÄN</t>
        </is>
      </c>
      <c r="E575" t="inlineStr">
        <is>
          <t>UPPLANDS-BRO</t>
        </is>
      </c>
      <c r="G575" t="n">
        <v>2.9</v>
      </c>
      <c r="H575" t="n">
        <v>0</v>
      </c>
      <c r="I575" t="n">
        <v>0</v>
      </c>
      <c r="J575" t="n">
        <v>0</v>
      </c>
      <c r="K575" t="n">
        <v>0</v>
      </c>
      <c r="L575" t="n">
        <v>0</v>
      </c>
      <c r="M575" t="n">
        <v>0</v>
      </c>
      <c r="N575" t="n">
        <v>0</v>
      </c>
      <c r="O575" t="n">
        <v>0</v>
      </c>
      <c r="P575" t="n">
        <v>0</v>
      </c>
      <c r="Q575" t="n">
        <v>0</v>
      </c>
      <c r="R575" s="2" t="inlineStr"/>
    </row>
    <row r="576" ht="15" customHeight="1">
      <c r="A576" t="inlineStr">
        <is>
          <t>A 15609-2021</t>
        </is>
      </c>
      <c r="B576" s="1" t="n">
        <v>44285</v>
      </c>
      <c r="C576" s="1" t="n">
        <v>46033</v>
      </c>
      <c r="D576" t="inlineStr">
        <is>
          <t>STOCKHOLMS LÄN</t>
        </is>
      </c>
      <c r="E576" t="inlineStr">
        <is>
          <t>NYNÄSHAMN</t>
        </is>
      </c>
      <c r="F576" t="inlineStr">
        <is>
          <t>Kommuner</t>
        </is>
      </c>
      <c r="G576" t="n">
        <v>9.6</v>
      </c>
      <c r="H576" t="n">
        <v>0</v>
      </c>
      <c r="I576" t="n">
        <v>0</v>
      </c>
      <c r="J576" t="n">
        <v>0</v>
      </c>
      <c r="K576" t="n">
        <v>0</v>
      </c>
      <c r="L576" t="n">
        <v>0</v>
      </c>
      <c r="M576" t="n">
        <v>0</v>
      </c>
      <c r="N576" t="n">
        <v>0</v>
      </c>
      <c r="O576" t="n">
        <v>0</v>
      </c>
      <c r="P576" t="n">
        <v>0</v>
      </c>
      <c r="Q576" t="n">
        <v>0</v>
      </c>
      <c r="R576" s="2" t="inlineStr"/>
    </row>
    <row r="577" ht="15" customHeight="1">
      <c r="A577" t="inlineStr">
        <is>
          <t>A 36111-2021</t>
        </is>
      </c>
      <c r="B577" s="1" t="n">
        <v>44389.5421875</v>
      </c>
      <c r="C577" s="1" t="n">
        <v>46033</v>
      </c>
      <c r="D577" t="inlineStr">
        <is>
          <t>STOCKHOLMS LÄN</t>
        </is>
      </c>
      <c r="E577" t="inlineStr">
        <is>
          <t>UPPLANDS-BRO</t>
        </is>
      </c>
      <c r="G577" t="n">
        <v>0.8</v>
      </c>
      <c r="H577" t="n">
        <v>0</v>
      </c>
      <c r="I577" t="n">
        <v>0</v>
      </c>
      <c r="J577" t="n">
        <v>0</v>
      </c>
      <c r="K577" t="n">
        <v>0</v>
      </c>
      <c r="L577" t="n">
        <v>0</v>
      </c>
      <c r="M577" t="n">
        <v>0</v>
      </c>
      <c r="N577" t="n">
        <v>0</v>
      </c>
      <c r="O577" t="n">
        <v>0</v>
      </c>
      <c r="P577" t="n">
        <v>0</v>
      </c>
      <c r="Q577" t="n">
        <v>0</v>
      </c>
      <c r="R577" s="2" t="inlineStr"/>
    </row>
    <row r="578" ht="15" customHeight="1">
      <c r="A578" t="inlineStr">
        <is>
          <t>A 39073-2021</t>
        </is>
      </c>
      <c r="B578" s="1" t="n">
        <v>44412.5749537037</v>
      </c>
      <c r="C578" s="1" t="n">
        <v>46033</v>
      </c>
      <c r="D578" t="inlineStr">
        <is>
          <t>STOCKHOLMS LÄN</t>
        </is>
      </c>
      <c r="E578" t="inlineStr">
        <is>
          <t>VÄRMDÖ</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16085-2021</t>
        </is>
      </c>
      <c r="B579" s="1" t="n">
        <v>44288</v>
      </c>
      <c r="C579" s="1" t="n">
        <v>46033</v>
      </c>
      <c r="D579" t="inlineStr">
        <is>
          <t>STOCKHOLMS LÄN</t>
        </is>
      </c>
      <c r="E579" t="inlineStr">
        <is>
          <t>VÄRMDÖ</t>
        </is>
      </c>
      <c r="G579" t="n">
        <v>4.4</v>
      </c>
      <c r="H579" t="n">
        <v>0</v>
      </c>
      <c r="I579" t="n">
        <v>0</v>
      </c>
      <c r="J579" t="n">
        <v>0</v>
      </c>
      <c r="K579" t="n">
        <v>0</v>
      </c>
      <c r="L579" t="n">
        <v>0</v>
      </c>
      <c r="M579" t="n">
        <v>0</v>
      </c>
      <c r="N579" t="n">
        <v>0</v>
      </c>
      <c r="O579" t="n">
        <v>0</v>
      </c>
      <c r="P579" t="n">
        <v>0</v>
      </c>
      <c r="Q579" t="n">
        <v>0</v>
      </c>
      <c r="R579" s="2" t="inlineStr"/>
    </row>
    <row r="580" ht="15" customHeight="1">
      <c r="A580" t="inlineStr">
        <is>
          <t>A 11713-2021</t>
        </is>
      </c>
      <c r="B580" s="1" t="n">
        <v>44265.30173611111</v>
      </c>
      <c r="C580" s="1" t="n">
        <v>46033</v>
      </c>
      <c r="D580" t="inlineStr">
        <is>
          <t>STOCKHOLMS LÄN</t>
        </is>
      </c>
      <c r="E580" t="inlineStr">
        <is>
          <t>SIGTUNA</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15131-2022</t>
        </is>
      </c>
      <c r="B581" s="1" t="n">
        <v>44658</v>
      </c>
      <c r="C581" s="1" t="n">
        <v>46033</v>
      </c>
      <c r="D581" t="inlineStr">
        <is>
          <t>STOCKHOLMS LÄN</t>
        </is>
      </c>
      <c r="E581" t="inlineStr">
        <is>
          <t>ÖSTERÅKER</t>
        </is>
      </c>
      <c r="G581" t="n">
        <v>4.6</v>
      </c>
      <c r="H581" t="n">
        <v>0</v>
      </c>
      <c r="I581" t="n">
        <v>0</v>
      </c>
      <c r="J581" t="n">
        <v>0</v>
      </c>
      <c r="K581" t="n">
        <v>0</v>
      </c>
      <c r="L581" t="n">
        <v>0</v>
      </c>
      <c r="M581" t="n">
        <v>0</v>
      </c>
      <c r="N581" t="n">
        <v>0</v>
      </c>
      <c r="O581" t="n">
        <v>0</v>
      </c>
      <c r="P581" t="n">
        <v>0</v>
      </c>
      <c r="Q581" t="n">
        <v>0</v>
      </c>
      <c r="R581" s="2" t="inlineStr"/>
    </row>
    <row r="582" ht="15" customHeight="1">
      <c r="A582" t="inlineStr">
        <is>
          <t>A 50970-2022</t>
        </is>
      </c>
      <c r="B582" s="1" t="n">
        <v>44867</v>
      </c>
      <c r="C582" s="1" t="n">
        <v>46033</v>
      </c>
      <c r="D582" t="inlineStr">
        <is>
          <t>STOCKHOLMS LÄN</t>
        </is>
      </c>
      <c r="E582" t="inlineStr">
        <is>
          <t>NORRTÄLJE</t>
        </is>
      </c>
      <c r="G582" t="n">
        <v>9</v>
      </c>
      <c r="H582" t="n">
        <v>0</v>
      </c>
      <c r="I582" t="n">
        <v>0</v>
      </c>
      <c r="J582" t="n">
        <v>0</v>
      </c>
      <c r="K582" t="n">
        <v>0</v>
      </c>
      <c r="L582" t="n">
        <v>0</v>
      </c>
      <c r="M582" t="n">
        <v>0</v>
      </c>
      <c r="N582" t="n">
        <v>0</v>
      </c>
      <c r="O582" t="n">
        <v>0</v>
      </c>
      <c r="P582" t="n">
        <v>0</v>
      </c>
      <c r="Q582" t="n">
        <v>0</v>
      </c>
      <c r="R582" s="2" t="inlineStr"/>
    </row>
    <row r="583" ht="15" customHeight="1">
      <c r="A583" t="inlineStr">
        <is>
          <t>A 48667-2022</t>
        </is>
      </c>
      <c r="B583" s="1" t="n">
        <v>44859</v>
      </c>
      <c r="C583" s="1" t="n">
        <v>46033</v>
      </c>
      <c r="D583" t="inlineStr">
        <is>
          <t>STOCKHOLMS LÄN</t>
        </is>
      </c>
      <c r="E583" t="inlineStr">
        <is>
          <t>BOTKYRKA</t>
        </is>
      </c>
      <c r="F583" t="inlineStr">
        <is>
          <t>Övriga Aktiebolag</t>
        </is>
      </c>
      <c r="G583" t="n">
        <v>0.4</v>
      </c>
      <c r="H583" t="n">
        <v>0</v>
      </c>
      <c r="I583" t="n">
        <v>0</v>
      </c>
      <c r="J583" t="n">
        <v>0</v>
      </c>
      <c r="K583" t="n">
        <v>0</v>
      </c>
      <c r="L583" t="n">
        <v>0</v>
      </c>
      <c r="M583" t="n">
        <v>0</v>
      </c>
      <c r="N583" t="n">
        <v>0</v>
      </c>
      <c r="O583" t="n">
        <v>0</v>
      </c>
      <c r="P583" t="n">
        <v>0</v>
      </c>
      <c r="Q583" t="n">
        <v>0</v>
      </c>
      <c r="R583" s="2" t="inlineStr"/>
    </row>
    <row r="584" ht="15" customHeight="1">
      <c r="A584" t="inlineStr">
        <is>
          <t>A 1053-2022</t>
        </is>
      </c>
      <c r="B584" s="1" t="n">
        <v>44571</v>
      </c>
      <c r="C584" s="1" t="n">
        <v>46033</v>
      </c>
      <c r="D584" t="inlineStr">
        <is>
          <t>STOCKHOLMS LÄN</t>
        </is>
      </c>
      <c r="E584" t="inlineStr">
        <is>
          <t>UPPLANDS VÄSBY</t>
        </is>
      </c>
      <c r="G584" t="n">
        <v>1.7</v>
      </c>
      <c r="H584" t="n">
        <v>0</v>
      </c>
      <c r="I584" t="n">
        <v>0</v>
      </c>
      <c r="J584" t="n">
        <v>0</v>
      </c>
      <c r="K584" t="n">
        <v>0</v>
      </c>
      <c r="L584" t="n">
        <v>0</v>
      </c>
      <c r="M584" t="n">
        <v>0</v>
      </c>
      <c r="N584" t="n">
        <v>0</v>
      </c>
      <c r="O584" t="n">
        <v>0</v>
      </c>
      <c r="P584" t="n">
        <v>0</v>
      </c>
      <c r="Q584" t="n">
        <v>0</v>
      </c>
      <c r="R584" s="2" t="inlineStr"/>
    </row>
    <row r="585" ht="15" customHeight="1">
      <c r="A585" t="inlineStr">
        <is>
          <t>A 19608-2022</t>
        </is>
      </c>
      <c r="B585" s="1" t="n">
        <v>44693.96278935186</v>
      </c>
      <c r="C585" s="1" t="n">
        <v>46033</v>
      </c>
      <c r="D585" t="inlineStr">
        <is>
          <t>STOCKHOLMS LÄN</t>
        </is>
      </c>
      <c r="E585" t="inlineStr">
        <is>
          <t>NYKVARN</t>
        </is>
      </c>
      <c r="G585" t="n">
        <v>0.5</v>
      </c>
      <c r="H585" t="n">
        <v>0</v>
      </c>
      <c r="I585" t="n">
        <v>0</v>
      </c>
      <c r="J585" t="n">
        <v>0</v>
      </c>
      <c r="K585" t="n">
        <v>0</v>
      </c>
      <c r="L585" t="n">
        <v>0</v>
      </c>
      <c r="M585" t="n">
        <v>0</v>
      </c>
      <c r="N585" t="n">
        <v>0</v>
      </c>
      <c r="O585" t="n">
        <v>0</v>
      </c>
      <c r="P585" t="n">
        <v>0</v>
      </c>
      <c r="Q585" t="n">
        <v>0</v>
      </c>
      <c r="R585" s="2" t="inlineStr"/>
    </row>
    <row r="586" ht="15" customHeight="1">
      <c r="A586" t="inlineStr">
        <is>
          <t>A 49113-2021</t>
        </is>
      </c>
      <c r="B586" s="1" t="n">
        <v>44453</v>
      </c>
      <c r="C586" s="1" t="n">
        <v>46033</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2858-2021</t>
        </is>
      </c>
      <c r="B587" s="1" t="n">
        <v>44216</v>
      </c>
      <c r="C587" s="1" t="n">
        <v>46033</v>
      </c>
      <c r="D587" t="inlineStr">
        <is>
          <t>STOCKHOLMS LÄN</t>
        </is>
      </c>
      <c r="E587" t="inlineStr">
        <is>
          <t>NYNÄSHAMN</t>
        </is>
      </c>
      <c r="G587" t="n">
        <v>2.5</v>
      </c>
      <c r="H587" t="n">
        <v>0</v>
      </c>
      <c r="I587" t="n">
        <v>0</v>
      </c>
      <c r="J587" t="n">
        <v>0</v>
      </c>
      <c r="K587" t="n">
        <v>0</v>
      </c>
      <c r="L587" t="n">
        <v>0</v>
      </c>
      <c r="M587" t="n">
        <v>0</v>
      </c>
      <c r="N587" t="n">
        <v>0</v>
      </c>
      <c r="O587" t="n">
        <v>0</v>
      </c>
      <c r="P587" t="n">
        <v>0</v>
      </c>
      <c r="Q587" t="n">
        <v>0</v>
      </c>
      <c r="R587" s="2" t="inlineStr"/>
    </row>
    <row r="588" ht="15" customHeight="1">
      <c r="A588" t="inlineStr">
        <is>
          <t>A 55853-2021</t>
        </is>
      </c>
      <c r="B588" s="1" t="n">
        <v>44476</v>
      </c>
      <c r="C588" s="1" t="n">
        <v>46033</v>
      </c>
      <c r="D588" t="inlineStr">
        <is>
          <t>STOCKHOLMS LÄN</t>
        </is>
      </c>
      <c r="E588" t="inlineStr">
        <is>
          <t>HANINGE</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64628-2021</t>
        </is>
      </c>
      <c r="B589" s="1" t="n">
        <v>44511</v>
      </c>
      <c r="C589" s="1" t="n">
        <v>46033</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71318-2021</t>
        </is>
      </c>
      <c r="B590" s="1" t="n">
        <v>44539.6910300926</v>
      </c>
      <c r="C590" s="1" t="n">
        <v>46033</v>
      </c>
      <c r="D590" t="inlineStr">
        <is>
          <t>STOCKHOLMS LÄN</t>
        </is>
      </c>
      <c r="E590" t="inlineStr">
        <is>
          <t>VÄRMDÖ</t>
        </is>
      </c>
      <c r="F590" t="inlineStr">
        <is>
          <t>Övriga Aktiebolag</t>
        </is>
      </c>
      <c r="G590" t="n">
        <v>9.1</v>
      </c>
      <c r="H590" t="n">
        <v>0</v>
      </c>
      <c r="I590" t="n">
        <v>0</v>
      </c>
      <c r="J590" t="n">
        <v>0</v>
      </c>
      <c r="K590" t="n">
        <v>0</v>
      </c>
      <c r="L590" t="n">
        <v>0</v>
      </c>
      <c r="M590" t="n">
        <v>0</v>
      </c>
      <c r="N590" t="n">
        <v>0</v>
      </c>
      <c r="O590" t="n">
        <v>0</v>
      </c>
      <c r="P590" t="n">
        <v>0</v>
      </c>
      <c r="Q590" t="n">
        <v>0</v>
      </c>
      <c r="R590" s="2" t="inlineStr"/>
    </row>
    <row r="591" ht="15" customHeight="1">
      <c r="A591" t="inlineStr">
        <is>
          <t>A 60209-2021</t>
        </is>
      </c>
      <c r="B591" s="1" t="n">
        <v>44495</v>
      </c>
      <c r="C591" s="1" t="n">
        <v>46033</v>
      </c>
      <c r="D591" t="inlineStr">
        <is>
          <t>STOCKHOLMS LÄN</t>
        </is>
      </c>
      <c r="E591" t="inlineStr">
        <is>
          <t>NORRTÄLJE</t>
        </is>
      </c>
      <c r="G591" t="n">
        <v>4.3</v>
      </c>
      <c r="H591" t="n">
        <v>0</v>
      </c>
      <c r="I591" t="n">
        <v>0</v>
      </c>
      <c r="J591" t="n">
        <v>0</v>
      </c>
      <c r="K591" t="n">
        <v>0</v>
      </c>
      <c r="L591" t="n">
        <v>0</v>
      </c>
      <c r="M591" t="n">
        <v>0</v>
      </c>
      <c r="N591" t="n">
        <v>0</v>
      </c>
      <c r="O591" t="n">
        <v>0</v>
      </c>
      <c r="P591" t="n">
        <v>0</v>
      </c>
      <c r="Q591" t="n">
        <v>0</v>
      </c>
      <c r="R591" s="2" t="inlineStr"/>
    </row>
    <row r="592" ht="15" customHeight="1">
      <c r="A592" t="inlineStr">
        <is>
          <t>A 17803-2022</t>
        </is>
      </c>
      <c r="B592" s="1" t="n">
        <v>44683</v>
      </c>
      <c r="C592" s="1" t="n">
        <v>46033</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15926-2021</t>
        </is>
      </c>
      <c r="B593" s="1" t="n">
        <v>44287</v>
      </c>
      <c r="C593" s="1" t="n">
        <v>46033</v>
      </c>
      <c r="D593" t="inlineStr">
        <is>
          <t>STOCKHOLMS LÄN</t>
        </is>
      </c>
      <c r="E593" t="inlineStr">
        <is>
          <t>VÄRMDÖ</t>
        </is>
      </c>
      <c r="G593" t="n">
        <v>4.2</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46033</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46033</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46033</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71325-2021</t>
        </is>
      </c>
      <c r="B597" s="1" t="n">
        <v>44539</v>
      </c>
      <c r="C597" s="1" t="n">
        <v>46033</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19934-2022</t>
        </is>
      </c>
      <c r="B598" s="1" t="n">
        <v>44697.46248842592</v>
      </c>
      <c r="C598" s="1" t="n">
        <v>46033</v>
      </c>
      <c r="D598" t="inlineStr">
        <is>
          <t>STOCKHOLMS LÄN</t>
        </is>
      </c>
      <c r="E598" t="inlineStr">
        <is>
          <t>ÖSTERÅKER</t>
        </is>
      </c>
      <c r="G598" t="n">
        <v>0.3</v>
      </c>
      <c r="H598" t="n">
        <v>0</v>
      </c>
      <c r="I598" t="n">
        <v>0</v>
      </c>
      <c r="J598" t="n">
        <v>0</v>
      </c>
      <c r="K598" t="n">
        <v>0</v>
      </c>
      <c r="L598" t="n">
        <v>0</v>
      </c>
      <c r="M598" t="n">
        <v>0</v>
      </c>
      <c r="N598" t="n">
        <v>0</v>
      </c>
      <c r="O598" t="n">
        <v>0</v>
      </c>
      <c r="P598" t="n">
        <v>0</v>
      </c>
      <c r="Q598" t="n">
        <v>0</v>
      </c>
      <c r="R598" s="2" t="inlineStr"/>
    </row>
    <row r="599" ht="15" customHeight="1">
      <c r="A599" t="inlineStr">
        <is>
          <t>A 19944-2022</t>
        </is>
      </c>
      <c r="B599" s="1" t="n">
        <v>44697.47424768518</v>
      </c>
      <c r="C599" s="1" t="n">
        <v>46033</v>
      </c>
      <c r="D599" t="inlineStr">
        <is>
          <t>STOCKHOLMS LÄN</t>
        </is>
      </c>
      <c r="E599" t="inlineStr">
        <is>
          <t>ÖSTERÅKER</t>
        </is>
      </c>
      <c r="G599" t="n">
        <v>3.5</v>
      </c>
      <c r="H599" t="n">
        <v>0</v>
      </c>
      <c r="I599" t="n">
        <v>0</v>
      </c>
      <c r="J599" t="n">
        <v>0</v>
      </c>
      <c r="K599" t="n">
        <v>0</v>
      </c>
      <c r="L599" t="n">
        <v>0</v>
      </c>
      <c r="M599" t="n">
        <v>0</v>
      </c>
      <c r="N599" t="n">
        <v>0</v>
      </c>
      <c r="O599" t="n">
        <v>0</v>
      </c>
      <c r="P599" t="n">
        <v>0</v>
      </c>
      <c r="Q599" t="n">
        <v>0</v>
      </c>
      <c r="R599" s="2" t="inlineStr"/>
    </row>
    <row r="600" ht="15" customHeight="1">
      <c r="A600" t="inlineStr">
        <is>
          <t>A 28838-2021</t>
        </is>
      </c>
      <c r="B600" s="1" t="n">
        <v>44357</v>
      </c>
      <c r="C600" s="1" t="n">
        <v>46033</v>
      </c>
      <c r="D600" t="inlineStr">
        <is>
          <t>STOCKHOLMS LÄN</t>
        </is>
      </c>
      <c r="E600" t="inlineStr">
        <is>
          <t>SALEM</t>
        </is>
      </c>
      <c r="G600" t="n">
        <v>6.4</v>
      </c>
      <c r="H600" t="n">
        <v>0</v>
      </c>
      <c r="I600" t="n">
        <v>0</v>
      </c>
      <c r="J600" t="n">
        <v>0</v>
      </c>
      <c r="K600" t="n">
        <v>0</v>
      </c>
      <c r="L600" t="n">
        <v>0</v>
      </c>
      <c r="M600" t="n">
        <v>0</v>
      </c>
      <c r="N600" t="n">
        <v>0</v>
      </c>
      <c r="O600" t="n">
        <v>0</v>
      </c>
      <c r="P600" t="n">
        <v>0</v>
      </c>
      <c r="Q600" t="n">
        <v>0</v>
      </c>
      <c r="R600" s="2" t="inlineStr"/>
    </row>
    <row r="601" ht="15" customHeight="1">
      <c r="A601" t="inlineStr">
        <is>
          <t>A 60813-2021</t>
        </is>
      </c>
      <c r="B601" s="1" t="n">
        <v>44496</v>
      </c>
      <c r="C601" s="1" t="n">
        <v>46033</v>
      </c>
      <c r="D601" t="inlineStr">
        <is>
          <t>STOCKHOLMS LÄN</t>
        </is>
      </c>
      <c r="E601" t="inlineStr">
        <is>
          <t>NORRTÄLJE</t>
        </is>
      </c>
      <c r="G601" t="n">
        <v>1.6</v>
      </c>
      <c r="H601" t="n">
        <v>0</v>
      </c>
      <c r="I601" t="n">
        <v>0</v>
      </c>
      <c r="J601" t="n">
        <v>0</v>
      </c>
      <c r="K601" t="n">
        <v>0</v>
      </c>
      <c r="L601" t="n">
        <v>0</v>
      </c>
      <c r="M601" t="n">
        <v>0</v>
      </c>
      <c r="N601" t="n">
        <v>0</v>
      </c>
      <c r="O601" t="n">
        <v>0</v>
      </c>
      <c r="P601" t="n">
        <v>0</v>
      </c>
      <c r="Q601" t="n">
        <v>0</v>
      </c>
      <c r="R601" s="2" t="inlineStr"/>
    </row>
    <row r="602" ht="15" customHeight="1">
      <c r="A602" t="inlineStr">
        <is>
          <t>A 65611-2021</t>
        </is>
      </c>
      <c r="B602" s="1" t="n">
        <v>44516.5275462963</v>
      </c>
      <c r="C602" s="1" t="n">
        <v>46033</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39497-2021</t>
        </is>
      </c>
      <c r="B603" s="1" t="n">
        <v>44414.81494212963</v>
      </c>
      <c r="C603" s="1" t="n">
        <v>46033</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20641-2022</t>
        </is>
      </c>
      <c r="B604" s="1" t="n">
        <v>44700</v>
      </c>
      <c r="C604" s="1" t="n">
        <v>46033</v>
      </c>
      <c r="D604" t="inlineStr">
        <is>
          <t>STOCKHOLMS LÄN</t>
        </is>
      </c>
      <c r="E604" t="inlineStr">
        <is>
          <t>VÄRMDÖ</t>
        </is>
      </c>
      <c r="G604" t="n">
        <v>1.3</v>
      </c>
      <c r="H604" t="n">
        <v>0</v>
      </c>
      <c r="I604" t="n">
        <v>0</v>
      </c>
      <c r="J604" t="n">
        <v>0</v>
      </c>
      <c r="K604" t="n">
        <v>0</v>
      </c>
      <c r="L604" t="n">
        <v>0</v>
      </c>
      <c r="M604" t="n">
        <v>0</v>
      </c>
      <c r="N604" t="n">
        <v>0</v>
      </c>
      <c r="O604" t="n">
        <v>0</v>
      </c>
      <c r="P604" t="n">
        <v>0</v>
      </c>
      <c r="Q604" t="n">
        <v>0</v>
      </c>
      <c r="R604" s="2" t="inlineStr"/>
    </row>
    <row r="605" ht="15" customHeight="1">
      <c r="A605" t="inlineStr">
        <is>
          <t>A 19652-2022</t>
        </is>
      </c>
      <c r="B605" s="1" t="n">
        <v>44694</v>
      </c>
      <c r="C605" s="1" t="n">
        <v>46033</v>
      </c>
      <c r="D605" t="inlineStr">
        <is>
          <t>STOCKHOLMS LÄN</t>
        </is>
      </c>
      <c r="E605" t="inlineStr">
        <is>
          <t>HANINGE</t>
        </is>
      </c>
      <c r="G605" t="n">
        <v>1.3</v>
      </c>
      <c r="H605" t="n">
        <v>0</v>
      </c>
      <c r="I605" t="n">
        <v>0</v>
      </c>
      <c r="J605" t="n">
        <v>0</v>
      </c>
      <c r="K605" t="n">
        <v>0</v>
      </c>
      <c r="L605" t="n">
        <v>0</v>
      </c>
      <c r="M605" t="n">
        <v>0</v>
      </c>
      <c r="N605" t="n">
        <v>0</v>
      </c>
      <c r="O605" t="n">
        <v>0</v>
      </c>
      <c r="P605" t="n">
        <v>0</v>
      </c>
      <c r="Q605" t="n">
        <v>0</v>
      </c>
      <c r="R605" s="2" t="inlineStr"/>
    </row>
    <row r="606" ht="15" customHeight="1">
      <c r="A606" t="inlineStr">
        <is>
          <t>A 17460-2021</t>
        </is>
      </c>
      <c r="B606" s="1" t="n">
        <v>44299</v>
      </c>
      <c r="C606" s="1" t="n">
        <v>46033</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46033</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45395-2021</t>
        </is>
      </c>
      <c r="B608" s="1" t="n">
        <v>44440</v>
      </c>
      <c r="C608" s="1" t="n">
        <v>46033</v>
      </c>
      <c r="D608" t="inlineStr">
        <is>
          <t>STOCKHOLMS LÄN</t>
        </is>
      </c>
      <c r="E608" t="inlineStr">
        <is>
          <t>HANINGE</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46033</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838-2022</t>
        </is>
      </c>
      <c r="B610" s="1" t="n">
        <v>44569</v>
      </c>
      <c r="C610" s="1" t="n">
        <v>46033</v>
      </c>
      <c r="D610" t="inlineStr">
        <is>
          <t>STOCKHOLMS LÄN</t>
        </is>
      </c>
      <c r="E610" t="inlineStr">
        <is>
          <t>ÖSTERÅKER</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50117-2021</t>
        </is>
      </c>
      <c r="B611" s="1" t="n">
        <v>44456.64810185185</v>
      </c>
      <c r="C611" s="1" t="n">
        <v>46033</v>
      </c>
      <c r="D611" t="inlineStr">
        <is>
          <t>STOCKHOLMS LÄN</t>
        </is>
      </c>
      <c r="E611" t="inlineStr">
        <is>
          <t>SÖDERTÄLJE</t>
        </is>
      </c>
      <c r="G611" t="n">
        <v>0.3</v>
      </c>
      <c r="H611" t="n">
        <v>0</v>
      </c>
      <c r="I611" t="n">
        <v>0</v>
      </c>
      <c r="J611" t="n">
        <v>0</v>
      </c>
      <c r="K611" t="n">
        <v>0</v>
      </c>
      <c r="L611" t="n">
        <v>0</v>
      </c>
      <c r="M611" t="n">
        <v>0</v>
      </c>
      <c r="N611" t="n">
        <v>0</v>
      </c>
      <c r="O611" t="n">
        <v>0</v>
      </c>
      <c r="P611" t="n">
        <v>0</v>
      </c>
      <c r="Q611" t="n">
        <v>0</v>
      </c>
      <c r="R611" s="2" t="inlineStr"/>
    </row>
    <row r="612" ht="15" customHeight="1">
      <c r="A612" t="inlineStr">
        <is>
          <t>A 34431-2021</t>
        </is>
      </c>
      <c r="B612" s="1" t="n">
        <v>44380</v>
      </c>
      <c r="C612" s="1" t="n">
        <v>46033</v>
      </c>
      <c r="D612" t="inlineStr">
        <is>
          <t>STOCKHOLMS LÄN</t>
        </is>
      </c>
      <c r="E612" t="inlineStr">
        <is>
          <t>NORRTÄLJE</t>
        </is>
      </c>
      <c r="G612" t="n">
        <v>3</v>
      </c>
      <c r="H612" t="n">
        <v>0</v>
      </c>
      <c r="I612" t="n">
        <v>0</v>
      </c>
      <c r="J612" t="n">
        <v>0</v>
      </c>
      <c r="K612" t="n">
        <v>0</v>
      </c>
      <c r="L612" t="n">
        <v>0</v>
      </c>
      <c r="M612" t="n">
        <v>0</v>
      </c>
      <c r="N612" t="n">
        <v>0</v>
      </c>
      <c r="O612" t="n">
        <v>0</v>
      </c>
      <c r="P612" t="n">
        <v>0</v>
      </c>
      <c r="Q612" t="n">
        <v>0</v>
      </c>
      <c r="R612" s="2" t="inlineStr"/>
    </row>
    <row r="613" ht="15" customHeight="1">
      <c r="A613" t="inlineStr">
        <is>
          <t>A 72097-2021</t>
        </is>
      </c>
      <c r="B613" s="1" t="n">
        <v>44544</v>
      </c>
      <c r="C613" s="1" t="n">
        <v>46033</v>
      </c>
      <c r="D613" t="inlineStr">
        <is>
          <t>STOCKHOLMS LÄN</t>
        </is>
      </c>
      <c r="E613" t="inlineStr">
        <is>
          <t>VÄRMDÖ</t>
        </is>
      </c>
      <c r="G613" t="n">
        <v>4.1</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46033</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30129-2021</t>
        </is>
      </c>
      <c r="B615" s="1" t="n">
        <v>44363.5784375</v>
      </c>
      <c r="C615" s="1" t="n">
        <v>46033</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22316-2022</t>
        </is>
      </c>
      <c r="B616" s="1" t="n">
        <v>44712.83118055556</v>
      </c>
      <c r="C616" s="1" t="n">
        <v>46033</v>
      </c>
      <c r="D616" t="inlineStr">
        <is>
          <t>STOCKHOLMS LÄN</t>
        </is>
      </c>
      <c r="E616" t="inlineStr">
        <is>
          <t>NORRTÄLJE</t>
        </is>
      </c>
      <c r="G616" t="n">
        <v>6.3</v>
      </c>
      <c r="H616" t="n">
        <v>0</v>
      </c>
      <c r="I616" t="n">
        <v>0</v>
      </c>
      <c r="J616" t="n">
        <v>0</v>
      </c>
      <c r="K616" t="n">
        <v>0</v>
      </c>
      <c r="L616" t="n">
        <v>0</v>
      </c>
      <c r="M616" t="n">
        <v>0</v>
      </c>
      <c r="N616" t="n">
        <v>0</v>
      </c>
      <c r="O616" t="n">
        <v>0</v>
      </c>
      <c r="P616" t="n">
        <v>0</v>
      </c>
      <c r="Q616" t="n">
        <v>0</v>
      </c>
      <c r="R616" s="2" t="inlineStr"/>
    </row>
    <row r="617" ht="15" customHeight="1">
      <c r="A617" t="inlineStr">
        <is>
          <t>A 7276-2022</t>
        </is>
      </c>
      <c r="B617" s="1" t="n">
        <v>44606</v>
      </c>
      <c r="C617" s="1" t="n">
        <v>46033</v>
      </c>
      <c r="D617" t="inlineStr">
        <is>
          <t>STOCKHOLMS LÄN</t>
        </is>
      </c>
      <c r="E617" t="inlineStr">
        <is>
          <t>VALLENTUNA</t>
        </is>
      </c>
      <c r="G617" t="n">
        <v>1.7</v>
      </c>
      <c r="H617" t="n">
        <v>0</v>
      </c>
      <c r="I617" t="n">
        <v>0</v>
      </c>
      <c r="J617" t="n">
        <v>0</v>
      </c>
      <c r="K617" t="n">
        <v>0</v>
      </c>
      <c r="L617" t="n">
        <v>0</v>
      </c>
      <c r="M617" t="n">
        <v>0</v>
      </c>
      <c r="N617" t="n">
        <v>0</v>
      </c>
      <c r="O617" t="n">
        <v>0</v>
      </c>
      <c r="P617" t="n">
        <v>0</v>
      </c>
      <c r="Q617" t="n">
        <v>0</v>
      </c>
      <c r="R617" s="2" t="inlineStr"/>
    </row>
    <row r="618" ht="15" customHeight="1">
      <c r="A618" t="inlineStr">
        <is>
          <t>A 31092-2022</t>
        </is>
      </c>
      <c r="B618" s="1" t="n">
        <v>44769.62320601852</v>
      </c>
      <c r="C618" s="1" t="n">
        <v>46033</v>
      </c>
      <c r="D618" t="inlineStr">
        <is>
          <t>STOCKHOLMS LÄN</t>
        </is>
      </c>
      <c r="E618" t="inlineStr">
        <is>
          <t>NORRTÄLJE</t>
        </is>
      </c>
      <c r="G618" t="n">
        <v>1.6</v>
      </c>
      <c r="H618" t="n">
        <v>0</v>
      </c>
      <c r="I618" t="n">
        <v>0</v>
      </c>
      <c r="J618" t="n">
        <v>0</v>
      </c>
      <c r="K618" t="n">
        <v>0</v>
      </c>
      <c r="L618" t="n">
        <v>0</v>
      </c>
      <c r="M618" t="n">
        <v>0</v>
      </c>
      <c r="N618" t="n">
        <v>0</v>
      </c>
      <c r="O618" t="n">
        <v>0</v>
      </c>
      <c r="P618" t="n">
        <v>0</v>
      </c>
      <c r="Q618" t="n">
        <v>0</v>
      </c>
      <c r="R618" s="2" t="inlineStr"/>
    </row>
    <row r="619" ht="15" customHeight="1">
      <c r="A619" t="inlineStr">
        <is>
          <t>A 21913-2021</t>
        </is>
      </c>
      <c r="B619" s="1" t="n">
        <v>44322.75940972222</v>
      </c>
      <c r="C619" s="1" t="n">
        <v>46033</v>
      </c>
      <c r="D619" t="inlineStr">
        <is>
          <t>STOCKHOLMS LÄN</t>
        </is>
      </c>
      <c r="E619" t="inlineStr">
        <is>
          <t>NYKVARN</t>
        </is>
      </c>
      <c r="G619" t="n">
        <v>1.5</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46033</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31697-2022</t>
        </is>
      </c>
      <c r="B621" s="1" t="n">
        <v>44776</v>
      </c>
      <c r="C621" s="1" t="n">
        <v>46033</v>
      </c>
      <c r="D621" t="inlineStr">
        <is>
          <t>STOCKHOLMS LÄN</t>
        </is>
      </c>
      <c r="E621" t="inlineStr">
        <is>
          <t>SIGTUNA</t>
        </is>
      </c>
      <c r="F621" t="inlineStr">
        <is>
          <t>Kommuner</t>
        </is>
      </c>
      <c r="G621" t="n">
        <v>1.1</v>
      </c>
      <c r="H621" t="n">
        <v>0</v>
      </c>
      <c r="I621" t="n">
        <v>0</v>
      </c>
      <c r="J621" t="n">
        <v>0</v>
      </c>
      <c r="K621" t="n">
        <v>0</v>
      </c>
      <c r="L621" t="n">
        <v>0</v>
      </c>
      <c r="M621" t="n">
        <v>0</v>
      </c>
      <c r="N621" t="n">
        <v>0</v>
      </c>
      <c r="O621" t="n">
        <v>0</v>
      </c>
      <c r="P621" t="n">
        <v>0</v>
      </c>
      <c r="Q621" t="n">
        <v>0</v>
      </c>
      <c r="R621" s="2" t="inlineStr"/>
    </row>
    <row r="622" ht="15" customHeight="1">
      <c r="A622" t="inlineStr">
        <is>
          <t>A 24805-2021</t>
        </is>
      </c>
      <c r="B622" s="1" t="n">
        <v>44340.66033564815</v>
      </c>
      <c r="C622" s="1" t="n">
        <v>46033</v>
      </c>
      <c r="D622" t="inlineStr">
        <is>
          <t>STOCKHOLMS LÄN</t>
        </is>
      </c>
      <c r="E622" t="inlineStr">
        <is>
          <t>NYNÄSHAMN</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13351-2021</t>
        </is>
      </c>
      <c r="B623" s="1" t="n">
        <v>44273</v>
      </c>
      <c r="C623" s="1" t="n">
        <v>46033</v>
      </c>
      <c r="D623" t="inlineStr">
        <is>
          <t>STOCKHOLMS LÄN</t>
        </is>
      </c>
      <c r="E623" t="inlineStr">
        <is>
          <t>SALEM</t>
        </is>
      </c>
      <c r="G623" t="n">
        <v>2.6</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46033</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11197-2021</t>
        </is>
      </c>
      <c r="B625" s="1" t="n">
        <v>44263.32083333333</v>
      </c>
      <c r="C625" s="1" t="n">
        <v>46033</v>
      </c>
      <c r="D625" t="inlineStr">
        <is>
          <t>STOCKHOLMS LÄN</t>
        </is>
      </c>
      <c r="E625" t="inlineStr">
        <is>
          <t>SIGTUNA</t>
        </is>
      </c>
      <c r="G625" t="n">
        <v>2.5</v>
      </c>
      <c r="H625" t="n">
        <v>0</v>
      </c>
      <c r="I625" t="n">
        <v>0</v>
      </c>
      <c r="J625" t="n">
        <v>0</v>
      </c>
      <c r="K625" t="n">
        <v>0</v>
      </c>
      <c r="L625" t="n">
        <v>0</v>
      </c>
      <c r="M625" t="n">
        <v>0</v>
      </c>
      <c r="N625" t="n">
        <v>0</v>
      </c>
      <c r="O625" t="n">
        <v>0</v>
      </c>
      <c r="P625" t="n">
        <v>0</v>
      </c>
      <c r="Q625" t="n">
        <v>0</v>
      </c>
      <c r="R625" s="2" t="inlineStr"/>
    </row>
    <row r="626" ht="15" customHeight="1">
      <c r="A626" t="inlineStr">
        <is>
          <t>A 24221-2021</t>
        </is>
      </c>
      <c r="B626" s="1" t="n">
        <v>44336.78922453704</v>
      </c>
      <c r="C626" s="1" t="n">
        <v>46033</v>
      </c>
      <c r="D626" t="inlineStr">
        <is>
          <t>STOCKHOLMS LÄN</t>
        </is>
      </c>
      <c r="E626" t="inlineStr">
        <is>
          <t>UPPLANDS VÄSBY</t>
        </is>
      </c>
      <c r="G626" t="n">
        <v>1.1</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46033</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5351-2022</t>
        </is>
      </c>
      <c r="B628" s="1" t="n">
        <v>44594.75950231482</v>
      </c>
      <c r="C628" s="1" t="n">
        <v>46033</v>
      </c>
      <c r="D628" t="inlineStr">
        <is>
          <t>STOCKHOLMS LÄN</t>
        </is>
      </c>
      <c r="E628" t="inlineStr">
        <is>
          <t>NORRTÄLJE</t>
        </is>
      </c>
      <c r="G628" t="n">
        <v>4</v>
      </c>
      <c r="H628" t="n">
        <v>0</v>
      </c>
      <c r="I628" t="n">
        <v>0</v>
      </c>
      <c r="J628" t="n">
        <v>0</v>
      </c>
      <c r="K628" t="n">
        <v>0</v>
      </c>
      <c r="L628" t="n">
        <v>0</v>
      </c>
      <c r="M628" t="n">
        <v>0</v>
      </c>
      <c r="N628" t="n">
        <v>0</v>
      </c>
      <c r="O628" t="n">
        <v>0</v>
      </c>
      <c r="P628" t="n">
        <v>0</v>
      </c>
      <c r="Q628" t="n">
        <v>0</v>
      </c>
      <c r="R628" s="2" t="inlineStr"/>
    </row>
    <row r="629" ht="15" customHeight="1">
      <c r="A629" t="inlineStr">
        <is>
          <t>A 71871-2021</t>
        </is>
      </c>
      <c r="B629" s="1" t="n">
        <v>44543</v>
      </c>
      <c r="C629" s="1" t="n">
        <v>46033</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71873-2021</t>
        </is>
      </c>
      <c r="B630" s="1" t="n">
        <v>44543</v>
      </c>
      <c r="C630" s="1" t="n">
        <v>46033</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72355-2021</t>
        </is>
      </c>
      <c r="B631" s="1" t="n">
        <v>44545</v>
      </c>
      <c r="C631" s="1" t="n">
        <v>46033</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72357-2021</t>
        </is>
      </c>
      <c r="B632" s="1" t="n">
        <v>44545</v>
      </c>
      <c r="C632" s="1" t="n">
        <v>46033</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46033</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9988-2022</t>
        </is>
      </c>
      <c r="B634" s="1" t="n">
        <v>44621</v>
      </c>
      <c r="C634" s="1" t="n">
        <v>46033</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46033</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43717-2021</t>
        </is>
      </c>
      <c r="B636" s="1" t="n">
        <v>44433.62546296296</v>
      </c>
      <c r="C636" s="1" t="n">
        <v>46033</v>
      </c>
      <c r="D636" t="inlineStr">
        <is>
          <t>STOCKHOLMS LÄN</t>
        </is>
      </c>
      <c r="E636" t="inlineStr">
        <is>
          <t>BOTKYRKA</t>
        </is>
      </c>
      <c r="G636" t="n">
        <v>1.3</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46033</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44496.77542824074</v>
      </c>
      <c r="C638" s="1" t="n">
        <v>46033</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7683-2021</t>
        </is>
      </c>
      <c r="B639" s="1" t="n">
        <v>44242</v>
      </c>
      <c r="C639" s="1" t="n">
        <v>46033</v>
      </c>
      <c r="D639" t="inlineStr">
        <is>
          <t>STOCKHOLMS LÄN</t>
        </is>
      </c>
      <c r="E639" t="inlineStr">
        <is>
          <t>NYNÄSHAMN</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46924-2021</t>
        </is>
      </c>
      <c r="B640" s="1" t="n">
        <v>44446</v>
      </c>
      <c r="C640" s="1" t="n">
        <v>46033</v>
      </c>
      <c r="D640" t="inlineStr">
        <is>
          <t>STOCKHOLMS LÄN</t>
        </is>
      </c>
      <c r="E640" t="inlineStr">
        <is>
          <t>VALLENTUNA</t>
        </is>
      </c>
      <c r="G640" t="n">
        <v>0.6</v>
      </c>
      <c r="H640" t="n">
        <v>0</v>
      </c>
      <c r="I640" t="n">
        <v>0</v>
      </c>
      <c r="J640" t="n">
        <v>0</v>
      </c>
      <c r="K640" t="n">
        <v>0</v>
      </c>
      <c r="L640" t="n">
        <v>0</v>
      </c>
      <c r="M640" t="n">
        <v>0</v>
      </c>
      <c r="N640" t="n">
        <v>0</v>
      </c>
      <c r="O640" t="n">
        <v>0</v>
      </c>
      <c r="P640" t="n">
        <v>0</v>
      </c>
      <c r="Q640" t="n">
        <v>0</v>
      </c>
      <c r="R640" s="2" t="inlineStr"/>
    </row>
    <row r="641" ht="15" customHeight="1">
      <c r="A641" t="inlineStr">
        <is>
          <t>A 53884-2022</t>
        </is>
      </c>
      <c r="B641" s="1" t="n">
        <v>44880.68423611111</v>
      </c>
      <c r="C641" s="1" t="n">
        <v>46033</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43922-2021</t>
        </is>
      </c>
      <c r="B642" s="1" t="n">
        <v>44434</v>
      </c>
      <c r="C642" s="1" t="n">
        <v>46033</v>
      </c>
      <c r="D642" t="inlineStr">
        <is>
          <t>STOCKHOLMS LÄN</t>
        </is>
      </c>
      <c r="E642" t="inlineStr">
        <is>
          <t>NYKVARN</t>
        </is>
      </c>
      <c r="G642" t="n">
        <v>0.7</v>
      </c>
      <c r="H642" t="n">
        <v>0</v>
      </c>
      <c r="I642" t="n">
        <v>0</v>
      </c>
      <c r="J642" t="n">
        <v>0</v>
      </c>
      <c r="K642" t="n">
        <v>0</v>
      </c>
      <c r="L642" t="n">
        <v>0</v>
      </c>
      <c r="M642" t="n">
        <v>0</v>
      </c>
      <c r="N642" t="n">
        <v>0</v>
      </c>
      <c r="O642" t="n">
        <v>0</v>
      </c>
      <c r="P642" t="n">
        <v>0</v>
      </c>
      <c r="Q642" t="n">
        <v>0</v>
      </c>
      <c r="R642" s="2" t="inlineStr"/>
    </row>
    <row r="643" ht="15" customHeight="1">
      <c r="A643" t="inlineStr">
        <is>
          <t>A 22068-2022</t>
        </is>
      </c>
      <c r="B643" s="1" t="n">
        <v>44711</v>
      </c>
      <c r="C643" s="1" t="n">
        <v>46033</v>
      </c>
      <c r="D643" t="inlineStr">
        <is>
          <t>STOCKHOLMS LÄN</t>
        </is>
      </c>
      <c r="E643" t="inlineStr">
        <is>
          <t>NACKA</t>
        </is>
      </c>
      <c r="G643" t="n">
        <v>0.7</v>
      </c>
      <c r="H643" t="n">
        <v>0</v>
      </c>
      <c r="I643" t="n">
        <v>0</v>
      </c>
      <c r="J643" t="n">
        <v>0</v>
      </c>
      <c r="K643" t="n">
        <v>0</v>
      </c>
      <c r="L643" t="n">
        <v>0</v>
      </c>
      <c r="M643" t="n">
        <v>0</v>
      </c>
      <c r="N643" t="n">
        <v>0</v>
      </c>
      <c r="O643" t="n">
        <v>0</v>
      </c>
      <c r="P643" t="n">
        <v>0</v>
      </c>
      <c r="Q643" t="n">
        <v>0</v>
      </c>
      <c r="R643" s="2" t="inlineStr"/>
    </row>
    <row r="644" ht="15" customHeight="1">
      <c r="A644" t="inlineStr">
        <is>
          <t>A 30624-2022</t>
        </is>
      </c>
      <c r="B644" s="1" t="n">
        <v>44763.4182175926</v>
      </c>
      <c r="C644" s="1" t="n">
        <v>46033</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9767-2022</t>
        </is>
      </c>
      <c r="B645" s="1" t="n">
        <v>44619</v>
      </c>
      <c r="C645" s="1" t="n">
        <v>46033</v>
      </c>
      <c r="D645" t="inlineStr">
        <is>
          <t>STOCKHOLMS LÄN</t>
        </is>
      </c>
      <c r="E645" t="inlineStr">
        <is>
          <t>SIGTUNA</t>
        </is>
      </c>
      <c r="G645" t="n">
        <v>2.4</v>
      </c>
      <c r="H645" t="n">
        <v>0</v>
      </c>
      <c r="I645" t="n">
        <v>0</v>
      </c>
      <c r="J645" t="n">
        <v>0</v>
      </c>
      <c r="K645" t="n">
        <v>0</v>
      </c>
      <c r="L645" t="n">
        <v>0</v>
      </c>
      <c r="M645" t="n">
        <v>0</v>
      </c>
      <c r="N645" t="n">
        <v>0</v>
      </c>
      <c r="O645" t="n">
        <v>0</v>
      </c>
      <c r="P645" t="n">
        <v>0</v>
      </c>
      <c r="Q645" t="n">
        <v>0</v>
      </c>
      <c r="R645" s="2" t="inlineStr"/>
    </row>
    <row r="646" ht="15" customHeight="1">
      <c r="A646" t="inlineStr">
        <is>
          <t>A 12357-2022</t>
        </is>
      </c>
      <c r="B646" s="1" t="n">
        <v>44637</v>
      </c>
      <c r="C646" s="1" t="n">
        <v>46033</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55861-2021</t>
        </is>
      </c>
      <c r="B647" s="1" t="n">
        <v>44476</v>
      </c>
      <c r="C647" s="1" t="n">
        <v>46033</v>
      </c>
      <c r="D647" t="inlineStr">
        <is>
          <t>STOCKHOLMS LÄN</t>
        </is>
      </c>
      <c r="E647" t="inlineStr">
        <is>
          <t>HANINGE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33015-2021</t>
        </is>
      </c>
      <c r="B648" s="1" t="n">
        <v>44376</v>
      </c>
      <c r="C648" s="1" t="n">
        <v>46033</v>
      </c>
      <c r="D648" t="inlineStr">
        <is>
          <t>STOCKHOLMS LÄN</t>
        </is>
      </c>
      <c r="E648" t="inlineStr">
        <is>
          <t>BOTKYRKA</t>
        </is>
      </c>
      <c r="G648" t="n">
        <v>48.7</v>
      </c>
      <c r="H648" t="n">
        <v>0</v>
      </c>
      <c r="I648" t="n">
        <v>0</v>
      </c>
      <c r="J648" t="n">
        <v>0</v>
      </c>
      <c r="K648" t="n">
        <v>0</v>
      </c>
      <c r="L648" t="n">
        <v>0</v>
      </c>
      <c r="M648" t="n">
        <v>0</v>
      </c>
      <c r="N648" t="n">
        <v>0</v>
      </c>
      <c r="O648" t="n">
        <v>0</v>
      </c>
      <c r="P648" t="n">
        <v>0</v>
      </c>
      <c r="Q648" t="n">
        <v>0</v>
      </c>
      <c r="R648" s="2" t="inlineStr"/>
    </row>
    <row r="649" ht="15" customHeight="1">
      <c r="A649" t="inlineStr">
        <is>
          <t>A 33016-2021</t>
        </is>
      </c>
      <c r="B649" s="1" t="n">
        <v>44376</v>
      </c>
      <c r="C649" s="1" t="n">
        <v>46033</v>
      </c>
      <c r="D649" t="inlineStr">
        <is>
          <t>STOCKHOLMS LÄN</t>
        </is>
      </c>
      <c r="E649" t="inlineStr">
        <is>
          <t>BOTKYRKA</t>
        </is>
      </c>
      <c r="G649" t="n">
        <v>3.8</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46033</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46033</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46033</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46033</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46033</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33046-2021</t>
        </is>
      </c>
      <c r="B655" s="1" t="n">
        <v>44376</v>
      </c>
      <c r="C655" s="1" t="n">
        <v>46033</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13921-2021</t>
        </is>
      </c>
      <c r="B656" s="1" t="n">
        <v>44277</v>
      </c>
      <c r="C656" s="1" t="n">
        <v>46033</v>
      </c>
      <c r="D656" t="inlineStr">
        <is>
          <t>STOCKHOLMS LÄN</t>
        </is>
      </c>
      <c r="E656" t="inlineStr">
        <is>
          <t>ÖSTERÅKER</t>
        </is>
      </c>
      <c r="G656" t="n">
        <v>0.9</v>
      </c>
      <c r="H656" t="n">
        <v>0</v>
      </c>
      <c r="I656" t="n">
        <v>0</v>
      </c>
      <c r="J656" t="n">
        <v>0</v>
      </c>
      <c r="K656" t="n">
        <v>0</v>
      </c>
      <c r="L656" t="n">
        <v>0</v>
      </c>
      <c r="M656" t="n">
        <v>0</v>
      </c>
      <c r="N656" t="n">
        <v>0</v>
      </c>
      <c r="O656" t="n">
        <v>0</v>
      </c>
      <c r="P656" t="n">
        <v>0</v>
      </c>
      <c r="Q656" t="n">
        <v>0</v>
      </c>
      <c r="R656" s="2" t="inlineStr"/>
    </row>
    <row r="657" ht="15" customHeight="1">
      <c r="A657" t="inlineStr">
        <is>
          <t>A 73212-2021</t>
        </is>
      </c>
      <c r="B657" s="1" t="n">
        <v>44550</v>
      </c>
      <c r="C657" s="1" t="n">
        <v>46033</v>
      </c>
      <c r="D657" t="inlineStr">
        <is>
          <t>STOCKHOLMS LÄN</t>
        </is>
      </c>
      <c r="E657" t="inlineStr">
        <is>
          <t>NYKVARN</t>
        </is>
      </c>
      <c r="F657" t="inlineStr">
        <is>
          <t>Allmännings- och besparingsskogar</t>
        </is>
      </c>
      <c r="G657" t="n">
        <v>2.4</v>
      </c>
      <c r="H657" t="n">
        <v>0</v>
      </c>
      <c r="I657" t="n">
        <v>0</v>
      </c>
      <c r="J657" t="n">
        <v>0</v>
      </c>
      <c r="K657" t="n">
        <v>0</v>
      </c>
      <c r="L657" t="n">
        <v>0</v>
      </c>
      <c r="M657" t="n">
        <v>0</v>
      </c>
      <c r="N657" t="n">
        <v>0</v>
      </c>
      <c r="O657" t="n">
        <v>0</v>
      </c>
      <c r="P657" t="n">
        <v>0</v>
      </c>
      <c r="Q657" t="n">
        <v>0</v>
      </c>
      <c r="R657" s="2" t="inlineStr"/>
    </row>
    <row r="658" ht="15" customHeight="1">
      <c r="A658" t="inlineStr">
        <is>
          <t>A 26328-2022</t>
        </is>
      </c>
      <c r="B658" s="1" t="n">
        <v>44735</v>
      </c>
      <c r="C658" s="1" t="n">
        <v>46033</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2751-2021</t>
        </is>
      </c>
      <c r="B659" s="1" t="n">
        <v>44215</v>
      </c>
      <c r="C659" s="1" t="n">
        <v>46033</v>
      </c>
      <c r="D659" t="inlineStr">
        <is>
          <t>STOCKHOLMS LÄN</t>
        </is>
      </c>
      <c r="E659" t="inlineStr">
        <is>
          <t>NYNÄSHAMN</t>
        </is>
      </c>
      <c r="G659" t="n">
        <v>1.9</v>
      </c>
      <c r="H659" t="n">
        <v>0</v>
      </c>
      <c r="I659" t="n">
        <v>0</v>
      </c>
      <c r="J659" t="n">
        <v>0</v>
      </c>
      <c r="K659" t="n">
        <v>0</v>
      </c>
      <c r="L659" t="n">
        <v>0</v>
      </c>
      <c r="M659" t="n">
        <v>0</v>
      </c>
      <c r="N659" t="n">
        <v>0</v>
      </c>
      <c r="O659" t="n">
        <v>0</v>
      </c>
      <c r="P659" t="n">
        <v>0</v>
      </c>
      <c r="Q659" t="n">
        <v>0</v>
      </c>
      <c r="R659" s="2" t="inlineStr"/>
    </row>
    <row r="660" ht="15" customHeight="1">
      <c r="A660" t="inlineStr">
        <is>
          <t>A 70850-2021</t>
        </is>
      </c>
      <c r="B660" s="1" t="n">
        <v>44538</v>
      </c>
      <c r="C660" s="1" t="n">
        <v>46033</v>
      </c>
      <c r="D660" t="inlineStr">
        <is>
          <t>STOCKHOLMS LÄN</t>
        </is>
      </c>
      <c r="E660" t="inlineStr">
        <is>
          <t>NYNÄSHAMN</t>
        </is>
      </c>
      <c r="G660" t="n">
        <v>1.2</v>
      </c>
      <c r="H660" t="n">
        <v>0</v>
      </c>
      <c r="I660" t="n">
        <v>0</v>
      </c>
      <c r="J660" t="n">
        <v>0</v>
      </c>
      <c r="K660" t="n">
        <v>0</v>
      </c>
      <c r="L660" t="n">
        <v>0</v>
      </c>
      <c r="M660" t="n">
        <v>0</v>
      </c>
      <c r="N660" t="n">
        <v>0</v>
      </c>
      <c r="O660" t="n">
        <v>0</v>
      </c>
      <c r="P660" t="n">
        <v>0</v>
      </c>
      <c r="Q660" t="n">
        <v>0</v>
      </c>
      <c r="R660" s="2" t="inlineStr"/>
    </row>
    <row r="661" ht="15" customHeight="1">
      <c r="A661" t="inlineStr">
        <is>
          <t>A 26335-2022</t>
        </is>
      </c>
      <c r="B661" s="1" t="n">
        <v>44735</v>
      </c>
      <c r="C661" s="1" t="n">
        <v>46033</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15441-2021</t>
        </is>
      </c>
      <c r="B662" s="1" t="n">
        <v>44284</v>
      </c>
      <c r="C662" s="1" t="n">
        <v>46033</v>
      </c>
      <c r="D662" t="inlineStr">
        <is>
          <t>STOCKHOLMS LÄN</t>
        </is>
      </c>
      <c r="E662" t="inlineStr">
        <is>
          <t>NORRTÄLJE</t>
        </is>
      </c>
      <c r="G662" t="n">
        <v>27</v>
      </c>
      <c r="H662" t="n">
        <v>0</v>
      </c>
      <c r="I662" t="n">
        <v>0</v>
      </c>
      <c r="J662" t="n">
        <v>0</v>
      </c>
      <c r="K662" t="n">
        <v>0</v>
      </c>
      <c r="L662" t="n">
        <v>0</v>
      </c>
      <c r="M662" t="n">
        <v>0</v>
      </c>
      <c r="N662" t="n">
        <v>0</v>
      </c>
      <c r="O662" t="n">
        <v>0</v>
      </c>
      <c r="P662" t="n">
        <v>0</v>
      </c>
      <c r="Q662" t="n">
        <v>0</v>
      </c>
      <c r="R662" s="2" t="inlineStr"/>
    </row>
    <row r="663" ht="15" customHeight="1">
      <c r="A663" t="inlineStr">
        <is>
          <t>A 39133-2021</t>
        </is>
      </c>
      <c r="B663" s="1" t="n">
        <v>44412</v>
      </c>
      <c r="C663" s="1" t="n">
        <v>46033</v>
      </c>
      <c r="D663" t="inlineStr">
        <is>
          <t>STOCKHOLMS LÄN</t>
        </is>
      </c>
      <c r="E663" t="inlineStr">
        <is>
          <t>SÖDERTÄLJE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37657-2021</t>
        </is>
      </c>
      <c r="B664" s="1" t="n">
        <v>44400</v>
      </c>
      <c r="C664" s="1" t="n">
        <v>46033</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46033</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34520-2021</t>
        </is>
      </c>
      <c r="B666" s="1" t="n">
        <v>44379</v>
      </c>
      <c r="C666" s="1" t="n">
        <v>46033</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46033</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46033</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36063-2022</t>
        </is>
      </c>
      <c r="B669" s="1" t="n">
        <v>44802</v>
      </c>
      <c r="C669" s="1" t="n">
        <v>46033</v>
      </c>
      <c r="D669" t="inlineStr">
        <is>
          <t>STOCKHOLMS LÄN</t>
        </is>
      </c>
      <c r="E669" t="inlineStr">
        <is>
          <t>EKERÖ</t>
        </is>
      </c>
      <c r="G669" t="n">
        <v>2.4</v>
      </c>
      <c r="H669" t="n">
        <v>0</v>
      </c>
      <c r="I669" t="n">
        <v>0</v>
      </c>
      <c r="J669" t="n">
        <v>0</v>
      </c>
      <c r="K669" t="n">
        <v>0</v>
      </c>
      <c r="L669" t="n">
        <v>0</v>
      </c>
      <c r="M669" t="n">
        <v>0</v>
      </c>
      <c r="N669" t="n">
        <v>0</v>
      </c>
      <c r="O669" t="n">
        <v>0</v>
      </c>
      <c r="P669" t="n">
        <v>0</v>
      </c>
      <c r="Q669" t="n">
        <v>0</v>
      </c>
      <c r="R669" s="2" t="inlineStr"/>
    </row>
    <row r="670" ht="15" customHeight="1">
      <c r="A670" t="inlineStr">
        <is>
          <t>A 1968-2022</t>
        </is>
      </c>
      <c r="B670" s="1" t="n">
        <v>44575.52831018518</v>
      </c>
      <c r="C670" s="1" t="n">
        <v>46033</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28405-2022</t>
        </is>
      </c>
      <c r="B671" s="1" t="n">
        <v>44747</v>
      </c>
      <c r="C671" s="1" t="n">
        <v>46033</v>
      </c>
      <c r="D671" t="inlineStr">
        <is>
          <t>STOCKHOLMS LÄN</t>
        </is>
      </c>
      <c r="E671" t="inlineStr">
        <is>
          <t>ÖSTERÅKER</t>
        </is>
      </c>
      <c r="G671" t="n">
        <v>1.9</v>
      </c>
      <c r="H671" t="n">
        <v>0</v>
      </c>
      <c r="I671" t="n">
        <v>0</v>
      </c>
      <c r="J671" t="n">
        <v>0</v>
      </c>
      <c r="K671" t="n">
        <v>0</v>
      </c>
      <c r="L671" t="n">
        <v>0</v>
      </c>
      <c r="M671" t="n">
        <v>0</v>
      </c>
      <c r="N671" t="n">
        <v>0</v>
      </c>
      <c r="O671" t="n">
        <v>0</v>
      </c>
      <c r="P671" t="n">
        <v>0</v>
      </c>
      <c r="Q671" t="n">
        <v>0</v>
      </c>
      <c r="R671" s="2" t="inlineStr"/>
    </row>
    <row r="672" ht="15" customHeight="1">
      <c r="A672" t="inlineStr">
        <is>
          <t>A 43893-2021</t>
        </is>
      </c>
      <c r="B672" s="1" t="n">
        <v>44434</v>
      </c>
      <c r="C672" s="1" t="n">
        <v>46033</v>
      </c>
      <c r="D672" t="inlineStr">
        <is>
          <t>STOCKHOLMS LÄN</t>
        </is>
      </c>
      <c r="E672" t="inlineStr">
        <is>
          <t>SALEM</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1229-2022</t>
        </is>
      </c>
      <c r="B673" s="1" t="n">
        <v>44572</v>
      </c>
      <c r="C673" s="1" t="n">
        <v>46033</v>
      </c>
      <c r="D673" t="inlineStr">
        <is>
          <t>STOCKHOLMS LÄN</t>
        </is>
      </c>
      <c r="E673" t="inlineStr">
        <is>
          <t>NORRTÄLJE</t>
        </is>
      </c>
      <c r="G673" t="n">
        <v>11.5</v>
      </c>
      <c r="H673" t="n">
        <v>0</v>
      </c>
      <c r="I673" t="n">
        <v>0</v>
      </c>
      <c r="J673" t="n">
        <v>0</v>
      </c>
      <c r="K673" t="n">
        <v>0</v>
      </c>
      <c r="L673" t="n">
        <v>0</v>
      </c>
      <c r="M673" t="n">
        <v>0</v>
      </c>
      <c r="N673" t="n">
        <v>0</v>
      </c>
      <c r="O673" t="n">
        <v>0</v>
      </c>
      <c r="P673" t="n">
        <v>0</v>
      </c>
      <c r="Q673" t="n">
        <v>0</v>
      </c>
      <c r="R673" s="2" t="inlineStr"/>
    </row>
    <row r="674" ht="15" customHeight="1">
      <c r="A674" t="inlineStr">
        <is>
          <t>A 21888-2022</t>
        </is>
      </c>
      <c r="B674" s="1" t="n">
        <v>44709</v>
      </c>
      <c r="C674" s="1" t="n">
        <v>46033</v>
      </c>
      <c r="D674" t="inlineStr">
        <is>
          <t>STOCKHOLMS LÄN</t>
        </is>
      </c>
      <c r="E674" t="inlineStr">
        <is>
          <t>NACKA</t>
        </is>
      </c>
      <c r="G674" t="n">
        <v>2.4</v>
      </c>
      <c r="H674" t="n">
        <v>0</v>
      </c>
      <c r="I674" t="n">
        <v>0</v>
      </c>
      <c r="J674" t="n">
        <v>0</v>
      </c>
      <c r="K674" t="n">
        <v>0</v>
      </c>
      <c r="L674" t="n">
        <v>0</v>
      </c>
      <c r="M674" t="n">
        <v>0</v>
      </c>
      <c r="N674" t="n">
        <v>0</v>
      </c>
      <c r="O674" t="n">
        <v>0</v>
      </c>
      <c r="P674" t="n">
        <v>0</v>
      </c>
      <c r="Q674" t="n">
        <v>0</v>
      </c>
      <c r="R674" s="2" t="inlineStr"/>
    </row>
    <row r="675" ht="15" customHeight="1">
      <c r="A675" t="inlineStr">
        <is>
          <t>A 41378-2021</t>
        </is>
      </c>
      <c r="B675" s="1" t="n">
        <v>44424</v>
      </c>
      <c r="C675" s="1" t="n">
        <v>46033</v>
      </c>
      <c r="D675" t="inlineStr">
        <is>
          <t>STOCKHOLMS LÄN</t>
        </is>
      </c>
      <c r="E675" t="inlineStr">
        <is>
          <t>NYNÄSHAMN</t>
        </is>
      </c>
      <c r="G675" t="n">
        <v>1.1</v>
      </c>
      <c r="H675" t="n">
        <v>0</v>
      </c>
      <c r="I675" t="n">
        <v>0</v>
      </c>
      <c r="J675" t="n">
        <v>0</v>
      </c>
      <c r="K675" t="n">
        <v>0</v>
      </c>
      <c r="L675" t="n">
        <v>0</v>
      </c>
      <c r="M675" t="n">
        <v>0</v>
      </c>
      <c r="N675" t="n">
        <v>0</v>
      </c>
      <c r="O675" t="n">
        <v>0</v>
      </c>
      <c r="P675" t="n">
        <v>0</v>
      </c>
      <c r="Q675" t="n">
        <v>0</v>
      </c>
      <c r="R675" s="2" t="inlineStr"/>
    </row>
    <row r="676" ht="15" customHeight="1">
      <c r="A676" t="inlineStr">
        <is>
          <t>A 14051-2022</t>
        </is>
      </c>
      <c r="B676" s="1" t="n">
        <v>44650.92714120371</v>
      </c>
      <c r="C676" s="1" t="n">
        <v>46033</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17173-2022</t>
        </is>
      </c>
      <c r="B677" s="1" t="n">
        <v>44677</v>
      </c>
      <c r="C677" s="1" t="n">
        <v>46033</v>
      </c>
      <c r="D677" t="inlineStr">
        <is>
          <t>STOCKHOLMS LÄN</t>
        </is>
      </c>
      <c r="E677" t="inlineStr">
        <is>
          <t>ÖSTERÅKER</t>
        </is>
      </c>
      <c r="G677" t="n">
        <v>2.8</v>
      </c>
      <c r="H677" t="n">
        <v>0</v>
      </c>
      <c r="I677" t="n">
        <v>0</v>
      </c>
      <c r="J677" t="n">
        <v>0</v>
      </c>
      <c r="K677" t="n">
        <v>0</v>
      </c>
      <c r="L677" t="n">
        <v>0</v>
      </c>
      <c r="M677" t="n">
        <v>0</v>
      </c>
      <c r="N677" t="n">
        <v>0</v>
      </c>
      <c r="O677" t="n">
        <v>0</v>
      </c>
      <c r="P677" t="n">
        <v>0</v>
      </c>
      <c r="Q677" t="n">
        <v>0</v>
      </c>
      <c r="R677" s="2" t="inlineStr"/>
    </row>
    <row r="678" ht="15" customHeight="1">
      <c r="A678" t="inlineStr">
        <is>
          <t>A 65340-2021</t>
        </is>
      </c>
      <c r="B678" s="1" t="n">
        <v>44515</v>
      </c>
      <c r="C678" s="1" t="n">
        <v>46033</v>
      </c>
      <c r="D678" t="inlineStr">
        <is>
          <t>STOCKHOLMS LÄN</t>
        </is>
      </c>
      <c r="E678" t="inlineStr">
        <is>
          <t>SIGTUNA</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24167-2022</t>
        </is>
      </c>
      <c r="B679" s="1" t="n">
        <v>44725.49491898148</v>
      </c>
      <c r="C679" s="1" t="n">
        <v>46033</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42396-2021</t>
        </is>
      </c>
      <c r="B680" s="1" t="n">
        <v>44427</v>
      </c>
      <c r="C680" s="1" t="n">
        <v>46033</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40183-2021</t>
        </is>
      </c>
      <c r="B681" s="1" t="n">
        <v>44418</v>
      </c>
      <c r="C681" s="1" t="n">
        <v>46033</v>
      </c>
      <c r="D681" t="inlineStr">
        <is>
          <t>STOCKHOLMS LÄN</t>
        </is>
      </c>
      <c r="E681" t="inlineStr">
        <is>
          <t>NYNÄSHAMN</t>
        </is>
      </c>
      <c r="F681" t="inlineStr">
        <is>
          <t>Kommuner</t>
        </is>
      </c>
      <c r="G681" t="n">
        <v>4.5</v>
      </c>
      <c r="H681" t="n">
        <v>0</v>
      </c>
      <c r="I681" t="n">
        <v>0</v>
      </c>
      <c r="J681" t="n">
        <v>0</v>
      </c>
      <c r="K681" t="n">
        <v>0</v>
      </c>
      <c r="L681" t="n">
        <v>0</v>
      </c>
      <c r="M681" t="n">
        <v>0</v>
      </c>
      <c r="N681" t="n">
        <v>0</v>
      </c>
      <c r="O681" t="n">
        <v>0</v>
      </c>
      <c r="P681" t="n">
        <v>0</v>
      </c>
      <c r="Q681" t="n">
        <v>0</v>
      </c>
      <c r="R681" s="2" t="inlineStr"/>
    </row>
    <row r="682" ht="15" customHeight="1">
      <c r="A682" t="inlineStr">
        <is>
          <t>A 12901-2021</t>
        </is>
      </c>
      <c r="B682" s="1" t="n">
        <v>44271</v>
      </c>
      <c r="C682" s="1" t="n">
        <v>46033</v>
      </c>
      <c r="D682" t="inlineStr">
        <is>
          <t>STOCKHOLMS LÄN</t>
        </is>
      </c>
      <c r="E682" t="inlineStr">
        <is>
          <t>SÖDERTÄLJE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2732-2022</t>
        </is>
      </c>
      <c r="B683" s="1" t="n">
        <v>44580</v>
      </c>
      <c r="C683" s="1" t="n">
        <v>46033</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48078-2021</t>
        </is>
      </c>
      <c r="B684" s="1" t="n">
        <v>44449.42578703703</v>
      </c>
      <c r="C684" s="1" t="n">
        <v>46033</v>
      </c>
      <c r="D684" t="inlineStr">
        <is>
          <t>STOCKHOLMS LÄN</t>
        </is>
      </c>
      <c r="E684" t="inlineStr">
        <is>
          <t>VALLENTUNA</t>
        </is>
      </c>
      <c r="G684" t="n">
        <v>0.7</v>
      </c>
      <c r="H684" t="n">
        <v>0</v>
      </c>
      <c r="I684" t="n">
        <v>0</v>
      </c>
      <c r="J684" t="n">
        <v>0</v>
      </c>
      <c r="K684" t="n">
        <v>0</v>
      </c>
      <c r="L684" t="n">
        <v>0</v>
      </c>
      <c r="M684" t="n">
        <v>0</v>
      </c>
      <c r="N684" t="n">
        <v>0</v>
      </c>
      <c r="O684" t="n">
        <v>0</v>
      </c>
      <c r="P684" t="n">
        <v>0</v>
      </c>
      <c r="Q684" t="n">
        <v>0</v>
      </c>
      <c r="R684" s="2" t="inlineStr"/>
    </row>
    <row r="685" ht="15" customHeight="1">
      <c r="A685" t="inlineStr">
        <is>
          <t>A 46826-2022</t>
        </is>
      </c>
      <c r="B685" s="1" t="n">
        <v>44848</v>
      </c>
      <c r="C685" s="1" t="n">
        <v>46033</v>
      </c>
      <c r="D685" t="inlineStr">
        <is>
          <t>STOCKHOLMS LÄN</t>
        </is>
      </c>
      <c r="E685" t="inlineStr">
        <is>
          <t>UPPLANDS VÄSBY</t>
        </is>
      </c>
      <c r="G685" t="n">
        <v>4.5</v>
      </c>
      <c r="H685" t="n">
        <v>0</v>
      </c>
      <c r="I685" t="n">
        <v>0</v>
      </c>
      <c r="J685" t="n">
        <v>0</v>
      </c>
      <c r="K685" t="n">
        <v>0</v>
      </c>
      <c r="L685" t="n">
        <v>0</v>
      </c>
      <c r="M685" t="n">
        <v>0</v>
      </c>
      <c r="N685" t="n">
        <v>0</v>
      </c>
      <c r="O685" t="n">
        <v>0</v>
      </c>
      <c r="P685" t="n">
        <v>0</v>
      </c>
      <c r="Q685" t="n">
        <v>0</v>
      </c>
      <c r="R685" s="2" t="inlineStr"/>
    </row>
    <row r="686" ht="15" customHeight="1">
      <c r="A686" t="inlineStr">
        <is>
          <t>A 73963-2021</t>
        </is>
      </c>
      <c r="B686" s="1" t="n">
        <v>44553.79121527778</v>
      </c>
      <c r="C686" s="1" t="n">
        <v>46033</v>
      </c>
      <c r="D686" t="inlineStr">
        <is>
          <t>STOCKHOLMS LÄN</t>
        </is>
      </c>
      <c r="E686" t="inlineStr">
        <is>
          <t>NYNÄSHAMN</t>
        </is>
      </c>
      <c r="G686" t="n">
        <v>0.3</v>
      </c>
      <c r="H686" t="n">
        <v>0</v>
      </c>
      <c r="I686" t="n">
        <v>0</v>
      </c>
      <c r="J686" t="n">
        <v>0</v>
      </c>
      <c r="K686" t="n">
        <v>0</v>
      </c>
      <c r="L686" t="n">
        <v>0</v>
      </c>
      <c r="M686" t="n">
        <v>0</v>
      </c>
      <c r="N686" t="n">
        <v>0</v>
      </c>
      <c r="O686" t="n">
        <v>0</v>
      </c>
      <c r="P686" t="n">
        <v>0</v>
      </c>
      <c r="Q686" t="n">
        <v>0</v>
      </c>
      <c r="R686" s="2" t="inlineStr"/>
    </row>
    <row r="687" ht="15" customHeight="1">
      <c r="A687" t="inlineStr">
        <is>
          <t>A 73966-2021</t>
        </is>
      </c>
      <c r="B687" s="1" t="n">
        <v>44553.81094907408</v>
      </c>
      <c r="C687" s="1" t="n">
        <v>46033</v>
      </c>
      <c r="D687" t="inlineStr">
        <is>
          <t>STOCKHOLMS LÄN</t>
        </is>
      </c>
      <c r="E687" t="inlineStr">
        <is>
          <t>NYNÄSHAMN</t>
        </is>
      </c>
      <c r="G687" t="n">
        <v>4.3</v>
      </c>
      <c r="H687" t="n">
        <v>0</v>
      </c>
      <c r="I687" t="n">
        <v>0</v>
      </c>
      <c r="J687" t="n">
        <v>0</v>
      </c>
      <c r="K687" t="n">
        <v>0</v>
      </c>
      <c r="L687" t="n">
        <v>0</v>
      </c>
      <c r="M687" t="n">
        <v>0</v>
      </c>
      <c r="N687" t="n">
        <v>0</v>
      </c>
      <c r="O687" t="n">
        <v>0</v>
      </c>
      <c r="P687" t="n">
        <v>0</v>
      </c>
      <c r="Q687" t="n">
        <v>0</v>
      </c>
      <c r="R687" s="2" t="inlineStr"/>
    </row>
    <row r="688" ht="15" customHeight="1">
      <c r="A688" t="inlineStr">
        <is>
          <t>A 73967-2021</t>
        </is>
      </c>
      <c r="B688" s="1" t="n">
        <v>44553.81719907407</v>
      </c>
      <c r="C688" s="1" t="n">
        <v>46033</v>
      </c>
      <c r="D688" t="inlineStr">
        <is>
          <t>STOCKHOLMS LÄN</t>
        </is>
      </c>
      <c r="E688" t="inlineStr">
        <is>
          <t>NYNÄSHAMN</t>
        </is>
      </c>
      <c r="G688" t="n">
        <v>1.3</v>
      </c>
      <c r="H688" t="n">
        <v>0</v>
      </c>
      <c r="I688" t="n">
        <v>0</v>
      </c>
      <c r="J688" t="n">
        <v>0</v>
      </c>
      <c r="K688" t="n">
        <v>0</v>
      </c>
      <c r="L688" t="n">
        <v>0</v>
      </c>
      <c r="M688" t="n">
        <v>0</v>
      </c>
      <c r="N688" t="n">
        <v>0</v>
      </c>
      <c r="O688" t="n">
        <v>0</v>
      </c>
      <c r="P688" t="n">
        <v>0</v>
      </c>
      <c r="Q688" t="n">
        <v>0</v>
      </c>
      <c r="R688" s="2" t="inlineStr"/>
    </row>
    <row r="689" ht="15" customHeight="1">
      <c r="A689" t="inlineStr">
        <is>
          <t>A 32508-2022</t>
        </is>
      </c>
      <c r="B689" s="1" t="n">
        <v>44782</v>
      </c>
      <c r="C689" s="1" t="n">
        <v>46033</v>
      </c>
      <c r="D689" t="inlineStr">
        <is>
          <t>STOCKHOLMS LÄN</t>
        </is>
      </c>
      <c r="E689" t="inlineStr">
        <is>
          <t>HUDDINGE</t>
        </is>
      </c>
      <c r="F689" t="inlineStr">
        <is>
          <t>Kommuner</t>
        </is>
      </c>
      <c r="G689" t="n">
        <v>4.7</v>
      </c>
      <c r="H689" t="n">
        <v>0</v>
      </c>
      <c r="I689" t="n">
        <v>0</v>
      </c>
      <c r="J689" t="n">
        <v>0</v>
      </c>
      <c r="K689" t="n">
        <v>0</v>
      </c>
      <c r="L689" t="n">
        <v>0</v>
      </c>
      <c r="M689" t="n">
        <v>0</v>
      </c>
      <c r="N689" t="n">
        <v>0</v>
      </c>
      <c r="O689" t="n">
        <v>0</v>
      </c>
      <c r="P689" t="n">
        <v>0</v>
      </c>
      <c r="Q689" t="n">
        <v>0</v>
      </c>
      <c r="R689" s="2" t="inlineStr"/>
    </row>
    <row r="690" ht="15" customHeight="1">
      <c r="A690" t="inlineStr">
        <is>
          <t>A 31924-2022</t>
        </is>
      </c>
      <c r="B690" s="1" t="n">
        <v>44777</v>
      </c>
      <c r="C690" s="1" t="n">
        <v>46033</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16119-2022</t>
        </is>
      </c>
      <c r="B691" s="1" t="n">
        <v>44665.66407407408</v>
      </c>
      <c r="C691" s="1" t="n">
        <v>46033</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13135-2022</t>
        </is>
      </c>
      <c r="B692" s="1" t="n">
        <v>44643</v>
      </c>
      <c r="C692" s="1" t="n">
        <v>46033</v>
      </c>
      <c r="D692" t="inlineStr">
        <is>
          <t>STOCKHOLMS LÄN</t>
        </is>
      </c>
      <c r="E692" t="inlineStr">
        <is>
          <t>HANINGE</t>
        </is>
      </c>
      <c r="G692" t="n">
        <v>2</v>
      </c>
      <c r="H692" t="n">
        <v>0</v>
      </c>
      <c r="I692" t="n">
        <v>0</v>
      </c>
      <c r="J692" t="n">
        <v>0</v>
      </c>
      <c r="K692" t="n">
        <v>0</v>
      </c>
      <c r="L692" t="n">
        <v>0</v>
      </c>
      <c r="M692" t="n">
        <v>0</v>
      </c>
      <c r="N692" t="n">
        <v>0</v>
      </c>
      <c r="O692" t="n">
        <v>0</v>
      </c>
      <c r="P692" t="n">
        <v>0</v>
      </c>
      <c r="Q692" t="n">
        <v>0</v>
      </c>
      <c r="R692" s="2" t="inlineStr"/>
    </row>
    <row r="693" ht="15" customHeight="1">
      <c r="A693" t="inlineStr">
        <is>
          <t>A 10082-2022</t>
        </is>
      </c>
      <c r="B693" s="1" t="n">
        <v>44621</v>
      </c>
      <c r="C693" s="1" t="n">
        <v>46033</v>
      </c>
      <c r="D693" t="inlineStr">
        <is>
          <t>STOCKHOLMS LÄN</t>
        </is>
      </c>
      <c r="E693" t="inlineStr">
        <is>
          <t>ÖSTERÅKER</t>
        </is>
      </c>
      <c r="G693" t="n">
        <v>6</v>
      </c>
      <c r="H693" t="n">
        <v>0</v>
      </c>
      <c r="I693" t="n">
        <v>0</v>
      </c>
      <c r="J693" t="n">
        <v>0</v>
      </c>
      <c r="K693" t="n">
        <v>0</v>
      </c>
      <c r="L693" t="n">
        <v>0</v>
      </c>
      <c r="M693" t="n">
        <v>0</v>
      </c>
      <c r="N693" t="n">
        <v>0</v>
      </c>
      <c r="O693" t="n">
        <v>0</v>
      </c>
      <c r="P693" t="n">
        <v>0</v>
      </c>
      <c r="Q693" t="n">
        <v>0</v>
      </c>
      <c r="R693" s="2" t="inlineStr"/>
    </row>
    <row r="694" ht="15" customHeight="1">
      <c r="A694" t="inlineStr">
        <is>
          <t>A 12270-2022</t>
        </is>
      </c>
      <c r="B694" s="1" t="n">
        <v>44637</v>
      </c>
      <c r="C694" s="1" t="n">
        <v>46033</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30419-2022</t>
        </is>
      </c>
      <c r="B695" s="1" t="n">
        <v>44761</v>
      </c>
      <c r="C695" s="1" t="n">
        <v>46033</v>
      </c>
      <c r="D695" t="inlineStr">
        <is>
          <t>STOCKHOLMS LÄN</t>
        </is>
      </c>
      <c r="E695" t="inlineStr">
        <is>
          <t>HANINGE</t>
        </is>
      </c>
      <c r="G695" t="n">
        <v>7.4</v>
      </c>
      <c r="H695" t="n">
        <v>0</v>
      </c>
      <c r="I695" t="n">
        <v>0</v>
      </c>
      <c r="J695" t="n">
        <v>0</v>
      </c>
      <c r="K695" t="n">
        <v>0</v>
      </c>
      <c r="L695" t="n">
        <v>0</v>
      </c>
      <c r="M695" t="n">
        <v>0</v>
      </c>
      <c r="N695" t="n">
        <v>0</v>
      </c>
      <c r="O695" t="n">
        <v>0</v>
      </c>
      <c r="P695" t="n">
        <v>0</v>
      </c>
      <c r="Q695" t="n">
        <v>0</v>
      </c>
      <c r="R695" s="2" t="inlineStr"/>
    </row>
    <row r="696" ht="15" customHeight="1">
      <c r="A696" t="inlineStr">
        <is>
          <t>A 14543-2022</t>
        </is>
      </c>
      <c r="B696" s="1" t="n">
        <v>44655.45373842592</v>
      </c>
      <c r="C696" s="1" t="n">
        <v>46033</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24281-2022</t>
        </is>
      </c>
      <c r="B697" s="1" t="n">
        <v>44725.78381944444</v>
      </c>
      <c r="C697" s="1" t="n">
        <v>46033</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21472-2022</t>
        </is>
      </c>
      <c r="B698" s="1" t="n">
        <v>44706</v>
      </c>
      <c r="C698" s="1" t="n">
        <v>46033</v>
      </c>
      <c r="D698" t="inlineStr">
        <is>
          <t>STOCKHOLMS LÄN</t>
        </is>
      </c>
      <c r="E698" t="inlineStr">
        <is>
          <t>NACKA</t>
        </is>
      </c>
      <c r="G698" t="n">
        <v>1.5</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46033</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28042-2022</t>
        </is>
      </c>
      <c r="B700" s="1" t="n">
        <v>44744</v>
      </c>
      <c r="C700" s="1" t="n">
        <v>46033</v>
      </c>
      <c r="D700" t="inlineStr">
        <is>
          <t>STOCKHOLMS LÄN</t>
        </is>
      </c>
      <c r="E700" t="inlineStr">
        <is>
          <t>NORRTÄLJE</t>
        </is>
      </c>
      <c r="G700" t="n">
        <v>0.2</v>
      </c>
      <c r="H700" t="n">
        <v>0</v>
      </c>
      <c r="I700" t="n">
        <v>0</v>
      </c>
      <c r="J700" t="n">
        <v>0</v>
      </c>
      <c r="K700" t="n">
        <v>0</v>
      </c>
      <c r="L700" t="n">
        <v>0</v>
      </c>
      <c r="M700" t="n">
        <v>0</v>
      </c>
      <c r="N700" t="n">
        <v>0</v>
      </c>
      <c r="O700" t="n">
        <v>0</v>
      </c>
      <c r="P700" t="n">
        <v>0</v>
      </c>
      <c r="Q700" t="n">
        <v>0</v>
      </c>
      <c r="R700" s="2" t="inlineStr"/>
    </row>
    <row r="701" ht="15" customHeight="1">
      <c r="A701" t="inlineStr">
        <is>
          <t>A 28964-2022</t>
        </is>
      </c>
      <c r="B701" s="1" t="n">
        <v>44749</v>
      </c>
      <c r="C701" s="1" t="n">
        <v>46033</v>
      </c>
      <c r="D701" t="inlineStr">
        <is>
          <t>STOCKHOLMS LÄN</t>
        </is>
      </c>
      <c r="E701" t="inlineStr">
        <is>
          <t>ÖSTERÅKER</t>
        </is>
      </c>
      <c r="G701" t="n">
        <v>1.3</v>
      </c>
      <c r="H701" t="n">
        <v>0</v>
      </c>
      <c r="I701" t="n">
        <v>0</v>
      </c>
      <c r="J701" t="n">
        <v>0</v>
      </c>
      <c r="K701" t="n">
        <v>0</v>
      </c>
      <c r="L701" t="n">
        <v>0</v>
      </c>
      <c r="M701" t="n">
        <v>0</v>
      </c>
      <c r="N701" t="n">
        <v>0</v>
      </c>
      <c r="O701" t="n">
        <v>0</v>
      </c>
      <c r="P701" t="n">
        <v>0</v>
      </c>
      <c r="Q701" t="n">
        <v>0</v>
      </c>
      <c r="R701" s="2" t="inlineStr"/>
    </row>
    <row r="702" ht="15" customHeight="1">
      <c r="A702" t="inlineStr">
        <is>
          <t>A 41398-2022</t>
        </is>
      </c>
      <c r="B702" s="1" t="n">
        <v>44826</v>
      </c>
      <c r="C702" s="1" t="n">
        <v>46033</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22369-2021</t>
        </is>
      </c>
      <c r="B703" s="1" t="n">
        <v>44326</v>
      </c>
      <c r="C703" s="1" t="n">
        <v>46033</v>
      </c>
      <c r="D703" t="inlineStr">
        <is>
          <t>STOCKHOLMS LÄN</t>
        </is>
      </c>
      <c r="E703" t="inlineStr">
        <is>
          <t>NORRTÄLJE</t>
        </is>
      </c>
      <c r="F703" t="inlineStr">
        <is>
          <t>Holmen skog AB</t>
        </is>
      </c>
      <c r="G703" t="n">
        <v>3.4</v>
      </c>
      <c r="H703" t="n">
        <v>0</v>
      </c>
      <c r="I703" t="n">
        <v>0</v>
      </c>
      <c r="J703" t="n">
        <v>0</v>
      </c>
      <c r="K703" t="n">
        <v>0</v>
      </c>
      <c r="L703" t="n">
        <v>0</v>
      </c>
      <c r="M703" t="n">
        <v>0</v>
      </c>
      <c r="N703" t="n">
        <v>0</v>
      </c>
      <c r="O703" t="n">
        <v>0</v>
      </c>
      <c r="P703" t="n">
        <v>0</v>
      </c>
      <c r="Q703" t="n">
        <v>0</v>
      </c>
      <c r="R703" s="2" t="inlineStr"/>
    </row>
    <row r="704" ht="15" customHeight="1">
      <c r="A704" t="inlineStr">
        <is>
          <t>A 19398-2021</t>
        </is>
      </c>
      <c r="B704" s="1" t="n">
        <v>44309</v>
      </c>
      <c r="C704" s="1" t="n">
        <v>46033</v>
      </c>
      <c r="D704" t="inlineStr">
        <is>
          <t>STOCKHOLMS LÄN</t>
        </is>
      </c>
      <c r="E704" t="inlineStr">
        <is>
          <t>NORRTÄLJE</t>
        </is>
      </c>
      <c r="F704" t="inlineStr">
        <is>
          <t>Kommuner</t>
        </is>
      </c>
      <c r="G704" t="n">
        <v>2.1</v>
      </c>
      <c r="H704" t="n">
        <v>0</v>
      </c>
      <c r="I704" t="n">
        <v>0</v>
      </c>
      <c r="J704" t="n">
        <v>0</v>
      </c>
      <c r="K704" t="n">
        <v>0</v>
      </c>
      <c r="L704" t="n">
        <v>0</v>
      </c>
      <c r="M704" t="n">
        <v>0</v>
      </c>
      <c r="N704" t="n">
        <v>0</v>
      </c>
      <c r="O704" t="n">
        <v>0</v>
      </c>
      <c r="P704" t="n">
        <v>0</v>
      </c>
      <c r="Q704" t="n">
        <v>0</v>
      </c>
      <c r="R704" s="2" t="inlineStr"/>
    </row>
    <row r="705" ht="15" customHeight="1">
      <c r="A705" t="inlineStr">
        <is>
          <t>A 20210-2021</t>
        </is>
      </c>
      <c r="B705" s="1" t="n">
        <v>44314</v>
      </c>
      <c r="C705" s="1" t="n">
        <v>46033</v>
      </c>
      <c r="D705" t="inlineStr">
        <is>
          <t>STOCKHOLMS LÄN</t>
        </is>
      </c>
      <c r="E705" t="inlineStr">
        <is>
          <t>BOTKYRKA</t>
        </is>
      </c>
      <c r="G705" t="n">
        <v>4.2</v>
      </c>
      <c r="H705" t="n">
        <v>0</v>
      </c>
      <c r="I705" t="n">
        <v>0</v>
      </c>
      <c r="J705" t="n">
        <v>0</v>
      </c>
      <c r="K705" t="n">
        <v>0</v>
      </c>
      <c r="L705" t="n">
        <v>0</v>
      </c>
      <c r="M705" t="n">
        <v>0</v>
      </c>
      <c r="N705" t="n">
        <v>0</v>
      </c>
      <c r="O705" t="n">
        <v>0</v>
      </c>
      <c r="P705" t="n">
        <v>0</v>
      </c>
      <c r="Q705" t="n">
        <v>0</v>
      </c>
      <c r="R705" s="2" t="inlineStr"/>
    </row>
    <row r="706" ht="15" customHeight="1">
      <c r="A706" t="inlineStr">
        <is>
          <t>A 12779-2021</t>
        </is>
      </c>
      <c r="B706" s="1" t="n">
        <v>44270</v>
      </c>
      <c r="C706" s="1" t="n">
        <v>46033</v>
      </c>
      <c r="D706" t="inlineStr">
        <is>
          <t>STOCKHOLMS LÄN</t>
        </is>
      </c>
      <c r="E706" t="inlineStr">
        <is>
          <t>NORRTÄLJE</t>
        </is>
      </c>
      <c r="G706" t="n">
        <v>10.8</v>
      </c>
      <c r="H706" t="n">
        <v>0</v>
      </c>
      <c r="I706" t="n">
        <v>0</v>
      </c>
      <c r="J706" t="n">
        <v>0</v>
      </c>
      <c r="K706" t="n">
        <v>0</v>
      </c>
      <c r="L706" t="n">
        <v>0</v>
      </c>
      <c r="M706" t="n">
        <v>0</v>
      </c>
      <c r="N706" t="n">
        <v>0</v>
      </c>
      <c r="O706" t="n">
        <v>0</v>
      </c>
      <c r="P706" t="n">
        <v>0</v>
      </c>
      <c r="Q706" t="n">
        <v>0</v>
      </c>
      <c r="R706" s="2" t="inlineStr"/>
    </row>
    <row r="707" ht="15" customHeight="1">
      <c r="A707" t="inlineStr">
        <is>
          <t>A 12782-2021</t>
        </is>
      </c>
      <c r="B707" s="1" t="n">
        <v>44270</v>
      </c>
      <c r="C707" s="1" t="n">
        <v>46033</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45541-2022</t>
        </is>
      </c>
      <c r="B708" s="1" t="n">
        <v>44845.47672453704</v>
      </c>
      <c r="C708" s="1" t="n">
        <v>46033</v>
      </c>
      <c r="D708" t="inlineStr">
        <is>
          <t>STOCKHOLMS LÄN</t>
        </is>
      </c>
      <c r="E708" t="inlineStr">
        <is>
          <t>NORRTÄLJE</t>
        </is>
      </c>
      <c r="G708" t="n">
        <v>0.4</v>
      </c>
      <c r="H708" t="n">
        <v>0</v>
      </c>
      <c r="I708" t="n">
        <v>0</v>
      </c>
      <c r="J708" t="n">
        <v>0</v>
      </c>
      <c r="K708" t="n">
        <v>0</v>
      </c>
      <c r="L708" t="n">
        <v>0</v>
      </c>
      <c r="M708" t="n">
        <v>0</v>
      </c>
      <c r="N708" t="n">
        <v>0</v>
      </c>
      <c r="O708" t="n">
        <v>0</v>
      </c>
      <c r="P708" t="n">
        <v>0</v>
      </c>
      <c r="Q708" t="n">
        <v>0</v>
      </c>
      <c r="R708" s="2" t="inlineStr"/>
    </row>
    <row r="709" ht="15" customHeight="1">
      <c r="A709" t="inlineStr">
        <is>
          <t>A 68273-2021</t>
        </is>
      </c>
      <c r="B709" s="1" t="n">
        <v>44526</v>
      </c>
      <c r="C709" s="1" t="n">
        <v>46033</v>
      </c>
      <c r="D709" t="inlineStr">
        <is>
          <t>STOCKHOLMS LÄN</t>
        </is>
      </c>
      <c r="E709" t="inlineStr">
        <is>
          <t>NORRTÄLJE</t>
        </is>
      </c>
      <c r="G709" t="n">
        <v>5.3</v>
      </c>
      <c r="H709" t="n">
        <v>0</v>
      </c>
      <c r="I709" t="n">
        <v>0</v>
      </c>
      <c r="J709" t="n">
        <v>0</v>
      </c>
      <c r="K709" t="n">
        <v>0</v>
      </c>
      <c r="L709" t="n">
        <v>0</v>
      </c>
      <c r="M709" t="n">
        <v>0</v>
      </c>
      <c r="N709" t="n">
        <v>0</v>
      </c>
      <c r="O709" t="n">
        <v>0</v>
      </c>
      <c r="P709" t="n">
        <v>0</v>
      </c>
      <c r="Q709" t="n">
        <v>0</v>
      </c>
      <c r="R709" s="2" t="inlineStr"/>
    </row>
    <row r="710" ht="15" customHeight="1">
      <c r="A710" t="inlineStr">
        <is>
          <t>A 73772-2021</t>
        </is>
      </c>
      <c r="B710" s="1" t="n">
        <v>44552</v>
      </c>
      <c r="C710" s="1" t="n">
        <v>46033</v>
      </c>
      <c r="D710" t="inlineStr">
        <is>
          <t>STOCKHOLMS LÄN</t>
        </is>
      </c>
      <c r="E710" t="inlineStr">
        <is>
          <t>BOTKYRKA</t>
        </is>
      </c>
      <c r="G710" t="n">
        <v>0.8</v>
      </c>
      <c r="H710" t="n">
        <v>0</v>
      </c>
      <c r="I710" t="n">
        <v>0</v>
      </c>
      <c r="J710" t="n">
        <v>0</v>
      </c>
      <c r="K710" t="n">
        <v>0</v>
      </c>
      <c r="L710" t="n">
        <v>0</v>
      </c>
      <c r="M710" t="n">
        <v>0</v>
      </c>
      <c r="N710" t="n">
        <v>0</v>
      </c>
      <c r="O710" t="n">
        <v>0</v>
      </c>
      <c r="P710" t="n">
        <v>0</v>
      </c>
      <c r="Q710" t="n">
        <v>0</v>
      </c>
      <c r="R710" s="2" t="inlineStr"/>
    </row>
    <row r="711" ht="15" customHeight="1">
      <c r="A711" t="inlineStr">
        <is>
          <t>A 16437-2022</t>
        </is>
      </c>
      <c r="B711" s="1" t="n">
        <v>44671</v>
      </c>
      <c r="C711" s="1" t="n">
        <v>46033</v>
      </c>
      <c r="D711" t="inlineStr">
        <is>
          <t>STOCKHOLMS LÄN</t>
        </is>
      </c>
      <c r="E711" t="inlineStr">
        <is>
          <t>SÖDERTÄLJE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40143-2021</t>
        </is>
      </c>
      <c r="B712" s="1" t="n">
        <v>44418</v>
      </c>
      <c r="C712" s="1" t="n">
        <v>46033</v>
      </c>
      <c r="D712" t="inlineStr">
        <is>
          <t>STOCKHOLMS LÄN</t>
        </is>
      </c>
      <c r="E712" t="inlineStr">
        <is>
          <t>NYNÄSHAMN</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5562-2021</t>
        </is>
      </c>
      <c r="B713" s="1" t="n">
        <v>44230</v>
      </c>
      <c r="C713" s="1" t="n">
        <v>46033</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5566-2021</t>
        </is>
      </c>
      <c r="B714" s="1" t="n">
        <v>44230</v>
      </c>
      <c r="C714" s="1" t="n">
        <v>46033</v>
      </c>
      <c r="D714" t="inlineStr">
        <is>
          <t>STOCKHOLMS LÄN</t>
        </is>
      </c>
      <c r="E714" t="inlineStr">
        <is>
          <t>NORRTÄLJE</t>
        </is>
      </c>
      <c r="G714" t="n">
        <v>3.1</v>
      </c>
      <c r="H714" t="n">
        <v>0</v>
      </c>
      <c r="I714" t="n">
        <v>0</v>
      </c>
      <c r="J714" t="n">
        <v>0</v>
      </c>
      <c r="K714" t="n">
        <v>0</v>
      </c>
      <c r="L714" t="n">
        <v>0</v>
      </c>
      <c r="M714" t="n">
        <v>0</v>
      </c>
      <c r="N714" t="n">
        <v>0</v>
      </c>
      <c r="O714" t="n">
        <v>0</v>
      </c>
      <c r="P714" t="n">
        <v>0</v>
      </c>
      <c r="Q714" t="n">
        <v>0</v>
      </c>
      <c r="R714" s="2" t="inlineStr"/>
    </row>
    <row r="715" ht="15" customHeight="1">
      <c r="A715" t="inlineStr">
        <is>
          <t>A 37843-2022</t>
        </is>
      </c>
      <c r="B715" s="1" t="n">
        <v>44810</v>
      </c>
      <c r="C715" s="1" t="n">
        <v>46033</v>
      </c>
      <c r="D715" t="inlineStr">
        <is>
          <t>STOCKHOLMS LÄN</t>
        </is>
      </c>
      <c r="E715" t="inlineStr">
        <is>
          <t>SÖDERTÄLJE</t>
        </is>
      </c>
      <c r="G715" t="n">
        <v>5.5</v>
      </c>
      <c r="H715" t="n">
        <v>0</v>
      </c>
      <c r="I715" t="n">
        <v>0</v>
      </c>
      <c r="J715" t="n">
        <v>0</v>
      </c>
      <c r="K715" t="n">
        <v>0</v>
      </c>
      <c r="L715" t="n">
        <v>0</v>
      </c>
      <c r="M715" t="n">
        <v>0</v>
      </c>
      <c r="N715" t="n">
        <v>0</v>
      </c>
      <c r="O715" t="n">
        <v>0</v>
      </c>
      <c r="P715" t="n">
        <v>0</v>
      </c>
      <c r="Q715" t="n">
        <v>0</v>
      </c>
      <c r="R715" s="2" t="inlineStr"/>
    </row>
    <row r="716" ht="15" customHeight="1">
      <c r="A716" t="inlineStr">
        <is>
          <t>A 52139-2022</t>
        </is>
      </c>
      <c r="B716" s="1" t="n">
        <v>44868</v>
      </c>
      <c r="C716" s="1" t="n">
        <v>46033</v>
      </c>
      <c r="D716" t="inlineStr">
        <is>
          <t>STOCKHOLMS LÄN</t>
        </is>
      </c>
      <c r="E716" t="inlineStr">
        <is>
          <t>NORRTÄLJE</t>
        </is>
      </c>
      <c r="G716" t="n">
        <v>3.2</v>
      </c>
      <c r="H716" t="n">
        <v>0</v>
      </c>
      <c r="I716" t="n">
        <v>0</v>
      </c>
      <c r="J716" t="n">
        <v>0</v>
      </c>
      <c r="K716" t="n">
        <v>0</v>
      </c>
      <c r="L716" t="n">
        <v>0</v>
      </c>
      <c r="M716" t="n">
        <v>0</v>
      </c>
      <c r="N716" t="n">
        <v>0</v>
      </c>
      <c r="O716" t="n">
        <v>0</v>
      </c>
      <c r="P716" t="n">
        <v>0</v>
      </c>
      <c r="Q716" t="n">
        <v>0</v>
      </c>
      <c r="R716" s="2" t="inlineStr"/>
      <c r="U716">
        <f>HYPERLINK("https://klasma.github.io/Logging_0188/knärot/A 52139-2022 karta knärot.png", "A 52139-2022")</f>
        <v/>
      </c>
      <c r="V716">
        <f>HYPERLINK("https://klasma.github.io/Logging_0188/klagomål/A 52139-2022 FSC-klagomål.docx", "A 52139-2022")</f>
        <v/>
      </c>
      <c r="W716">
        <f>HYPERLINK("https://klasma.github.io/Logging_0188/klagomålsmail/A 52139-2022 FSC-klagomål mail.docx", "A 52139-2022")</f>
        <v/>
      </c>
      <c r="X716">
        <f>HYPERLINK("https://klasma.github.io/Logging_0188/tillsyn/A 52139-2022 tillsynsbegäran.docx", "A 52139-2022")</f>
        <v/>
      </c>
      <c r="Y716">
        <f>HYPERLINK("https://klasma.github.io/Logging_0188/tillsynsmail/A 52139-2022 tillsynsbegäran mail.docx", "A 52139-2022")</f>
        <v/>
      </c>
    </row>
    <row r="717" ht="15" customHeight="1">
      <c r="A717" t="inlineStr">
        <is>
          <t>A 42624-2021</t>
        </is>
      </c>
      <c r="B717" s="1" t="n">
        <v>44428</v>
      </c>
      <c r="C717" s="1" t="n">
        <v>46033</v>
      </c>
      <c r="D717" t="inlineStr">
        <is>
          <t>STOCKHOLMS LÄN</t>
        </is>
      </c>
      <c r="E717" t="inlineStr">
        <is>
          <t>VALLENTUNA</t>
        </is>
      </c>
      <c r="G717" t="n">
        <v>0.7</v>
      </c>
      <c r="H717" t="n">
        <v>0</v>
      </c>
      <c r="I717" t="n">
        <v>0</v>
      </c>
      <c r="J717" t="n">
        <v>0</v>
      </c>
      <c r="K717" t="n">
        <v>0</v>
      </c>
      <c r="L717" t="n">
        <v>0</v>
      </c>
      <c r="M717" t="n">
        <v>0</v>
      </c>
      <c r="N717" t="n">
        <v>0</v>
      </c>
      <c r="O717" t="n">
        <v>0</v>
      </c>
      <c r="P717" t="n">
        <v>0</v>
      </c>
      <c r="Q717" t="n">
        <v>0</v>
      </c>
      <c r="R717" s="2" t="inlineStr"/>
    </row>
    <row r="718" ht="15" customHeight="1">
      <c r="A718" t="inlineStr">
        <is>
          <t>A 9446-2021</t>
        </is>
      </c>
      <c r="B718" s="1" t="n">
        <v>44251</v>
      </c>
      <c r="C718" s="1" t="n">
        <v>46033</v>
      </c>
      <c r="D718" t="inlineStr">
        <is>
          <t>STOCKHOLMS LÄN</t>
        </is>
      </c>
      <c r="E718" t="inlineStr">
        <is>
          <t>NORRTÄLJE</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17673-2021</t>
        </is>
      </c>
      <c r="B719" s="1" t="n">
        <v>44300</v>
      </c>
      <c r="C719" s="1" t="n">
        <v>46033</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c r="T719">
        <f>HYPERLINK("https://klasma.github.io/Logging_0188/kartor/A 17673-2021 karta.png", "A 17673-2021")</f>
        <v/>
      </c>
      <c r="V719">
        <f>HYPERLINK("https://klasma.github.io/Logging_0188/klagomål/A 17673-2021 FSC-klagomål.docx", "A 17673-2021")</f>
        <v/>
      </c>
      <c r="W719">
        <f>HYPERLINK("https://klasma.github.io/Logging_0188/klagomålsmail/A 17673-2021 FSC-klagomål mail.docx", "A 17673-2021")</f>
        <v/>
      </c>
      <c r="X719">
        <f>HYPERLINK("https://klasma.github.io/Logging_0188/tillsyn/A 17673-2021 tillsynsbegäran.docx", "A 17673-2021")</f>
        <v/>
      </c>
      <c r="Y719">
        <f>HYPERLINK("https://klasma.github.io/Logging_0188/tillsynsmail/A 17673-2021 tillsynsbegäran mail.docx", "A 17673-2021")</f>
        <v/>
      </c>
      <c r="Z719">
        <f>HYPERLINK("https://klasma.github.io/Logging_0188/fåglar/A 17673-2021 prioriterade fågelarter.docx", "A 17673-2021")</f>
        <v/>
      </c>
    </row>
    <row r="720" ht="15" customHeight="1">
      <c r="A720" t="inlineStr">
        <is>
          <t>A 27217-2021</t>
        </is>
      </c>
      <c r="B720" s="1" t="n">
        <v>44350</v>
      </c>
      <c r="C720" s="1" t="n">
        <v>46033</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46033</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44642.55565972222</v>
      </c>
      <c r="C722" s="1" t="n">
        <v>46033</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10817-2021</t>
        </is>
      </c>
      <c r="B723" s="1" t="n">
        <v>44259</v>
      </c>
      <c r="C723" s="1" t="n">
        <v>46033</v>
      </c>
      <c r="D723" t="inlineStr">
        <is>
          <t>STOCKHOLMS LÄN</t>
        </is>
      </c>
      <c r="E723" t="inlineStr">
        <is>
          <t>BOTKYRKA</t>
        </is>
      </c>
      <c r="G723" t="n">
        <v>0.9</v>
      </c>
      <c r="H723" t="n">
        <v>0</v>
      </c>
      <c r="I723" t="n">
        <v>0</v>
      </c>
      <c r="J723" t="n">
        <v>0</v>
      </c>
      <c r="K723" t="n">
        <v>0</v>
      </c>
      <c r="L723" t="n">
        <v>0</v>
      </c>
      <c r="M723" t="n">
        <v>0</v>
      </c>
      <c r="N723" t="n">
        <v>0</v>
      </c>
      <c r="O723" t="n">
        <v>0</v>
      </c>
      <c r="P723" t="n">
        <v>0</v>
      </c>
      <c r="Q723" t="n">
        <v>0</v>
      </c>
      <c r="R723" s="2" t="inlineStr"/>
    </row>
    <row r="724" ht="15" customHeight="1">
      <c r="A724" t="inlineStr">
        <is>
          <t>A 10525-2021</t>
        </is>
      </c>
      <c r="B724" s="1" t="n">
        <v>44258</v>
      </c>
      <c r="C724" s="1" t="n">
        <v>46033</v>
      </c>
      <c r="D724" t="inlineStr">
        <is>
          <t>STOCKHOLMS LÄN</t>
        </is>
      </c>
      <c r="E724" t="inlineStr">
        <is>
          <t>NYNÄSHAMN</t>
        </is>
      </c>
      <c r="G724" t="n">
        <v>1.1</v>
      </c>
      <c r="H724" t="n">
        <v>0</v>
      </c>
      <c r="I724" t="n">
        <v>0</v>
      </c>
      <c r="J724" t="n">
        <v>0</v>
      </c>
      <c r="K724" t="n">
        <v>0</v>
      </c>
      <c r="L724" t="n">
        <v>0</v>
      </c>
      <c r="M724" t="n">
        <v>0</v>
      </c>
      <c r="N724" t="n">
        <v>0</v>
      </c>
      <c r="O724" t="n">
        <v>0</v>
      </c>
      <c r="P724" t="n">
        <v>0</v>
      </c>
      <c r="Q724" t="n">
        <v>0</v>
      </c>
      <c r="R724" s="2" t="inlineStr"/>
    </row>
    <row r="725" ht="15" customHeight="1">
      <c r="A725" t="inlineStr">
        <is>
          <t>A 23453-2021</t>
        </is>
      </c>
      <c r="B725" s="1" t="n">
        <v>44333</v>
      </c>
      <c r="C725" s="1" t="n">
        <v>46033</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14725-2022</t>
        </is>
      </c>
      <c r="B726" s="1" t="n">
        <v>44655</v>
      </c>
      <c r="C726" s="1" t="n">
        <v>46033</v>
      </c>
      <c r="D726" t="inlineStr">
        <is>
          <t>STOCKHOLMS LÄN</t>
        </is>
      </c>
      <c r="E726" t="inlineStr">
        <is>
          <t>VALLENTUNA</t>
        </is>
      </c>
      <c r="G726" t="n">
        <v>0.6</v>
      </c>
      <c r="H726" t="n">
        <v>0</v>
      </c>
      <c r="I726" t="n">
        <v>0</v>
      </c>
      <c r="J726" t="n">
        <v>0</v>
      </c>
      <c r="K726" t="n">
        <v>0</v>
      </c>
      <c r="L726" t="n">
        <v>0</v>
      </c>
      <c r="M726" t="n">
        <v>0</v>
      </c>
      <c r="N726" t="n">
        <v>0</v>
      </c>
      <c r="O726" t="n">
        <v>0</v>
      </c>
      <c r="P726" t="n">
        <v>0</v>
      </c>
      <c r="Q726" t="n">
        <v>0</v>
      </c>
      <c r="R726" s="2" t="inlineStr"/>
    </row>
    <row r="727" ht="15" customHeight="1">
      <c r="A727" t="inlineStr">
        <is>
          <t>A 49657-2021</t>
        </is>
      </c>
      <c r="B727" s="1" t="n">
        <v>44455.45670138889</v>
      </c>
      <c r="C727" s="1" t="n">
        <v>46033</v>
      </c>
      <c r="D727" t="inlineStr">
        <is>
          <t>STOCKHOLMS LÄN</t>
        </is>
      </c>
      <c r="E727" t="inlineStr">
        <is>
          <t>NYNÄSHAMN</t>
        </is>
      </c>
      <c r="G727" t="n">
        <v>1</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46033</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46033</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72176-2021</t>
        </is>
      </c>
      <c r="B730" s="1" t="n">
        <v>44544</v>
      </c>
      <c r="C730" s="1" t="n">
        <v>46033</v>
      </c>
      <c r="D730" t="inlineStr">
        <is>
          <t>STOCKHOLMS LÄN</t>
        </is>
      </c>
      <c r="E730" t="inlineStr">
        <is>
          <t>VÄRMDÖ</t>
        </is>
      </c>
      <c r="G730" t="n">
        <v>2.6</v>
      </c>
      <c r="H730" t="n">
        <v>0</v>
      </c>
      <c r="I730" t="n">
        <v>0</v>
      </c>
      <c r="J730" t="n">
        <v>0</v>
      </c>
      <c r="K730" t="n">
        <v>0</v>
      </c>
      <c r="L730" t="n">
        <v>0</v>
      </c>
      <c r="M730" t="n">
        <v>0</v>
      </c>
      <c r="N730" t="n">
        <v>0</v>
      </c>
      <c r="O730" t="n">
        <v>0</v>
      </c>
      <c r="P730" t="n">
        <v>0</v>
      </c>
      <c r="Q730" t="n">
        <v>0</v>
      </c>
      <c r="R730" s="2" t="inlineStr"/>
    </row>
    <row r="731" ht="15" customHeight="1">
      <c r="A731" t="inlineStr">
        <is>
          <t>A 41822-2021</t>
        </is>
      </c>
      <c r="B731" s="1" t="n">
        <v>44425</v>
      </c>
      <c r="C731" s="1" t="n">
        <v>46033</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41823-2021</t>
        </is>
      </c>
      <c r="B732" s="1" t="n">
        <v>44425</v>
      </c>
      <c r="C732" s="1" t="n">
        <v>46033</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27214-2021</t>
        </is>
      </c>
      <c r="B733" s="1" t="n">
        <v>44350</v>
      </c>
      <c r="C733" s="1" t="n">
        <v>46033</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46033</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41463-2021</t>
        </is>
      </c>
      <c r="B735" s="1" t="n">
        <v>44424</v>
      </c>
      <c r="C735" s="1" t="n">
        <v>46033</v>
      </c>
      <c r="D735" t="inlineStr">
        <is>
          <t>STOCKHOLMS LÄN</t>
        </is>
      </c>
      <c r="E735" t="inlineStr">
        <is>
          <t>UPPLANDS-BRO</t>
        </is>
      </c>
      <c r="G735" t="n">
        <v>4</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46033</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20295-2022</t>
        </is>
      </c>
      <c r="B737" s="1" t="n">
        <v>44698</v>
      </c>
      <c r="C737" s="1" t="n">
        <v>46033</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35492-2021</t>
        </is>
      </c>
      <c r="B738" s="1" t="n">
        <v>44385</v>
      </c>
      <c r="C738" s="1" t="n">
        <v>46033</v>
      </c>
      <c r="D738" t="inlineStr">
        <is>
          <t>STOCKHOLMS LÄN</t>
        </is>
      </c>
      <c r="E738" t="inlineStr">
        <is>
          <t>BOTKYRKA</t>
        </is>
      </c>
      <c r="G738" t="n">
        <v>2.9</v>
      </c>
      <c r="H738" t="n">
        <v>0</v>
      </c>
      <c r="I738" t="n">
        <v>0</v>
      </c>
      <c r="J738" t="n">
        <v>0</v>
      </c>
      <c r="K738" t="n">
        <v>0</v>
      </c>
      <c r="L738" t="n">
        <v>0</v>
      </c>
      <c r="M738" t="n">
        <v>0</v>
      </c>
      <c r="N738" t="n">
        <v>0</v>
      </c>
      <c r="O738" t="n">
        <v>0</v>
      </c>
      <c r="P738" t="n">
        <v>0</v>
      </c>
      <c r="Q738" t="n">
        <v>0</v>
      </c>
      <c r="R738" s="2" t="inlineStr"/>
    </row>
    <row r="739" ht="15" customHeight="1">
      <c r="A739" t="inlineStr">
        <is>
          <t>A 37415-2021</t>
        </is>
      </c>
      <c r="B739" s="1" t="n">
        <v>44397</v>
      </c>
      <c r="C739" s="1" t="n">
        <v>46033</v>
      </c>
      <c r="D739" t="inlineStr">
        <is>
          <t>STOCKHOLMS LÄN</t>
        </is>
      </c>
      <c r="E739" t="inlineStr">
        <is>
          <t>NORRTÄLJE</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37000-2022</t>
        </is>
      </c>
      <c r="B740" s="1" t="n">
        <v>44806</v>
      </c>
      <c r="C740" s="1" t="n">
        <v>46033</v>
      </c>
      <c r="D740" t="inlineStr">
        <is>
          <t>STOCKHOLMS LÄN</t>
        </is>
      </c>
      <c r="E740" t="inlineStr">
        <is>
          <t>HANINGE</t>
        </is>
      </c>
      <c r="F740" t="inlineStr">
        <is>
          <t>Övriga statliga verk och myndigheter</t>
        </is>
      </c>
      <c r="G740" t="n">
        <v>2</v>
      </c>
      <c r="H740" t="n">
        <v>0</v>
      </c>
      <c r="I740" t="n">
        <v>0</v>
      </c>
      <c r="J740" t="n">
        <v>0</v>
      </c>
      <c r="K740" t="n">
        <v>0</v>
      </c>
      <c r="L740" t="n">
        <v>0</v>
      </c>
      <c r="M740" t="n">
        <v>0</v>
      </c>
      <c r="N740" t="n">
        <v>0</v>
      </c>
      <c r="O740" t="n">
        <v>0</v>
      </c>
      <c r="P740" t="n">
        <v>0</v>
      </c>
      <c r="Q740" t="n">
        <v>0</v>
      </c>
      <c r="R740" s="2" t="inlineStr"/>
    </row>
    <row r="741" ht="15" customHeight="1">
      <c r="A741" t="inlineStr">
        <is>
          <t>A 31160-2022</t>
        </is>
      </c>
      <c r="B741" s="1" t="n">
        <v>44770</v>
      </c>
      <c r="C741" s="1" t="n">
        <v>46033</v>
      </c>
      <c r="D741" t="inlineStr">
        <is>
          <t>STOCKHOLMS LÄN</t>
        </is>
      </c>
      <c r="E741" t="inlineStr">
        <is>
          <t>UPPLANDS-BRO</t>
        </is>
      </c>
      <c r="G741" t="n">
        <v>3.7</v>
      </c>
      <c r="H741" t="n">
        <v>0</v>
      </c>
      <c r="I741" t="n">
        <v>0</v>
      </c>
      <c r="J741" t="n">
        <v>0</v>
      </c>
      <c r="K741" t="n">
        <v>0</v>
      </c>
      <c r="L741" t="n">
        <v>0</v>
      </c>
      <c r="M741" t="n">
        <v>0</v>
      </c>
      <c r="N741" t="n">
        <v>0</v>
      </c>
      <c r="O741" t="n">
        <v>0</v>
      </c>
      <c r="P741" t="n">
        <v>0</v>
      </c>
      <c r="Q741" t="n">
        <v>0</v>
      </c>
      <c r="R741" s="2" t="inlineStr"/>
    </row>
    <row r="742" ht="15" customHeight="1">
      <c r="A742" t="inlineStr">
        <is>
          <t>A 7085-2022</t>
        </is>
      </c>
      <c r="B742" s="1" t="n">
        <v>44603</v>
      </c>
      <c r="C742" s="1" t="n">
        <v>46033</v>
      </c>
      <c r="D742" t="inlineStr">
        <is>
          <t>STOCKHOLMS LÄN</t>
        </is>
      </c>
      <c r="E742" t="inlineStr">
        <is>
          <t>VALLENTUNA</t>
        </is>
      </c>
      <c r="G742" t="n">
        <v>1.6</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46033</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8160-2022</t>
        </is>
      </c>
      <c r="B744" s="1" t="n">
        <v>44609</v>
      </c>
      <c r="C744" s="1" t="n">
        <v>46033</v>
      </c>
      <c r="D744" t="inlineStr">
        <is>
          <t>STOCKHOLMS LÄN</t>
        </is>
      </c>
      <c r="E744" t="inlineStr">
        <is>
          <t>NORRTÄLJE</t>
        </is>
      </c>
      <c r="G744" t="n">
        <v>3.9</v>
      </c>
      <c r="H744" t="n">
        <v>0</v>
      </c>
      <c r="I744" t="n">
        <v>0</v>
      </c>
      <c r="J744" t="n">
        <v>0</v>
      </c>
      <c r="K744" t="n">
        <v>0</v>
      </c>
      <c r="L744" t="n">
        <v>0</v>
      </c>
      <c r="M744" t="n">
        <v>0</v>
      </c>
      <c r="N744" t="n">
        <v>0</v>
      </c>
      <c r="O744" t="n">
        <v>0</v>
      </c>
      <c r="P744" t="n">
        <v>0</v>
      </c>
      <c r="Q744" t="n">
        <v>0</v>
      </c>
      <c r="R744" s="2" t="inlineStr"/>
    </row>
    <row r="745" ht="15" customHeight="1">
      <c r="A745" t="inlineStr">
        <is>
          <t>A 48647-2022</t>
        </is>
      </c>
      <c r="B745" s="1" t="n">
        <v>44859</v>
      </c>
      <c r="C745" s="1" t="n">
        <v>46033</v>
      </c>
      <c r="D745" t="inlineStr">
        <is>
          <t>STOCKHOLMS LÄN</t>
        </is>
      </c>
      <c r="E745" t="inlineStr">
        <is>
          <t>BOTKYRKA</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67220-2021</t>
        </is>
      </c>
      <c r="B746" s="1" t="n">
        <v>44523</v>
      </c>
      <c r="C746" s="1" t="n">
        <v>46033</v>
      </c>
      <c r="D746" t="inlineStr">
        <is>
          <t>STOCKHOLMS LÄN</t>
        </is>
      </c>
      <c r="E746" t="inlineStr">
        <is>
          <t>NYKVARN</t>
        </is>
      </c>
      <c r="G746" t="n">
        <v>3.4</v>
      </c>
      <c r="H746" t="n">
        <v>0</v>
      </c>
      <c r="I746" t="n">
        <v>0</v>
      </c>
      <c r="J746" t="n">
        <v>0</v>
      </c>
      <c r="K746" t="n">
        <v>0</v>
      </c>
      <c r="L746" t="n">
        <v>0</v>
      </c>
      <c r="M746" t="n">
        <v>0</v>
      </c>
      <c r="N746" t="n">
        <v>0</v>
      </c>
      <c r="O746" t="n">
        <v>0</v>
      </c>
      <c r="P746" t="n">
        <v>0</v>
      </c>
      <c r="Q746" t="n">
        <v>0</v>
      </c>
      <c r="R746" s="2" t="inlineStr"/>
    </row>
    <row r="747" ht="15" customHeight="1">
      <c r="A747" t="inlineStr">
        <is>
          <t>A 39319-2022</t>
        </is>
      </c>
      <c r="B747" s="1" t="n">
        <v>44817.70516203704</v>
      </c>
      <c r="C747" s="1" t="n">
        <v>46033</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56219-2021</t>
        </is>
      </c>
      <c r="B748" s="1" t="n">
        <v>44477</v>
      </c>
      <c r="C748" s="1" t="n">
        <v>46033</v>
      </c>
      <c r="D748" t="inlineStr">
        <is>
          <t>STOCKHOLMS LÄN</t>
        </is>
      </c>
      <c r="E748" t="inlineStr">
        <is>
          <t>NORRTÄLJE</t>
        </is>
      </c>
      <c r="F748" t="inlineStr">
        <is>
          <t>Kommuner</t>
        </is>
      </c>
      <c r="G748" t="n">
        <v>2.3</v>
      </c>
      <c r="H748" t="n">
        <v>0</v>
      </c>
      <c r="I748" t="n">
        <v>0</v>
      </c>
      <c r="J748" t="n">
        <v>0</v>
      </c>
      <c r="K748" t="n">
        <v>0</v>
      </c>
      <c r="L748" t="n">
        <v>0</v>
      </c>
      <c r="M748" t="n">
        <v>0</v>
      </c>
      <c r="N748" t="n">
        <v>0</v>
      </c>
      <c r="O748" t="n">
        <v>0</v>
      </c>
      <c r="P748" t="n">
        <v>0</v>
      </c>
      <c r="Q748" t="n">
        <v>0</v>
      </c>
      <c r="R748" s="2" t="inlineStr"/>
    </row>
    <row r="749" ht="15" customHeight="1">
      <c r="A749" t="inlineStr">
        <is>
          <t>A 48309-2022</t>
        </is>
      </c>
      <c r="B749" s="1" t="n">
        <v>44854</v>
      </c>
      <c r="C749" s="1" t="n">
        <v>46033</v>
      </c>
      <c r="D749" t="inlineStr">
        <is>
          <t>STOCKHOLMS LÄN</t>
        </is>
      </c>
      <c r="E749" t="inlineStr">
        <is>
          <t>NYNÄSHAMN</t>
        </is>
      </c>
      <c r="F749" t="inlineStr">
        <is>
          <t>Övriga statliga verk och myndigheter</t>
        </is>
      </c>
      <c r="G749" t="n">
        <v>7.4</v>
      </c>
      <c r="H749" t="n">
        <v>0</v>
      </c>
      <c r="I749" t="n">
        <v>0</v>
      </c>
      <c r="J749" t="n">
        <v>0</v>
      </c>
      <c r="K749" t="n">
        <v>0</v>
      </c>
      <c r="L749" t="n">
        <v>0</v>
      </c>
      <c r="M749" t="n">
        <v>0</v>
      </c>
      <c r="N749" t="n">
        <v>0</v>
      </c>
      <c r="O749" t="n">
        <v>0</v>
      </c>
      <c r="P749" t="n">
        <v>0</v>
      </c>
      <c r="Q749" t="n">
        <v>0</v>
      </c>
      <c r="R749" s="2" t="inlineStr"/>
    </row>
    <row r="750" ht="15" customHeight="1">
      <c r="A750" t="inlineStr">
        <is>
          <t>A 14719-2022</t>
        </is>
      </c>
      <c r="B750" s="1" t="n">
        <v>44655</v>
      </c>
      <c r="C750" s="1" t="n">
        <v>46033</v>
      </c>
      <c r="D750" t="inlineStr">
        <is>
          <t>STOCKHOLMS LÄN</t>
        </is>
      </c>
      <c r="E750" t="inlineStr">
        <is>
          <t>UPPLANDS-BRO</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15226-2022</t>
        </is>
      </c>
      <c r="B751" s="1" t="n">
        <v>44658</v>
      </c>
      <c r="C751" s="1" t="n">
        <v>46033</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3300-2022</t>
        </is>
      </c>
      <c r="B752" s="1" t="n">
        <v>44584.91538194445</v>
      </c>
      <c r="C752" s="1" t="n">
        <v>46033</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17388-2022</t>
        </is>
      </c>
      <c r="B753" s="1" t="n">
        <v>44678</v>
      </c>
      <c r="C753" s="1" t="n">
        <v>46033</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10521-2022</t>
        </is>
      </c>
      <c r="B754" s="1" t="n">
        <v>44623</v>
      </c>
      <c r="C754" s="1" t="n">
        <v>46033</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17771-2022</t>
        </is>
      </c>
      <c r="B755" s="1" t="n">
        <v>44682.75924768519</v>
      </c>
      <c r="C755" s="1" t="n">
        <v>46033</v>
      </c>
      <c r="D755" t="inlineStr">
        <is>
          <t>STOCKHOLMS LÄN</t>
        </is>
      </c>
      <c r="E755" t="inlineStr">
        <is>
          <t>NORRTÄLJE</t>
        </is>
      </c>
      <c r="G755" t="n">
        <v>13.3</v>
      </c>
      <c r="H755" t="n">
        <v>0</v>
      </c>
      <c r="I755" t="n">
        <v>0</v>
      </c>
      <c r="J755" t="n">
        <v>0</v>
      </c>
      <c r="K755" t="n">
        <v>0</v>
      </c>
      <c r="L755" t="n">
        <v>0</v>
      </c>
      <c r="M755" t="n">
        <v>0</v>
      </c>
      <c r="N755" t="n">
        <v>0</v>
      </c>
      <c r="O755" t="n">
        <v>0</v>
      </c>
      <c r="P755" t="n">
        <v>0</v>
      </c>
      <c r="Q755" t="n">
        <v>0</v>
      </c>
      <c r="R755" s="2" t="inlineStr"/>
    </row>
    <row r="756" ht="15" customHeight="1">
      <c r="A756" t="inlineStr">
        <is>
          <t>A 17773-2022</t>
        </is>
      </c>
      <c r="B756" s="1" t="n">
        <v>44682.77616898148</v>
      </c>
      <c r="C756" s="1" t="n">
        <v>46033</v>
      </c>
      <c r="D756" t="inlineStr">
        <is>
          <t>STOCKHOLMS LÄN</t>
        </is>
      </c>
      <c r="E756" t="inlineStr">
        <is>
          <t>NORRTÄLJE</t>
        </is>
      </c>
      <c r="G756" t="n">
        <v>10.8</v>
      </c>
      <c r="H756" t="n">
        <v>0</v>
      </c>
      <c r="I756" t="n">
        <v>0</v>
      </c>
      <c r="J756" t="n">
        <v>0</v>
      </c>
      <c r="K756" t="n">
        <v>0</v>
      </c>
      <c r="L756" t="n">
        <v>0</v>
      </c>
      <c r="M756" t="n">
        <v>0</v>
      </c>
      <c r="N756" t="n">
        <v>0</v>
      </c>
      <c r="O756" t="n">
        <v>0</v>
      </c>
      <c r="P756" t="n">
        <v>0</v>
      </c>
      <c r="Q756" t="n">
        <v>0</v>
      </c>
      <c r="R756" s="2" t="inlineStr"/>
    </row>
    <row r="757" ht="15" customHeight="1">
      <c r="A757" t="inlineStr">
        <is>
          <t>A 18091-2022</t>
        </is>
      </c>
      <c r="B757" s="1" t="n">
        <v>44684</v>
      </c>
      <c r="C757" s="1" t="n">
        <v>46033</v>
      </c>
      <c r="D757" t="inlineStr">
        <is>
          <t>STOCKHOLMS LÄN</t>
        </is>
      </c>
      <c r="E757" t="inlineStr">
        <is>
          <t>ÖSTERÅKER</t>
        </is>
      </c>
      <c r="G757" t="n">
        <v>6.1</v>
      </c>
      <c r="H757" t="n">
        <v>0</v>
      </c>
      <c r="I757" t="n">
        <v>0</v>
      </c>
      <c r="J757" t="n">
        <v>0</v>
      </c>
      <c r="K757" t="n">
        <v>0</v>
      </c>
      <c r="L757" t="n">
        <v>0</v>
      </c>
      <c r="M757" t="n">
        <v>0</v>
      </c>
      <c r="N757" t="n">
        <v>0</v>
      </c>
      <c r="O757" t="n">
        <v>0</v>
      </c>
      <c r="P757" t="n">
        <v>0</v>
      </c>
      <c r="Q757" t="n">
        <v>0</v>
      </c>
      <c r="R757" s="2" t="inlineStr"/>
    </row>
    <row r="758" ht="15" customHeight="1">
      <c r="A758" t="inlineStr">
        <is>
          <t>A 31429-2022</t>
        </is>
      </c>
      <c r="B758" s="1" t="n">
        <v>44774.85231481482</v>
      </c>
      <c r="C758" s="1" t="n">
        <v>46033</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51482-2021</t>
        </is>
      </c>
      <c r="B759" s="1" t="n">
        <v>44460</v>
      </c>
      <c r="C759" s="1" t="n">
        <v>46033</v>
      </c>
      <c r="D759" t="inlineStr">
        <is>
          <t>STOCKHOLMS LÄN</t>
        </is>
      </c>
      <c r="E759" t="inlineStr">
        <is>
          <t>SÖDERTÄLJE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44665.65474537037</v>
      </c>
      <c r="C760" s="1" t="n">
        <v>46033</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44665.78351851852</v>
      </c>
      <c r="C761" s="1" t="n">
        <v>46033</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24308-2021</t>
        </is>
      </c>
      <c r="B762" s="1" t="n">
        <v>44336</v>
      </c>
      <c r="C762" s="1" t="n">
        <v>46033</v>
      </c>
      <c r="D762" t="inlineStr">
        <is>
          <t>STOCKHOLMS LÄN</t>
        </is>
      </c>
      <c r="E762" t="inlineStr">
        <is>
          <t>UPPLANDS-BRO</t>
        </is>
      </c>
      <c r="G762" t="n">
        <v>1.4</v>
      </c>
      <c r="H762" t="n">
        <v>0</v>
      </c>
      <c r="I762" t="n">
        <v>0</v>
      </c>
      <c r="J762" t="n">
        <v>0</v>
      </c>
      <c r="K762" t="n">
        <v>0</v>
      </c>
      <c r="L762" t="n">
        <v>0</v>
      </c>
      <c r="M762" t="n">
        <v>0</v>
      </c>
      <c r="N762" t="n">
        <v>0</v>
      </c>
      <c r="O762" t="n">
        <v>0</v>
      </c>
      <c r="P762" t="n">
        <v>0</v>
      </c>
      <c r="Q762" t="n">
        <v>0</v>
      </c>
      <c r="R762" s="2" t="inlineStr"/>
    </row>
    <row r="763" ht="15" customHeight="1">
      <c r="A763" t="inlineStr">
        <is>
          <t>A 70170-2021</t>
        </is>
      </c>
      <c r="B763" s="1" t="n">
        <v>44533</v>
      </c>
      <c r="C763" s="1" t="n">
        <v>46033</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25463-2021</t>
        </is>
      </c>
      <c r="B764" s="1" t="n">
        <v>44342</v>
      </c>
      <c r="C764" s="1" t="n">
        <v>46033</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21102-2022</t>
        </is>
      </c>
      <c r="B765" s="1" t="n">
        <v>44704</v>
      </c>
      <c r="C765" s="1" t="n">
        <v>46033</v>
      </c>
      <c r="D765" t="inlineStr">
        <is>
          <t>STOCKHOLMS LÄN</t>
        </is>
      </c>
      <c r="E765" t="inlineStr">
        <is>
          <t>NORRTÄLJE</t>
        </is>
      </c>
      <c r="G765" t="n">
        <v>0.2</v>
      </c>
      <c r="H765" t="n">
        <v>0</v>
      </c>
      <c r="I765" t="n">
        <v>0</v>
      </c>
      <c r="J765" t="n">
        <v>0</v>
      </c>
      <c r="K765" t="n">
        <v>0</v>
      </c>
      <c r="L765" t="n">
        <v>0</v>
      </c>
      <c r="M765" t="n">
        <v>0</v>
      </c>
      <c r="N765" t="n">
        <v>0</v>
      </c>
      <c r="O765" t="n">
        <v>0</v>
      </c>
      <c r="P765" t="n">
        <v>0</v>
      </c>
      <c r="Q765" t="n">
        <v>0</v>
      </c>
      <c r="R765" s="2" t="inlineStr"/>
    </row>
    <row r="766" ht="15" customHeight="1">
      <c r="A766" t="inlineStr">
        <is>
          <t>A 11996-2022</t>
        </is>
      </c>
      <c r="B766" s="1" t="n">
        <v>44635</v>
      </c>
      <c r="C766" s="1" t="n">
        <v>46033</v>
      </c>
      <c r="D766" t="inlineStr">
        <is>
          <t>STOCKHOLMS LÄN</t>
        </is>
      </c>
      <c r="E766" t="inlineStr">
        <is>
          <t>NYKVARN</t>
        </is>
      </c>
      <c r="G766" t="n">
        <v>6.4</v>
      </c>
      <c r="H766" t="n">
        <v>0</v>
      </c>
      <c r="I766" t="n">
        <v>0</v>
      </c>
      <c r="J766" t="n">
        <v>0</v>
      </c>
      <c r="K766" t="n">
        <v>0</v>
      </c>
      <c r="L766" t="n">
        <v>0</v>
      </c>
      <c r="M766" t="n">
        <v>0</v>
      </c>
      <c r="N766" t="n">
        <v>0</v>
      </c>
      <c r="O766" t="n">
        <v>0</v>
      </c>
      <c r="P766" t="n">
        <v>0</v>
      </c>
      <c r="Q766" t="n">
        <v>0</v>
      </c>
      <c r="R766" s="2" t="inlineStr"/>
    </row>
    <row r="767" ht="15" customHeight="1">
      <c r="A767" t="inlineStr">
        <is>
          <t>A 71880-2021</t>
        </is>
      </c>
      <c r="B767" s="1" t="n">
        <v>44543</v>
      </c>
      <c r="C767" s="1" t="n">
        <v>46033</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55112-2021</t>
        </is>
      </c>
      <c r="B768" s="1" t="n">
        <v>44474</v>
      </c>
      <c r="C768" s="1" t="n">
        <v>46033</v>
      </c>
      <c r="D768" t="inlineStr">
        <is>
          <t>STOCKHOLMS LÄN</t>
        </is>
      </c>
      <c r="E768" t="inlineStr">
        <is>
          <t>SIGTUNA</t>
        </is>
      </c>
      <c r="G768" t="n">
        <v>0.6</v>
      </c>
      <c r="H768" t="n">
        <v>0</v>
      </c>
      <c r="I768" t="n">
        <v>0</v>
      </c>
      <c r="J768" t="n">
        <v>0</v>
      </c>
      <c r="K768" t="n">
        <v>0</v>
      </c>
      <c r="L768" t="n">
        <v>0</v>
      </c>
      <c r="M768" t="n">
        <v>0</v>
      </c>
      <c r="N768" t="n">
        <v>0</v>
      </c>
      <c r="O768" t="n">
        <v>0</v>
      </c>
      <c r="P768" t="n">
        <v>0</v>
      </c>
      <c r="Q768" t="n">
        <v>0</v>
      </c>
      <c r="R768" s="2" t="inlineStr"/>
    </row>
    <row r="769" ht="15" customHeight="1">
      <c r="A769" t="inlineStr">
        <is>
          <t>A 24101-2022</t>
        </is>
      </c>
      <c r="B769" s="1" t="n">
        <v>44725</v>
      </c>
      <c r="C769" s="1" t="n">
        <v>46033</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17772-2022</t>
        </is>
      </c>
      <c r="B770" s="1" t="n">
        <v>44682.76528935185</v>
      </c>
      <c r="C770" s="1" t="n">
        <v>46033</v>
      </c>
      <c r="D770" t="inlineStr">
        <is>
          <t>STOCKHOLMS LÄN</t>
        </is>
      </c>
      <c r="E770" t="inlineStr">
        <is>
          <t>NORRTÄLJE</t>
        </is>
      </c>
      <c r="G770" t="n">
        <v>4</v>
      </c>
      <c r="H770" t="n">
        <v>0</v>
      </c>
      <c r="I770" t="n">
        <v>0</v>
      </c>
      <c r="J770" t="n">
        <v>0</v>
      </c>
      <c r="K770" t="n">
        <v>0</v>
      </c>
      <c r="L770" t="n">
        <v>0</v>
      </c>
      <c r="M770" t="n">
        <v>0</v>
      </c>
      <c r="N770" t="n">
        <v>0</v>
      </c>
      <c r="O770" t="n">
        <v>0</v>
      </c>
      <c r="P770" t="n">
        <v>0</v>
      </c>
      <c r="Q770" t="n">
        <v>0</v>
      </c>
      <c r="R770" s="2" t="inlineStr"/>
    </row>
    <row r="771" ht="15" customHeight="1">
      <c r="A771" t="inlineStr">
        <is>
          <t>A 38721-2022</t>
        </is>
      </c>
      <c r="B771" s="1" t="n">
        <v>44815</v>
      </c>
      <c r="C771" s="1" t="n">
        <v>46033</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28399-2022</t>
        </is>
      </c>
      <c r="B772" s="1" t="n">
        <v>44747</v>
      </c>
      <c r="C772" s="1" t="n">
        <v>46033</v>
      </c>
      <c r="D772" t="inlineStr">
        <is>
          <t>STOCKHOLMS LÄN</t>
        </is>
      </c>
      <c r="E772" t="inlineStr">
        <is>
          <t>ÖSTERÅKER</t>
        </is>
      </c>
      <c r="G772" t="n">
        <v>1.3</v>
      </c>
      <c r="H772" t="n">
        <v>0</v>
      </c>
      <c r="I772" t="n">
        <v>0</v>
      </c>
      <c r="J772" t="n">
        <v>0</v>
      </c>
      <c r="K772" t="n">
        <v>0</v>
      </c>
      <c r="L772" t="n">
        <v>0</v>
      </c>
      <c r="M772" t="n">
        <v>0</v>
      </c>
      <c r="N772" t="n">
        <v>0</v>
      </c>
      <c r="O772" t="n">
        <v>0</v>
      </c>
      <c r="P772" t="n">
        <v>0</v>
      </c>
      <c r="Q772" t="n">
        <v>0</v>
      </c>
      <c r="R772" s="2" t="inlineStr"/>
    </row>
    <row r="773" ht="15" customHeight="1">
      <c r="A773" t="inlineStr">
        <is>
          <t>A 60184-2021</t>
        </is>
      </c>
      <c r="B773" s="1" t="n">
        <v>44495</v>
      </c>
      <c r="C773" s="1" t="n">
        <v>46033</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22531-2022</t>
        </is>
      </c>
      <c r="B774" s="1" t="n">
        <v>44713</v>
      </c>
      <c r="C774" s="1" t="n">
        <v>46033</v>
      </c>
      <c r="D774" t="inlineStr">
        <is>
          <t>STOCKHOLMS LÄN</t>
        </is>
      </c>
      <c r="E774" t="inlineStr">
        <is>
          <t>NYKVARN</t>
        </is>
      </c>
      <c r="F774" t="inlineStr">
        <is>
          <t>Allmännings- och besparingsskogar</t>
        </is>
      </c>
      <c r="G774" t="n">
        <v>10.1</v>
      </c>
      <c r="H774" t="n">
        <v>0</v>
      </c>
      <c r="I774" t="n">
        <v>0</v>
      </c>
      <c r="J774" t="n">
        <v>0</v>
      </c>
      <c r="K774" t="n">
        <v>0</v>
      </c>
      <c r="L774" t="n">
        <v>0</v>
      </c>
      <c r="M774" t="n">
        <v>0</v>
      </c>
      <c r="N774" t="n">
        <v>0</v>
      </c>
      <c r="O774" t="n">
        <v>0</v>
      </c>
      <c r="P774" t="n">
        <v>0</v>
      </c>
      <c r="Q774" t="n">
        <v>0</v>
      </c>
      <c r="R774" s="2" t="inlineStr"/>
    </row>
    <row r="775" ht="15" customHeight="1">
      <c r="A775" t="inlineStr">
        <is>
          <t>A 46688-2021</t>
        </is>
      </c>
      <c r="B775" s="1" t="n">
        <v>44445.63403935185</v>
      </c>
      <c r="C775" s="1" t="n">
        <v>46033</v>
      </c>
      <c r="D775" t="inlineStr">
        <is>
          <t>STOCKHOLMS LÄN</t>
        </is>
      </c>
      <c r="E775" t="inlineStr">
        <is>
          <t>SÖDERTÄLJE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27828-2022</t>
        </is>
      </c>
      <c r="B776" s="1" t="n">
        <v>44743.59765046297</v>
      </c>
      <c r="C776" s="1" t="n">
        <v>46033</v>
      </c>
      <c r="D776" t="inlineStr">
        <is>
          <t>STOCKHOLMS LÄN</t>
        </is>
      </c>
      <c r="E776" t="inlineStr">
        <is>
          <t>NORRTÄLJE</t>
        </is>
      </c>
      <c r="F776" t="inlineStr">
        <is>
          <t>Kommuner</t>
        </is>
      </c>
      <c r="G776" t="n">
        <v>1.6</v>
      </c>
      <c r="H776" t="n">
        <v>0</v>
      </c>
      <c r="I776" t="n">
        <v>0</v>
      </c>
      <c r="J776" t="n">
        <v>0</v>
      </c>
      <c r="K776" t="n">
        <v>0</v>
      </c>
      <c r="L776" t="n">
        <v>0</v>
      </c>
      <c r="M776" t="n">
        <v>0</v>
      </c>
      <c r="N776" t="n">
        <v>0</v>
      </c>
      <c r="O776" t="n">
        <v>0</v>
      </c>
      <c r="P776" t="n">
        <v>0</v>
      </c>
      <c r="Q776" t="n">
        <v>0</v>
      </c>
      <c r="R776" s="2" t="inlineStr"/>
    </row>
    <row r="777" ht="15" customHeight="1">
      <c r="A777" t="inlineStr">
        <is>
          <t>A 61370-2022</t>
        </is>
      </c>
      <c r="B777" s="1" t="n">
        <v>44915</v>
      </c>
      <c r="C777" s="1" t="n">
        <v>46033</v>
      </c>
      <c r="D777" t="inlineStr">
        <is>
          <t>STOCKHOLMS LÄN</t>
        </is>
      </c>
      <c r="E777" t="inlineStr">
        <is>
          <t>ÖSTERÅKER</t>
        </is>
      </c>
      <c r="G777" t="n">
        <v>3.2</v>
      </c>
      <c r="H777" t="n">
        <v>0</v>
      </c>
      <c r="I777" t="n">
        <v>0</v>
      </c>
      <c r="J777" t="n">
        <v>0</v>
      </c>
      <c r="K777" t="n">
        <v>0</v>
      </c>
      <c r="L777" t="n">
        <v>0</v>
      </c>
      <c r="M777" t="n">
        <v>0</v>
      </c>
      <c r="N777" t="n">
        <v>0</v>
      </c>
      <c r="O777" t="n">
        <v>0</v>
      </c>
      <c r="P777" t="n">
        <v>0</v>
      </c>
      <c r="Q777" t="n">
        <v>0</v>
      </c>
      <c r="R777" s="2" t="inlineStr"/>
    </row>
    <row r="778" ht="15" customHeight="1">
      <c r="A778" t="inlineStr">
        <is>
          <t>A 26750-2021</t>
        </is>
      </c>
      <c r="B778" s="1" t="n">
        <v>44349</v>
      </c>
      <c r="C778" s="1" t="n">
        <v>46033</v>
      </c>
      <c r="D778" t="inlineStr">
        <is>
          <t>STOCKHOLMS LÄN</t>
        </is>
      </c>
      <c r="E778" t="inlineStr">
        <is>
          <t>NYNÄSHAMN</t>
        </is>
      </c>
      <c r="G778" t="n">
        <v>3</v>
      </c>
      <c r="H778" t="n">
        <v>0</v>
      </c>
      <c r="I778" t="n">
        <v>0</v>
      </c>
      <c r="J778" t="n">
        <v>0</v>
      </c>
      <c r="K778" t="n">
        <v>0</v>
      </c>
      <c r="L778" t="n">
        <v>0</v>
      </c>
      <c r="M778" t="n">
        <v>0</v>
      </c>
      <c r="N778" t="n">
        <v>0</v>
      </c>
      <c r="O778" t="n">
        <v>0</v>
      </c>
      <c r="P778" t="n">
        <v>0</v>
      </c>
      <c r="Q778" t="n">
        <v>0</v>
      </c>
      <c r="R778" s="2" t="inlineStr"/>
    </row>
    <row r="779" ht="15" customHeight="1">
      <c r="A779" t="inlineStr">
        <is>
          <t>A 16229-2022</t>
        </is>
      </c>
      <c r="B779" s="1" t="n">
        <v>44670.4190162037</v>
      </c>
      <c r="C779" s="1" t="n">
        <v>46033</v>
      </c>
      <c r="D779" t="inlineStr">
        <is>
          <t>STOCKHOLMS LÄN</t>
        </is>
      </c>
      <c r="E779" t="inlineStr">
        <is>
          <t>NORRTÄLJE</t>
        </is>
      </c>
      <c r="G779" t="n">
        <v>7.4</v>
      </c>
      <c r="H779" t="n">
        <v>0</v>
      </c>
      <c r="I779" t="n">
        <v>0</v>
      </c>
      <c r="J779" t="n">
        <v>0</v>
      </c>
      <c r="K779" t="n">
        <v>0</v>
      </c>
      <c r="L779" t="n">
        <v>0</v>
      </c>
      <c r="M779" t="n">
        <v>0</v>
      </c>
      <c r="N779" t="n">
        <v>0</v>
      </c>
      <c r="O779" t="n">
        <v>0</v>
      </c>
      <c r="P779" t="n">
        <v>0</v>
      </c>
      <c r="Q779" t="n">
        <v>0</v>
      </c>
      <c r="R779" s="2" t="inlineStr"/>
    </row>
    <row r="780" ht="15" customHeight="1">
      <c r="A780" t="inlineStr">
        <is>
          <t>A 67285-2021</t>
        </is>
      </c>
      <c r="B780" s="1" t="n">
        <v>44523.61635416667</v>
      </c>
      <c r="C780" s="1" t="n">
        <v>46033</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14202-2025</t>
        </is>
      </c>
      <c r="B781" s="1" t="n">
        <v>45740.57461805556</v>
      </c>
      <c r="C781" s="1" t="n">
        <v>46033</v>
      </c>
      <c r="D781" t="inlineStr">
        <is>
          <t>STOCKHOLMS LÄN</t>
        </is>
      </c>
      <c r="E781" t="inlineStr">
        <is>
          <t>BOTKYRKA</t>
        </is>
      </c>
      <c r="G781" t="n">
        <v>0.9</v>
      </c>
      <c r="H781" t="n">
        <v>0</v>
      </c>
      <c r="I781" t="n">
        <v>0</v>
      </c>
      <c r="J781" t="n">
        <v>0</v>
      </c>
      <c r="K781" t="n">
        <v>0</v>
      </c>
      <c r="L781" t="n">
        <v>0</v>
      </c>
      <c r="M781" t="n">
        <v>0</v>
      </c>
      <c r="N781" t="n">
        <v>0</v>
      </c>
      <c r="O781" t="n">
        <v>0</v>
      </c>
      <c r="P781" t="n">
        <v>0</v>
      </c>
      <c r="Q781" t="n">
        <v>0</v>
      </c>
      <c r="R781" s="2" t="inlineStr"/>
    </row>
    <row r="782" ht="15" customHeight="1">
      <c r="A782" t="inlineStr">
        <is>
          <t>A 52911-2024</t>
        </is>
      </c>
      <c r="B782" s="1" t="n">
        <v>45610.70392361111</v>
      </c>
      <c r="C782" s="1" t="n">
        <v>46033</v>
      </c>
      <c r="D782" t="inlineStr">
        <is>
          <t>STOCKHOLMS LÄN</t>
        </is>
      </c>
      <c r="E782" t="inlineStr">
        <is>
          <t>NYNÄSHAMN</t>
        </is>
      </c>
      <c r="G782" t="n">
        <v>0.8</v>
      </c>
      <c r="H782" t="n">
        <v>0</v>
      </c>
      <c r="I782" t="n">
        <v>0</v>
      </c>
      <c r="J782" t="n">
        <v>0</v>
      </c>
      <c r="K782" t="n">
        <v>0</v>
      </c>
      <c r="L782" t="n">
        <v>0</v>
      </c>
      <c r="M782" t="n">
        <v>0</v>
      </c>
      <c r="N782" t="n">
        <v>0</v>
      </c>
      <c r="O782" t="n">
        <v>0</v>
      </c>
      <c r="P782" t="n">
        <v>0</v>
      </c>
      <c r="Q782" t="n">
        <v>0</v>
      </c>
      <c r="R782" s="2" t="inlineStr"/>
    </row>
    <row r="783" ht="15" customHeight="1">
      <c r="A783" t="inlineStr">
        <is>
          <t>A 5611-2022</t>
        </is>
      </c>
      <c r="B783" s="1" t="n">
        <v>44595</v>
      </c>
      <c r="C783" s="1" t="n">
        <v>46033</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32055-2021</t>
        </is>
      </c>
      <c r="B784" s="1" t="n">
        <v>44370.72197916666</v>
      </c>
      <c r="C784" s="1" t="n">
        <v>46033</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33226-2024</t>
        </is>
      </c>
      <c r="B785" s="1" t="n">
        <v>45518</v>
      </c>
      <c r="C785" s="1" t="n">
        <v>46033</v>
      </c>
      <c r="D785" t="inlineStr">
        <is>
          <t>STOCKHOLMS LÄN</t>
        </is>
      </c>
      <c r="E785" t="inlineStr">
        <is>
          <t>NORRTÄLJE</t>
        </is>
      </c>
      <c r="G785" t="n">
        <v>13.8</v>
      </c>
      <c r="H785" t="n">
        <v>0</v>
      </c>
      <c r="I785" t="n">
        <v>0</v>
      </c>
      <c r="J785" t="n">
        <v>0</v>
      </c>
      <c r="K785" t="n">
        <v>0</v>
      </c>
      <c r="L785" t="n">
        <v>0</v>
      </c>
      <c r="M785" t="n">
        <v>0</v>
      </c>
      <c r="N785" t="n">
        <v>0</v>
      </c>
      <c r="O785" t="n">
        <v>0</v>
      </c>
      <c r="P785" t="n">
        <v>0</v>
      </c>
      <c r="Q785" t="n">
        <v>0</v>
      </c>
      <c r="R785" s="2" t="inlineStr"/>
    </row>
    <row r="786" ht="15" customHeight="1">
      <c r="A786" t="inlineStr">
        <is>
          <t>A 55696-2022</t>
        </is>
      </c>
      <c r="B786" s="1" t="n">
        <v>44888</v>
      </c>
      <c r="C786" s="1" t="n">
        <v>46033</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55243-2023</t>
        </is>
      </c>
      <c r="B787" s="1" t="n">
        <v>45237</v>
      </c>
      <c r="C787" s="1" t="n">
        <v>46033</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22412-2021</t>
        </is>
      </c>
      <c r="B788" s="1" t="n">
        <v>44326.61967592593</v>
      </c>
      <c r="C788" s="1" t="n">
        <v>46033</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24254-2023</t>
        </is>
      </c>
      <c r="B789" s="1" t="n">
        <v>45076</v>
      </c>
      <c r="C789" s="1" t="n">
        <v>46033</v>
      </c>
      <c r="D789" t="inlineStr">
        <is>
          <t>STOCKHOLMS LÄN</t>
        </is>
      </c>
      <c r="E789" t="inlineStr">
        <is>
          <t>HUDDINGE</t>
        </is>
      </c>
      <c r="G789" t="n">
        <v>1.2</v>
      </c>
      <c r="H789" t="n">
        <v>0</v>
      </c>
      <c r="I789" t="n">
        <v>0</v>
      </c>
      <c r="J789" t="n">
        <v>0</v>
      </c>
      <c r="K789" t="n">
        <v>0</v>
      </c>
      <c r="L789" t="n">
        <v>0</v>
      </c>
      <c r="M789" t="n">
        <v>0</v>
      </c>
      <c r="N789" t="n">
        <v>0</v>
      </c>
      <c r="O789" t="n">
        <v>0</v>
      </c>
      <c r="P789" t="n">
        <v>0</v>
      </c>
      <c r="Q789" t="n">
        <v>0</v>
      </c>
      <c r="R789" s="2" t="inlineStr"/>
    </row>
    <row r="790" ht="15" customHeight="1">
      <c r="A790" t="inlineStr">
        <is>
          <t>A 24257-2023</t>
        </is>
      </c>
      <c r="B790" s="1" t="n">
        <v>45076</v>
      </c>
      <c r="C790" s="1" t="n">
        <v>46033</v>
      </c>
      <c r="D790" t="inlineStr">
        <is>
          <t>STOCKHOLMS LÄN</t>
        </is>
      </c>
      <c r="E790" t="inlineStr">
        <is>
          <t>HUDDINGE</t>
        </is>
      </c>
      <c r="G790" t="n">
        <v>1</v>
      </c>
      <c r="H790" t="n">
        <v>0</v>
      </c>
      <c r="I790" t="n">
        <v>0</v>
      </c>
      <c r="J790" t="n">
        <v>0</v>
      </c>
      <c r="K790" t="n">
        <v>0</v>
      </c>
      <c r="L790" t="n">
        <v>0</v>
      </c>
      <c r="M790" t="n">
        <v>0</v>
      </c>
      <c r="N790" t="n">
        <v>0</v>
      </c>
      <c r="O790" t="n">
        <v>0</v>
      </c>
      <c r="P790" t="n">
        <v>0</v>
      </c>
      <c r="Q790" t="n">
        <v>0</v>
      </c>
      <c r="R790" s="2" t="inlineStr"/>
    </row>
    <row r="791" ht="15" customHeight="1">
      <c r="A791" t="inlineStr">
        <is>
          <t>A 22008-2024</t>
        </is>
      </c>
      <c r="B791" s="1" t="n">
        <v>45443</v>
      </c>
      <c r="C791" s="1" t="n">
        <v>46033</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15915-2023</t>
        </is>
      </c>
      <c r="B792" s="1" t="n">
        <v>45022</v>
      </c>
      <c r="C792" s="1" t="n">
        <v>46033</v>
      </c>
      <c r="D792" t="inlineStr">
        <is>
          <t>STOCKHOLMS LÄN</t>
        </is>
      </c>
      <c r="E792" t="inlineStr">
        <is>
          <t>NORRTÄLJE</t>
        </is>
      </c>
      <c r="G792" t="n">
        <v>2.9</v>
      </c>
      <c r="H792" t="n">
        <v>0</v>
      </c>
      <c r="I792" t="n">
        <v>0</v>
      </c>
      <c r="J792" t="n">
        <v>0</v>
      </c>
      <c r="K792" t="n">
        <v>0</v>
      </c>
      <c r="L792" t="n">
        <v>0</v>
      </c>
      <c r="M792" t="n">
        <v>0</v>
      </c>
      <c r="N792" t="n">
        <v>0</v>
      </c>
      <c r="O792" t="n">
        <v>0</v>
      </c>
      <c r="P792" t="n">
        <v>0</v>
      </c>
      <c r="Q792" t="n">
        <v>0</v>
      </c>
      <c r="R792" s="2" t="inlineStr"/>
    </row>
    <row r="793" ht="15" customHeight="1">
      <c r="A793" t="inlineStr">
        <is>
          <t>A 55586-2023</t>
        </is>
      </c>
      <c r="B793" s="1" t="n">
        <v>45232</v>
      </c>
      <c r="C793" s="1" t="n">
        <v>46033</v>
      </c>
      <c r="D793" t="inlineStr">
        <is>
          <t>STOCKHOLMS LÄN</t>
        </is>
      </c>
      <c r="E793" t="inlineStr">
        <is>
          <t>UPPLANDS-BRO</t>
        </is>
      </c>
      <c r="F793" t="inlineStr">
        <is>
          <t>Övriga statliga verk och myndigheter</t>
        </is>
      </c>
      <c r="G793" t="n">
        <v>38.9</v>
      </c>
      <c r="H793" t="n">
        <v>0</v>
      </c>
      <c r="I793" t="n">
        <v>0</v>
      </c>
      <c r="J793" t="n">
        <v>0</v>
      </c>
      <c r="K793" t="n">
        <v>0</v>
      </c>
      <c r="L793" t="n">
        <v>0</v>
      </c>
      <c r="M793" t="n">
        <v>0</v>
      </c>
      <c r="N793" t="n">
        <v>0</v>
      </c>
      <c r="O793" t="n">
        <v>0</v>
      </c>
      <c r="P793" t="n">
        <v>0</v>
      </c>
      <c r="Q793" t="n">
        <v>0</v>
      </c>
      <c r="R793" s="2" t="inlineStr"/>
    </row>
    <row r="794" ht="15" customHeight="1">
      <c r="A794" t="inlineStr">
        <is>
          <t>A 52260-2022</t>
        </is>
      </c>
      <c r="B794" s="1" t="n">
        <v>44869</v>
      </c>
      <c r="C794" s="1" t="n">
        <v>46033</v>
      </c>
      <c r="D794" t="inlineStr">
        <is>
          <t>STOCKHOLMS LÄN</t>
        </is>
      </c>
      <c r="E794" t="inlineStr">
        <is>
          <t>NORRTÄLJE</t>
        </is>
      </c>
      <c r="G794" t="n">
        <v>3.1</v>
      </c>
      <c r="H794" t="n">
        <v>0</v>
      </c>
      <c r="I794" t="n">
        <v>0</v>
      </c>
      <c r="J794" t="n">
        <v>0</v>
      </c>
      <c r="K794" t="n">
        <v>0</v>
      </c>
      <c r="L794" t="n">
        <v>0</v>
      </c>
      <c r="M794" t="n">
        <v>0</v>
      </c>
      <c r="N794" t="n">
        <v>0</v>
      </c>
      <c r="O794" t="n">
        <v>0</v>
      </c>
      <c r="P794" t="n">
        <v>0</v>
      </c>
      <c r="Q794" t="n">
        <v>0</v>
      </c>
      <c r="R794" s="2" t="inlineStr"/>
    </row>
    <row r="795" ht="15" customHeight="1">
      <c r="A795" t="inlineStr">
        <is>
          <t>A 64105-2023</t>
        </is>
      </c>
      <c r="B795" s="1" t="n">
        <v>45279</v>
      </c>
      <c r="C795" s="1" t="n">
        <v>46033</v>
      </c>
      <c r="D795" t="inlineStr">
        <is>
          <t>STOCKHOLMS LÄN</t>
        </is>
      </c>
      <c r="E795" t="inlineStr">
        <is>
          <t>UPPLANDS-BRO</t>
        </is>
      </c>
      <c r="G795" t="n">
        <v>2.2</v>
      </c>
      <c r="H795" t="n">
        <v>0</v>
      </c>
      <c r="I795" t="n">
        <v>0</v>
      </c>
      <c r="J795" t="n">
        <v>0</v>
      </c>
      <c r="K795" t="n">
        <v>0</v>
      </c>
      <c r="L795" t="n">
        <v>0</v>
      </c>
      <c r="M795" t="n">
        <v>0</v>
      </c>
      <c r="N795" t="n">
        <v>0</v>
      </c>
      <c r="O795" t="n">
        <v>0</v>
      </c>
      <c r="P795" t="n">
        <v>0</v>
      </c>
      <c r="Q795" t="n">
        <v>0</v>
      </c>
      <c r="R795" s="2" t="inlineStr"/>
    </row>
    <row r="796" ht="15" customHeight="1">
      <c r="A796" t="inlineStr">
        <is>
          <t>A 13053-2022</t>
        </is>
      </c>
      <c r="B796" s="1" t="n">
        <v>44643</v>
      </c>
      <c r="C796" s="1" t="n">
        <v>46033</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4297-2024</t>
        </is>
      </c>
      <c r="B797" s="1" t="n">
        <v>45324.62291666667</v>
      </c>
      <c r="C797" s="1" t="n">
        <v>46033</v>
      </c>
      <c r="D797" t="inlineStr">
        <is>
          <t>STOCKHOLMS LÄN</t>
        </is>
      </c>
      <c r="E797" t="inlineStr">
        <is>
          <t>HANINGE</t>
        </is>
      </c>
      <c r="F797" t="inlineStr">
        <is>
          <t>Kommuner</t>
        </is>
      </c>
      <c r="G797" t="n">
        <v>0.4</v>
      </c>
      <c r="H797" t="n">
        <v>0</v>
      </c>
      <c r="I797" t="n">
        <v>0</v>
      </c>
      <c r="J797" t="n">
        <v>0</v>
      </c>
      <c r="K797" t="n">
        <v>0</v>
      </c>
      <c r="L797" t="n">
        <v>0</v>
      </c>
      <c r="M797" t="n">
        <v>0</v>
      </c>
      <c r="N797" t="n">
        <v>0</v>
      </c>
      <c r="O797" t="n">
        <v>0</v>
      </c>
      <c r="P797" t="n">
        <v>0</v>
      </c>
      <c r="Q797" t="n">
        <v>0</v>
      </c>
      <c r="R797" s="2" t="inlineStr"/>
    </row>
    <row r="798" ht="15" customHeight="1">
      <c r="A798" t="inlineStr">
        <is>
          <t>A 25459-2023</t>
        </is>
      </c>
      <c r="B798" s="1" t="n">
        <v>45089</v>
      </c>
      <c r="C798" s="1" t="n">
        <v>46033</v>
      </c>
      <c r="D798" t="inlineStr">
        <is>
          <t>STOCKHOLMS LÄN</t>
        </is>
      </c>
      <c r="E798" t="inlineStr">
        <is>
          <t>SIGTUNA</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25557-2023</t>
        </is>
      </c>
      <c r="B799" s="1" t="n">
        <v>45089</v>
      </c>
      <c r="C799" s="1" t="n">
        <v>46033</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27715-2022</t>
        </is>
      </c>
      <c r="B800" s="1" t="n">
        <v>44743.47407407407</v>
      </c>
      <c r="C800" s="1" t="n">
        <v>46033</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29972-2024</t>
        </is>
      </c>
      <c r="B801" s="1" t="n">
        <v>45485</v>
      </c>
      <c r="C801" s="1" t="n">
        <v>46033</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64137-2021</t>
        </is>
      </c>
      <c r="B802" s="1" t="n">
        <v>44510.51422453704</v>
      </c>
      <c r="C802" s="1" t="n">
        <v>46033</v>
      </c>
      <c r="D802" t="inlineStr">
        <is>
          <t>STOCKHOLMS LÄN</t>
        </is>
      </c>
      <c r="E802" t="inlineStr">
        <is>
          <t>NORRTÄLJE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21285-2023</t>
        </is>
      </c>
      <c r="B803" s="1" t="n">
        <v>45062</v>
      </c>
      <c r="C803" s="1" t="n">
        <v>46033</v>
      </c>
      <c r="D803" t="inlineStr">
        <is>
          <t>STOCKHOLMS LÄN</t>
        </is>
      </c>
      <c r="E803" t="inlineStr">
        <is>
          <t>BOTKYRKA</t>
        </is>
      </c>
      <c r="G803" t="n">
        <v>0.8</v>
      </c>
      <c r="H803" t="n">
        <v>0</v>
      </c>
      <c r="I803" t="n">
        <v>0</v>
      </c>
      <c r="J803" t="n">
        <v>0</v>
      </c>
      <c r="K803" t="n">
        <v>0</v>
      </c>
      <c r="L803" t="n">
        <v>0</v>
      </c>
      <c r="M803" t="n">
        <v>0</v>
      </c>
      <c r="N803" t="n">
        <v>0</v>
      </c>
      <c r="O803" t="n">
        <v>0</v>
      </c>
      <c r="P803" t="n">
        <v>0</v>
      </c>
      <c r="Q803" t="n">
        <v>0</v>
      </c>
      <c r="R803" s="2" t="inlineStr"/>
    </row>
    <row r="804" ht="15" customHeight="1">
      <c r="A804" t="inlineStr">
        <is>
          <t>A 48716-2023</t>
        </is>
      </c>
      <c r="B804" s="1" t="n">
        <v>45208.69671296296</v>
      </c>
      <c r="C804" s="1" t="n">
        <v>46033</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49592-2023</t>
        </is>
      </c>
      <c r="B805" s="1" t="n">
        <v>45211.68196759259</v>
      </c>
      <c r="C805" s="1" t="n">
        <v>46033</v>
      </c>
      <c r="D805" t="inlineStr">
        <is>
          <t>STOCKHOLMS LÄN</t>
        </is>
      </c>
      <c r="E805" t="inlineStr">
        <is>
          <t>SIGTUNA</t>
        </is>
      </c>
      <c r="G805" t="n">
        <v>0.5</v>
      </c>
      <c r="H805" t="n">
        <v>0</v>
      </c>
      <c r="I805" t="n">
        <v>0</v>
      </c>
      <c r="J805" t="n">
        <v>0</v>
      </c>
      <c r="K805" t="n">
        <v>0</v>
      </c>
      <c r="L805" t="n">
        <v>0</v>
      </c>
      <c r="M805" t="n">
        <v>0</v>
      </c>
      <c r="N805" t="n">
        <v>0</v>
      </c>
      <c r="O805" t="n">
        <v>0</v>
      </c>
      <c r="P805" t="n">
        <v>0</v>
      </c>
      <c r="Q805" t="n">
        <v>0</v>
      </c>
      <c r="R805" s="2" t="inlineStr"/>
    </row>
    <row r="806" ht="15" customHeight="1">
      <c r="A806" t="inlineStr">
        <is>
          <t>A 20091-2025</t>
        </is>
      </c>
      <c r="B806" s="1" t="n">
        <v>45771</v>
      </c>
      <c r="C806" s="1" t="n">
        <v>46033</v>
      </c>
      <c r="D806" t="inlineStr">
        <is>
          <t>STOCKHOLMS LÄN</t>
        </is>
      </c>
      <c r="E806" t="inlineStr">
        <is>
          <t>SÖDERTÄLJE</t>
        </is>
      </c>
      <c r="G806" t="n">
        <v>8</v>
      </c>
      <c r="H806" t="n">
        <v>0</v>
      </c>
      <c r="I806" t="n">
        <v>0</v>
      </c>
      <c r="J806" t="n">
        <v>0</v>
      </c>
      <c r="K806" t="n">
        <v>0</v>
      </c>
      <c r="L806" t="n">
        <v>0</v>
      </c>
      <c r="M806" t="n">
        <v>0</v>
      </c>
      <c r="N806" t="n">
        <v>0</v>
      </c>
      <c r="O806" t="n">
        <v>0</v>
      </c>
      <c r="P806" t="n">
        <v>0</v>
      </c>
      <c r="Q806" t="n">
        <v>0</v>
      </c>
      <c r="R806" s="2" t="inlineStr"/>
    </row>
    <row r="807" ht="15" customHeight="1">
      <c r="A807" t="inlineStr">
        <is>
          <t>A 5027-2025</t>
        </is>
      </c>
      <c r="B807" s="1" t="n">
        <v>45691.41101851852</v>
      </c>
      <c r="C807" s="1" t="n">
        <v>46033</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61242-2022</t>
        </is>
      </c>
      <c r="B808" s="1" t="n">
        <v>44915</v>
      </c>
      <c r="C808" s="1" t="n">
        <v>46033</v>
      </c>
      <c r="D808" t="inlineStr">
        <is>
          <t>STOCKHOLMS LÄN</t>
        </is>
      </c>
      <c r="E808" t="inlineStr">
        <is>
          <t>BOTKYRKA</t>
        </is>
      </c>
      <c r="G808" t="n">
        <v>2.8</v>
      </c>
      <c r="H808" t="n">
        <v>0</v>
      </c>
      <c r="I808" t="n">
        <v>0</v>
      </c>
      <c r="J808" t="n">
        <v>0</v>
      </c>
      <c r="K808" t="n">
        <v>0</v>
      </c>
      <c r="L808" t="n">
        <v>0</v>
      </c>
      <c r="M808" t="n">
        <v>0</v>
      </c>
      <c r="N808" t="n">
        <v>0</v>
      </c>
      <c r="O808" t="n">
        <v>0</v>
      </c>
      <c r="P808" t="n">
        <v>0</v>
      </c>
      <c r="Q808" t="n">
        <v>0</v>
      </c>
      <c r="R808" s="2" t="inlineStr"/>
    </row>
    <row r="809" ht="15" customHeight="1">
      <c r="A809" t="inlineStr">
        <is>
          <t>A 52878-2022</t>
        </is>
      </c>
      <c r="B809" s="1" t="n">
        <v>44872</v>
      </c>
      <c r="C809" s="1" t="n">
        <v>46033</v>
      </c>
      <c r="D809" t="inlineStr">
        <is>
          <t>STOCKHOLMS LÄN</t>
        </is>
      </c>
      <c r="E809" t="inlineStr">
        <is>
          <t>NYKVARN</t>
        </is>
      </c>
      <c r="G809" t="n">
        <v>4.5</v>
      </c>
      <c r="H809" t="n">
        <v>0</v>
      </c>
      <c r="I809" t="n">
        <v>0</v>
      </c>
      <c r="J809" t="n">
        <v>0</v>
      </c>
      <c r="K809" t="n">
        <v>0</v>
      </c>
      <c r="L809" t="n">
        <v>0</v>
      </c>
      <c r="M809" t="n">
        <v>0</v>
      </c>
      <c r="N809" t="n">
        <v>0</v>
      </c>
      <c r="O809" t="n">
        <v>0</v>
      </c>
      <c r="P809" t="n">
        <v>0</v>
      </c>
      <c r="Q809" t="n">
        <v>0</v>
      </c>
      <c r="R809" s="2" t="inlineStr"/>
    </row>
    <row r="810" ht="15" customHeight="1">
      <c r="A810" t="inlineStr">
        <is>
          <t>A 9946-2024</t>
        </is>
      </c>
      <c r="B810" s="1" t="n">
        <v>45363.59789351852</v>
      </c>
      <c r="C810" s="1" t="n">
        <v>46033</v>
      </c>
      <c r="D810" t="inlineStr">
        <is>
          <t>STOCKHOLMS LÄN</t>
        </is>
      </c>
      <c r="E810" t="inlineStr">
        <is>
          <t>HANINGE</t>
        </is>
      </c>
      <c r="G810" t="n">
        <v>3.8</v>
      </c>
      <c r="H810" t="n">
        <v>0</v>
      </c>
      <c r="I810" t="n">
        <v>0</v>
      </c>
      <c r="J810" t="n">
        <v>0</v>
      </c>
      <c r="K810" t="n">
        <v>0</v>
      </c>
      <c r="L810" t="n">
        <v>0</v>
      </c>
      <c r="M810" t="n">
        <v>0</v>
      </c>
      <c r="N810" t="n">
        <v>0</v>
      </c>
      <c r="O810" t="n">
        <v>0</v>
      </c>
      <c r="P810" t="n">
        <v>0</v>
      </c>
      <c r="Q810" t="n">
        <v>0</v>
      </c>
      <c r="R810" s="2" t="inlineStr"/>
    </row>
    <row r="811" ht="15" customHeight="1">
      <c r="A811" t="inlineStr">
        <is>
          <t>A 11122-2021</t>
        </is>
      </c>
      <c r="B811" s="1" t="n">
        <v>44260</v>
      </c>
      <c r="C811" s="1" t="n">
        <v>46033</v>
      </c>
      <c r="D811" t="inlineStr">
        <is>
          <t>STOCKHOLMS LÄN</t>
        </is>
      </c>
      <c r="E811" t="inlineStr">
        <is>
          <t>NORRTÄLJE</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58928-2022</t>
        </is>
      </c>
      <c r="B812" s="1" t="n">
        <v>44903</v>
      </c>
      <c r="C812" s="1" t="n">
        <v>46033</v>
      </c>
      <c r="D812" t="inlineStr">
        <is>
          <t>STOCKHOLMS LÄN</t>
        </is>
      </c>
      <c r="E812" t="inlineStr">
        <is>
          <t>SÖDERTÄLJE</t>
        </is>
      </c>
      <c r="F812" t="inlineStr">
        <is>
          <t>Kommuner</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62311-2023</t>
        </is>
      </c>
      <c r="B813" s="1" t="n">
        <v>45266</v>
      </c>
      <c r="C813" s="1" t="n">
        <v>46033</v>
      </c>
      <c r="D813" t="inlineStr">
        <is>
          <t>STOCKHOLMS LÄN</t>
        </is>
      </c>
      <c r="E813" t="inlineStr">
        <is>
          <t>SÖDERTÄLJE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12268-2022</t>
        </is>
      </c>
      <c r="B814" s="1" t="n">
        <v>44637</v>
      </c>
      <c r="C814" s="1" t="n">
        <v>46033</v>
      </c>
      <c r="D814" t="inlineStr">
        <is>
          <t>STOCKHOLMS LÄN</t>
        </is>
      </c>
      <c r="E814" t="inlineStr">
        <is>
          <t>NORRTÄLJE</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40643-2024</t>
        </is>
      </c>
      <c r="B815" s="1" t="n">
        <v>45558</v>
      </c>
      <c r="C815" s="1" t="n">
        <v>46033</v>
      </c>
      <c r="D815" t="inlineStr">
        <is>
          <t>STOCKHOLMS LÄN</t>
        </is>
      </c>
      <c r="E815" t="inlineStr">
        <is>
          <t>SIGTUNA</t>
        </is>
      </c>
      <c r="G815" t="n">
        <v>1.7</v>
      </c>
      <c r="H815" t="n">
        <v>0</v>
      </c>
      <c r="I815" t="n">
        <v>0</v>
      </c>
      <c r="J815" t="n">
        <v>0</v>
      </c>
      <c r="K815" t="n">
        <v>0</v>
      </c>
      <c r="L815" t="n">
        <v>0</v>
      </c>
      <c r="M815" t="n">
        <v>0</v>
      </c>
      <c r="N815" t="n">
        <v>0</v>
      </c>
      <c r="O815" t="n">
        <v>0</v>
      </c>
      <c r="P815" t="n">
        <v>0</v>
      </c>
      <c r="Q815" t="n">
        <v>0</v>
      </c>
      <c r="R815" s="2" t="inlineStr"/>
    </row>
    <row r="816" ht="15" customHeight="1">
      <c r="A816" t="inlineStr">
        <is>
          <t>A 20015-2023</t>
        </is>
      </c>
      <c r="B816" s="1" t="n">
        <v>45054</v>
      </c>
      <c r="C816" s="1" t="n">
        <v>46033</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3273-2025</t>
        </is>
      </c>
      <c r="B817" s="1" t="n">
        <v>45679</v>
      </c>
      <c r="C817" s="1" t="n">
        <v>46033</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24245-2024</t>
        </is>
      </c>
      <c r="B818" s="1" t="n">
        <v>45457</v>
      </c>
      <c r="C818" s="1" t="n">
        <v>46033</v>
      </c>
      <c r="D818" t="inlineStr">
        <is>
          <t>STOCKHOLMS LÄN</t>
        </is>
      </c>
      <c r="E818" t="inlineStr">
        <is>
          <t>NORRTÄLJE</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21291-2021</t>
        </is>
      </c>
      <c r="B819" s="1" t="n">
        <v>44319</v>
      </c>
      <c r="C819" s="1" t="n">
        <v>46033</v>
      </c>
      <c r="D819" t="inlineStr">
        <is>
          <t>STOCKHOLMS LÄN</t>
        </is>
      </c>
      <c r="E819" t="inlineStr">
        <is>
          <t>NORRTÄLJE</t>
        </is>
      </c>
      <c r="G819" t="n">
        <v>12.7</v>
      </c>
      <c r="H819" t="n">
        <v>0</v>
      </c>
      <c r="I819" t="n">
        <v>0</v>
      </c>
      <c r="J819" t="n">
        <v>0</v>
      </c>
      <c r="K819" t="n">
        <v>0</v>
      </c>
      <c r="L819" t="n">
        <v>0</v>
      </c>
      <c r="M819" t="n">
        <v>0</v>
      </c>
      <c r="N819" t="n">
        <v>0</v>
      </c>
      <c r="O819" t="n">
        <v>0</v>
      </c>
      <c r="P819" t="n">
        <v>0</v>
      </c>
      <c r="Q819" t="n">
        <v>0</v>
      </c>
      <c r="R819" s="2" t="inlineStr"/>
    </row>
    <row r="820" ht="15" customHeight="1">
      <c r="A820" t="inlineStr">
        <is>
          <t>A 2602-2024</t>
        </is>
      </c>
      <c r="B820" s="1" t="n">
        <v>45313.73068287037</v>
      </c>
      <c r="C820" s="1" t="n">
        <v>46033</v>
      </c>
      <c r="D820" t="inlineStr">
        <is>
          <t>STOCKHOLMS LÄN</t>
        </is>
      </c>
      <c r="E820" t="inlineStr">
        <is>
          <t>UPPLANDS-BRO</t>
        </is>
      </c>
      <c r="G820" t="n">
        <v>0.7</v>
      </c>
      <c r="H820" t="n">
        <v>0</v>
      </c>
      <c r="I820" t="n">
        <v>0</v>
      </c>
      <c r="J820" t="n">
        <v>0</v>
      </c>
      <c r="K820" t="n">
        <v>0</v>
      </c>
      <c r="L820" t="n">
        <v>0</v>
      </c>
      <c r="M820" t="n">
        <v>0</v>
      </c>
      <c r="N820" t="n">
        <v>0</v>
      </c>
      <c r="O820" t="n">
        <v>0</v>
      </c>
      <c r="P820" t="n">
        <v>0</v>
      </c>
      <c r="Q820" t="n">
        <v>0</v>
      </c>
      <c r="R820" s="2" t="inlineStr"/>
    </row>
    <row r="821" ht="15" customHeight="1">
      <c r="A821" t="inlineStr">
        <is>
          <t>A 15256-2023</t>
        </is>
      </c>
      <c r="B821" s="1" t="n">
        <v>45019.3959837963</v>
      </c>
      <c r="C821" s="1" t="n">
        <v>46033</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30925-2023</t>
        </is>
      </c>
      <c r="B822" s="1" t="n">
        <v>45113</v>
      </c>
      <c r="C822" s="1" t="n">
        <v>46033</v>
      </c>
      <c r="D822" t="inlineStr">
        <is>
          <t>STOCKHOLMS LÄN</t>
        </is>
      </c>
      <c r="E822" t="inlineStr">
        <is>
          <t>BOTKYRKA</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20428-2024</t>
        </is>
      </c>
      <c r="B823" s="1" t="n">
        <v>45435</v>
      </c>
      <c r="C823" s="1" t="n">
        <v>46033</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1603-2023</t>
        </is>
      </c>
      <c r="B824" s="1" t="n">
        <v>44937.68086805556</v>
      </c>
      <c r="C824" s="1" t="n">
        <v>46033</v>
      </c>
      <c r="D824" t="inlineStr">
        <is>
          <t>STOCKHOLMS LÄN</t>
        </is>
      </c>
      <c r="E824" t="inlineStr">
        <is>
          <t>ÖSTERÅKER</t>
        </is>
      </c>
      <c r="G824" t="n">
        <v>1.7</v>
      </c>
      <c r="H824" t="n">
        <v>0</v>
      </c>
      <c r="I824" t="n">
        <v>0</v>
      </c>
      <c r="J824" t="n">
        <v>0</v>
      </c>
      <c r="K824" t="n">
        <v>0</v>
      </c>
      <c r="L824" t="n">
        <v>0</v>
      </c>
      <c r="M824" t="n">
        <v>0</v>
      </c>
      <c r="N824" t="n">
        <v>0</v>
      </c>
      <c r="O824" t="n">
        <v>0</v>
      </c>
      <c r="P824" t="n">
        <v>0</v>
      </c>
      <c r="Q824" t="n">
        <v>0</v>
      </c>
      <c r="R824" s="2" t="inlineStr"/>
    </row>
    <row r="825" ht="15" customHeight="1">
      <c r="A825" t="inlineStr">
        <is>
          <t>A 1605-2023</t>
        </is>
      </c>
      <c r="B825" s="1" t="n">
        <v>44937.68299768519</v>
      </c>
      <c r="C825" s="1" t="n">
        <v>46033</v>
      </c>
      <c r="D825" t="inlineStr">
        <is>
          <t>STOCKHOLMS LÄN</t>
        </is>
      </c>
      <c r="E825" t="inlineStr">
        <is>
          <t>ÖSTERÅKER</t>
        </is>
      </c>
      <c r="G825" t="n">
        <v>2.9</v>
      </c>
      <c r="H825" t="n">
        <v>0</v>
      </c>
      <c r="I825" t="n">
        <v>0</v>
      </c>
      <c r="J825" t="n">
        <v>0</v>
      </c>
      <c r="K825" t="n">
        <v>0</v>
      </c>
      <c r="L825" t="n">
        <v>0</v>
      </c>
      <c r="M825" t="n">
        <v>0</v>
      </c>
      <c r="N825" t="n">
        <v>0</v>
      </c>
      <c r="O825" t="n">
        <v>0</v>
      </c>
      <c r="P825" t="n">
        <v>0</v>
      </c>
      <c r="Q825" t="n">
        <v>0</v>
      </c>
      <c r="R825" s="2" t="inlineStr"/>
    </row>
    <row r="826" ht="15" customHeight="1">
      <c r="A826" t="inlineStr">
        <is>
          <t>A 21778-2025</t>
        </is>
      </c>
      <c r="B826" s="1" t="n">
        <v>45783.66429398148</v>
      </c>
      <c r="C826" s="1" t="n">
        <v>46033</v>
      </c>
      <c r="D826" t="inlineStr">
        <is>
          <t>STOCKHOLMS LÄN</t>
        </is>
      </c>
      <c r="E826" t="inlineStr">
        <is>
          <t>NORRTÄLJE</t>
        </is>
      </c>
      <c r="G826" t="n">
        <v>2</v>
      </c>
      <c r="H826" t="n">
        <v>0</v>
      </c>
      <c r="I826" t="n">
        <v>0</v>
      </c>
      <c r="J826" t="n">
        <v>0</v>
      </c>
      <c r="K826" t="n">
        <v>0</v>
      </c>
      <c r="L826" t="n">
        <v>0</v>
      </c>
      <c r="M826" t="n">
        <v>0</v>
      </c>
      <c r="N826" t="n">
        <v>0</v>
      </c>
      <c r="O826" t="n">
        <v>0</v>
      </c>
      <c r="P826" t="n">
        <v>0</v>
      </c>
      <c r="Q826" t="n">
        <v>0</v>
      </c>
      <c r="R826" s="2" t="inlineStr"/>
    </row>
    <row r="827" ht="15" customHeight="1">
      <c r="A827" t="inlineStr">
        <is>
          <t>A 21513-2025</t>
        </is>
      </c>
      <c r="B827" s="1" t="n">
        <v>45782.63189814815</v>
      </c>
      <c r="C827" s="1" t="n">
        <v>46033</v>
      </c>
      <c r="D827" t="inlineStr">
        <is>
          <t>STOCKHOLMS LÄN</t>
        </is>
      </c>
      <c r="E827" t="inlineStr">
        <is>
          <t>SIGTUNA</t>
        </is>
      </c>
      <c r="G827" t="n">
        <v>2.2</v>
      </c>
      <c r="H827" t="n">
        <v>0</v>
      </c>
      <c r="I827" t="n">
        <v>0</v>
      </c>
      <c r="J827" t="n">
        <v>0</v>
      </c>
      <c r="K827" t="n">
        <v>0</v>
      </c>
      <c r="L827" t="n">
        <v>0</v>
      </c>
      <c r="M827" t="n">
        <v>0</v>
      </c>
      <c r="N827" t="n">
        <v>0</v>
      </c>
      <c r="O827" t="n">
        <v>0</v>
      </c>
      <c r="P827" t="n">
        <v>0</v>
      </c>
      <c r="Q827" t="n">
        <v>0</v>
      </c>
      <c r="R827" s="2" t="inlineStr"/>
    </row>
    <row r="828" ht="15" customHeight="1">
      <c r="A828" t="inlineStr">
        <is>
          <t>A 13172-2025</t>
        </is>
      </c>
      <c r="B828" s="1" t="n">
        <v>45735.36873842592</v>
      </c>
      <c r="C828" s="1" t="n">
        <v>46033</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59844-2022</t>
        </is>
      </c>
      <c r="B829" s="1" t="n">
        <v>44901</v>
      </c>
      <c r="C829" s="1" t="n">
        <v>46033</v>
      </c>
      <c r="D829" t="inlineStr">
        <is>
          <t>STOCKHOLMS LÄN</t>
        </is>
      </c>
      <c r="E829" t="inlineStr">
        <is>
          <t>UPPLANDS-BRO</t>
        </is>
      </c>
      <c r="F829" t="inlineStr">
        <is>
          <t>Övriga statliga verk och myndigheter</t>
        </is>
      </c>
      <c r="G829" t="n">
        <v>11.9</v>
      </c>
      <c r="H829" t="n">
        <v>0</v>
      </c>
      <c r="I829" t="n">
        <v>0</v>
      </c>
      <c r="J829" t="n">
        <v>0</v>
      </c>
      <c r="K829" t="n">
        <v>0</v>
      </c>
      <c r="L829" t="n">
        <v>0</v>
      </c>
      <c r="M829" t="n">
        <v>0</v>
      </c>
      <c r="N829" t="n">
        <v>0</v>
      </c>
      <c r="O829" t="n">
        <v>0</v>
      </c>
      <c r="P829" t="n">
        <v>0</v>
      </c>
      <c r="Q829" t="n">
        <v>0</v>
      </c>
      <c r="R829" s="2" t="inlineStr"/>
    </row>
    <row r="830" ht="15" customHeight="1">
      <c r="A830" t="inlineStr">
        <is>
          <t>A 3585-2022</t>
        </is>
      </c>
      <c r="B830" s="1" t="n">
        <v>44586</v>
      </c>
      <c r="C830" s="1" t="n">
        <v>46033</v>
      </c>
      <c r="D830" t="inlineStr">
        <is>
          <t>STOCKHOLMS LÄN</t>
        </is>
      </c>
      <c r="E830" t="inlineStr">
        <is>
          <t>SÖDERTÄLJE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6826-2025</t>
        </is>
      </c>
      <c r="B831" s="1" t="n">
        <v>45700.73123842593</v>
      </c>
      <c r="C831" s="1" t="n">
        <v>46033</v>
      </c>
      <c r="D831" t="inlineStr">
        <is>
          <t>STOCKHOLMS LÄN</t>
        </is>
      </c>
      <c r="E831" t="inlineStr">
        <is>
          <t>SIGTUNA</t>
        </is>
      </c>
      <c r="G831" t="n">
        <v>1.1</v>
      </c>
      <c r="H831" t="n">
        <v>0</v>
      </c>
      <c r="I831" t="n">
        <v>0</v>
      </c>
      <c r="J831" t="n">
        <v>0</v>
      </c>
      <c r="K831" t="n">
        <v>0</v>
      </c>
      <c r="L831" t="n">
        <v>0</v>
      </c>
      <c r="M831" t="n">
        <v>0</v>
      </c>
      <c r="N831" t="n">
        <v>0</v>
      </c>
      <c r="O831" t="n">
        <v>0</v>
      </c>
      <c r="P831" t="n">
        <v>0</v>
      </c>
      <c r="Q831" t="n">
        <v>0</v>
      </c>
      <c r="R831" s="2" t="inlineStr"/>
    </row>
    <row r="832" ht="15" customHeight="1">
      <c r="A832" t="inlineStr">
        <is>
          <t>A 15465-2025</t>
        </is>
      </c>
      <c r="B832" s="1" t="n">
        <v>45747.51586805555</v>
      </c>
      <c r="C832" s="1" t="n">
        <v>46033</v>
      </c>
      <c r="D832" t="inlineStr">
        <is>
          <t>STOCKHOLMS LÄN</t>
        </is>
      </c>
      <c r="E832" t="inlineStr">
        <is>
          <t>NYNÄSHAMN</t>
        </is>
      </c>
      <c r="G832" t="n">
        <v>1.7</v>
      </c>
      <c r="H832" t="n">
        <v>0</v>
      </c>
      <c r="I832" t="n">
        <v>0</v>
      </c>
      <c r="J832" t="n">
        <v>0</v>
      </c>
      <c r="K832" t="n">
        <v>0</v>
      </c>
      <c r="L832" t="n">
        <v>0</v>
      </c>
      <c r="M832" t="n">
        <v>0</v>
      </c>
      <c r="N832" t="n">
        <v>0</v>
      </c>
      <c r="O832" t="n">
        <v>0</v>
      </c>
      <c r="P832" t="n">
        <v>0</v>
      </c>
      <c r="Q832" t="n">
        <v>0</v>
      </c>
      <c r="R832" s="2" t="inlineStr"/>
    </row>
    <row r="833" ht="15" customHeight="1">
      <c r="A833" t="inlineStr">
        <is>
          <t>A 31370-2021</t>
        </is>
      </c>
      <c r="B833" s="1" t="n">
        <v>44368</v>
      </c>
      <c r="C833" s="1" t="n">
        <v>46033</v>
      </c>
      <c r="D833" t="inlineStr">
        <is>
          <t>STOCKHOLMS LÄN</t>
        </is>
      </c>
      <c r="E833" t="inlineStr">
        <is>
          <t>UPPLANDS-BRO</t>
        </is>
      </c>
      <c r="G833" t="n">
        <v>4.8</v>
      </c>
      <c r="H833" t="n">
        <v>0</v>
      </c>
      <c r="I833" t="n">
        <v>0</v>
      </c>
      <c r="J833" t="n">
        <v>0</v>
      </c>
      <c r="K833" t="n">
        <v>0</v>
      </c>
      <c r="L833" t="n">
        <v>0</v>
      </c>
      <c r="M833" t="n">
        <v>0</v>
      </c>
      <c r="N833" t="n">
        <v>0</v>
      </c>
      <c r="O833" t="n">
        <v>0</v>
      </c>
      <c r="P833" t="n">
        <v>0</v>
      </c>
      <c r="Q833" t="n">
        <v>0</v>
      </c>
      <c r="R833" s="2" t="inlineStr"/>
    </row>
    <row r="834" ht="15" customHeight="1">
      <c r="A834" t="inlineStr">
        <is>
          <t>A 51122-2025</t>
        </is>
      </c>
      <c r="B834" s="1" t="n">
        <v>45947.53693287037</v>
      </c>
      <c r="C834" s="1" t="n">
        <v>46033</v>
      </c>
      <c r="D834" t="inlineStr">
        <is>
          <t>STOCKHOLMS LÄN</t>
        </is>
      </c>
      <c r="E834" t="inlineStr">
        <is>
          <t>NORRTÄLJE</t>
        </is>
      </c>
      <c r="G834" t="n">
        <v>3.8</v>
      </c>
      <c r="H834" t="n">
        <v>0</v>
      </c>
      <c r="I834" t="n">
        <v>0</v>
      </c>
      <c r="J834" t="n">
        <v>0</v>
      </c>
      <c r="K834" t="n">
        <v>0</v>
      </c>
      <c r="L834" t="n">
        <v>0</v>
      </c>
      <c r="M834" t="n">
        <v>0</v>
      </c>
      <c r="N834" t="n">
        <v>0</v>
      </c>
      <c r="O834" t="n">
        <v>0</v>
      </c>
      <c r="P834" t="n">
        <v>0</v>
      </c>
      <c r="Q834" t="n">
        <v>0</v>
      </c>
      <c r="R834" s="2" t="inlineStr"/>
    </row>
    <row r="835" ht="15" customHeight="1">
      <c r="A835" t="inlineStr">
        <is>
          <t>A 22202-2025</t>
        </is>
      </c>
      <c r="B835" s="1" t="n">
        <v>45785.65300925926</v>
      </c>
      <c r="C835" s="1" t="n">
        <v>46033</v>
      </c>
      <c r="D835" t="inlineStr">
        <is>
          <t>STOCKHOLMS LÄN</t>
        </is>
      </c>
      <c r="E835" t="inlineStr">
        <is>
          <t>NORRTÄLJE</t>
        </is>
      </c>
      <c r="G835" t="n">
        <v>10.2</v>
      </c>
      <c r="H835" t="n">
        <v>0</v>
      </c>
      <c r="I835" t="n">
        <v>0</v>
      </c>
      <c r="J835" t="n">
        <v>0</v>
      </c>
      <c r="K835" t="n">
        <v>0</v>
      </c>
      <c r="L835" t="n">
        <v>0</v>
      </c>
      <c r="M835" t="n">
        <v>0</v>
      </c>
      <c r="N835" t="n">
        <v>0</v>
      </c>
      <c r="O835" t="n">
        <v>0</v>
      </c>
      <c r="P835" t="n">
        <v>0</v>
      </c>
      <c r="Q835" t="n">
        <v>0</v>
      </c>
      <c r="R835" s="2" t="inlineStr"/>
    </row>
    <row r="836" ht="15" customHeight="1">
      <c r="A836" t="inlineStr">
        <is>
          <t>A 3219-2022</t>
        </is>
      </c>
      <c r="B836" s="1" t="n">
        <v>44582</v>
      </c>
      <c r="C836" s="1" t="n">
        <v>46033</v>
      </c>
      <c r="D836" t="inlineStr">
        <is>
          <t>STOCKHOLMS LÄN</t>
        </is>
      </c>
      <c r="E836" t="inlineStr">
        <is>
          <t>EKERÖ</t>
        </is>
      </c>
      <c r="G836" t="n">
        <v>0.5</v>
      </c>
      <c r="H836" t="n">
        <v>0</v>
      </c>
      <c r="I836" t="n">
        <v>0</v>
      </c>
      <c r="J836" t="n">
        <v>0</v>
      </c>
      <c r="K836" t="n">
        <v>0</v>
      </c>
      <c r="L836" t="n">
        <v>0</v>
      </c>
      <c r="M836" t="n">
        <v>0</v>
      </c>
      <c r="N836" t="n">
        <v>0</v>
      </c>
      <c r="O836" t="n">
        <v>0</v>
      </c>
      <c r="P836" t="n">
        <v>0</v>
      </c>
      <c r="Q836" t="n">
        <v>0</v>
      </c>
      <c r="R836" s="2" t="inlineStr"/>
    </row>
    <row r="837" ht="15" customHeight="1">
      <c r="A837" t="inlineStr">
        <is>
          <t>A 3221-2022</t>
        </is>
      </c>
      <c r="B837" s="1" t="n">
        <v>44582.80788194444</v>
      </c>
      <c r="C837" s="1" t="n">
        <v>46033</v>
      </c>
      <c r="D837" t="inlineStr">
        <is>
          <t>STOCKHOLMS LÄN</t>
        </is>
      </c>
      <c r="E837" t="inlineStr">
        <is>
          <t>EKERÖ</t>
        </is>
      </c>
      <c r="G837" t="n">
        <v>0.5</v>
      </c>
      <c r="H837" t="n">
        <v>0</v>
      </c>
      <c r="I837" t="n">
        <v>0</v>
      </c>
      <c r="J837" t="n">
        <v>0</v>
      </c>
      <c r="K837" t="n">
        <v>0</v>
      </c>
      <c r="L837" t="n">
        <v>0</v>
      </c>
      <c r="M837" t="n">
        <v>0</v>
      </c>
      <c r="N837" t="n">
        <v>0</v>
      </c>
      <c r="O837" t="n">
        <v>0</v>
      </c>
      <c r="P837" t="n">
        <v>0</v>
      </c>
      <c r="Q837" t="n">
        <v>0</v>
      </c>
      <c r="R837" s="2" t="inlineStr"/>
    </row>
    <row r="838" ht="15" customHeight="1">
      <c r="A838" t="inlineStr">
        <is>
          <t>A 8932-2023</t>
        </is>
      </c>
      <c r="B838" s="1" t="n">
        <v>44979</v>
      </c>
      <c r="C838" s="1" t="n">
        <v>46033</v>
      </c>
      <c r="D838" t="inlineStr">
        <is>
          <t>STOCKHOLMS LÄN</t>
        </is>
      </c>
      <c r="E838" t="inlineStr">
        <is>
          <t>NYNÄSHAMN</t>
        </is>
      </c>
      <c r="G838" t="n">
        <v>2.3</v>
      </c>
      <c r="H838" t="n">
        <v>0</v>
      </c>
      <c r="I838" t="n">
        <v>0</v>
      </c>
      <c r="J838" t="n">
        <v>0</v>
      </c>
      <c r="K838" t="n">
        <v>0</v>
      </c>
      <c r="L838" t="n">
        <v>0</v>
      </c>
      <c r="M838" t="n">
        <v>0</v>
      </c>
      <c r="N838" t="n">
        <v>0</v>
      </c>
      <c r="O838" t="n">
        <v>0</v>
      </c>
      <c r="P838" t="n">
        <v>0</v>
      </c>
      <c r="Q838" t="n">
        <v>0</v>
      </c>
      <c r="R838" s="2" t="inlineStr"/>
    </row>
    <row r="839" ht="15" customHeight="1">
      <c r="A839" t="inlineStr">
        <is>
          <t>A 64145-2021</t>
        </is>
      </c>
      <c r="B839" s="1" t="n">
        <v>44510</v>
      </c>
      <c r="C839" s="1" t="n">
        <v>46033</v>
      </c>
      <c r="D839" t="inlineStr">
        <is>
          <t>STOCKHOLMS LÄN</t>
        </is>
      </c>
      <c r="E839" t="inlineStr">
        <is>
          <t>NORRTÄLJE</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1740-2023</t>
        </is>
      </c>
      <c r="B840" s="1" t="n">
        <v>44938</v>
      </c>
      <c r="C840" s="1" t="n">
        <v>46033</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4596-2023</t>
        </is>
      </c>
      <c r="B841" s="1" t="n">
        <v>44956</v>
      </c>
      <c r="C841" s="1" t="n">
        <v>46033</v>
      </c>
      <c r="D841" t="inlineStr">
        <is>
          <t>STOCKHOLMS LÄN</t>
        </is>
      </c>
      <c r="E841" t="inlineStr">
        <is>
          <t>NORRTÄLJE</t>
        </is>
      </c>
      <c r="G841" t="n">
        <v>1.4</v>
      </c>
      <c r="H841" t="n">
        <v>0</v>
      </c>
      <c r="I841" t="n">
        <v>0</v>
      </c>
      <c r="J841" t="n">
        <v>0</v>
      </c>
      <c r="K841" t="n">
        <v>0</v>
      </c>
      <c r="L841" t="n">
        <v>0</v>
      </c>
      <c r="M841" t="n">
        <v>0</v>
      </c>
      <c r="N841" t="n">
        <v>0</v>
      </c>
      <c r="O841" t="n">
        <v>0</v>
      </c>
      <c r="P841" t="n">
        <v>0</v>
      </c>
      <c r="Q841" t="n">
        <v>0</v>
      </c>
      <c r="R841" s="2" t="inlineStr"/>
    </row>
    <row r="842" ht="15" customHeight="1">
      <c r="A842" t="inlineStr">
        <is>
          <t>A 51233-2025</t>
        </is>
      </c>
      <c r="B842" s="1" t="n">
        <v>45947.68232638889</v>
      </c>
      <c r="C842" s="1" t="n">
        <v>46033</v>
      </c>
      <c r="D842" t="inlineStr">
        <is>
          <t>STOCKHOLMS LÄN</t>
        </is>
      </c>
      <c r="E842" t="inlineStr">
        <is>
          <t>NORRTÄLJE</t>
        </is>
      </c>
      <c r="F842" t="inlineStr">
        <is>
          <t>Naturvårdsverket</t>
        </is>
      </c>
      <c r="G842" t="n">
        <v>8.1</v>
      </c>
      <c r="H842" t="n">
        <v>0</v>
      </c>
      <c r="I842" t="n">
        <v>0</v>
      </c>
      <c r="J842" t="n">
        <v>0</v>
      </c>
      <c r="K842" t="n">
        <v>0</v>
      </c>
      <c r="L842" t="n">
        <v>0</v>
      </c>
      <c r="M842" t="n">
        <v>0</v>
      </c>
      <c r="N842" t="n">
        <v>0</v>
      </c>
      <c r="O842" t="n">
        <v>0</v>
      </c>
      <c r="P842" t="n">
        <v>0</v>
      </c>
      <c r="Q842" t="n">
        <v>0</v>
      </c>
      <c r="R842" s="2" t="inlineStr"/>
    </row>
    <row r="843" ht="15" customHeight="1">
      <c r="A843" t="inlineStr">
        <is>
          <t>A 51236-2025</t>
        </is>
      </c>
      <c r="B843" s="1" t="n">
        <v>45947.69078703703</v>
      </c>
      <c r="C843" s="1" t="n">
        <v>46033</v>
      </c>
      <c r="D843" t="inlineStr">
        <is>
          <t>STOCKHOLMS LÄN</t>
        </is>
      </c>
      <c r="E843" t="inlineStr">
        <is>
          <t>NORRTÄLJE</t>
        </is>
      </c>
      <c r="F843" t="inlineStr">
        <is>
          <t>Naturvårdsverket</t>
        </is>
      </c>
      <c r="G843" t="n">
        <v>6.3</v>
      </c>
      <c r="H843" t="n">
        <v>0</v>
      </c>
      <c r="I843" t="n">
        <v>0</v>
      </c>
      <c r="J843" t="n">
        <v>0</v>
      </c>
      <c r="K843" t="n">
        <v>0</v>
      </c>
      <c r="L843" t="n">
        <v>0</v>
      </c>
      <c r="M843" t="n">
        <v>0</v>
      </c>
      <c r="N843" t="n">
        <v>0</v>
      </c>
      <c r="O843" t="n">
        <v>0</v>
      </c>
      <c r="P843" t="n">
        <v>0</v>
      </c>
      <c r="Q843" t="n">
        <v>0</v>
      </c>
      <c r="R843" s="2" t="inlineStr"/>
    </row>
    <row r="844" ht="15" customHeight="1">
      <c r="A844" t="inlineStr">
        <is>
          <t>A 51241-2025</t>
        </is>
      </c>
      <c r="B844" s="1" t="n">
        <v>45947.71726851852</v>
      </c>
      <c r="C844" s="1" t="n">
        <v>46033</v>
      </c>
      <c r="D844" t="inlineStr">
        <is>
          <t>STOCKHOLMS LÄN</t>
        </is>
      </c>
      <c r="E844" t="inlineStr">
        <is>
          <t>NORRTÄLJE</t>
        </is>
      </c>
      <c r="F844" t="inlineStr">
        <is>
          <t>Naturvårdsverket</t>
        </is>
      </c>
      <c r="G844" t="n">
        <v>6.4</v>
      </c>
      <c r="H844" t="n">
        <v>0</v>
      </c>
      <c r="I844" t="n">
        <v>0</v>
      </c>
      <c r="J844" t="n">
        <v>0</v>
      </c>
      <c r="K844" t="n">
        <v>0</v>
      </c>
      <c r="L844" t="n">
        <v>0</v>
      </c>
      <c r="M844" t="n">
        <v>0</v>
      </c>
      <c r="N844" t="n">
        <v>0</v>
      </c>
      <c r="O844" t="n">
        <v>0</v>
      </c>
      <c r="P844" t="n">
        <v>0</v>
      </c>
      <c r="Q844" t="n">
        <v>0</v>
      </c>
      <c r="R844" s="2" t="inlineStr"/>
    </row>
    <row r="845" ht="15" customHeight="1">
      <c r="A845" t="inlineStr">
        <is>
          <t>A 38720-2025</t>
        </is>
      </c>
      <c r="B845" s="1" t="n">
        <v>45886</v>
      </c>
      <c r="C845" s="1" t="n">
        <v>46033</v>
      </c>
      <c r="D845" t="inlineStr">
        <is>
          <t>STOCKHOLMS LÄN</t>
        </is>
      </c>
      <c r="E845" t="inlineStr">
        <is>
          <t>NORRTÄLJE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24288-2024</t>
        </is>
      </c>
      <c r="B846" s="1" t="n">
        <v>45457.4562037037</v>
      </c>
      <c r="C846" s="1" t="n">
        <v>46033</v>
      </c>
      <c r="D846" t="inlineStr">
        <is>
          <t>STOCKHOLMS LÄN</t>
        </is>
      </c>
      <c r="E846" t="inlineStr">
        <is>
          <t>NYNÄSHAMN</t>
        </is>
      </c>
      <c r="G846" t="n">
        <v>1.3</v>
      </c>
      <c r="H846" t="n">
        <v>0</v>
      </c>
      <c r="I846" t="n">
        <v>0</v>
      </c>
      <c r="J846" t="n">
        <v>0</v>
      </c>
      <c r="K846" t="n">
        <v>0</v>
      </c>
      <c r="L846" t="n">
        <v>0</v>
      </c>
      <c r="M846" t="n">
        <v>0</v>
      </c>
      <c r="N846" t="n">
        <v>0</v>
      </c>
      <c r="O846" t="n">
        <v>0</v>
      </c>
      <c r="P846" t="n">
        <v>0</v>
      </c>
      <c r="Q846" t="n">
        <v>0</v>
      </c>
      <c r="R846" s="2" t="inlineStr"/>
    </row>
    <row r="847" ht="15" customHeight="1">
      <c r="A847" t="inlineStr">
        <is>
          <t>A 50784-2025</t>
        </is>
      </c>
      <c r="B847" s="1" t="n">
        <v>45946</v>
      </c>
      <c r="C847" s="1" t="n">
        <v>46033</v>
      </c>
      <c r="D847" t="inlineStr">
        <is>
          <t>STOCKHOLMS LÄN</t>
        </is>
      </c>
      <c r="E847" t="inlineStr">
        <is>
          <t>VALLENTUNA</t>
        </is>
      </c>
      <c r="G847" t="n">
        <v>1</v>
      </c>
      <c r="H847" t="n">
        <v>0</v>
      </c>
      <c r="I847" t="n">
        <v>0</v>
      </c>
      <c r="J847" t="n">
        <v>0</v>
      </c>
      <c r="K847" t="n">
        <v>0</v>
      </c>
      <c r="L847" t="n">
        <v>0</v>
      </c>
      <c r="M847" t="n">
        <v>0</v>
      </c>
      <c r="N847" t="n">
        <v>0</v>
      </c>
      <c r="O847" t="n">
        <v>0</v>
      </c>
      <c r="P847" t="n">
        <v>0</v>
      </c>
      <c r="Q847" t="n">
        <v>0</v>
      </c>
      <c r="R847" s="2" t="inlineStr"/>
    </row>
    <row r="848" ht="15" customHeight="1">
      <c r="A848" t="inlineStr">
        <is>
          <t>A 16620-2024</t>
        </is>
      </c>
      <c r="B848" s="1" t="n">
        <v>45408.57707175926</v>
      </c>
      <c r="C848" s="1" t="n">
        <v>46033</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10676-2025</t>
        </is>
      </c>
      <c r="B849" s="1" t="n">
        <v>45721.88684027778</v>
      </c>
      <c r="C849" s="1" t="n">
        <v>46033</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19031-2024</t>
        </is>
      </c>
      <c r="B850" s="1" t="n">
        <v>45427</v>
      </c>
      <c r="C850" s="1" t="n">
        <v>46033</v>
      </c>
      <c r="D850" t="inlineStr">
        <is>
          <t>STOCKHOLMS LÄN</t>
        </is>
      </c>
      <c r="E850" t="inlineStr">
        <is>
          <t>SIGTUNA</t>
        </is>
      </c>
      <c r="G850" t="n">
        <v>2.7</v>
      </c>
      <c r="H850" t="n">
        <v>0</v>
      </c>
      <c r="I850" t="n">
        <v>0</v>
      </c>
      <c r="J850" t="n">
        <v>0</v>
      </c>
      <c r="K850" t="n">
        <v>0</v>
      </c>
      <c r="L850" t="n">
        <v>0</v>
      </c>
      <c r="M850" t="n">
        <v>0</v>
      </c>
      <c r="N850" t="n">
        <v>0</v>
      </c>
      <c r="O850" t="n">
        <v>0</v>
      </c>
      <c r="P850" t="n">
        <v>0</v>
      </c>
      <c r="Q850" t="n">
        <v>0</v>
      </c>
      <c r="R850" s="2" t="inlineStr"/>
    </row>
    <row r="851" ht="15" customHeight="1">
      <c r="A851" t="inlineStr">
        <is>
          <t>A 51240-2025</t>
        </is>
      </c>
      <c r="B851" s="1" t="n">
        <v>45947.70420138889</v>
      </c>
      <c r="C851" s="1" t="n">
        <v>46033</v>
      </c>
      <c r="D851" t="inlineStr">
        <is>
          <t>STOCKHOLMS LÄN</t>
        </is>
      </c>
      <c r="E851" t="inlineStr">
        <is>
          <t>NORRTÄLJE</t>
        </is>
      </c>
      <c r="F851" t="inlineStr">
        <is>
          <t>Naturvårdsverket</t>
        </is>
      </c>
      <c r="G851" t="n">
        <v>3</v>
      </c>
      <c r="H851" t="n">
        <v>0</v>
      </c>
      <c r="I851" t="n">
        <v>0</v>
      </c>
      <c r="J851" t="n">
        <v>0</v>
      </c>
      <c r="K851" t="n">
        <v>0</v>
      </c>
      <c r="L851" t="n">
        <v>0</v>
      </c>
      <c r="M851" t="n">
        <v>0</v>
      </c>
      <c r="N851" t="n">
        <v>0</v>
      </c>
      <c r="O851" t="n">
        <v>0</v>
      </c>
      <c r="P851" t="n">
        <v>0</v>
      </c>
      <c r="Q851" t="n">
        <v>0</v>
      </c>
      <c r="R851" s="2" t="inlineStr"/>
    </row>
    <row r="852" ht="15" customHeight="1">
      <c r="A852" t="inlineStr">
        <is>
          <t>A 35961-2024</t>
        </is>
      </c>
      <c r="B852" s="1" t="n">
        <v>45533</v>
      </c>
      <c r="C852" s="1" t="n">
        <v>46033</v>
      </c>
      <c r="D852" t="inlineStr">
        <is>
          <t>STOCKHOLMS LÄN</t>
        </is>
      </c>
      <c r="E852" t="inlineStr">
        <is>
          <t>SIGTUNA</t>
        </is>
      </c>
      <c r="G852" t="n">
        <v>2.6</v>
      </c>
      <c r="H852" t="n">
        <v>0</v>
      </c>
      <c r="I852" t="n">
        <v>0</v>
      </c>
      <c r="J852" t="n">
        <v>0</v>
      </c>
      <c r="K852" t="n">
        <v>0</v>
      </c>
      <c r="L852" t="n">
        <v>0</v>
      </c>
      <c r="M852" t="n">
        <v>0</v>
      </c>
      <c r="N852" t="n">
        <v>0</v>
      </c>
      <c r="O852" t="n">
        <v>0</v>
      </c>
      <c r="P852" t="n">
        <v>0</v>
      </c>
      <c r="Q852" t="n">
        <v>0</v>
      </c>
      <c r="R852" s="2" t="inlineStr"/>
    </row>
    <row r="853" ht="15" customHeight="1">
      <c r="A853" t="inlineStr">
        <is>
          <t>A 20852-2023</t>
        </is>
      </c>
      <c r="B853" s="1" t="n">
        <v>45058.78607638889</v>
      </c>
      <c r="C853" s="1" t="n">
        <v>46033</v>
      </c>
      <c r="D853" t="inlineStr">
        <is>
          <t>STOCKHOLMS LÄN</t>
        </is>
      </c>
      <c r="E853" t="inlineStr">
        <is>
          <t>NORRTÄLJE</t>
        </is>
      </c>
      <c r="G853" t="n">
        <v>3.5</v>
      </c>
      <c r="H853" t="n">
        <v>0</v>
      </c>
      <c r="I853" t="n">
        <v>0</v>
      </c>
      <c r="J853" t="n">
        <v>0</v>
      </c>
      <c r="K853" t="n">
        <v>0</v>
      </c>
      <c r="L853" t="n">
        <v>0</v>
      </c>
      <c r="M853" t="n">
        <v>0</v>
      </c>
      <c r="N853" t="n">
        <v>0</v>
      </c>
      <c r="O853" t="n">
        <v>0</v>
      </c>
      <c r="P853" t="n">
        <v>0</v>
      </c>
      <c r="Q853" t="n">
        <v>0</v>
      </c>
      <c r="R853" s="2" t="inlineStr"/>
    </row>
    <row r="854" ht="15" customHeight="1">
      <c r="A854" t="inlineStr">
        <is>
          <t>A 16142-2024</t>
        </is>
      </c>
      <c r="B854" s="1" t="n">
        <v>45406</v>
      </c>
      <c r="C854" s="1" t="n">
        <v>46033</v>
      </c>
      <c r="D854" t="inlineStr">
        <is>
          <t>STOCKHOLMS LÄN</t>
        </is>
      </c>
      <c r="E854" t="inlineStr">
        <is>
          <t>BOTKYRKA</t>
        </is>
      </c>
      <c r="G854" t="n">
        <v>1.5</v>
      </c>
      <c r="H854" t="n">
        <v>0</v>
      </c>
      <c r="I854" t="n">
        <v>0</v>
      </c>
      <c r="J854" t="n">
        <v>0</v>
      </c>
      <c r="K854" t="n">
        <v>0</v>
      </c>
      <c r="L854" t="n">
        <v>0</v>
      </c>
      <c r="M854" t="n">
        <v>0</v>
      </c>
      <c r="N854" t="n">
        <v>0</v>
      </c>
      <c r="O854" t="n">
        <v>0</v>
      </c>
      <c r="P854" t="n">
        <v>0</v>
      </c>
      <c r="Q854" t="n">
        <v>0</v>
      </c>
      <c r="R854" s="2" t="inlineStr"/>
    </row>
    <row r="855" ht="15" customHeight="1">
      <c r="A855" t="inlineStr">
        <is>
          <t>A 22456-2023</t>
        </is>
      </c>
      <c r="B855" s="1" t="n">
        <v>45070</v>
      </c>
      <c r="C855" s="1" t="n">
        <v>46033</v>
      </c>
      <c r="D855" t="inlineStr">
        <is>
          <t>STOCKHOLMS LÄN</t>
        </is>
      </c>
      <c r="E855" t="inlineStr">
        <is>
          <t>NORRTÄLJE</t>
        </is>
      </c>
      <c r="G855" t="n">
        <v>3.1</v>
      </c>
      <c r="H855" t="n">
        <v>0</v>
      </c>
      <c r="I855" t="n">
        <v>0</v>
      </c>
      <c r="J855" t="n">
        <v>0</v>
      </c>
      <c r="K855" t="n">
        <v>0</v>
      </c>
      <c r="L855" t="n">
        <v>0</v>
      </c>
      <c r="M855" t="n">
        <v>0</v>
      </c>
      <c r="N855" t="n">
        <v>0</v>
      </c>
      <c r="O855" t="n">
        <v>0</v>
      </c>
      <c r="P855" t="n">
        <v>0</v>
      </c>
      <c r="Q855" t="n">
        <v>0</v>
      </c>
      <c r="R855" s="2" t="inlineStr"/>
    </row>
    <row r="856" ht="15" customHeight="1">
      <c r="A856" t="inlineStr">
        <is>
          <t>A 37037-2023</t>
        </is>
      </c>
      <c r="B856" s="1" t="n">
        <v>45155</v>
      </c>
      <c r="C856" s="1" t="n">
        <v>46033</v>
      </c>
      <c r="D856" t="inlineStr">
        <is>
          <t>STOCKHOLMS LÄN</t>
        </is>
      </c>
      <c r="E856" t="inlineStr">
        <is>
          <t>ÖSTERÅKER</t>
        </is>
      </c>
      <c r="G856" t="n">
        <v>2</v>
      </c>
      <c r="H856" t="n">
        <v>0</v>
      </c>
      <c r="I856" t="n">
        <v>0</v>
      </c>
      <c r="J856" t="n">
        <v>0</v>
      </c>
      <c r="K856" t="n">
        <v>0</v>
      </c>
      <c r="L856" t="n">
        <v>0</v>
      </c>
      <c r="M856" t="n">
        <v>0</v>
      </c>
      <c r="N856" t="n">
        <v>0</v>
      </c>
      <c r="O856" t="n">
        <v>0</v>
      </c>
      <c r="P856" t="n">
        <v>0</v>
      </c>
      <c r="Q856" t="n">
        <v>0</v>
      </c>
      <c r="R856" s="2" t="inlineStr"/>
    </row>
    <row r="857" ht="15" customHeight="1">
      <c r="A857" t="inlineStr">
        <is>
          <t>A 2062-2025</t>
        </is>
      </c>
      <c r="B857" s="1" t="n">
        <v>45671</v>
      </c>
      <c r="C857" s="1" t="n">
        <v>46033</v>
      </c>
      <c r="D857" t="inlineStr">
        <is>
          <t>STOCKHOLMS LÄN</t>
        </is>
      </c>
      <c r="E857" t="inlineStr">
        <is>
          <t>UPPLANDS-BRO</t>
        </is>
      </c>
      <c r="G857" t="n">
        <v>1.9</v>
      </c>
      <c r="H857" t="n">
        <v>0</v>
      </c>
      <c r="I857" t="n">
        <v>0</v>
      </c>
      <c r="J857" t="n">
        <v>0</v>
      </c>
      <c r="K857" t="n">
        <v>0</v>
      </c>
      <c r="L857" t="n">
        <v>0</v>
      </c>
      <c r="M857" t="n">
        <v>0</v>
      </c>
      <c r="N857" t="n">
        <v>0</v>
      </c>
      <c r="O857" t="n">
        <v>0</v>
      </c>
      <c r="P857" t="n">
        <v>0</v>
      </c>
      <c r="Q857" t="n">
        <v>0</v>
      </c>
      <c r="R857" s="2" t="inlineStr"/>
    </row>
    <row r="858" ht="15" customHeight="1">
      <c r="A858" t="inlineStr">
        <is>
          <t>A 17785-2024</t>
        </is>
      </c>
      <c r="B858" s="1" t="n">
        <v>45418.6968287037</v>
      </c>
      <c r="C858" s="1" t="n">
        <v>46033</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22416-2025</t>
        </is>
      </c>
      <c r="B859" s="1" t="n">
        <v>45786.55645833333</v>
      </c>
      <c r="C859" s="1" t="n">
        <v>46033</v>
      </c>
      <c r="D859" t="inlineStr">
        <is>
          <t>STOCKHOLMS LÄN</t>
        </is>
      </c>
      <c r="E859" t="inlineStr">
        <is>
          <t>NORRTÄLJE</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33892-2022</t>
        </is>
      </c>
      <c r="B860" s="1" t="n">
        <v>44790.60921296296</v>
      </c>
      <c r="C860" s="1" t="n">
        <v>46033</v>
      </c>
      <c r="D860" t="inlineStr">
        <is>
          <t>STOCKHOLMS LÄN</t>
        </is>
      </c>
      <c r="E860" t="inlineStr">
        <is>
          <t>SÖDERTÄLJE</t>
        </is>
      </c>
      <c r="G860" t="n">
        <v>2.9</v>
      </c>
      <c r="H860" t="n">
        <v>0</v>
      </c>
      <c r="I860" t="n">
        <v>0</v>
      </c>
      <c r="J860" t="n">
        <v>0</v>
      </c>
      <c r="K860" t="n">
        <v>0</v>
      </c>
      <c r="L860" t="n">
        <v>0</v>
      </c>
      <c r="M860" t="n">
        <v>0</v>
      </c>
      <c r="N860" t="n">
        <v>0</v>
      </c>
      <c r="O860" t="n">
        <v>0</v>
      </c>
      <c r="P860" t="n">
        <v>0</v>
      </c>
      <c r="Q860" t="n">
        <v>0</v>
      </c>
      <c r="R860" s="2" t="inlineStr"/>
    </row>
    <row r="861" ht="15" customHeight="1">
      <c r="A861" t="inlineStr">
        <is>
          <t>A 47977-2022</t>
        </is>
      </c>
      <c r="B861" s="1" t="n">
        <v>44855</v>
      </c>
      <c r="C861" s="1" t="n">
        <v>46033</v>
      </c>
      <c r="D861" t="inlineStr">
        <is>
          <t>STOCKHOLMS LÄN</t>
        </is>
      </c>
      <c r="E861" t="inlineStr">
        <is>
          <t>SÖDERTÄLJE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19464-2023</t>
        </is>
      </c>
      <c r="B862" s="1" t="n">
        <v>45050</v>
      </c>
      <c r="C862" s="1" t="n">
        <v>46033</v>
      </c>
      <c r="D862" t="inlineStr">
        <is>
          <t>STOCKHOLMS LÄN</t>
        </is>
      </c>
      <c r="E862" t="inlineStr">
        <is>
          <t>TÄBY</t>
        </is>
      </c>
      <c r="G862" t="n">
        <v>4.1</v>
      </c>
      <c r="H862" t="n">
        <v>0</v>
      </c>
      <c r="I862" t="n">
        <v>0</v>
      </c>
      <c r="J862" t="n">
        <v>0</v>
      </c>
      <c r="K862" t="n">
        <v>0</v>
      </c>
      <c r="L862" t="n">
        <v>0</v>
      </c>
      <c r="M862" t="n">
        <v>0</v>
      </c>
      <c r="N862" t="n">
        <v>0</v>
      </c>
      <c r="O862" t="n">
        <v>0</v>
      </c>
      <c r="P862" t="n">
        <v>0</v>
      </c>
      <c r="Q862" t="n">
        <v>0</v>
      </c>
      <c r="R862" s="2" t="inlineStr"/>
    </row>
    <row r="863" ht="15" customHeight="1">
      <c r="A863" t="inlineStr">
        <is>
          <t>A 51121-2025</t>
        </is>
      </c>
      <c r="B863" s="1" t="n">
        <v>45947.53293981482</v>
      </c>
      <c r="C863" s="1" t="n">
        <v>46033</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58785-2024</t>
        </is>
      </c>
      <c r="B864" s="1" t="n">
        <v>45635.88849537037</v>
      </c>
      <c r="C864" s="1" t="n">
        <v>46033</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6678-2025</t>
        </is>
      </c>
      <c r="B865" s="1" t="n">
        <v>45700</v>
      </c>
      <c r="C865" s="1" t="n">
        <v>46033</v>
      </c>
      <c r="D865" t="inlineStr">
        <is>
          <t>STOCKHOLMS LÄN</t>
        </is>
      </c>
      <c r="E865" t="inlineStr">
        <is>
          <t>NORRTÄLJE</t>
        </is>
      </c>
      <c r="F865" t="inlineStr">
        <is>
          <t>Övriga Aktiebolag</t>
        </is>
      </c>
      <c r="G865" t="n">
        <v>6.6</v>
      </c>
      <c r="H865" t="n">
        <v>0</v>
      </c>
      <c r="I865" t="n">
        <v>0</v>
      </c>
      <c r="J865" t="n">
        <v>0</v>
      </c>
      <c r="K865" t="n">
        <v>0</v>
      </c>
      <c r="L865" t="n">
        <v>0</v>
      </c>
      <c r="M865" t="n">
        <v>0</v>
      </c>
      <c r="N865" t="n">
        <v>0</v>
      </c>
      <c r="O865" t="n">
        <v>0</v>
      </c>
      <c r="P865" t="n">
        <v>0</v>
      </c>
      <c r="Q865" t="n">
        <v>0</v>
      </c>
      <c r="R865" s="2" t="inlineStr"/>
    </row>
    <row r="866" ht="15" customHeight="1">
      <c r="A866" t="inlineStr">
        <is>
          <t>A 1658-2022</t>
        </is>
      </c>
      <c r="B866" s="1" t="n">
        <v>44574</v>
      </c>
      <c r="C866" s="1" t="n">
        <v>46033</v>
      </c>
      <c r="D866" t="inlineStr">
        <is>
          <t>STOCKHOLMS LÄN</t>
        </is>
      </c>
      <c r="E866" t="inlineStr">
        <is>
          <t>NYNÄSHAMN</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22730-2025</t>
        </is>
      </c>
      <c r="B867" s="1" t="n">
        <v>45789.57819444445</v>
      </c>
      <c r="C867" s="1" t="n">
        <v>46033</v>
      </c>
      <c r="D867" t="inlineStr">
        <is>
          <t>STOCKHOLMS LÄN</t>
        </is>
      </c>
      <c r="E867" t="inlineStr">
        <is>
          <t>NYNÄSHAMN</t>
        </is>
      </c>
      <c r="F867" t="inlineStr">
        <is>
          <t>Kommuner</t>
        </is>
      </c>
      <c r="G867" t="n">
        <v>3.8</v>
      </c>
      <c r="H867" t="n">
        <v>0</v>
      </c>
      <c r="I867" t="n">
        <v>0</v>
      </c>
      <c r="J867" t="n">
        <v>0</v>
      </c>
      <c r="K867" t="n">
        <v>0</v>
      </c>
      <c r="L867" t="n">
        <v>0</v>
      </c>
      <c r="M867" t="n">
        <v>0</v>
      </c>
      <c r="N867" t="n">
        <v>0</v>
      </c>
      <c r="O867" t="n">
        <v>0</v>
      </c>
      <c r="P867" t="n">
        <v>0</v>
      </c>
      <c r="Q867" t="n">
        <v>0</v>
      </c>
      <c r="R867" s="2" t="inlineStr"/>
    </row>
    <row r="868" ht="15" customHeight="1">
      <c r="A868" t="inlineStr">
        <is>
          <t>A 2182-2022</t>
        </is>
      </c>
      <c r="B868" s="1" t="n">
        <v>44578</v>
      </c>
      <c r="C868" s="1" t="n">
        <v>46033</v>
      </c>
      <c r="D868" t="inlineStr">
        <is>
          <t>STOCKHOLMS LÄN</t>
        </is>
      </c>
      <c r="E868" t="inlineStr">
        <is>
          <t>NORRTÄLJE</t>
        </is>
      </c>
      <c r="G868" t="n">
        <v>7.2</v>
      </c>
      <c r="H868" t="n">
        <v>0</v>
      </c>
      <c r="I868" t="n">
        <v>0</v>
      </c>
      <c r="J868" t="n">
        <v>0</v>
      </c>
      <c r="K868" t="n">
        <v>0</v>
      </c>
      <c r="L868" t="n">
        <v>0</v>
      </c>
      <c r="M868" t="n">
        <v>0</v>
      </c>
      <c r="N868" t="n">
        <v>0</v>
      </c>
      <c r="O868" t="n">
        <v>0</v>
      </c>
      <c r="P868" t="n">
        <v>0</v>
      </c>
      <c r="Q868" t="n">
        <v>0</v>
      </c>
      <c r="R868" s="2" t="inlineStr"/>
    </row>
    <row r="869" ht="15" customHeight="1">
      <c r="A869" t="inlineStr">
        <is>
          <t>A 15690-2023</t>
        </is>
      </c>
      <c r="B869" s="1" t="n">
        <v>45020</v>
      </c>
      <c r="C869" s="1" t="n">
        <v>46033</v>
      </c>
      <c r="D869" t="inlineStr">
        <is>
          <t>STOCKHOLMS LÄN</t>
        </is>
      </c>
      <c r="E869" t="inlineStr">
        <is>
          <t>BOTKYRKA</t>
        </is>
      </c>
      <c r="G869" t="n">
        <v>5</v>
      </c>
      <c r="H869" t="n">
        <v>0</v>
      </c>
      <c r="I869" t="n">
        <v>0</v>
      </c>
      <c r="J869" t="n">
        <v>0</v>
      </c>
      <c r="K869" t="n">
        <v>0</v>
      </c>
      <c r="L869" t="n">
        <v>0</v>
      </c>
      <c r="M869" t="n">
        <v>0</v>
      </c>
      <c r="N869" t="n">
        <v>0</v>
      </c>
      <c r="O869" t="n">
        <v>0</v>
      </c>
      <c r="P869" t="n">
        <v>0</v>
      </c>
      <c r="Q869" t="n">
        <v>0</v>
      </c>
      <c r="R869" s="2" t="inlineStr"/>
    </row>
    <row r="870" ht="15" customHeight="1">
      <c r="A870" t="inlineStr">
        <is>
          <t>A 59477-2025</t>
        </is>
      </c>
      <c r="B870" s="1" t="n">
        <v>45989.58679398148</v>
      </c>
      <c r="C870" s="1" t="n">
        <v>46033</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13268-2025</t>
        </is>
      </c>
      <c r="B871" s="1" t="n">
        <v>45735</v>
      </c>
      <c r="C871" s="1" t="n">
        <v>46033</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8414-2025</t>
        </is>
      </c>
      <c r="B872" s="1" t="n">
        <v>45709.39361111111</v>
      </c>
      <c r="C872" s="1" t="n">
        <v>46033</v>
      </c>
      <c r="D872" t="inlineStr">
        <is>
          <t>STOCKHOLMS LÄN</t>
        </is>
      </c>
      <c r="E872" t="inlineStr">
        <is>
          <t>NORRTÄLJE</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22402-2025</t>
        </is>
      </c>
      <c r="B873" s="1" t="n">
        <v>45786.53287037037</v>
      </c>
      <c r="C873" s="1" t="n">
        <v>46033</v>
      </c>
      <c r="D873" t="inlineStr">
        <is>
          <t>STOCKHOLMS LÄN</t>
        </is>
      </c>
      <c r="E873" t="inlineStr">
        <is>
          <t>SIGTUNA</t>
        </is>
      </c>
      <c r="G873" t="n">
        <v>4.1</v>
      </c>
      <c r="H873" t="n">
        <v>0</v>
      </c>
      <c r="I873" t="n">
        <v>0</v>
      </c>
      <c r="J873" t="n">
        <v>0</v>
      </c>
      <c r="K873" t="n">
        <v>0</v>
      </c>
      <c r="L873" t="n">
        <v>0</v>
      </c>
      <c r="M873" t="n">
        <v>0</v>
      </c>
      <c r="N873" t="n">
        <v>0</v>
      </c>
      <c r="O873" t="n">
        <v>0</v>
      </c>
      <c r="P873" t="n">
        <v>0</v>
      </c>
      <c r="Q873" t="n">
        <v>0</v>
      </c>
      <c r="R873" s="2" t="inlineStr"/>
    </row>
    <row r="874" ht="15" customHeight="1">
      <c r="A874" t="inlineStr">
        <is>
          <t>A 36625-2024</t>
        </is>
      </c>
      <c r="B874" s="1" t="n">
        <v>45537</v>
      </c>
      <c r="C874" s="1" t="n">
        <v>46033</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46381-2023</t>
        </is>
      </c>
      <c r="B875" s="1" t="n">
        <v>45193</v>
      </c>
      <c r="C875" s="1" t="n">
        <v>46033</v>
      </c>
      <c r="D875" t="inlineStr">
        <is>
          <t>STOCKHOLMS LÄN</t>
        </is>
      </c>
      <c r="E875" t="inlineStr">
        <is>
          <t>VALLENTUNA</t>
        </is>
      </c>
      <c r="G875" t="n">
        <v>2.9</v>
      </c>
      <c r="H875" t="n">
        <v>0</v>
      </c>
      <c r="I875" t="n">
        <v>0</v>
      </c>
      <c r="J875" t="n">
        <v>0</v>
      </c>
      <c r="K875" t="n">
        <v>0</v>
      </c>
      <c r="L875" t="n">
        <v>0</v>
      </c>
      <c r="M875" t="n">
        <v>0</v>
      </c>
      <c r="N875" t="n">
        <v>0</v>
      </c>
      <c r="O875" t="n">
        <v>0</v>
      </c>
      <c r="P875" t="n">
        <v>0</v>
      </c>
      <c r="Q875" t="n">
        <v>0</v>
      </c>
      <c r="R875" s="2" t="inlineStr"/>
    </row>
    <row r="876" ht="15" customHeight="1">
      <c r="A876" t="inlineStr">
        <is>
          <t>A 23009-2024</t>
        </is>
      </c>
      <c r="B876" s="1" t="n">
        <v>45450.34506944445</v>
      </c>
      <c r="C876" s="1" t="n">
        <v>46033</v>
      </c>
      <c r="D876" t="inlineStr">
        <is>
          <t>STOCKHOLMS LÄN</t>
        </is>
      </c>
      <c r="E876" t="inlineStr">
        <is>
          <t>VALLENTUNA</t>
        </is>
      </c>
      <c r="G876" t="n">
        <v>1.4</v>
      </c>
      <c r="H876" t="n">
        <v>0</v>
      </c>
      <c r="I876" t="n">
        <v>0</v>
      </c>
      <c r="J876" t="n">
        <v>0</v>
      </c>
      <c r="K876" t="n">
        <v>0</v>
      </c>
      <c r="L876" t="n">
        <v>0</v>
      </c>
      <c r="M876" t="n">
        <v>0</v>
      </c>
      <c r="N876" t="n">
        <v>0</v>
      </c>
      <c r="O876" t="n">
        <v>0</v>
      </c>
      <c r="P876" t="n">
        <v>0</v>
      </c>
      <c r="Q876" t="n">
        <v>0</v>
      </c>
      <c r="R876" s="2" t="inlineStr"/>
    </row>
    <row r="877" ht="15" customHeight="1">
      <c r="A877" t="inlineStr">
        <is>
          <t>A 61027-2023</t>
        </is>
      </c>
      <c r="B877" s="1" t="n">
        <v>45261</v>
      </c>
      <c r="C877" s="1" t="n">
        <v>46033</v>
      </c>
      <c r="D877" t="inlineStr">
        <is>
          <t>STOCKHOLMS LÄN</t>
        </is>
      </c>
      <c r="E877" t="inlineStr">
        <is>
          <t>VALLENTUNA</t>
        </is>
      </c>
      <c r="G877" t="n">
        <v>7.1</v>
      </c>
      <c r="H877" t="n">
        <v>0</v>
      </c>
      <c r="I877" t="n">
        <v>0</v>
      </c>
      <c r="J877" t="n">
        <v>0</v>
      </c>
      <c r="K877" t="n">
        <v>0</v>
      </c>
      <c r="L877" t="n">
        <v>0</v>
      </c>
      <c r="M877" t="n">
        <v>0</v>
      </c>
      <c r="N877" t="n">
        <v>0</v>
      </c>
      <c r="O877" t="n">
        <v>0</v>
      </c>
      <c r="P877" t="n">
        <v>0</v>
      </c>
      <c r="Q877" t="n">
        <v>0</v>
      </c>
      <c r="R877" s="2" t="inlineStr"/>
    </row>
    <row r="878" ht="15" customHeight="1">
      <c r="A878" t="inlineStr">
        <is>
          <t>A 11876-2024</t>
        </is>
      </c>
      <c r="B878" s="1" t="n">
        <v>45376.47072916666</v>
      </c>
      <c r="C878" s="1" t="n">
        <v>46033</v>
      </c>
      <c r="D878" t="inlineStr">
        <is>
          <t>STOCKHOLMS LÄN</t>
        </is>
      </c>
      <c r="E878" t="inlineStr">
        <is>
          <t>BOTKYRKA</t>
        </is>
      </c>
      <c r="G878" t="n">
        <v>1</v>
      </c>
      <c r="H878" t="n">
        <v>0</v>
      </c>
      <c r="I878" t="n">
        <v>0</v>
      </c>
      <c r="J878" t="n">
        <v>0</v>
      </c>
      <c r="K878" t="n">
        <v>0</v>
      </c>
      <c r="L878" t="n">
        <v>0</v>
      </c>
      <c r="M878" t="n">
        <v>0</v>
      </c>
      <c r="N878" t="n">
        <v>0</v>
      </c>
      <c r="O878" t="n">
        <v>0</v>
      </c>
      <c r="P878" t="n">
        <v>0</v>
      </c>
      <c r="Q878" t="n">
        <v>0</v>
      </c>
      <c r="R878" s="2" t="inlineStr"/>
    </row>
    <row r="879" ht="15" customHeight="1">
      <c r="A879" t="inlineStr">
        <is>
          <t>A 44891-2023</t>
        </is>
      </c>
      <c r="B879" s="1" t="n">
        <v>45187</v>
      </c>
      <c r="C879" s="1" t="n">
        <v>46033</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12902-2024</t>
        </is>
      </c>
      <c r="B880" s="1" t="n">
        <v>45385.38146990741</v>
      </c>
      <c r="C880" s="1" t="n">
        <v>46033</v>
      </c>
      <c r="D880" t="inlineStr">
        <is>
          <t>STOCKHOLMS LÄN</t>
        </is>
      </c>
      <c r="E880" t="inlineStr">
        <is>
          <t>NORRTÄLJE</t>
        </is>
      </c>
      <c r="G880" t="n">
        <v>3.7</v>
      </c>
      <c r="H880" t="n">
        <v>0</v>
      </c>
      <c r="I880" t="n">
        <v>0</v>
      </c>
      <c r="J880" t="n">
        <v>0</v>
      </c>
      <c r="K880" t="n">
        <v>0</v>
      </c>
      <c r="L880" t="n">
        <v>0</v>
      </c>
      <c r="M880" t="n">
        <v>0</v>
      </c>
      <c r="N880" t="n">
        <v>0</v>
      </c>
      <c r="O880" t="n">
        <v>0</v>
      </c>
      <c r="P880" t="n">
        <v>0</v>
      </c>
      <c r="Q880" t="n">
        <v>0</v>
      </c>
      <c r="R880" s="2" t="inlineStr"/>
    </row>
    <row r="881" ht="15" customHeight="1">
      <c r="A881" t="inlineStr">
        <is>
          <t>A 44032-2024</t>
        </is>
      </c>
      <c r="B881" s="1" t="n">
        <v>45572.57828703704</v>
      </c>
      <c r="C881" s="1" t="n">
        <v>46033</v>
      </c>
      <c r="D881" t="inlineStr">
        <is>
          <t>STOCKHOLMS LÄN</t>
        </is>
      </c>
      <c r="E881" t="inlineStr">
        <is>
          <t>NORRTÄLJE</t>
        </is>
      </c>
      <c r="G881" t="n">
        <v>8.6</v>
      </c>
      <c r="H881" t="n">
        <v>0</v>
      </c>
      <c r="I881" t="n">
        <v>0</v>
      </c>
      <c r="J881" t="n">
        <v>0</v>
      </c>
      <c r="K881" t="n">
        <v>0</v>
      </c>
      <c r="L881" t="n">
        <v>0</v>
      </c>
      <c r="M881" t="n">
        <v>0</v>
      </c>
      <c r="N881" t="n">
        <v>0</v>
      </c>
      <c r="O881" t="n">
        <v>0</v>
      </c>
      <c r="P881" t="n">
        <v>0</v>
      </c>
      <c r="Q881" t="n">
        <v>0</v>
      </c>
      <c r="R881" s="2" t="inlineStr"/>
    </row>
    <row r="882" ht="15" customHeight="1">
      <c r="A882" t="inlineStr">
        <is>
          <t>A 20373-2025</t>
        </is>
      </c>
      <c r="B882" s="1" t="n">
        <v>45775.4216087963</v>
      </c>
      <c r="C882" s="1" t="n">
        <v>46033</v>
      </c>
      <c r="D882" t="inlineStr">
        <is>
          <t>STOCKHOLMS LÄN</t>
        </is>
      </c>
      <c r="E882" t="inlineStr">
        <is>
          <t>VÄRMDÖ</t>
        </is>
      </c>
      <c r="G882" t="n">
        <v>0.5</v>
      </c>
      <c r="H882" t="n">
        <v>0</v>
      </c>
      <c r="I882" t="n">
        <v>0</v>
      </c>
      <c r="J882" t="n">
        <v>0</v>
      </c>
      <c r="K882" t="n">
        <v>0</v>
      </c>
      <c r="L882" t="n">
        <v>0</v>
      </c>
      <c r="M882" t="n">
        <v>0</v>
      </c>
      <c r="N882" t="n">
        <v>0</v>
      </c>
      <c r="O882" t="n">
        <v>0</v>
      </c>
      <c r="P882" t="n">
        <v>0</v>
      </c>
      <c r="Q882" t="n">
        <v>0</v>
      </c>
      <c r="R882" s="2" t="inlineStr"/>
    </row>
    <row r="883" ht="15" customHeight="1">
      <c r="A883" t="inlineStr">
        <is>
          <t>A 24563-2024</t>
        </is>
      </c>
      <c r="B883" s="1" t="n">
        <v>45460.44347222222</v>
      </c>
      <c r="C883" s="1" t="n">
        <v>46033</v>
      </c>
      <c r="D883" t="inlineStr">
        <is>
          <t>STOCKHOLMS LÄN</t>
        </is>
      </c>
      <c r="E883" t="inlineStr">
        <is>
          <t>NORRTÄLJE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39237-2024</t>
        </is>
      </c>
      <c r="B884" s="1" t="n">
        <v>45549</v>
      </c>
      <c r="C884" s="1" t="n">
        <v>46033</v>
      </c>
      <c r="D884" t="inlineStr">
        <is>
          <t>STOCKHOLMS LÄN</t>
        </is>
      </c>
      <c r="E884" t="inlineStr">
        <is>
          <t>NORRTÄLJE</t>
        </is>
      </c>
      <c r="G884" t="n">
        <v>13.3</v>
      </c>
      <c r="H884" t="n">
        <v>0</v>
      </c>
      <c r="I884" t="n">
        <v>0</v>
      </c>
      <c r="J884" t="n">
        <v>0</v>
      </c>
      <c r="K884" t="n">
        <v>0</v>
      </c>
      <c r="L884" t="n">
        <v>0</v>
      </c>
      <c r="M884" t="n">
        <v>0</v>
      </c>
      <c r="N884" t="n">
        <v>0</v>
      </c>
      <c r="O884" t="n">
        <v>0</v>
      </c>
      <c r="P884" t="n">
        <v>0</v>
      </c>
      <c r="Q884" t="n">
        <v>0</v>
      </c>
      <c r="R884" s="2" t="inlineStr"/>
    </row>
    <row r="885" ht="15" customHeight="1">
      <c r="A885" t="inlineStr">
        <is>
          <t>A 45746-2024</t>
        </is>
      </c>
      <c r="B885" s="1" t="n">
        <v>45579</v>
      </c>
      <c r="C885" s="1" t="n">
        <v>46033</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2177-2024</t>
        </is>
      </c>
      <c r="B886" s="1" t="n">
        <v>45309.64600694444</v>
      </c>
      <c r="C886" s="1" t="n">
        <v>46033</v>
      </c>
      <c r="D886" t="inlineStr">
        <is>
          <t>STOCKHOLMS LÄN</t>
        </is>
      </c>
      <c r="E886" t="inlineStr">
        <is>
          <t>NYKVARN</t>
        </is>
      </c>
      <c r="G886" t="n">
        <v>1.1</v>
      </c>
      <c r="H886" t="n">
        <v>0</v>
      </c>
      <c r="I886" t="n">
        <v>0</v>
      </c>
      <c r="J886" t="n">
        <v>0</v>
      </c>
      <c r="K886" t="n">
        <v>0</v>
      </c>
      <c r="L886" t="n">
        <v>0</v>
      </c>
      <c r="M886" t="n">
        <v>0</v>
      </c>
      <c r="N886" t="n">
        <v>0</v>
      </c>
      <c r="O886" t="n">
        <v>0</v>
      </c>
      <c r="P886" t="n">
        <v>0</v>
      </c>
      <c r="Q886" t="n">
        <v>0</v>
      </c>
      <c r="R886" s="2" t="inlineStr"/>
    </row>
    <row r="887" ht="15" customHeight="1">
      <c r="A887" t="inlineStr">
        <is>
          <t>A 8400-2024</t>
        </is>
      </c>
      <c r="B887" s="1" t="n">
        <v>45352.74090277778</v>
      </c>
      <c r="C887" s="1" t="n">
        <v>46033</v>
      </c>
      <c r="D887" t="inlineStr">
        <is>
          <t>STOCKHOLMS LÄN</t>
        </is>
      </c>
      <c r="E887" t="inlineStr">
        <is>
          <t>NORRTÄLJE</t>
        </is>
      </c>
      <c r="G887" t="n">
        <v>4.7</v>
      </c>
      <c r="H887" t="n">
        <v>0</v>
      </c>
      <c r="I887" t="n">
        <v>0</v>
      </c>
      <c r="J887" t="n">
        <v>0</v>
      </c>
      <c r="K887" t="n">
        <v>0</v>
      </c>
      <c r="L887" t="n">
        <v>0</v>
      </c>
      <c r="M887" t="n">
        <v>0</v>
      </c>
      <c r="N887" t="n">
        <v>0</v>
      </c>
      <c r="O887" t="n">
        <v>0</v>
      </c>
      <c r="P887" t="n">
        <v>0</v>
      </c>
      <c r="Q887" t="n">
        <v>0</v>
      </c>
      <c r="R887" s="2" t="inlineStr"/>
    </row>
    <row r="888" ht="15" customHeight="1">
      <c r="A888" t="inlineStr">
        <is>
          <t>A 17979-2024</t>
        </is>
      </c>
      <c r="B888" s="1" t="n">
        <v>45419.86915509259</v>
      </c>
      <c r="C888" s="1" t="n">
        <v>46033</v>
      </c>
      <c r="D888" t="inlineStr">
        <is>
          <t>STOCKHOLMS LÄN</t>
        </is>
      </c>
      <c r="E888" t="inlineStr">
        <is>
          <t>SÖDERTÄLJE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26190-2022</t>
        </is>
      </c>
      <c r="B889" s="1" t="n">
        <v>44735</v>
      </c>
      <c r="C889" s="1" t="n">
        <v>46033</v>
      </c>
      <c r="D889" t="inlineStr">
        <is>
          <t>STOCKHOLMS LÄN</t>
        </is>
      </c>
      <c r="E889" t="inlineStr">
        <is>
          <t>NYNÄSHAMN</t>
        </is>
      </c>
      <c r="G889" t="n">
        <v>2</v>
      </c>
      <c r="H889" t="n">
        <v>0</v>
      </c>
      <c r="I889" t="n">
        <v>0</v>
      </c>
      <c r="J889" t="n">
        <v>0</v>
      </c>
      <c r="K889" t="n">
        <v>0</v>
      </c>
      <c r="L889" t="n">
        <v>0</v>
      </c>
      <c r="M889" t="n">
        <v>0</v>
      </c>
      <c r="N889" t="n">
        <v>0</v>
      </c>
      <c r="O889" t="n">
        <v>0</v>
      </c>
      <c r="P889" t="n">
        <v>0</v>
      </c>
      <c r="Q889" t="n">
        <v>0</v>
      </c>
      <c r="R889" s="2" t="inlineStr"/>
    </row>
    <row r="890" ht="15" customHeight="1">
      <c r="A890" t="inlineStr">
        <is>
          <t>A 38593-2025</t>
        </is>
      </c>
      <c r="B890" s="1" t="n">
        <v>45884.48696759259</v>
      </c>
      <c r="C890" s="1" t="n">
        <v>46033</v>
      </c>
      <c r="D890" t="inlineStr">
        <is>
          <t>STOCKHOLMS LÄN</t>
        </is>
      </c>
      <c r="E890" t="inlineStr">
        <is>
          <t>NORRTÄLJE</t>
        </is>
      </c>
      <c r="G890" t="n">
        <v>3</v>
      </c>
      <c r="H890" t="n">
        <v>0</v>
      </c>
      <c r="I890" t="n">
        <v>0</v>
      </c>
      <c r="J890" t="n">
        <v>0</v>
      </c>
      <c r="K890" t="n">
        <v>0</v>
      </c>
      <c r="L890" t="n">
        <v>0</v>
      </c>
      <c r="M890" t="n">
        <v>0</v>
      </c>
      <c r="N890" t="n">
        <v>0</v>
      </c>
      <c r="O890" t="n">
        <v>0</v>
      </c>
      <c r="P890" t="n">
        <v>0</v>
      </c>
      <c r="Q890" t="n">
        <v>0</v>
      </c>
      <c r="R890" s="2" t="inlineStr"/>
    </row>
    <row r="891" ht="15" customHeight="1">
      <c r="A891" t="inlineStr">
        <is>
          <t>A 22721-2025</t>
        </is>
      </c>
      <c r="B891" s="1" t="n">
        <v>45789.57309027778</v>
      </c>
      <c r="C891" s="1" t="n">
        <v>46033</v>
      </c>
      <c r="D891" t="inlineStr">
        <is>
          <t>STOCKHOLMS LÄN</t>
        </is>
      </c>
      <c r="E891" t="inlineStr">
        <is>
          <t>NYNÄSHAMN</t>
        </is>
      </c>
      <c r="F891" t="inlineStr">
        <is>
          <t>Kommuner</t>
        </is>
      </c>
      <c r="G891" t="n">
        <v>1.7</v>
      </c>
      <c r="H891" t="n">
        <v>0</v>
      </c>
      <c r="I891" t="n">
        <v>0</v>
      </c>
      <c r="J891" t="n">
        <v>0</v>
      </c>
      <c r="K891" t="n">
        <v>0</v>
      </c>
      <c r="L891" t="n">
        <v>0</v>
      </c>
      <c r="M891" t="n">
        <v>0</v>
      </c>
      <c r="N891" t="n">
        <v>0</v>
      </c>
      <c r="O891" t="n">
        <v>0</v>
      </c>
      <c r="P891" t="n">
        <v>0</v>
      </c>
      <c r="Q891" t="n">
        <v>0</v>
      </c>
      <c r="R891" s="2" t="inlineStr"/>
    </row>
    <row r="892" ht="15" customHeight="1">
      <c r="A892" t="inlineStr">
        <is>
          <t>A 22740-2025</t>
        </is>
      </c>
      <c r="B892" s="1" t="n">
        <v>45789.59407407408</v>
      </c>
      <c r="C892" s="1" t="n">
        <v>46033</v>
      </c>
      <c r="D892" t="inlineStr">
        <is>
          <t>STOCKHOLMS LÄN</t>
        </is>
      </c>
      <c r="E892" t="inlineStr">
        <is>
          <t>NYNÄSHAMN</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52989-2023</t>
        </is>
      </c>
      <c r="B893" s="1" t="n">
        <v>45226</v>
      </c>
      <c r="C893" s="1" t="n">
        <v>46033</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19210-2024</t>
        </is>
      </c>
      <c r="B894" s="1" t="n">
        <v>45428.54665509259</v>
      </c>
      <c r="C894" s="1" t="n">
        <v>46033</v>
      </c>
      <c r="D894" t="inlineStr">
        <is>
          <t>STOCKHOLMS LÄN</t>
        </is>
      </c>
      <c r="E894" t="inlineStr">
        <is>
          <t>SÖDERTÄLJE</t>
        </is>
      </c>
      <c r="G894" t="n">
        <v>3.1</v>
      </c>
      <c r="H894" t="n">
        <v>0</v>
      </c>
      <c r="I894" t="n">
        <v>0</v>
      </c>
      <c r="J894" t="n">
        <v>0</v>
      </c>
      <c r="K894" t="n">
        <v>0</v>
      </c>
      <c r="L894" t="n">
        <v>0</v>
      </c>
      <c r="M894" t="n">
        <v>0</v>
      </c>
      <c r="N894" t="n">
        <v>0</v>
      </c>
      <c r="O894" t="n">
        <v>0</v>
      </c>
      <c r="P894" t="n">
        <v>0</v>
      </c>
      <c r="Q894" t="n">
        <v>0</v>
      </c>
      <c r="R894" s="2" t="inlineStr"/>
    </row>
    <row r="895" ht="15" customHeight="1">
      <c r="A895" t="inlineStr">
        <is>
          <t>A 48375-2024</t>
        </is>
      </c>
      <c r="B895" s="1" t="n">
        <v>45590.58184027778</v>
      </c>
      <c r="C895" s="1" t="n">
        <v>46033</v>
      </c>
      <c r="D895" t="inlineStr">
        <is>
          <t>STOCKHOLMS LÄN</t>
        </is>
      </c>
      <c r="E895" t="inlineStr">
        <is>
          <t>SIGTUNA</t>
        </is>
      </c>
      <c r="F895" t="inlineStr">
        <is>
          <t>Allmännings- och besparingsskogar</t>
        </is>
      </c>
      <c r="G895" t="n">
        <v>4.8</v>
      </c>
      <c r="H895" t="n">
        <v>0</v>
      </c>
      <c r="I895" t="n">
        <v>0</v>
      </c>
      <c r="J895" t="n">
        <v>0</v>
      </c>
      <c r="K895" t="n">
        <v>0</v>
      </c>
      <c r="L895" t="n">
        <v>0</v>
      </c>
      <c r="M895" t="n">
        <v>0</v>
      </c>
      <c r="N895" t="n">
        <v>0</v>
      </c>
      <c r="O895" t="n">
        <v>0</v>
      </c>
      <c r="P895" t="n">
        <v>0</v>
      </c>
      <c r="Q895" t="n">
        <v>0</v>
      </c>
      <c r="R895" s="2" t="inlineStr"/>
    </row>
    <row r="896" ht="15" customHeight="1">
      <c r="A896" t="inlineStr">
        <is>
          <t>A 19982-2022</t>
        </is>
      </c>
      <c r="B896" s="1" t="n">
        <v>44697</v>
      </c>
      <c r="C896" s="1" t="n">
        <v>46033</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27970-2022</t>
        </is>
      </c>
      <c r="B897" s="1" t="n">
        <v>44744</v>
      </c>
      <c r="C897" s="1" t="n">
        <v>46033</v>
      </c>
      <c r="D897" t="inlineStr">
        <is>
          <t>STOCKHOLMS LÄN</t>
        </is>
      </c>
      <c r="E897" t="inlineStr">
        <is>
          <t>SÖDERTÄLJE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27972-2022</t>
        </is>
      </c>
      <c r="B898" s="1" t="n">
        <v>44744</v>
      </c>
      <c r="C898" s="1" t="n">
        <v>46033</v>
      </c>
      <c r="D898" t="inlineStr">
        <is>
          <t>STOCKHOLMS LÄN</t>
        </is>
      </c>
      <c r="E898" t="inlineStr">
        <is>
          <t>SÖDERTÄLJE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3828-2023</t>
        </is>
      </c>
      <c r="B899" s="1" t="n">
        <v>44951</v>
      </c>
      <c r="C899" s="1" t="n">
        <v>46033</v>
      </c>
      <c r="D899" t="inlineStr">
        <is>
          <t>STOCKHOLMS LÄN</t>
        </is>
      </c>
      <c r="E899" t="inlineStr">
        <is>
          <t>ÖSTERÅKER</t>
        </is>
      </c>
      <c r="F899" t="inlineStr">
        <is>
          <t>Kommuner</t>
        </is>
      </c>
      <c r="G899" t="n">
        <v>3.2</v>
      </c>
      <c r="H899" t="n">
        <v>0</v>
      </c>
      <c r="I899" t="n">
        <v>0</v>
      </c>
      <c r="J899" t="n">
        <v>0</v>
      </c>
      <c r="K899" t="n">
        <v>0</v>
      </c>
      <c r="L899" t="n">
        <v>0</v>
      </c>
      <c r="M899" t="n">
        <v>0</v>
      </c>
      <c r="N899" t="n">
        <v>0</v>
      </c>
      <c r="O899" t="n">
        <v>0</v>
      </c>
      <c r="P899" t="n">
        <v>0</v>
      </c>
      <c r="Q899" t="n">
        <v>0</v>
      </c>
      <c r="R899" s="2" t="inlineStr"/>
    </row>
    <row r="900" ht="15" customHeight="1">
      <c r="A900" t="inlineStr">
        <is>
          <t>A 42075-2023</t>
        </is>
      </c>
      <c r="B900" s="1" t="n">
        <v>45177</v>
      </c>
      <c r="C900" s="1" t="n">
        <v>46033</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50108-2021</t>
        </is>
      </c>
      <c r="B901" s="1" t="n">
        <v>44456</v>
      </c>
      <c r="C901" s="1" t="n">
        <v>46033</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8163-2024</t>
        </is>
      </c>
      <c r="B902" s="1" t="n">
        <v>45351.60337962963</v>
      </c>
      <c r="C902" s="1" t="n">
        <v>46033</v>
      </c>
      <c r="D902" t="inlineStr">
        <is>
          <t>STOCKHOLMS LÄN</t>
        </is>
      </c>
      <c r="E902" t="inlineStr">
        <is>
          <t>HANINGE</t>
        </is>
      </c>
      <c r="F902" t="inlineStr">
        <is>
          <t>Kommuner</t>
        </is>
      </c>
      <c r="G902" t="n">
        <v>3.8</v>
      </c>
      <c r="H902" t="n">
        <v>0</v>
      </c>
      <c r="I902" t="n">
        <v>0</v>
      </c>
      <c r="J902" t="n">
        <v>0</v>
      </c>
      <c r="K902" t="n">
        <v>0</v>
      </c>
      <c r="L902" t="n">
        <v>0</v>
      </c>
      <c r="M902" t="n">
        <v>0</v>
      </c>
      <c r="N902" t="n">
        <v>0</v>
      </c>
      <c r="O902" t="n">
        <v>0</v>
      </c>
      <c r="P902" t="n">
        <v>0</v>
      </c>
      <c r="Q902" t="n">
        <v>0</v>
      </c>
      <c r="R902" s="2" t="inlineStr"/>
    </row>
    <row r="903" ht="15" customHeight="1">
      <c r="A903" t="inlineStr">
        <is>
          <t>A 38535-2025</t>
        </is>
      </c>
      <c r="B903" s="1" t="n">
        <v>45884.41943287037</v>
      </c>
      <c r="C903" s="1" t="n">
        <v>46033</v>
      </c>
      <c r="D903" t="inlineStr">
        <is>
          <t>STOCKHOLMS LÄN</t>
        </is>
      </c>
      <c r="E903" t="inlineStr">
        <is>
          <t>NYKVARN</t>
        </is>
      </c>
      <c r="G903" t="n">
        <v>3.4</v>
      </c>
      <c r="H903" t="n">
        <v>0</v>
      </c>
      <c r="I903" t="n">
        <v>0</v>
      </c>
      <c r="J903" t="n">
        <v>0</v>
      </c>
      <c r="K903" t="n">
        <v>0</v>
      </c>
      <c r="L903" t="n">
        <v>0</v>
      </c>
      <c r="M903" t="n">
        <v>0</v>
      </c>
      <c r="N903" t="n">
        <v>0</v>
      </c>
      <c r="O903" t="n">
        <v>0</v>
      </c>
      <c r="P903" t="n">
        <v>0</v>
      </c>
      <c r="Q903" t="n">
        <v>0</v>
      </c>
      <c r="R903" s="2" t="inlineStr"/>
    </row>
    <row r="904" ht="15" customHeight="1">
      <c r="A904" t="inlineStr">
        <is>
          <t>A 51532-2025</t>
        </is>
      </c>
      <c r="B904" s="1" t="n">
        <v>45950.68297453703</v>
      </c>
      <c r="C904" s="1" t="n">
        <v>46033</v>
      </c>
      <c r="D904" t="inlineStr">
        <is>
          <t>STOCKHOLMS LÄN</t>
        </is>
      </c>
      <c r="E904" t="inlineStr">
        <is>
          <t>NORRTÄLJE</t>
        </is>
      </c>
      <c r="F904" t="inlineStr">
        <is>
          <t>Naturvårdsverket</t>
        </is>
      </c>
      <c r="G904" t="n">
        <v>17.3</v>
      </c>
      <c r="H904" t="n">
        <v>0</v>
      </c>
      <c r="I904" t="n">
        <v>0</v>
      </c>
      <c r="J904" t="n">
        <v>0</v>
      </c>
      <c r="K904" t="n">
        <v>0</v>
      </c>
      <c r="L904" t="n">
        <v>0</v>
      </c>
      <c r="M904" t="n">
        <v>0</v>
      </c>
      <c r="N904" t="n">
        <v>0</v>
      </c>
      <c r="O904" t="n">
        <v>0</v>
      </c>
      <c r="P904" t="n">
        <v>0</v>
      </c>
      <c r="Q904" t="n">
        <v>0</v>
      </c>
      <c r="R904" s="2" t="inlineStr"/>
    </row>
    <row r="905" ht="15" customHeight="1">
      <c r="A905" t="inlineStr">
        <is>
          <t>A 51789-2025</t>
        </is>
      </c>
      <c r="B905" s="1" t="n">
        <v>45951.68046296296</v>
      </c>
      <c r="C905" s="1" t="n">
        <v>46033</v>
      </c>
      <c r="D905" t="inlineStr">
        <is>
          <t>STOCKHOLMS LÄN</t>
        </is>
      </c>
      <c r="E905" t="inlineStr">
        <is>
          <t>NORRTÄLJE</t>
        </is>
      </c>
      <c r="F905" t="inlineStr">
        <is>
          <t>Naturvårdsverket</t>
        </is>
      </c>
      <c r="G905" t="n">
        <v>8.9</v>
      </c>
      <c r="H905" t="n">
        <v>0</v>
      </c>
      <c r="I905" t="n">
        <v>0</v>
      </c>
      <c r="J905" t="n">
        <v>0</v>
      </c>
      <c r="K905" t="n">
        <v>0</v>
      </c>
      <c r="L905" t="n">
        <v>0</v>
      </c>
      <c r="M905" t="n">
        <v>0</v>
      </c>
      <c r="N905" t="n">
        <v>0</v>
      </c>
      <c r="O905" t="n">
        <v>0</v>
      </c>
      <c r="P905" t="n">
        <v>0</v>
      </c>
      <c r="Q905" t="n">
        <v>0</v>
      </c>
      <c r="R905" s="2" t="inlineStr"/>
    </row>
    <row r="906" ht="15" customHeight="1">
      <c r="A906" t="inlineStr">
        <is>
          <t>A 59907-2025</t>
        </is>
      </c>
      <c r="B906" s="1" t="n">
        <v>45993.35350694445</v>
      </c>
      <c r="C906" s="1" t="n">
        <v>46033</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59914-2025</t>
        </is>
      </c>
      <c r="B907" s="1" t="n">
        <v>45993.37056712963</v>
      </c>
      <c r="C907" s="1" t="n">
        <v>46033</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23284-2025</t>
        </is>
      </c>
      <c r="B908" s="1" t="n">
        <v>45791.57525462963</v>
      </c>
      <c r="C908" s="1" t="n">
        <v>46033</v>
      </c>
      <c r="D908" t="inlineStr">
        <is>
          <t>STOCKHOLMS LÄN</t>
        </is>
      </c>
      <c r="E908" t="inlineStr">
        <is>
          <t>NYKVARN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27677-2025</t>
        </is>
      </c>
      <c r="B909" s="1" t="n">
        <v>45813.63650462963</v>
      </c>
      <c r="C909" s="1" t="n">
        <v>46033</v>
      </c>
      <c r="D909" t="inlineStr">
        <is>
          <t>STOCKHOLMS LÄN</t>
        </is>
      </c>
      <c r="E909" t="inlineStr">
        <is>
          <t>NORRTÄLJE</t>
        </is>
      </c>
      <c r="G909" t="n">
        <v>2</v>
      </c>
      <c r="H909" t="n">
        <v>0</v>
      </c>
      <c r="I909" t="n">
        <v>0</v>
      </c>
      <c r="J909" t="n">
        <v>0</v>
      </c>
      <c r="K909" t="n">
        <v>0</v>
      </c>
      <c r="L909" t="n">
        <v>0</v>
      </c>
      <c r="M909" t="n">
        <v>0</v>
      </c>
      <c r="N909" t="n">
        <v>0</v>
      </c>
      <c r="O909" t="n">
        <v>0</v>
      </c>
      <c r="P909" t="n">
        <v>0</v>
      </c>
      <c r="Q909" t="n">
        <v>0</v>
      </c>
      <c r="R909" s="2" t="inlineStr"/>
    </row>
    <row r="910" ht="15" customHeight="1">
      <c r="A910" t="inlineStr">
        <is>
          <t>A 39152-2025</t>
        </is>
      </c>
      <c r="B910" s="1" t="n">
        <v>45888</v>
      </c>
      <c r="C910" s="1" t="n">
        <v>46033</v>
      </c>
      <c r="D910" t="inlineStr">
        <is>
          <t>STOCKHOLMS LÄN</t>
        </is>
      </c>
      <c r="E910" t="inlineStr">
        <is>
          <t>NORRTÄLJE</t>
        </is>
      </c>
      <c r="G910" t="n">
        <v>4.6</v>
      </c>
      <c r="H910" t="n">
        <v>0</v>
      </c>
      <c r="I910" t="n">
        <v>0</v>
      </c>
      <c r="J910" t="n">
        <v>0</v>
      </c>
      <c r="K910" t="n">
        <v>0</v>
      </c>
      <c r="L910" t="n">
        <v>0</v>
      </c>
      <c r="M910" t="n">
        <v>0</v>
      </c>
      <c r="N910" t="n">
        <v>0</v>
      </c>
      <c r="O910" t="n">
        <v>0</v>
      </c>
      <c r="P910" t="n">
        <v>0</v>
      </c>
      <c r="Q910" t="n">
        <v>0</v>
      </c>
      <c r="R910" s="2" t="inlineStr"/>
    </row>
    <row r="911" ht="15" customHeight="1">
      <c r="A911" t="inlineStr">
        <is>
          <t>A 26390-2023</t>
        </is>
      </c>
      <c r="B911" s="1" t="n">
        <v>45086</v>
      </c>
      <c r="C911" s="1" t="n">
        <v>46033</v>
      </c>
      <c r="D911" t="inlineStr">
        <is>
          <t>STOCKHOLMS LÄN</t>
        </is>
      </c>
      <c r="E911" t="inlineStr">
        <is>
          <t>VALLENTUNA</t>
        </is>
      </c>
      <c r="G911" t="n">
        <v>1.6</v>
      </c>
      <c r="H911" t="n">
        <v>0</v>
      </c>
      <c r="I911" t="n">
        <v>0</v>
      </c>
      <c r="J911" t="n">
        <v>0</v>
      </c>
      <c r="K911" t="n">
        <v>0</v>
      </c>
      <c r="L911" t="n">
        <v>0</v>
      </c>
      <c r="M911" t="n">
        <v>0</v>
      </c>
      <c r="N911" t="n">
        <v>0</v>
      </c>
      <c r="O911" t="n">
        <v>0</v>
      </c>
      <c r="P911" t="n">
        <v>0</v>
      </c>
      <c r="Q911" t="n">
        <v>0</v>
      </c>
      <c r="R911" s="2" t="inlineStr"/>
    </row>
    <row r="912" ht="15" customHeight="1">
      <c r="A912" t="inlineStr">
        <is>
          <t>A 50355-2024</t>
        </is>
      </c>
      <c r="B912" s="1" t="n">
        <v>45600.86128472222</v>
      </c>
      <c r="C912" s="1" t="n">
        <v>46033</v>
      </c>
      <c r="D912" t="inlineStr">
        <is>
          <t>STOCKHOLMS LÄN</t>
        </is>
      </c>
      <c r="E912" t="inlineStr">
        <is>
          <t>NORRTÄLJE</t>
        </is>
      </c>
      <c r="F912" t="inlineStr">
        <is>
          <t>Kommuner</t>
        </is>
      </c>
      <c r="G912" t="n">
        <v>1</v>
      </c>
      <c r="H912" t="n">
        <v>0</v>
      </c>
      <c r="I912" t="n">
        <v>0</v>
      </c>
      <c r="J912" t="n">
        <v>0</v>
      </c>
      <c r="K912" t="n">
        <v>0</v>
      </c>
      <c r="L912" t="n">
        <v>0</v>
      </c>
      <c r="M912" t="n">
        <v>0</v>
      </c>
      <c r="N912" t="n">
        <v>0</v>
      </c>
      <c r="O912" t="n">
        <v>0</v>
      </c>
      <c r="P912" t="n">
        <v>0</v>
      </c>
      <c r="Q912" t="n">
        <v>0</v>
      </c>
      <c r="R912" s="2" t="inlineStr"/>
    </row>
    <row r="913" ht="15" customHeight="1">
      <c r="A913" t="inlineStr">
        <is>
          <t>A 44917-2022</t>
        </is>
      </c>
      <c r="B913" s="1" t="n">
        <v>44841.52804398148</v>
      </c>
      <c r="C913" s="1" t="n">
        <v>46033</v>
      </c>
      <c r="D913" t="inlineStr">
        <is>
          <t>STOCKHOLMS LÄN</t>
        </is>
      </c>
      <c r="E913" t="inlineStr">
        <is>
          <t>NORRTÄLJE</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39149-2025</t>
        </is>
      </c>
      <c r="B914" s="1" t="n">
        <v>45888.60714120371</v>
      </c>
      <c r="C914" s="1" t="n">
        <v>46033</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23615-2025</t>
        </is>
      </c>
      <c r="B915" s="1" t="n">
        <v>45792.66532407407</v>
      </c>
      <c r="C915" s="1" t="n">
        <v>46033</v>
      </c>
      <c r="D915" t="inlineStr">
        <is>
          <t>STOCKHOLMS LÄN</t>
        </is>
      </c>
      <c r="E915" t="inlineStr">
        <is>
          <t>UPPLANDS-BRO</t>
        </is>
      </c>
      <c r="G915" t="n">
        <v>1.3</v>
      </c>
      <c r="H915" t="n">
        <v>0</v>
      </c>
      <c r="I915" t="n">
        <v>0</v>
      </c>
      <c r="J915" t="n">
        <v>0</v>
      </c>
      <c r="K915" t="n">
        <v>0</v>
      </c>
      <c r="L915" t="n">
        <v>0</v>
      </c>
      <c r="M915" t="n">
        <v>0</v>
      </c>
      <c r="N915" t="n">
        <v>0</v>
      </c>
      <c r="O915" t="n">
        <v>0</v>
      </c>
      <c r="P915" t="n">
        <v>0</v>
      </c>
      <c r="Q915" t="n">
        <v>0</v>
      </c>
      <c r="R915" s="2" t="inlineStr"/>
    </row>
    <row r="916" ht="15" customHeight="1">
      <c r="A916" t="inlineStr">
        <is>
          <t>A 23655-2025</t>
        </is>
      </c>
      <c r="B916" s="1" t="n">
        <v>45792</v>
      </c>
      <c r="C916" s="1" t="n">
        <v>46033</v>
      </c>
      <c r="D916" t="inlineStr">
        <is>
          <t>STOCKHOLMS LÄN</t>
        </is>
      </c>
      <c r="E916" t="inlineStr">
        <is>
          <t>NYKVARN</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55058-2021</t>
        </is>
      </c>
      <c r="B917" s="1" t="n">
        <v>44474.62141203704</v>
      </c>
      <c r="C917" s="1" t="n">
        <v>46033</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33262-2021</t>
        </is>
      </c>
      <c r="B918" s="1" t="n">
        <v>44377.35033564815</v>
      </c>
      <c r="C918" s="1" t="n">
        <v>46033</v>
      </c>
      <c r="D918" t="inlineStr">
        <is>
          <t>STOCKHOLMS LÄN</t>
        </is>
      </c>
      <c r="E918" t="inlineStr">
        <is>
          <t>SALEM</t>
        </is>
      </c>
      <c r="G918" t="n">
        <v>0.7</v>
      </c>
      <c r="H918" t="n">
        <v>0</v>
      </c>
      <c r="I918" t="n">
        <v>0</v>
      </c>
      <c r="J918" t="n">
        <v>0</v>
      </c>
      <c r="K918" t="n">
        <v>0</v>
      </c>
      <c r="L918" t="n">
        <v>0</v>
      </c>
      <c r="M918" t="n">
        <v>0</v>
      </c>
      <c r="N918" t="n">
        <v>0</v>
      </c>
      <c r="O918" t="n">
        <v>0</v>
      </c>
      <c r="P918" t="n">
        <v>0</v>
      </c>
      <c r="Q918" t="n">
        <v>0</v>
      </c>
      <c r="R918" s="2" t="inlineStr"/>
    </row>
    <row r="919" ht="15" customHeight="1">
      <c r="A919" t="inlineStr">
        <is>
          <t>A 27748-2023</t>
        </is>
      </c>
      <c r="B919" s="1" t="n">
        <v>45098</v>
      </c>
      <c r="C919" s="1" t="n">
        <v>46033</v>
      </c>
      <c r="D919" t="inlineStr">
        <is>
          <t>STOCKHOLMS LÄN</t>
        </is>
      </c>
      <c r="E919" t="inlineStr">
        <is>
          <t>NYNÄSHAMN</t>
        </is>
      </c>
      <c r="G919" t="n">
        <v>1.2</v>
      </c>
      <c r="H919" t="n">
        <v>0</v>
      </c>
      <c r="I919" t="n">
        <v>0</v>
      </c>
      <c r="J919" t="n">
        <v>0</v>
      </c>
      <c r="K919" t="n">
        <v>0</v>
      </c>
      <c r="L919" t="n">
        <v>0</v>
      </c>
      <c r="M919" t="n">
        <v>0</v>
      </c>
      <c r="N919" t="n">
        <v>0</v>
      </c>
      <c r="O919" t="n">
        <v>0</v>
      </c>
      <c r="P919" t="n">
        <v>0</v>
      </c>
      <c r="Q919" t="n">
        <v>0</v>
      </c>
      <c r="R919" s="2" t="inlineStr"/>
    </row>
    <row r="920" ht="15" customHeight="1">
      <c r="A920" t="inlineStr">
        <is>
          <t>A 55012-2024</t>
        </is>
      </c>
      <c r="B920" s="1" t="n">
        <v>45621.34813657407</v>
      </c>
      <c r="C920" s="1" t="n">
        <v>46033</v>
      </c>
      <c r="D920" t="inlineStr">
        <is>
          <t>STOCKHOLMS LÄN</t>
        </is>
      </c>
      <c r="E920" t="inlineStr">
        <is>
          <t>NORRTÄLJE</t>
        </is>
      </c>
      <c r="F920" t="inlineStr">
        <is>
          <t>Sveaskog</t>
        </is>
      </c>
      <c r="G920" t="n">
        <v>5.2</v>
      </c>
      <c r="H920" t="n">
        <v>0</v>
      </c>
      <c r="I920" t="n">
        <v>0</v>
      </c>
      <c r="J920" t="n">
        <v>0</v>
      </c>
      <c r="K920" t="n">
        <v>0</v>
      </c>
      <c r="L920" t="n">
        <v>0</v>
      </c>
      <c r="M920" t="n">
        <v>0</v>
      </c>
      <c r="N920" t="n">
        <v>0</v>
      </c>
      <c r="O920" t="n">
        <v>0</v>
      </c>
      <c r="P920" t="n">
        <v>0</v>
      </c>
      <c r="Q920" t="n">
        <v>0</v>
      </c>
      <c r="R920" s="2" t="inlineStr"/>
    </row>
    <row r="921" ht="15" customHeight="1">
      <c r="A921" t="inlineStr">
        <is>
          <t>A 23627-2025</t>
        </is>
      </c>
      <c r="B921" s="1" t="n">
        <v>45792.67523148148</v>
      </c>
      <c r="C921" s="1" t="n">
        <v>46033</v>
      </c>
      <c r="D921" t="inlineStr">
        <is>
          <t>STOCKHOLMS LÄN</t>
        </is>
      </c>
      <c r="E921" t="inlineStr">
        <is>
          <t>UPPLANDS-BRO</t>
        </is>
      </c>
      <c r="G921" t="n">
        <v>1.7</v>
      </c>
      <c r="H921" t="n">
        <v>0</v>
      </c>
      <c r="I921" t="n">
        <v>0</v>
      </c>
      <c r="J921" t="n">
        <v>0</v>
      </c>
      <c r="K921" t="n">
        <v>0</v>
      </c>
      <c r="L921" t="n">
        <v>0</v>
      </c>
      <c r="M921" t="n">
        <v>0</v>
      </c>
      <c r="N921" t="n">
        <v>0</v>
      </c>
      <c r="O921" t="n">
        <v>0</v>
      </c>
      <c r="P921" t="n">
        <v>0</v>
      </c>
      <c r="Q921" t="n">
        <v>0</v>
      </c>
      <c r="R921" s="2" t="inlineStr"/>
    </row>
    <row r="922" ht="15" customHeight="1">
      <c r="A922" t="inlineStr">
        <is>
          <t>A 39692-2025</t>
        </is>
      </c>
      <c r="B922" s="1" t="n">
        <v>45890.68083333333</v>
      </c>
      <c r="C922" s="1" t="n">
        <v>46033</v>
      </c>
      <c r="D922" t="inlineStr">
        <is>
          <t>STOCKHOLMS LÄN</t>
        </is>
      </c>
      <c r="E922" t="inlineStr">
        <is>
          <t>NORRTÄLJE</t>
        </is>
      </c>
      <c r="G922" t="n">
        <v>10.5</v>
      </c>
      <c r="H922" t="n">
        <v>0</v>
      </c>
      <c r="I922" t="n">
        <v>0</v>
      </c>
      <c r="J922" t="n">
        <v>0</v>
      </c>
      <c r="K922" t="n">
        <v>0</v>
      </c>
      <c r="L922" t="n">
        <v>0</v>
      </c>
      <c r="M922" t="n">
        <v>0</v>
      </c>
      <c r="N922" t="n">
        <v>0</v>
      </c>
      <c r="O922" t="n">
        <v>0</v>
      </c>
      <c r="P922" t="n">
        <v>0</v>
      </c>
      <c r="Q922" t="n">
        <v>0</v>
      </c>
      <c r="R922" s="2" t="inlineStr"/>
    </row>
    <row r="923" ht="15" customHeight="1">
      <c r="A923" t="inlineStr">
        <is>
          <t>A 62998-2023</t>
        </is>
      </c>
      <c r="B923" s="1" t="n">
        <v>45272.64479166667</v>
      </c>
      <c r="C923" s="1" t="n">
        <v>46033</v>
      </c>
      <c r="D923" t="inlineStr">
        <is>
          <t>STOCKHOLMS LÄN</t>
        </is>
      </c>
      <c r="E923" t="inlineStr">
        <is>
          <t>NORRTÄLJE</t>
        </is>
      </c>
      <c r="G923" t="n">
        <v>16.3</v>
      </c>
      <c r="H923" t="n">
        <v>0</v>
      </c>
      <c r="I923" t="n">
        <v>0</v>
      </c>
      <c r="J923" t="n">
        <v>0</v>
      </c>
      <c r="K923" t="n">
        <v>0</v>
      </c>
      <c r="L923" t="n">
        <v>0</v>
      </c>
      <c r="M923" t="n">
        <v>0</v>
      </c>
      <c r="N923" t="n">
        <v>0</v>
      </c>
      <c r="O923" t="n">
        <v>0</v>
      </c>
      <c r="P923" t="n">
        <v>0</v>
      </c>
      <c r="Q923" t="n">
        <v>0</v>
      </c>
      <c r="R923" s="2" t="inlineStr"/>
    </row>
    <row r="924" ht="15" customHeight="1">
      <c r="A924" t="inlineStr">
        <is>
          <t>A 63015-2023</t>
        </is>
      </c>
      <c r="B924" s="1" t="n">
        <v>45272</v>
      </c>
      <c r="C924" s="1" t="n">
        <v>46033</v>
      </c>
      <c r="D924" t="inlineStr">
        <is>
          <t>STOCKHOLMS LÄN</t>
        </is>
      </c>
      <c r="E924" t="inlineStr">
        <is>
          <t>NORRTÄLJE</t>
        </is>
      </c>
      <c r="G924" t="n">
        <v>13.1</v>
      </c>
      <c r="H924" t="n">
        <v>0</v>
      </c>
      <c r="I924" t="n">
        <v>0</v>
      </c>
      <c r="J924" t="n">
        <v>0</v>
      </c>
      <c r="K924" t="n">
        <v>0</v>
      </c>
      <c r="L924" t="n">
        <v>0</v>
      </c>
      <c r="M924" t="n">
        <v>0</v>
      </c>
      <c r="N924" t="n">
        <v>0</v>
      </c>
      <c r="O924" t="n">
        <v>0</v>
      </c>
      <c r="P924" t="n">
        <v>0</v>
      </c>
      <c r="Q924" t="n">
        <v>0</v>
      </c>
      <c r="R924" s="2" t="inlineStr"/>
    </row>
    <row r="925" ht="15" customHeight="1">
      <c r="A925" t="inlineStr">
        <is>
          <t>A 27831-2024</t>
        </is>
      </c>
      <c r="B925" s="1" t="n">
        <v>45475.61896990741</v>
      </c>
      <c r="C925" s="1" t="n">
        <v>46033</v>
      </c>
      <c r="D925" t="inlineStr">
        <is>
          <t>STOCKHOLMS LÄN</t>
        </is>
      </c>
      <c r="E925" t="inlineStr">
        <is>
          <t>NORRTÄLJE</t>
        </is>
      </c>
      <c r="G925" t="n">
        <v>3.8</v>
      </c>
      <c r="H925" t="n">
        <v>0</v>
      </c>
      <c r="I925" t="n">
        <v>0</v>
      </c>
      <c r="J925" t="n">
        <v>0</v>
      </c>
      <c r="K925" t="n">
        <v>0</v>
      </c>
      <c r="L925" t="n">
        <v>0</v>
      </c>
      <c r="M925" t="n">
        <v>0</v>
      </c>
      <c r="N925" t="n">
        <v>0</v>
      </c>
      <c r="O925" t="n">
        <v>0</v>
      </c>
      <c r="P925" t="n">
        <v>0</v>
      </c>
      <c r="Q925" t="n">
        <v>0</v>
      </c>
      <c r="R925" s="2" t="inlineStr"/>
    </row>
    <row r="926" ht="15" customHeight="1">
      <c r="A926" t="inlineStr">
        <is>
          <t>A 23923-2025</t>
        </is>
      </c>
      <c r="B926" s="1" t="n">
        <v>45795.39648148148</v>
      </c>
      <c r="C926" s="1" t="n">
        <v>46033</v>
      </c>
      <c r="D926" t="inlineStr">
        <is>
          <t>STOCKHOLMS LÄN</t>
        </is>
      </c>
      <c r="E926" t="inlineStr">
        <is>
          <t>VALLENTUNA</t>
        </is>
      </c>
      <c r="G926" t="n">
        <v>2.3</v>
      </c>
      <c r="H926" t="n">
        <v>0</v>
      </c>
      <c r="I926" t="n">
        <v>0</v>
      </c>
      <c r="J926" t="n">
        <v>0</v>
      </c>
      <c r="K926" t="n">
        <v>0</v>
      </c>
      <c r="L926" t="n">
        <v>0</v>
      </c>
      <c r="M926" t="n">
        <v>0</v>
      </c>
      <c r="N926" t="n">
        <v>0</v>
      </c>
      <c r="O926" t="n">
        <v>0</v>
      </c>
      <c r="P926" t="n">
        <v>0</v>
      </c>
      <c r="Q926" t="n">
        <v>0</v>
      </c>
      <c r="R926" s="2" t="inlineStr"/>
    </row>
    <row r="927" ht="15" customHeight="1">
      <c r="A927" t="inlineStr">
        <is>
          <t>A 35639-2025</t>
        </is>
      </c>
      <c r="B927" s="1" t="n">
        <v>45859</v>
      </c>
      <c r="C927" s="1" t="n">
        <v>46033</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39924-2025</t>
        </is>
      </c>
      <c r="B928" s="1" t="n">
        <v>45891</v>
      </c>
      <c r="C928" s="1" t="n">
        <v>46033</v>
      </c>
      <c r="D928" t="inlineStr">
        <is>
          <t>STOCKHOLMS LÄN</t>
        </is>
      </c>
      <c r="E928" t="inlineStr">
        <is>
          <t>VAXHOLM</t>
        </is>
      </c>
      <c r="F928" t="inlineStr">
        <is>
          <t>Övriga statliga verk och myndigheter</t>
        </is>
      </c>
      <c r="G928" t="n">
        <v>1.1</v>
      </c>
      <c r="H928" t="n">
        <v>0</v>
      </c>
      <c r="I928" t="n">
        <v>0</v>
      </c>
      <c r="J928" t="n">
        <v>0</v>
      </c>
      <c r="K928" t="n">
        <v>0</v>
      </c>
      <c r="L928" t="n">
        <v>0</v>
      </c>
      <c r="M928" t="n">
        <v>0</v>
      </c>
      <c r="N928" t="n">
        <v>0</v>
      </c>
      <c r="O928" t="n">
        <v>0</v>
      </c>
      <c r="P928" t="n">
        <v>0</v>
      </c>
      <c r="Q928" t="n">
        <v>0</v>
      </c>
      <c r="R928" s="2" t="inlineStr"/>
    </row>
    <row r="929" ht="15" customHeight="1">
      <c r="A929" t="inlineStr">
        <is>
          <t>A 39928-2025</t>
        </is>
      </c>
      <c r="B929" s="1" t="n">
        <v>45891</v>
      </c>
      <c r="C929" s="1" t="n">
        <v>46033</v>
      </c>
      <c r="D929" t="inlineStr">
        <is>
          <t>STOCKHOLMS LÄN</t>
        </is>
      </c>
      <c r="E929" t="inlineStr">
        <is>
          <t>VAXHOLM</t>
        </is>
      </c>
      <c r="F929" t="inlineStr">
        <is>
          <t>Övriga statliga verk och myndigheter</t>
        </is>
      </c>
      <c r="G929" t="n">
        <v>0.9</v>
      </c>
      <c r="H929" t="n">
        <v>0</v>
      </c>
      <c r="I929" t="n">
        <v>0</v>
      </c>
      <c r="J929" t="n">
        <v>0</v>
      </c>
      <c r="K929" t="n">
        <v>0</v>
      </c>
      <c r="L929" t="n">
        <v>0</v>
      </c>
      <c r="M929" t="n">
        <v>0</v>
      </c>
      <c r="N929" t="n">
        <v>0</v>
      </c>
      <c r="O929" t="n">
        <v>0</v>
      </c>
      <c r="P929" t="n">
        <v>0</v>
      </c>
      <c r="Q929" t="n">
        <v>0</v>
      </c>
      <c r="R929" s="2" t="inlineStr"/>
    </row>
    <row r="930" ht="15" customHeight="1">
      <c r="A930" t="inlineStr">
        <is>
          <t>A 33175-2024</t>
        </is>
      </c>
      <c r="B930" s="1" t="n">
        <v>45518</v>
      </c>
      <c r="C930" s="1" t="n">
        <v>46033</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35636-2025</t>
        </is>
      </c>
      <c r="B931" s="1" t="n">
        <v>45859</v>
      </c>
      <c r="C931" s="1" t="n">
        <v>46033</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51353-2024</t>
        </is>
      </c>
      <c r="B932" s="1" t="n">
        <v>45604.36140046296</v>
      </c>
      <c r="C932" s="1" t="n">
        <v>46033</v>
      </c>
      <c r="D932" t="inlineStr">
        <is>
          <t>STOCKHOLMS LÄN</t>
        </is>
      </c>
      <c r="E932" t="inlineStr">
        <is>
          <t>SÖDERTÄLJE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21803-2022</t>
        </is>
      </c>
      <c r="B933" s="1" t="n">
        <v>44708.67822916667</v>
      </c>
      <c r="C933" s="1" t="n">
        <v>46033</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20730-2024</t>
        </is>
      </c>
      <c r="B934" s="1" t="n">
        <v>45436</v>
      </c>
      <c r="C934" s="1" t="n">
        <v>46033</v>
      </c>
      <c r="D934" t="inlineStr">
        <is>
          <t>STOCKHOLMS LÄN</t>
        </is>
      </c>
      <c r="E934" t="inlineStr">
        <is>
          <t>NORRTÄLJE</t>
        </is>
      </c>
      <c r="G934" t="n">
        <v>7.3</v>
      </c>
      <c r="H934" t="n">
        <v>0</v>
      </c>
      <c r="I934" t="n">
        <v>0</v>
      </c>
      <c r="J934" t="n">
        <v>0</v>
      </c>
      <c r="K934" t="n">
        <v>0</v>
      </c>
      <c r="L934" t="n">
        <v>0</v>
      </c>
      <c r="M934" t="n">
        <v>0</v>
      </c>
      <c r="N934" t="n">
        <v>0</v>
      </c>
      <c r="O934" t="n">
        <v>0</v>
      </c>
      <c r="P934" t="n">
        <v>0</v>
      </c>
      <c r="Q934" t="n">
        <v>0</v>
      </c>
      <c r="R934" s="2" t="inlineStr"/>
    </row>
    <row r="935" ht="15" customHeight="1">
      <c r="A935" t="inlineStr">
        <is>
          <t>A 40001-2025</t>
        </is>
      </c>
      <c r="B935" s="1" t="n">
        <v>45891</v>
      </c>
      <c r="C935" s="1" t="n">
        <v>46033</v>
      </c>
      <c r="D935" t="inlineStr">
        <is>
          <t>STOCKHOLMS LÄN</t>
        </is>
      </c>
      <c r="E935" t="inlineStr">
        <is>
          <t>VAXHOLM</t>
        </is>
      </c>
      <c r="F935" t="inlineStr">
        <is>
          <t>Övriga statliga verk och myndigheter</t>
        </is>
      </c>
      <c r="G935" t="n">
        <v>0.6</v>
      </c>
      <c r="H935" t="n">
        <v>0</v>
      </c>
      <c r="I935" t="n">
        <v>0</v>
      </c>
      <c r="J935" t="n">
        <v>0</v>
      </c>
      <c r="K935" t="n">
        <v>0</v>
      </c>
      <c r="L935" t="n">
        <v>0</v>
      </c>
      <c r="M935" t="n">
        <v>0</v>
      </c>
      <c r="N935" t="n">
        <v>0</v>
      </c>
      <c r="O935" t="n">
        <v>0</v>
      </c>
      <c r="P935" t="n">
        <v>0</v>
      </c>
      <c r="Q935" t="n">
        <v>0</v>
      </c>
      <c r="R935" s="2" t="inlineStr"/>
    </row>
    <row r="936" ht="15" customHeight="1">
      <c r="A936" t="inlineStr">
        <is>
          <t>A 16520-2025</t>
        </is>
      </c>
      <c r="B936" s="1" t="n">
        <v>45751.63434027778</v>
      </c>
      <c r="C936" s="1" t="n">
        <v>46033</v>
      </c>
      <c r="D936" t="inlineStr">
        <is>
          <t>STOCKHOLMS LÄN</t>
        </is>
      </c>
      <c r="E936" t="inlineStr">
        <is>
          <t>SÖDERTÄLJE</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7413-2024</t>
        </is>
      </c>
      <c r="B937" s="1" t="n">
        <v>45345.6059837963</v>
      </c>
      <c r="C937" s="1" t="n">
        <v>46033</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12251-2025</t>
        </is>
      </c>
      <c r="B938" s="1" t="n">
        <v>45729.60859953704</v>
      </c>
      <c r="C938" s="1" t="n">
        <v>46033</v>
      </c>
      <c r="D938" t="inlineStr">
        <is>
          <t>STOCKHOLMS LÄN</t>
        </is>
      </c>
      <c r="E938" t="inlineStr">
        <is>
          <t>NORRTÄLJE</t>
        </is>
      </c>
      <c r="F938" t="inlineStr">
        <is>
          <t>Holmen skog AB</t>
        </is>
      </c>
      <c r="G938" t="n">
        <v>5.9</v>
      </c>
      <c r="H938" t="n">
        <v>0</v>
      </c>
      <c r="I938" t="n">
        <v>0</v>
      </c>
      <c r="J938" t="n">
        <v>0</v>
      </c>
      <c r="K938" t="n">
        <v>0</v>
      </c>
      <c r="L938" t="n">
        <v>0</v>
      </c>
      <c r="M938" t="n">
        <v>0</v>
      </c>
      <c r="N938" t="n">
        <v>0</v>
      </c>
      <c r="O938" t="n">
        <v>0</v>
      </c>
      <c r="P938" t="n">
        <v>0</v>
      </c>
      <c r="Q938" t="n">
        <v>0</v>
      </c>
      <c r="R938" s="2" t="inlineStr"/>
    </row>
    <row r="939" ht="15" customHeight="1">
      <c r="A939" t="inlineStr">
        <is>
          <t>A 58863-2024</t>
        </is>
      </c>
      <c r="B939" s="1" t="n">
        <v>45636.41572916666</v>
      </c>
      <c r="C939" s="1" t="n">
        <v>46033</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40172-2025</t>
        </is>
      </c>
      <c r="B940" s="1" t="n">
        <v>45894.6353125</v>
      </c>
      <c r="C940" s="1" t="n">
        <v>46033</v>
      </c>
      <c r="D940" t="inlineStr">
        <is>
          <t>STOCKHOLMS LÄN</t>
        </is>
      </c>
      <c r="E940" t="inlineStr">
        <is>
          <t>NORRTÄLJE</t>
        </is>
      </c>
      <c r="G940" t="n">
        <v>6</v>
      </c>
      <c r="H940" t="n">
        <v>0</v>
      </c>
      <c r="I940" t="n">
        <v>0</v>
      </c>
      <c r="J940" t="n">
        <v>0</v>
      </c>
      <c r="K940" t="n">
        <v>0</v>
      </c>
      <c r="L940" t="n">
        <v>0</v>
      </c>
      <c r="M940" t="n">
        <v>0</v>
      </c>
      <c r="N940" t="n">
        <v>0</v>
      </c>
      <c r="O940" t="n">
        <v>0</v>
      </c>
      <c r="P940" t="n">
        <v>0</v>
      </c>
      <c r="Q940" t="n">
        <v>0</v>
      </c>
      <c r="R940" s="2" t="inlineStr"/>
    </row>
    <row r="941" ht="15" customHeight="1">
      <c r="A941" t="inlineStr">
        <is>
          <t>A 40033-2025</t>
        </is>
      </c>
      <c r="B941" s="1" t="n">
        <v>45893</v>
      </c>
      <c r="C941" s="1" t="n">
        <v>46033</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24105-2025</t>
        </is>
      </c>
      <c r="B942" s="1" t="n">
        <v>45796.60096064815</v>
      </c>
      <c r="C942" s="1" t="n">
        <v>46033</v>
      </c>
      <c r="D942" t="inlineStr">
        <is>
          <t>STOCKHOLMS LÄN</t>
        </is>
      </c>
      <c r="E942" t="inlineStr">
        <is>
          <t>SIGTUNA</t>
        </is>
      </c>
      <c r="G942" t="n">
        <v>3</v>
      </c>
      <c r="H942" t="n">
        <v>0</v>
      </c>
      <c r="I942" t="n">
        <v>0</v>
      </c>
      <c r="J942" t="n">
        <v>0</v>
      </c>
      <c r="K942" t="n">
        <v>0</v>
      </c>
      <c r="L942" t="n">
        <v>0</v>
      </c>
      <c r="M942" t="n">
        <v>0</v>
      </c>
      <c r="N942" t="n">
        <v>0</v>
      </c>
      <c r="O942" t="n">
        <v>0</v>
      </c>
      <c r="P942" t="n">
        <v>0</v>
      </c>
      <c r="Q942" t="n">
        <v>0</v>
      </c>
      <c r="R942" s="2" t="inlineStr"/>
    </row>
    <row r="943" ht="15" customHeight="1">
      <c r="A943" t="inlineStr">
        <is>
          <t>A 59924-2025</t>
        </is>
      </c>
      <c r="B943" s="1" t="n">
        <v>45993.38928240741</v>
      </c>
      <c r="C943" s="1" t="n">
        <v>46033</v>
      </c>
      <c r="D943" t="inlineStr">
        <is>
          <t>STOCKHOLMS LÄN</t>
        </is>
      </c>
      <c r="E943" t="inlineStr">
        <is>
          <t>NORRTÄLJE</t>
        </is>
      </c>
      <c r="G943" t="n">
        <v>2.1</v>
      </c>
      <c r="H943" t="n">
        <v>0</v>
      </c>
      <c r="I943" t="n">
        <v>0</v>
      </c>
      <c r="J943" t="n">
        <v>0</v>
      </c>
      <c r="K943" t="n">
        <v>0</v>
      </c>
      <c r="L943" t="n">
        <v>0</v>
      </c>
      <c r="M943" t="n">
        <v>0</v>
      </c>
      <c r="N943" t="n">
        <v>0</v>
      </c>
      <c r="O943" t="n">
        <v>0</v>
      </c>
      <c r="P943" t="n">
        <v>0</v>
      </c>
      <c r="Q943" t="n">
        <v>0</v>
      </c>
      <c r="R943" s="2" t="inlineStr"/>
    </row>
    <row r="944" ht="15" customHeight="1">
      <c r="A944" t="inlineStr">
        <is>
          <t>A 40032-2025</t>
        </is>
      </c>
      <c r="B944" s="1" t="n">
        <v>45893</v>
      </c>
      <c r="C944" s="1" t="n">
        <v>46033</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12901-2024</t>
        </is>
      </c>
      <c r="B945" s="1" t="n">
        <v>45385.37922453704</v>
      </c>
      <c r="C945" s="1" t="n">
        <v>46033</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40292-2025</t>
        </is>
      </c>
      <c r="B946" s="1" t="n">
        <v>45895.3867824074</v>
      </c>
      <c r="C946" s="1" t="n">
        <v>46033</v>
      </c>
      <c r="D946" t="inlineStr">
        <is>
          <t>STOCKHOLMS LÄN</t>
        </is>
      </c>
      <c r="E946" t="inlineStr">
        <is>
          <t>NORRTÄLJE</t>
        </is>
      </c>
      <c r="G946" t="n">
        <v>3.5</v>
      </c>
      <c r="H946" t="n">
        <v>0</v>
      </c>
      <c r="I946" t="n">
        <v>0</v>
      </c>
      <c r="J946" t="n">
        <v>0</v>
      </c>
      <c r="K946" t="n">
        <v>0</v>
      </c>
      <c r="L946" t="n">
        <v>0</v>
      </c>
      <c r="M946" t="n">
        <v>0</v>
      </c>
      <c r="N946" t="n">
        <v>0</v>
      </c>
      <c r="O946" t="n">
        <v>0</v>
      </c>
      <c r="P946" t="n">
        <v>0</v>
      </c>
      <c r="Q946" t="n">
        <v>0</v>
      </c>
      <c r="R946" s="2" t="inlineStr"/>
    </row>
    <row r="947" ht="15" customHeight="1">
      <c r="A947" t="inlineStr">
        <is>
          <t>A 40294-2025</t>
        </is>
      </c>
      <c r="B947" s="1" t="n">
        <v>45895.38778935185</v>
      </c>
      <c r="C947" s="1" t="n">
        <v>46033</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8950-2025</t>
        </is>
      </c>
      <c r="B948" s="1" t="n">
        <v>45713</v>
      </c>
      <c r="C948" s="1" t="n">
        <v>46033</v>
      </c>
      <c r="D948" t="inlineStr">
        <is>
          <t>STOCKHOLMS LÄN</t>
        </is>
      </c>
      <c r="E948" t="inlineStr">
        <is>
          <t>NORRTÄLJE</t>
        </is>
      </c>
      <c r="F948" t="inlineStr">
        <is>
          <t>Övriga Aktiebolag</t>
        </is>
      </c>
      <c r="G948" t="n">
        <v>3.6</v>
      </c>
      <c r="H948" t="n">
        <v>0</v>
      </c>
      <c r="I948" t="n">
        <v>0</v>
      </c>
      <c r="J948" t="n">
        <v>0</v>
      </c>
      <c r="K948" t="n">
        <v>0</v>
      </c>
      <c r="L948" t="n">
        <v>0</v>
      </c>
      <c r="M948" t="n">
        <v>0</v>
      </c>
      <c r="N948" t="n">
        <v>0</v>
      </c>
      <c r="O948" t="n">
        <v>0</v>
      </c>
      <c r="P948" t="n">
        <v>0</v>
      </c>
      <c r="Q948" t="n">
        <v>0</v>
      </c>
      <c r="R948" s="2" t="inlineStr"/>
    </row>
    <row r="949" ht="15" customHeight="1">
      <c r="A949" t="inlineStr">
        <is>
          <t>A 24191-2025</t>
        </is>
      </c>
      <c r="B949" s="1" t="n">
        <v>45796.86738425926</v>
      </c>
      <c r="C949" s="1" t="n">
        <v>46033</v>
      </c>
      <c r="D949" t="inlineStr">
        <is>
          <t>STOCKHOLMS LÄN</t>
        </is>
      </c>
      <c r="E949" t="inlineStr">
        <is>
          <t>HANINGE</t>
        </is>
      </c>
      <c r="G949" t="n">
        <v>2.8</v>
      </c>
      <c r="H949" t="n">
        <v>0</v>
      </c>
      <c r="I949" t="n">
        <v>0</v>
      </c>
      <c r="J949" t="n">
        <v>0</v>
      </c>
      <c r="K949" t="n">
        <v>0</v>
      </c>
      <c r="L949" t="n">
        <v>0</v>
      </c>
      <c r="M949" t="n">
        <v>0</v>
      </c>
      <c r="N949" t="n">
        <v>0</v>
      </c>
      <c r="O949" t="n">
        <v>0</v>
      </c>
      <c r="P949" t="n">
        <v>0</v>
      </c>
      <c r="Q949" t="n">
        <v>0</v>
      </c>
      <c r="R949" s="2" t="inlineStr"/>
    </row>
    <row r="950" ht="15" customHeight="1">
      <c r="A950" t="inlineStr">
        <is>
          <t>A 24193-2025</t>
        </is>
      </c>
      <c r="B950" s="1" t="n">
        <v>45796.89591435185</v>
      </c>
      <c r="C950" s="1" t="n">
        <v>46033</v>
      </c>
      <c r="D950" t="inlineStr">
        <is>
          <t>STOCKHOLMS LÄN</t>
        </is>
      </c>
      <c r="E950" t="inlineStr">
        <is>
          <t>HANINGE</t>
        </is>
      </c>
      <c r="G950" t="n">
        <v>0.4</v>
      </c>
      <c r="H950" t="n">
        <v>0</v>
      </c>
      <c r="I950" t="n">
        <v>0</v>
      </c>
      <c r="J950" t="n">
        <v>0</v>
      </c>
      <c r="K950" t="n">
        <v>0</v>
      </c>
      <c r="L950" t="n">
        <v>0</v>
      </c>
      <c r="M950" t="n">
        <v>0</v>
      </c>
      <c r="N950" t="n">
        <v>0</v>
      </c>
      <c r="O950" t="n">
        <v>0</v>
      </c>
      <c r="P950" t="n">
        <v>0</v>
      </c>
      <c r="Q950" t="n">
        <v>0</v>
      </c>
      <c r="R950" s="2" t="inlineStr"/>
    </row>
    <row r="951" ht="15" customHeight="1">
      <c r="A951" t="inlineStr">
        <is>
          <t>A 12301-2025</t>
        </is>
      </c>
      <c r="B951" s="1" t="n">
        <v>45729.7271875</v>
      </c>
      <c r="C951" s="1" t="n">
        <v>46033</v>
      </c>
      <c r="D951" t="inlineStr">
        <is>
          <t>STOCKHOLMS LÄN</t>
        </is>
      </c>
      <c r="E951" t="inlineStr">
        <is>
          <t>NORRTÄLJE</t>
        </is>
      </c>
      <c r="G951" t="n">
        <v>3.2</v>
      </c>
      <c r="H951" t="n">
        <v>0</v>
      </c>
      <c r="I951" t="n">
        <v>0</v>
      </c>
      <c r="J951" t="n">
        <v>0</v>
      </c>
      <c r="K951" t="n">
        <v>0</v>
      </c>
      <c r="L951" t="n">
        <v>0</v>
      </c>
      <c r="M951" t="n">
        <v>0</v>
      </c>
      <c r="N951" t="n">
        <v>0</v>
      </c>
      <c r="O951" t="n">
        <v>0</v>
      </c>
      <c r="P951" t="n">
        <v>0</v>
      </c>
      <c r="Q951" t="n">
        <v>0</v>
      </c>
      <c r="R951" s="2" t="inlineStr"/>
    </row>
    <row r="952" ht="15" customHeight="1">
      <c r="A952" t="inlineStr">
        <is>
          <t>A 40228-2025</t>
        </is>
      </c>
      <c r="B952" s="1" t="n">
        <v>45894.70854166667</v>
      </c>
      <c r="C952" s="1" t="n">
        <v>46033</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24115-2025</t>
        </is>
      </c>
      <c r="B953" s="1" t="n">
        <v>45796.61494212963</v>
      </c>
      <c r="C953" s="1" t="n">
        <v>46033</v>
      </c>
      <c r="D953" t="inlineStr">
        <is>
          <t>STOCKHOLMS LÄN</t>
        </is>
      </c>
      <c r="E953" t="inlineStr">
        <is>
          <t>HANINGE</t>
        </is>
      </c>
      <c r="G953" t="n">
        <v>2</v>
      </c>
      <c r="H953" t="n">
        <v>0</v>
      </c>
      <c r="I953" t="n">
        <v>0</v>
      </c>
      <c r="J953" t="n">
        <v>0</v>
      </c>
      <c r="K953" t="n">
        <v>0</v>
      </c>
      <c r="L953" t="n">
        <v>0</v>
      </c>
      <c r="M953" t="n">
        <v>0</v>
      </c>
      <c r="N953" t="n">
        <v>0</v>
      </c>
      <c r="O953" t="n">
        <v>0</v>
      </c>
      <c r="P953" t="n">
        <v>0</v>
      </c>
      <c r="Q953" t="n">
        <v>0</v>
      </c>
      <c r="R953" s="2" t="inlineStr"/>
    </row>
    <row r="954" ht="15" customHeight="1">
      <c r="A954" t="inlineStr">
        <is>
          <t>A 59565-2025</t>
        </is>
      </c>
      <c r="B954" s="1" t="n">
        <v>45991.88413194445</v>
      </c>
      <c r="C954" s="1" t="n">
        <v>46033</v>
      </c>
      <c r="D954" t="inlineStr">
        <is>
          <t>STOCKHOLMS LÄN</t>
        </is>
      </c>
      <c r="E954" t="inlineStr">
        <is>
          <t>HANINGE</t>
        </is>
      </c>
      <c r="G954" t="n">
        <v>1.2</v>
      </c>
      <c r="H954" t="n">
        <v>0</v>
      </c>
      <c r="I954" t="n">
        <v>0</v>
      </c>
      <c r="J954" t="n">
        <v>0</v>
      </c>
      <c r="K954" t="n">
        <v>0</v>
      </c>
      <c r="L954" t="n">
        <v>0</v>
      </c>
      <c r="M954" t="n">
        <v>0</v>
      </c>
      <c r="N954" t="n">
        <v>0</v>
      </c>
      <c r="O954" t="n">
        <v>0</v>
      </c>
      <c r="P954" t="n">
        <v>0</v>
      </c>
      <c r="Q954" t="n">
        <v>0</v>
      </c>
      <c r="R954" s="2" t="inlineStr"/>
    </row>
    <row r="955" ht="15" customHeight="1">
      <c r="A955" t="inlineStr">
        <is>
          <t>A 24351-2025</t>
        </is>
      </c>
      <c r="B955" s="1" t="n">
        <v>45797.58399305555</v>
      </c>
      <c r="C955" s="1" t="n">
        <v>46033</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13283-2025</t>
        </is>
      </c>
      <c r="B956" s="1" t="n">
        <v>45735</v>
      </c>
      <c r="C956" s="1" t="n">
        <v>46033</v>
      </c>
      <c r="D956" t="inlineStr">
        <is>
          <t>STOCKHOLMS LÄN</t>
        </is>
      </c>
      <c r="E956" t="inlineStr">
        <is>
          <t>NORRTÄLJE</t>
        </is>
      </c>
      <c r="G956" t="n">
        <v>4.9</v>
      </c>
      <c r="H956" t="n">
        <v>0</v>
      </c>
      <c r="I956" t="n">
        <v>0</v>
      </c>
      <c r="J956" t="n">
        <v>0</v>
      </c>
      <c r="K956" t="n">
        <v>0</v>
      </c>
      <c r="L956" t="n">
        <v>0</v>
      </c>
      <c r="M956" t="n">
        <v>0</v>
      </c>
      <c r="N956" t="n">
        <v>0</v>
      </c>
      <c r="O956" t="n">
        <v>0</v>
      </c>
      <c r="P956" t="n">
        <v>0</v>
      </c>
      <c r="Q956" t="n">
        <v>0</v>
      </c>
      <c r="R956" s="2" t="inlineStr"/>
    </row>
    <row r="957" ht="15" customHeight="1">
      <c r="A957" t="inlineStr">
        <is>
          <t>A 50154-2024</t>
        </is>
      </c>
      <c r="B957" s="1" t="n">
        <v>45600.4558912037</v>
      </c>
      <c r="C957" s="1" t="n">
        <v>46033</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7180-2024</t>
        </is>
      </c>
      <c r="B958" s="1" t="n">
        <v>45344</v>
      </c>
      <c r="C958" s="1" t="n">
        <v>46033</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40230-2025</t>
        </is>
      </c>
      <c r="B959" s="1" t="n">
        <v>45894.71101851852</v>
      </c>
      <c r="C959" s="1" t="n">
        <v>46033</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24687-2025</t>
        </is>
      </c>
      <c r="B960" s="1" t="n">
        <v>45798.66767361111</v>
      </c>
      <c r="C960" s="1" t="n">
        <v>46033</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11900-2024</t>
        </is>
      </c>
      <c r="B961" s="1" t="n">
        <v>45376.55484953704</v>
      </c>
      <c r="C961" s="1" t="n">
        <v>46033</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33158-2024</t>
        </is>
      </c>
      <c r="B962" s="1" t="n">
        <v>45518</v>
      </c>
      <c r="C962" s="1" t="n">
        <v>46033</v>
      </c>
      <c r="D962" t="inlineStr">
        <is>
          <t>STOCKHOLMS LÄN</t>
        </is>
      </c>
      <c r="E962" t="inlineStr">
        <is>
          <t>ÖSTERÅKER</t>
        </is>
      </c>
      <c r="G962" t="n">
        <v>1.6</v>
      </c>
      <c r="H962" t="n">
        <v>0</v>
      </c>
      <c r="I962" t="n">
        <v>0</v>
      </c>
      <c r="J962" t="n">
        <v>0</v>
      </c>
      <c r="K962" t="n">
        <v>0</v>
      </c>
      <c r="L962" t="n">
        <v>0</v>
      </c>
      <c r="M962" t="n">
        <v>0</v>
      </c>
      <c r="N962" t="n">
        <v>0</v>
      </c>
      <c r="O962" t="n">
        <v>0</v>
      </c>
      <c r="P962" t="n">
        <v>0</v>
      </c>
      <c r="Q962" t="n">
        <v>0</v>
      </c>
      <c r="R962" s="2" t="inlineStr"/>
    </row>
    <row r="963" ht="15" customHeight="1">
      <c r="A963" t="inlineStr">
        <is>
          <t>A 40217-2025</t>
        </is>
      </c>
      <c r="B963" s="1" t="n">
        <v>45894.68864583333</v>
      </c>
      <c r="C963" s="1" t="n">
        <v>46033</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64075-2023</t>
        </is>
      </c>
      <c r="B964" s="1" t="n">
        <v>45279</v>
      </c>
      <c r="C964" s="1" t="n">
        <v>46033</v>
      </c>
      <c r="D964" t="inlineStr">
        <is>
          <t>STOCKHOLMS LÄN</t>
        </is>
      </c>
      <c r="E964" t="inlineStr">
        <is>
          <t>HANINGE</t>
        </is>
      </c>
      <c r="G964" t="n">
        <v>2.6</v>
      </c>
      <c r="H964" t="n">
        <v>0</v>
      </c>
      <c r="I964" t="n">
        <v>0</v>
      </c>
      <c r="J964" t="n">
        <v>0</v>
      </c>
      <c r="K964" t="n">
        <v>0</v>
      </c>
      <c r="L964" t="n">
        <v>0</v>
      </c>
      <c r="M964" t="n">
        <v>0</v>
      </c>
      <c r="N964" t="n">
        <v>0</v>
      </c>
      <c r="O964" t="n">
        <v>0</v>
      </c>
      <c r="P964" t="n">
        <v>0</v>
      </c>
      <c r="Q964" t="n">
        <v>0</v>
      </c>
      <c r="R964" s="2" t="inlineStr"/>
    </row>
    <row r="965" ht="15" customHeight="1">
      <c r="A965" t="inlineStr">
        <is>
          <t>A 40097-2025</t>
        </is>
      </c>
      <c r="B965" s="1" t="n">
        <v>45894.48322916667</v>
      </c>
      <c r="C965" s="1" t="n">
        <v>46033</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40829-2025</t>
        </is>
      </c>
      <c r="B966" s="1" t="n">
        <v>45897.50802083333</v>
      </c>
      <c r="C966" s="1" t="n">
        <v>46033</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40837-2025</t>
        </is>
      </c>
      <c r="B967" s="1" t="n">
        <v>45897.51328703704</v>
      </c>
      <c r="C967" s="1" t="n">
        <v>46033</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40529-2025</t>
        </is>
      </c>
      <c r="B968" s="1" t="n">
        <v>45896.38466435186</v>
      </c>
      <c r="C968" s="1" t="n">
        <v>46033</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40831-2025</t>
        </is>
      </c>
      <c r="B969" s="1" t="n">
        <v>45897.51077546296</v>
      </c>
      <c r="C969" s="1" t="n">
        <v>46033</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14217-2025</t>
        </is>
      </c>
      <c r="B970" s="1" t="n">
        <v>45740.58534722222</v>
      </c>
      <c r="C970" s="1" t="n">
        <v>46033</v>
      </c>
      <c r="D970" t="inlineStr">
        <is>
          <t>STOCKHOLMS LÄN</t>
        </is>
      </c>
      <c r="E970" t="inlineStr">
        <is>
          <t>BOTKYRKA</t>
        </is>
      </c>
      <c r="G970" t="n">
        <v>3.4</v>
      </c>
      <c r="H970" t="n">
        <v>0</v>
      </c>
      <c r="I970" t="n">
        <v>0</v>
      </c>
      <c r="J970" t="n">
        <v>0</v>
      </c>
      <c r="K970" t="n">
        <v>0</v>
      </c>
      <c r="L970" t="n">
        <v>0</v>
      </c>
      <c r="M970" t="n">
        <v>0</v>
      </c>
      <c r="N970" t="n">
        <v>0</v>
      </c>
      <c r="O970" t="n">
        <v>0</v>
      </c>
      <c r="P970" t="n">
        <v>0</v>
      </c>
      <c r="Q970" t="n">
        <v>0</v>
      </c>
      <c r="R970" s="2" t="inlineStr"/>
    </row>
    <row r="971" ht="15" customHeight="1">
      <c r="A971" t="inlineStr">
        <is>
          <t>A 24638-2025</t>
        </is>
      </c>
      <c r="B971" s="1" t="n">
        <v>45798</v>
      </c>
      <c r="C971" s="1" t="n">
        <v>46033</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42867-2022</t>
        </is>
      </c>
      <c r="B972" s="1" t="n">
        <v>44832</v>
      </c>
      <c r="C972" s="1" t="n">
        <v>46033</v>
      </c>
      <c r="D972" t="inlineStr">
        <is>
          <t>STOCKHOLMS LÄN</t>
        </is>
      </c>
      <c r="E972" t="inlineStr">
        <is>
          <t>NORRTÄLJE</t>
        </is>
      </c>
      <c r="G972" t="n">
        <v>6.4</v>
      </c>
      <c r="H972" t="n">
        <v>0</v>
      </c>
      <c r="I972" t="n">
        <v>0</v>
      </c>
      <c r="J972" t="n">
        <v>0</v>
      </c>
      <c r="K972" t="n">
        <v>0</v>
      </c>
      <c r="L972" t="n">
        <v>0</v>
      </c>
      <c r="M972" t="n">
        <v>0</v>
      </c>
      <c r="N972" t="n">
        <v>0</v>
      </c>
      <c r="O972" t="n">
        <v>0</v>
      </c>
      <c r="P972" t="n">
        <v>0</v>
      </c>
      <c r="Q972" t="n">
        <v>0</v>
      </c>
      <c r="R972" s="2" t="inlineStr"/>
    </row>
    <row r="973" ht="15" customHeight="1">
      <c r="A973" t="inlineStr">
        <is>
          <t>A 60934-2023</t>
        </is>
      </c>
      <c r="B973" s="1" t="n">
        <v>45261.42775462963</v>
      </c>
      <c r="C973" s="1" t="n">
        <v>46033</v>
      </c>
      <c r="D973" t="inlineStr">
        <is>
          <t>STOCKHOLMS LÄN</t>
        </is>
      </c>
      <c r="E973" t="inlineStr">
        <is>
          <t>SIGTUNA</t>
        </is>
      </c>
      <c r="G973" t="n">
        <v>1.1</v>
      </c>
      <c r="H973" t="n">
        <v>0</v>
      </c>
      <c r="I973" t="n">
        <v>0</v>
      </c>
      <c r="J973" t="n">
        <v>0</v>
      </c>
      <c r="K973" t="n">
        <v>0</v>
      </c>
      <c r="L973" t="n">
        <v>0</v>
      </c>
      <c r="M973" t="n">
        <v>0</v>
      </c>
      <c r="N973" t="n">
        <v>0</v>
      </c>
      <c r="O973" t="n">
        <v>0</v>
      </c>
      <c r="P973" t="n">
        <v>0</v>
      </c>
      <c r="Q973" t="n">
        <v>0</v>
      </c>
      <c r="R973" s="2" t="inlineStr"/>
    </row>
    <row r="974" ht="15" customHeight="1">
      <c r="A974" t="inlineStr">
        <is>
          <t>A 23749-2024</t>
        </is>
      </c>
      <c r="B974" s="1" t="n">
        <v>45455.33037037037</v>
      </c>
      <c r="C974" s="1" t="n">
        <v>46033</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28603-2024</t>
        </is>
      </c>
      <c r="B975" s="1" t="n">
        <v>45478.42887731481</v>
      </c>
      <c r="C975" s="1" t="n">
        <v>46033</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41158-2025</t>
        </is>
      </c>
      <c r="B976" s="1" t="n">
        <v>45898.5315625</v>
      </c>
      <c r="C976" s="1" t="n">
        <v>46033</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25414-2025</t>
        </is>
      </c>
      <c r="B977" s="1" t="n">
        <v>45799</v>
      </c>
      <c r="C977" s="1" t="n">
        <v>46033</v>
      </c>
      <c r="D977" t="inlineStr">
        <is>
          <t>STOCKHOLMS LÄN</t>
        </is>
      </c>
      <c r="E977" t="inlineStr">
        <is>
          <t>SÖDERTÄLJE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15733-2025</t>
        </is>
      </c>
      <c r="B978" s="1" t="n">
        <v>45748</v>
      </c>
      <c r="C978" s="1" t="n">
        <v>46033</v>
      </c>
      <c r="D978" t="inlineStr">
        <is>
          <t>STOCKHOLMS LÄN</t>
        </is>
      </c>
      <c r="E978" t="inlineStr">
        <is>
          <t>NORRTÄLJE</t>
        </is>
      </c>
      <c r="G978" t="n">
        <v>13.3</v>
      </c>
      <c r="H978" t="n">
        <v>0</v>
      </c>
      <c r="I978" t="n">
        <v>0</v>
      </c>
      <c r="J978" t="n">
        <v>0</v>
      </c>
      <c r="K978" t="n">
        <v>0</v>
      </c>
      <c r="L978" t="n">
        <v>0</v>
      </c>
      <c r="M978" t="n">
        <v>0</v>
      </c>
      <c r="N978" t="n">
        <v>0</v>
      </c>
      <c r="O978" t="n">
        <v>0</v>
      </c>
      <c r="P978" t="n">
        <v>0</v>
      </c>
      <c r="Q978" t="n">
        <v>0</v>
      </c>
      <c r="R978" s="2" t="inlineStr"/>
    </row>
    <row r="979" ht="15" customHeight="1">
      <c r="A979" t="inlineStr">
        <is>
          <t>A 58277-2023</t>
        </is>
      </c>
      <c r="B979" s="1" t="n">
        <v>45245</v>
      </c>
      <c r="C979" s="1" t="n">
        <v>46033</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19058-2024</t>
        </is>
      </c>
      <c r="B980" s="1" t="n">
        <v>45427.89121527778</v>
      </c>
      <c r="C980" s="1" t="n">
        <v>46033</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25396-2025</t>
        </is>
      </c>
      <c r="B981" s="1" t="n">
        <v>45799</v>
      </c>
      <c r="C981" s="1" t="n">
        <v>46033</v>
      </c>
      <c r="D981" t="inlineStr">
        <is>
          <t>STOCKHOLMS LÄN</t>
        </is>
      </c>
      <c r="E981" t="inlineStr">
        <is>
          <t>SÖDERTÄLJE</t>
        </is>
      </c>
      <c r="G981" t="n">
        <v>7.9</v>
      </c>
      <c r="H981" t="n">
        <v>0</v>
      </c>
      <c r="I981" t="n">
        <v>0</v>
      </c>
      <c r="J981" t="n">
        <v>0</v>
      </c>
      <c r="K981" t="n">
        <v>0</v>
      </c>
      <c r="L981" t="n">
        <v>0</v>
      </c>
      <c r="M981" t="n">
        <v>0</v>
      </c>
      <c r="N981" t="n">
        <v>0</v>
      </c>
      <c r="O981" t="n">
        <v>0</v>
      </c>
      <c r="P981" t="n">
        <v>0</v>
      </c>
      <c r="Q981" t="n">
        <v>0</v>
      </c>
      <c r="R981" s="2" t="inlineStr"/>
    </row>
    <row r="982" ht="15" customHeight="1">
      <c r="A982" t="inlineStr">
        <is>
          <t>A 41206-2025</t>
        </is>
      </c>
      <c r="B982" s="1" t="n">
        <v>45898</v>
      </c>
      <c r="C982" s="1" t="n">
        <v>46033</v>
      </c>
      <c r="D982" t="inlineStr">
        <is>
          <t>STOCKHOLMS LÄN</t>
        </is>
      </c>
      <c r="E982" t="inlineStr">
        <is>
          <t>VALLENTUNA</t>
        </is>
      </c>
      <c r="G982" t="n">
        <v>10</v>
      </c>
      <c r="H982" t="n">
        <v>0</v>
      </c>
      <c r="I982" t="n">
        <v>0</v>
      </c>
      <c r="J982" t="n">
        <v>0</v>
      </c>
      <c r="K982" t="n">
        <v>0</v>
      </c>
      <c r="L982" t="n">
        <v>0</v>
      </c>
      <c r="M982" t="n">
        <v>0</v>
      </c>
      <c r="N982" t="n">
        <v>0</v>
      </c>
      <c r="O982" t="n">
        <v>0</v>
      </c>
      <c r="P982" t="n">
        <v>0</v>
      </c>
      <c r="Q982" t="n">
        <v>0</v>
      </c>
      <c r="R982" s="2" t="inlineStr"/>
    </row>
    <row r="983" ht="15" customHeight="1">
      <c r="A983" t="inlineStr">
        <is>
          <t>A 25412-2025</t>
        </is>
      </c>
      <c r="B983" s="1" t="n">
        <v>45799</v>
      </c>
      <c r="C983" s="1" t="n">
        <v>46033</v>
      </c>
      <c r="D983" t="inlineStr">
        <is>
          <t>STOCKHOLMS LÄN</t>
        </is>
      </c>
      <c r="E983" t="inlineStr">
        <is>
          <t>SÖDERTÄLJE</t>
        </is>
      </c>
      <c r="G983" t="n">
        <v>6.9</v>
      </c>
      <c r="H983" t="n">
        <v>0</v>
      </c>
      <c r="I983" t="n">
        <v>0</v>
      </c>
      <c r="J983" t="n">
        <v>0</v>
      </c>
      <c r="K983" t="n">
        <v>0</v>
      </c>
      <c r="L983" t="n">
        <v>0</v>
      </c>
      <c r="M983" t="n">
        <v>0</v>
      </c>
      <c r="N983" t="n">
        <v>0</v>
      </c>
      <c r="O983" t="n">
        <v>0</v>
      </c>
      <c r="P983" t="n">
        <v>0</v>
      </c>
      <c r="Q983" t="n">
        <v>0</v>
      </c>
      <c r="R983" s="2" t="inlineStr"/>
    </row>
    <row r="984" ht="15" customHeight="1">
      <c r="A984" t="inlineStr">
        <is>
          <t>A 41053-2025</t>
        </is>
      </c>
      <c r="B984" s="1" t="n">
        <v>45898.40480324074</v>
      </c>
      <c r="C984" s="1" t="n">
        <v>46033</v>
      </c>
      <c r="D984" t="inlineStr">
        <is>
          <t>STOCKHOLMS LÄN</t>
        </is>
      </c>
      <c r="E984" t="inlineStr">
        <is>
          <t>NORRTÄLJE</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41275-2025</t>
        </is>
      </c>
      <c r="B985" s="1" t="n">
        <v>45898.62625</v>
      </c>
      <c r="C985" s="1" t="n">
        <v>46033</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41272-2025</t>
        </is>
      </c>
      <c r="B986" s="1" t="n">
        <v>45898.62373842593</v>
      </c>
      <c r="C986" s="1" t="n">
        <v>46033</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24690-2025</t>
        </is>
      </c>
      <c r="B987" s="1" t="n">
        <v>45798.67082175926</v>
      </c>
      <c r="C987" s="1" t="n">
        <v>46033</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9966-2024</t>
        </is>
      </c>
      <c r="B988" s="1" t="n">
        <v>45363.65841435185</v>
      </c>
      <c r="C988" s="1" t="n">
        <v>46033</v>
      </c>
      <c r="D988" t="inlineStr">
        <is>
          <t>STOCKHOLMS LÄN</t>
        </is>
      </c>
      <c r="E988" t="inlineStr">
        <is>
          <t>VÄRMDÖ</t>
        </is>
      </c>
      <c r="G988" t="n">
        <v>6</v>
      </c>
      <c r="H988" t="n">
        <v>0</v>
      </c>
      <c r="I988" t="n">
        <v>0</v>
      </c>
      <c r="J988" t="n">
        <v>0</v>
      </c>
      <c r="K988" t="n">
        <v>0</v>
      </c>
      <c r="L988" t="n">
        <v>0</v>
      </c>
      <c r="M988" t="n">
        <v>0</v>
      </c>
      <c r="N988" t="n">
        <v>0</v>
      </c>
      <c r="O988" t="n">
        <v>0</v>
      </c>
      <c r="P988" t="n">
        <v>0</v>
      </c>
      <c r="Q988" t="n">
        <v>0</v>
      </c>
      <c r="R988" s="2" t="inlineStr"/>
    </row>
    <row r="989" ht="15" customHeight="1">
      <c r="A989" t="inlineStr">
        <is>
          <t>A 32705-2022</t>
        </is>
      </c>
      <c r="B989" s="1" t="n">
        <v>44783</v>
      </c>
      <c r="C989" s="1" t="n">
        <v>46033</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47259-2024</t>
        </is>
      </c>
      <c r="B990" s="1" t="n">
        <v>45586</v>
      </c>
      <c r="C990" s="1" t="n">
        <v>46033</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25702-2025</t>
        </is>
      </c>
      <c r="B991" s="1" t="n">
        <v>45800</v>
      </c>
      <c r="C991" s="1" t="n">
        <v>46033</v>
      </c>
      <c r="D991" t="inlineStr">
        <is>
          <t>STOCKHOLMS LÄN</t>
        </is>
      </c>
      <c r="E991" t="inlineStr">
        <is>
          <t>NORRTÄLJE</t>
        </is>
      </c>
      <c r="G991" t="n">
        <v>5.3</v>
      </c>
      <c r="H991" t="n">
        <v>0</v>
      </c>
      <c r="I991" t="n">
        <v>0</v>
      </c>
      <c r="J991" t="n">
        <v>0</v>
      </c>
      <c r="K991" t="n">
        <v>0</v>
      </c>
      <c r="L991" t="n">
        <v>0</v>
      </c>
      <c r="M991" t="n">
        <v>0</v>
      </c>
      <c r="N991" t="n">
        <v>0</v>
      </c>
      <c r="O991" t="n">
        <v>0</v>
      </c>
      <c r="P991" t="n">
        <v>0</v>
      </c>
      <c r="Q991" t="n">
        <v>0</v>
      </c>
      <c r="R991" s="2" t="inlineStr"/>
    </row>
    <row r="992" ht="15" customHeight="1">
      <c r="A992" t="inlineStr">
        <is>
          <t>A 41301-2025</t>
        </is>
      </c>
      <c r="B992" s="1" t="n">
        <v>45898.68826388889</v>
      </c>
      <c r="C992" s="1" t="n">
        <v>46033</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41809-2021</t>
        </is>
      </c>
      <c r="B993" s="1" t="n">
        <v>44425</v>
      </c>
      <c r="C993" s="1" t="n">
        <v>46033</v>
      </c>
      <c r="D993" t="inlineStr">
        <is>
          <t>STOCKHOLMS LÄN</t>
        </is>
      </c>
      <c r="E993" t="inlineStr">
        <is>
          <t>HANINGE</t>
        </is>
      </c>
      <c r="G993" t="n">
        <v>0.9</v>
      </c>
      <c r="H993" t="n">
        <v>0</v>
      </c>
      <c r="I993" t="n">
        <v>0</v>
      </c>
      <c r="J993" t="n">
        <v>0</v>
      </c>
      <c r="K993" t="n">
        <v>0</v>
      </c>
      <c r="L993" t="n">
        <v>0</v>
      </c>
      <c r="M993" t="n">
        <v>0</v>
      </c>
      <c r="N993" t="n">
        <v>0</v>
      </c>
      <c r="O993" t="n">
        <v>0</v>
      </c>
      <c r="P993" t="n">
        <v>0</v>
      </c>
      <c r="Q993" t="n">
        <v>0</v>
      </c>
      <c r="R993" s="2" t="inlineStr"/>
    </row>
    <row r="994" ht="15" customHeight="1">
      <c r="A994" t="inlineStr">
        <is>
          <t>A 47481-2024</t>
        </is>
      </c>
      <c r="B994" s="1" t="n">
        <v>45587</v>
      </c>
      <c r="C994" s="1" t="n">
        <v>46033</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57037-2022</t>
        </is>
      </c>
      <c r="B995" s="1" t="n">
        <v>44895</v>
      </c>
      <c r="C995" s="1" t="n">
        <v>46033</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25712-2025</t>
        </is>
      </c>
      <c r="B996" s="1" t="n">
        <v>45803.69228009259</v>
      </c>
      <c r="C996" s="1" t="n">
        <v>46033</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11940-2023</t>
        </is>
      </c>
      <c r="B997" s="1" t="n">
        <v>44995</v>
      </c>
      <c r="C997" s="1" t="n">
        <v>46033</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2367-2023</t>
        </is>
      </c>
      <c r="B998" s="1" t="n">
        <v>44942.67042824074</v>
      </c>
      <c r="C998" s="1" t="n">
        <v>46033</v>
      </c>
      <c r="D998" t="inlineStr">
        <is>
          <t>STOCKHOLMS LÄN</t>
        </is>
      </c>
      <c r="E998" t="inlineStr">
        <is>
          <t>NYNÄSHAMN</t>
        </is>
      </c>
      <c r="G998" t="n">
        <v>1.2</v>
      </c>
      <c r="H998" t="n">
        <v>0</v>
      </c>
      <c r="I998" t="n">
        <v>0</v>
      </c>
      <c r="J998" t="n">
        <v>0</v>
      </c>
      <c r="K998" t="n">
        <v>0</v>
      </c>
      <c r="L998" t="n">
        <v>0</v>
      </c>
      <c r="M998" t="n">
        <v>0</v>
      </c>
      <c r="N998" t="n">
        <v>0</v>
      </c>
      <c r="O998" t="n">
        <v>0</v>
      </c>
      <c r="P998" t="n">
        <v>0</v>
      </c>
      <c r="Q998" t="n">
        <v>0</v>
      </c>
      <c r="R998" s="2" t="inlineStr"/>
    </row>
    <row r="999" ht="15" customHeight="1">
      <c r="A999" t="inlineStr">
        <is>
          <t>A 41174-2025</t>
        </is>
      </c>
      <c r="B999" s="1" t="n">
        <v>45898.54921296296</v>
      </c>
      <c r="C999" s="1" t="n">
        <v>46033</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41030-2025</t>
        </is>
      </c>
      <c r="B1000" s="1" t="n">
        <v>45898.37636574074</v>
      </c>
      <c r="C1000" s="1" t="n">
        <v>46033</v>
      </c>
      <c r="D1000" t="inlineStr">
        <is>
          <t>STOCKHOLMS LÄN</t>
        </is>
      </c>
      <c r="E1000" t="inlineStr">
        <is>
          <t>NORRTÄLJE</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25415-2025</t>
        </is>
      </c>
      <c r="B1001" s="1" t="n">
        <v>45799</v>
      </c>
      <c r="C1001" s="1" t="n">
        <v>46033</v>
      </c>
      <c r="D1001" t="inlineStr">
        <is>
          <t>STOCKHOLMS LÄN</t>
        </is>
      </c>
      <c r="E1001" t="inlineStr">
        <is>
          <t>SÖDERTÄLJE</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25733-2025</t>
        </is>
      </c>
      <c r="B1002" s="1" t="n">
        <v>45800</v>
      </c>
      <c r="C1002" s="1" t="n">
        <v>46033</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41036-2025</t>
        </is>
      </c>
      <c r="B1003" s="1" t="n">
        <v>45898.38552083333</v>
      </c>
      <c r="C1003" s="1" t="n">
        <v>46033</v>
      </c>
      <c r="D1003" t="inlineStr">
        <is>
          <t>STOCKHOLMS LÄN</t>
        </is>
      </c>
      <c r="E1003" t="inlineStr">
        <is>
          <t>NORRTÄLJE</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39238-2024</t>
        </is>
      </c>
      <c r="B1004" s="1" t="n">
        <v>45549</v>
      </c>
      <c r="C1004" s="1" t="n">
        <v>46033</v>
      </c>
      <c r="D1004" t="inlineStr">
        <is>
          <t>STOCKHOLMS LÄN</t>
        </is>
      </c>
      <c r="E1004" t="inlineStr">
        <is>
          <t>NORRTÄLJE</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2281-2024</t>
        </is>
      </c>
      <c r="B1005" s="1" t="n">
        <v>45310.40628472222</v>
      </c>
      <c r="C1005" s="1" t="n">
        <v>46033</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41106-2025</t>
        </is>
      </c>
      <c r="B1006" s="1" t="n">
        <v>45898.45636574074</v>
      </c>
      <c r="C1006" s="1" t="n">
        <v>46033</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41110-2025</t>
        </is>
      </c>
      <c r="B1007" s="1" t="n">
        <v>45898.45976851852</v>
      </c>
      <c r="C1007" s="1" t="n">
        <v>46033</v>
      </c>
      <c r="D1007" t="inlineStr">
        <is>
          <t>STOCKHOLMS LÄN</t>
        </is>
      </c>
      <c r="E1007" t="inlineStr">
        <is>
          <t>NORRTÄLJE</t>
        </is>
      </c>
      <c r="F1007" t="inlineStr">
        <is>
          <t>Holmen skog AB</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25571-2025</t>
        </is>
      </c>
      <c r="B1008" s="1" t="n">
        <v>45803.4675</v>
      </c>
      <c r="C1008" s="1" t="n">
        <v>46033</v>
      </c>
      <c r="D1008" t="inlineStr">
        <is>
          <t>STOCKHOLMS LÄN</t>
        </is>
      </c>
      <c r="E1008" t="inlineStr">
        <is>
          <t>NORRTÄLJE</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41259-2025</t>
        </is>
      </c>
      <c r="B1009" s="1" t="n">
        <v>45898.61054398148</v>
      </c>
      <c r="C1009" s="1" t="n">
        <v>46033</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25721-2025</t>
        </is>
      </c>
      <c r="B1010" s="1" t="n">
        <v>45800</v>
      </c>
      <c r="C1010" s="1" t="n">
        <v>46033</v>
      </c>
      <c r="D1010" t="inlineStr">
        <is>
          <t>STOCKHOLMS LÄN</t>
        </is>
      </c>
      <c r="E1010" t="inlineStr">
        <is>
          <t>NORRTÄLJE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10511-2025</t>
        </is>
      </c>
      <c r="B1011" s="1" t="n">
        <v>45721.40780092592</v>
      </c>
      <c r="C1011" s="1" t="n">
        <v>46033</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60525-2022</t>
        </is>
      </c>
      <c r="B1012" s="1" t="n">
        <v>44904</v>
      </c>
      <c r="C1012" s="1" t="n">
        <v>46033</v>
      </c>
      <c r="D1012" t="inlineStr">
        <is>
          <t>STOCKHOLMS LÄN</t>
        </is>
      </c>
      <c r="E1012" t="inlineStr">
        <is>
          <t>NORRTÄLJE</t>
        </is>
      </c>
      <c r="G1012" t="n">
        <v>13.4</v>
      </c>
      <c r="H1012" t="n">
        <v>0</v>
      </c>
      <c r="I1012" t="n">
        <v>0</v>
      </c>
      <c r="J1012" t="n">
        <v>0</v>
      </c>
      <c r="K1012" t="n">
        <v>0</v>
      </c>
      <c r="L1012" t="n">
        <v>0</v>
      </c>
      <c r="M1012" t="n">
        <v>0</v>
      </c>
      <c r="N1012" t="n">
        <v>0</v>
      </c>
      <c r="O1012" t="n">
        <v>0</v>
      </c>
      <c r="P1012" t="n">
        <v>0</v>
      </c>
      <c r="Q1012" t="n">
        <v>0</v>
      </c>
      <c r="R1012" s="2" t="inlineStr"/>
    </row>
    <row r="1013" ht="15" customHeight="1">
      <c r="A1013" t="inlineStr">
        <is>
          <t>A 25697-2025</t>
        </is>
      </c>
      <c r="B1013" s="1" t="n">
        <v>45803.66587962963</v>
      </c>
      <c r="C1013" s="1" t="n">
        <v>46033</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41218-2024</t>
        </is>
      </c>
      <c r="B1014" s="1" t="n">
        <v>45559.54706018518</v>
      </c>
      <c r="C1014" s="1" t="n">
        <v>46033</v>
      </c>
      <c r="D1014" t="inlineStr">
        <is>
          <t>STOCKHOLMS LÄN</t>
        </is>
      </c>
      <c r="E1014" t="inlineStr">
        <is>
          <t>NORRTÄLJE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19057-2024</t>
        </is>
      </c>
      <c r="B1015" s="1" t="n">
        <v>45427.88731481481</v>
      </c>
      <c r="C1015" s="1" t="n">
        <v>46033</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41949-2025</t>
        </is>
      </c>
      <c r="B1016" s="1" t="n">
        <v>45903.45309027778</v>
      </c>
      <c r="C1016" s="1" t="n">
        <v>46033</v>
      </c>
      <c r="D1016" t="inlineStr">
        <is>
          <t>STOCKHOLMS LÄN</t>
        </is>
      </c>
      <c r="E1016" t="inlineStr">
        <is>
          <t>SIGTUNA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41963-2025</t>
        </is>
      </c>
      <c r="B1017" s="1" t="n">
        <v>45903.47229166667</v>
      </c>
      <c r="C1017" s="1" t="n">
        <v>46033</v>
      </c>
      <c r="D1017" t="inlineStr">
        <is>
          <t>STOCKHOLMS LÄN</t>
        </is>
      </c>
      <c r="E1017" t="inlineStr">
        <is>
          <t>SIGTUNA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23397-2025</t>
        </is>
      </c>
      <c r="B1018" s="1" t="n">
        <v>45791.90849537037</v>
      </c>
      <c r="C1018" s="1" t="n">
        <v>46033</v>
      </c>
      <c r="D1018" t="inlineStr">
        <is>
          <t>STOCKHOLMS LÄN</t>
        </is>
      </c>
      <c r="E1018" t="inlineStr">
        <is>
          <t>NYNÄSHAMN</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38449-2022</t>
        </is>
      </c>
      <c r="B1019" s="1" t="n">
        <v>44813</v>
      </c>
      <c r="C1019" s="1" t="n">
        <v>46033</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41966-2025</t>
        </is>
      </c>
      <c r="B1020" s="1" t="n">
        <v>45903.47456018518</v>
      </c>
      <c r="C1020" s="1" t="n">
        <v>46033</v>
      </c>
      <c r="D1020" t="inlineStr">
        <is>
          <t>STOCKHOLMS LÄN</t>
        </is>
      </c>
      <c r="E1020" t="inlineStr">
        <is>
          <t>NORRTÄLJE</t>
        </is>
      </c>
      <c r="F1020" t="inlineStr">
        <is>
          <t>Sveaskog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41951-2025</t>
        </is>
      </c>
      <c r="B1021" s="1" t="n">
        <v>45903.45920138889</v>
      </c>
      <c r="C1021" s="1" t="n">
        <v>46033</v>
      </c>
      <c r="D1021" t="inlineStr">
        <is>
          <t>STOCKHOLMS LÄN</t>
        </is>
      </c>
      <c r="E1021" t="inlineStr">
        <is>
          <t>SIGTUNA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34478-2025</t>
        </is>
      </c>
      <c r="B1022" s="1" t="n">
        <v>45847.37414351852</v>
      </c>
      <c r="C1022" s="1" t="n">
        <v>46033</v>
      </c>
      <c r="D1022" t="inlineStr">
        <is>
          <t>STOCKHOLMS LÄN</t>
        </is>
      </c>
      <c r="E1022" t="inlineStr">
        <is>
          <t>NORRTÄLJE</t>
        </is>
      </c>
      <c r="F1022" t="inlineStr">
        <is>
          <t>Övriga Aktiebolag</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42038-2025</t>
        </is>
      </c>
      <c r="B1023" s="1" t="n">
        <v>45903.61431712963</v>
      </c>
      <c r="C1023" s="1" t="n">
        <v>46033</v>
      </c>
      <c r="D1023" t="inlineStr">
        <is>
          <t>STOCKHOLMS LÄN</t>
        </is>
      </c>
      <c r="E1023" t="inlineStr">
        <is>
          <t>NORRTÄLJE</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9856-2024</t>
        </is>
      </c>
      <c r="B1024" s="1" t="n">
        <v>45363</v>
      </c>
      <c r="C1024" s="1" t="n">
        <v>46033</v>
      </c>
      <c r="D1024" t="inlineStr">
        <is>
          <t>STOCKHOLMS LÄN</t>
        </is>
      </c>
      <c r="E1024" t="inlineStr">
        <is>
          <t>SIGTUNA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41957-2025</t>
        </is>
      </c>
      <c r="B1025" s="1" t="n">
        <v>45903.46525462963</v>
      </c>
      <c r="C1025" s="1" t="n">
        <v>46033</v>
      </c>
      <c r="D1025" t="inlineStr">
        <is>
          <t>STOCKHOLMS LÄN</t>
        </is>
      </c>
      <c r="E1025" t="inlineStr">
        <is>
          <t>SIGTUNA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7903-2021</t>
        </is>
      </c>
      <c r="B1026" s="1" t="n">
        <v>44243.33587962963</v>
      </c>
      <c r="C1026" s="1" t="n">
        <v>46033</v>
      </c>
      <c r="D1026" t="inlineStr">
        <is>
          <t>STOCKHOLMS LÄN</t>
        </is>
      </c>
      <c r="E1026" t="inlineStr">
        <is>
          <t>NORRTÄLJE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39213-2022</t>
        </is>
      </c>
      <c r="B1027" s="1" t="n">
        <v>44817.56120370371</v>
      </c>
      <c r="C1027" s="1" t="n">
        <v>46033</v>
      </c>
      <c r="D1027" t="inlineStr">
        <is>
          <t>STOCKHOLMS LÄN</t>
        </is>
      </c>
      <c r="E1027" t="inlineStr">
        <is>
          <t>NORRTÄLJE</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41702-2025</t>
        </is>
      </c>
      <c r="B1028" s="1" t="n">
        <v>45902.41623842593</v>
      </c>
      <c r="C1028" s="1" t="n">
        <v>46033</v>
      </c>
      <c r="D1028" t="inlineStr">
        <is>
          <t>STOCKHOLMS LÄN</t>
        </is>
      </c>
      <c r="E1028" t="inlineStr">
        <is>
          <t>SÖDERTÄLJE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26256-2025</t>
        </is>
      </c>
      <c r="B1029" s="1" t="n">
        <v>45805.58125</v>
      </c>
      <c r="C1029" s="1" t="n">
        <v>46033</v>
      </c>
      <c r="D1029" t="inlineStr">
        <is>
          <t>STOCKHOLMS LÄN</t>
        </is>
      </c>
      <c r="E1029" t="inlineStr">
        <is>
          <t>SIGTUNA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41976-2024</t>
        </is>
      </c>
      <c r="B1030" s="1" t="n">
        <v>45561.62141203704</v>
      </c>
      <c r="C1030" s="1" t="n">
        <v>46033</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53561-2023</t>
        </is>
      </c>
      <c r="B1031" s="1" t="n">
        <v>45224</v>
      </c>
      <c r="C1031" s="1" t="n">
        <v>46033</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41841-2025</t>
        </is>
      </c>
      <c r="B1032" s="1" t="n">
        <v>45902.72109953704</v>
      </c>
      <c r="C1032" s="1" t="n">
        <v>46033</v>
      </c>
      <c r="D1032" t="inlineStr">
        <is>
          <t>STOCKHOLMS LÄN</t>
        </is>
      </c>
      <c r="E1032" t="inlineStr">
        <is>
          <t>SIGTUNA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41964-2025</t>
        </is>
      </c>
      <c r="B1033" s="1" t="n">
        <v>45903.47270833333</v>
      </c>
      <c r="C1033" s="1" t="n">
        <v>46033</v>
      </c>
      <c r="D1033" t="inlineStr">
        <is>
          <t>STOCKHOLMS LÄN</t>
        </is>
      </c>
      <c r="E1033" t="inlineStr">
        <is>
          <t>NORRTÄLJE</t>
        </is>
      </c>
      <c r="F1033" t="inlineStr">
        <is>
          <t>Sveaskog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30378-2024</t>
        </is>
      </c>
      <c r="B1034" s="1" t="n">
        <v>45491</v>
      </c>
      <c r="C1034" s="1" t="n">
        <v>46033</v>
      </c>
      <c r="D1034" t="inlineStr">
        <is>
          <t>STOCKHOLMS LÄN</t>
        </is>
      </c>
      <c r="E1034" t="inlineStr">
        <is>
          <t>BOTKYRKA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59568-2025</t>
        </is>
      </c>
      <c r="B1035" s="1" t="n">
        <v>45991.90737268519</v>
      </c>
      <c r="C1035" s="1" t="n">
        <v>46033</v>
      </c>
      <c r="D1035" t="inlineStr">
        <is>
          <t>STOCKHOLMS LÄN</t>
        </is>
      </c>
      <c r="E1035" t="inlineStr">
        <is>
          <t>HANINGE</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25984-2025</t>
        </is>
      </c>
      <c r="B1036" s="1" t="n">
        <v>45804.64016203704</v>
      </c>
      <c r="C1036" s="1" t="n">
        <v>46033</v>
      </c>
      <c r="D1036" t="inlineStr">
        <is>
          <t>STOCKHOLMS LÄN</t>
        </is>
      </c>
      <c r="E1036" t="inlineStr">
        <is>
          <t>VALLENTUNA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51325-2023</t>
        </is>
      </c>
      <c r="B1037" s="1" t="n">
        <v>45219</v>
      </c>
      <c r="C1037" s="1" t="n">
        <v>46033</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59534-2024</t>
        </is>
      </c>
      <c r="B1038" s="1" t="n">
        <v>45638.5987037037</v>
      </c>
      <c r="C1038" s="1" t="n">
        <v>46033</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31107-2022</t>
        </is>
      </c>
      <c r="B1039" s="1" t="n">
        <v>44769.66864583334</v>
      </c>
      <c r="C1039" s="1" t="n">
        <v>46033</v>
      </c>
      <c r="D1039" t="inlineStr">
        <is>
          <t>STOCKHOLMS LÄN</t>
        </is>
      </c>
      <c r="E1039" t="inlineStr">
        <is>
          <t>NORRTÄLJE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50956-2025</t>
        </is>
      </c>
      <c r="B1040" s="1" t="n">
        <v>45946.78206018519</v>
      </c>
      <c r="C1040" s="1" t="n">
        <v>46033</v>
      </c>
      <c r="D1040" t="inlineStr">
        <is>
          <t>STOCKHOLMS LÄN</t>
        </is>
      </c>
      <c r="E1040" t="inlineStr">
        <is>
          <t>NYNÄSHAMN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13860-2023</t>
        </is>
      </c>
      <c r="B1041" s="1" t="n">
        <v>45007</v>
      </c>
      <c r="C1041" s="1" t="n">
        <v>46033</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6855-2025</t>
        </is>
      </c>
      <c r="B1042" s="1" t="n">
        <v>45700</v>
      </c>
      <c r="C1042" s="1" t="n">
        <v>46033</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37098-2021</t>
        </is>
      </c>
      <c r="B1043" s="1" t="n">
        <v>44396</v>
      </c>
      <c r="C1043" s="1" t="n">
        <v>46033</v>
      </c>
      <c r="D1043" t="inlineStr">
        <is>
          <t>STOCKHOLMS LÄN</t>
        </is>
      </c>
      <c r="E1043" t="inlineStr">
        <is>
          <t>NYNÄSHAMN</t>
        </is>
      </c>
      <c r="G1043" t="n">
        <v>12.9</v>
      </c>
      <c r="H1043" t="n">
        <v>0</v>
      </c>
      <c r="I1043" t="n">
        <v>0</v>
      </c>
      <c r="J1043" t="n">
        <v>0</v>
      </c>
      <c r="K1043" t="n">
        <v>0</v>
      </c>
      <c r="L1043" t="n">
        <v>0</v>
      </c>
      <c r="M1043" t="n">
        <v>0</v>
      </c>
      <c r="N1043" t="n">
        <v>0</v>
      </c>
      <c r="O1043" t="n">
        <v>0</v>
      </c>
      <c r="P1043" t="n">
        <v>0</v>
      </c>
      <c r="Q1043" t="n">
        <v>0</v>
      </c>
      <c r="R1043" s="2" t="inlineStr"/>
    </row>
    <row r="1044" ht="15" customHeight="1">
      <c r="A1044" t="inlineStr">
        <is>
          <t>A 26051-2025</t>
        </is>
      </c>
      <c r="B1044" s="1" t="n">
        <v>45804.74479166666</v>
      </c>
      <c r="C1044" s="1" t="n">
        <v>46033</v>
      </c>
      <c r="D1044" t="inlineStr">
        <is>
          <t>STOCKHOLMS LÄN</t>
        </is>
      </c>
      <c r="E1044" t="inlineStr">
        <is>
          <t>NORRTÄLJE</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44969-2022</t>
        </is>
      </c>
      <c r="B1045" s="1" t="n">
        <v>44841.58752314815</v>
      </c>
      <c r="C1045" s="1" t="n">
        <v>46033</v>
      </c>
      <c r="D1045" t="inlineStr">
        <is>
          <t>STOCKHOLMS LÄN</t>
        </is>
      </c>
      <c r="E1045" t="inlineStr">
        <is>
          <t>NYKVARN</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61320-2024</t>
        </is>
      </c>
      <c r="B1046" s="1" t="n">
        <v>45646.33262731481</v>
      </c>
      <c r="C1046" s="1" t="n">
        <v>46033</v>
      </c>
      <c r="D1046" t="inlineStr">
        <is>
          <t>STOCKHOLMS LÄN</t>
        </is>
      </c>
      <c r="E1046" t="inlineStr">
        <is>
          <t>BOTKYRKA</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30699-2025</t>
        </is>
      </c>
      <c r="B1047" s="1" t="n">
        <v>45831.54618055555</v>
      </c>
      <c r="C1047" s="1" t="n">
        <v>46033</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13314-2025</t>
        </is>
      </c>
      <c r="B1048" s="1" t="n">
        <v>45735.59287037037</v>
      </c>
      <c r="C1048" s="1" t="n">
        <v>46033</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59569-2025</t>
        </is>
      </c>
      <c r="B1049" s="1" t="n">
        <v>45991.92870370371</v>
      </c>
      <c r="C1049" s="1" t="n">
        <v>46033</v>
      </c>
      <c r="D1049" t="inlineStr">
        <is>
          <t>STOCKHOLMS LÄN</t>
        </is>
      </c>
      <c r="E1049" t="inlineStr">
        <is>
          <t>HANINGE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2172-2024</t>
        </is>
      </c>
      <c r="B1050" s="1" t="n">
        <v>45309.63112268518</v>
      </c>
      <c r="C1050" s="1" t="n">
        <v>46033</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37392-2024</t>
        </is>
      </c>
      <c r="B1051" s="1" t="n">
        <v>45540</v>
      </c>
      <c r="C1051" s="1" t="n">
        <v>46033</v>
      </c>
      <c r="D1051" t="inlineStr">
        <is>
          <t>STOCKHOLMS LÄN</t>
        </is>
      </c>
      <c r="E1051" t="inlineStr">
        <is>
          <t>SIGTUNA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34432-2021</t>
        </is>
      </c>
      <c r="B1052" s="1" t="n">
        <v>44380.77346064815</v>
      </c>
      <c r="C1052" s="1" t="n">
        <v>46033</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37491-2022</t>
        </is>
      </c>
      <c r="B1053" s="1" t="n">
        <v>44809</v>
      </c>
      <c r="C1053" s="1" t="n">
        <v>46033</v>
      </c>
      <c r="D1053" t="inlineStr">
        <is>
          <t>STOCKHOLMS LÄN</t>
        </is>
      </c>
      <c r="E1053" t="inlineStr">
        <is>
          <t>NYNÄSHAMN</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26708-2025</t>
        </is>
      </c>
      <c r="B1054" s="1" t="n">
        <v>45810.45633101852</v>
      </c>
      <c r="C1054" s="1" t="n">
        <v>46033</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8300-2024</t>
        </is>
      </c>
      <c r="B1055" s="1" t="n">
        <v>45352.44717592592</v>
      </c>
      <c r="C1055" s="1" t="n">
        <v>46033</v>
      </c>
      <c r="D1055" t="inlineStr">
        <is>
          <t>STOCKHOLMS LÄN</t>
        </is>
      </c>
      <c r="E1055" t="inlineStr">
        <is>
          <t>SALEM</t>
        </is>
      </c>
      <c r="F1055" t="inlineStr">
        <is>
          <t>Kommuner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59672-2025</t>
        </is>
      </c>
      <c r="B1056" s="1" t="n">
        <v>45992.45884259259</v>
      </c>
      <c r="C1056" s="1" t="n">
        <v>46033</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3630-2023</t>
        </is>
      </c>
      <c r="B1057" s="1" t="n">
        <v>44950</v>
      </c>
      <c r="C1057" s="1" t="n">
        <v>46033</v>
      </c>
      <c r="D1057" t="inlineStr">
        <is>
          <t>STOCKHOLMS LÄN</t>
        </is>
      </c>
      <c r="E1057" t="inlineStr">
        <is>
          <t>UPPLANDS-BRO</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20011-2025</t>
        </is>
      </c>
      <c r="B1058" s="1" t="n">
        <v>45772.29622685185</v>
      </c>
      <c r="C1058" s="1" t="n">
        <v>46033</v>
      </c>
      <c r="D1058" t="inlineStr">
        <is>
          <t>STOCKHOLMS LÄN</t>
        </is>
      </c>
      <c r="E1058" t="inlineStr">
        <is>
          <t>NORRTÄLJE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42856-2025</t>
        </is>
      </c>
      <c r="B1059" s="1" t="n">
        <v>45908</v>
      </c>
      <c r="C1059" s="1" t="n">
        <v>46033</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26702-2025</t>
        </is>
      </c>
      <c r="B1060" s="1" t="n">
        <v>45810.45236111111</v>
      </c>
      <c r="C1060" s="1" t="n">
        <v>46033</v>
      </c>
      <c r="D1060" t="inlineStr">
        <is>
          <t>STOCKHOLMS LÄN</t>
        </is>
      </c>
      <c r="E1060" t="inlineStr">
        <is>
          <t>NORRTÄLJE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73194-2021</t>
        </is>
      </c>
      <c r="B1061" s="1" t="n">
        <v>44550.61508101852</v>
      </c>
      <c r="C1061" s="1" t="n">
        <v>46033</v>
      </c>
      <c r="D1061" t="inlineStr">
        <is>
          <t>STOCKHOLMS LÄN</t>
        </is>
      </c>
      <c r="E1061" t="inlineStr">
        <is>
          <t>BOTKYRKA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26763-2025</t>
        </is>
      </c>
      <c r="B1062" s="1" t="n">
        <v>45810.56418981482</v>
      </c>
      <c r="C1062" s="1" t="n">
        <v>46033</v>
      </c>
      <c r="D1062" t="inlineStr">
        <is>
          <t>STOCKHOLMS LÄN</t>
        </is>
      </c>
      <c r="E1062" t="inlineStr">
        <is>
          <t>NYKVARN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26600-2025</t>
        </is>
      </c>
      <c r="B1063" s="1" t="n">
        <v>45808.54792824074</v>
      </c>
      <c r="C1063" s="1" t="n">
        <v>46033</v>
      </c>
      <c r="D1063" t="inlineStr">
        <is>
          <t>STOCKHOLMS LÄN</t>
        </is>
      </c>
      <c r="E1063" t="inlineStr">
        <is>
          <t>EKERÖ</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23061-2025</t>
        </is>
      </c>
      <c r="B1064" s="1" t="n">
        <v>45790.81410879629</v>
      </c>
      <c r="C1064" s="1" t="n">
        <v>46033</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27040-2025</t>
        </is>
      </c>
      <c r="B1065" s="1" t="n">
        <v>45811.60451388889</v>
      </c>
      <c r="C1065" s="1" t="n">
        <v>46033</v>
      </c>
      <c r="D1065" t="inlineStr">
        <is>
          <t>STOCKHOLMS LÄN</t>
        </is>
      </c>
      <c r="E1065" t="inlineStr">
        <is>
          <t>NORRTÄLJE</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26747-2025</t>
        </is>
      </c>
      <c r="B1066" s="1" t="n">
        <v>45810.5333912037</v>
      </c>
      <c r="C1066" s="1" t="n">
        <v>46033</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13046-2022</t>
        </is>
      </c>
      <c r="B1067" s="1" t="n">
        <v>44643</v>
      </c>
      <c r="C1067" s="1" t="n">
        <v>46033</v>
      </c>
      <c r="D1067" t="inlineStr">
        <is>
          <t>STOCKHOLMS LÄN</t>
        </is>
      </c>
      <c r="E1067" t="inlineStr">
        <is>
          <t>HANINGE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26755-2025</t>
        </is>
      </c>
      <c r="B1068" s="1" t="n">
        <v>45810.55623842592</v>
      </c>
      <c r="C1068" s="1" t="n">
        <v>46033</v>
      </c>
      <c r="D1068" t="inlineStr">
        <is>
          <t>STOCKHOLMS LÄN</t>
        </is>
      </c>
      <c r="E1068" t="inlineStr">
        <is>
          <t>NYKVARN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23093-2024</t>
        </is>
      </c>
      <c r="B1069" s="1" t="n">
        <v>45450</v>
      </c>
      <c r="C1069" s="1" t="n">
        <v>46033</v>
      </c>
      <c r="D1069" t="inlineStr">
        <is>
          <t>STOCKHOLMS LÄN</t>
        </is>
      </c>
      <c r="E1069" t="inlineStr">
        <is>
          <t>UPPLANDS-BRO</t>
        </is>
      </c>
      <c r="F1069" t="inlineStr">
        <is>
          <t>Övriga statliga verk och myndigheter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23149-2024</t>
        </is>
      </c>
      <c r="B1070" s="1" t="n">
        <v>45450.64208333333</v>
      </c>
      <c r="C1070" s="1" t="n">
        <v>46033</v>
      </c>
      <c r="D1070" t="inlineStr">
        <is>
          <t>STOCKHOLMS LÄN</t>
        </is>
      </c>
      <c r="E1070" t="inlineStr">
        <is>
          <t>NORRTÄLJE</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23151-2024</t>
        </is>
      </c>
      <c r="B1071" s="1" t="n">
        <v>45450</v>
      </c>
      <c r="C1071" s="1" t="n">
        <v>46033</v>
      </c>
      <c r="D1071" t="inlineStr">
        <is>
          <t>STOCKHOLMS LÄN</t>
        </is>
      </c>
      <c r="E1071" t="inlineStr">
        <is>
          <t>NORRTÄLJE</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26675-2025</t>
        </is>
      </c>
      <c r="B1072" s="1" t="n">
        <v>45810.42393518519</v>
      </c>
      <c r="C1072" s="1" t="n">
        <v>46033</v>
      </c>
      <c r="D1072" t="inlineStr">
        <is>
          <t>STOCKHOLMS LÄN</t>
        </is>
      </c>
      <c r="E1072" t="inlineStr">
        <is>
          <t>NORRTÄLJE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24835-2025</t>
        </is>
      </c>
      <c r="B1073" s="1" t="n">
        <v>45799</v>
      </c>
      <c r="C1073" s="1" t="n">
        <v>46033</v>
      </c>
      <c r="D1073" t="inlineStr">
        <is>
          <t>STOCKHOLMS LÄN</t>
        </is>
      </c>
      <c r="E1073" t="inlineStr">
        <is>
          <t>NORRTÄLJE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27554-2025</t>
        </is>
      </c>
      <c r="B1074" s="1" t="n">
        <v>45813.4709375</v>
      </c>
      <c r="C1074" s="1" t="n">
        <v>46033</v>
      </c>
      <c r="D1074" t="inlineStr">
        <is>
          <t>STOCKHOLMS LÄN</t>
        </is>
      </c>
      <c r="E1074" t="inlineStr">
        <is>
          <t>NORRTÄLJE</t>
        </is>
      </c>
      <c r="F1074" t="inlineStr">
        <is>
          <t>Övriga Aktiebolag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27561-2025</t>
        </is>
      </c>
      <c r="B1075" s="1" t="n">
        <v>45813.48378472222</v>
      </c>
      <c r="C1075" s="1" t="n">
        <v>46033</v>
      </c>
      <c r="D1075" t="inlineStr">
        <is>
          <t>STOCKHOLMS LÄN</t>
        </is>
      </c>
      <c r="E1075" t="inlineStr">
        <is>
          <t>HUDDINGE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52001-2023</t>
        </is>
      </c>
      <c r="B1076" s="1" t="n">
        <v>45223</v>
      </c>
      <c r="C1076" s="1" t="n">
        <v>46033</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43169-2025</t>
        </is>
      </c>
      <c r="B1077" s="1" t="n">
        <v>45910</v>
      </c>
      <c r="C1077" s="1" t="n">
        <v>46033</v>
      </c>
      <c r="D1077" t="inlineStr">
        <is>
          <t>STOCKHOLMS LÄN</t>
        </is>
      </c>
      <c r="E1077" t="inlineStr">
        <is>
          <t>NORRTÄLJE</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12363-2025</t>
        </is>
      </c>
      <c r="B1078" s="1" t="n">
        <v>45730.37431712963</v>
      </c>
      <c r="C1078" s="1" t="n">
        <v>46033</v>
      </c>
      <c r="D1078" t="inlineStr">
        <is>
          <t>STOCKHOLMS LÄN</t>
        </is>
      </c>
      <c r="E1078" t="inlineStr">
        <is>
          <t>UPPLANDS-BRO</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60185-2024</t>
        </is>
      </c>
      <c r="B1079" s="1" t="n">
        <v>45642.64634259259</v>
      </c>
      <c r="C1079" s="1" t="n">
        <v>46033</v>
      </c>
      <c r="D1079" t="inlineStr">
        <is>
          <t>STOCKHOLMS LÄN</t>
        </is>
      </c>
      <c r="E1079" t="inlineStr">
        <is>
          <t>NORRTÄLJE</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27589-2025</t>
        </is>
      </c>
      <c r="B1080" s="1" t="n">
        <v>45813.51070601852</v>
      </c>
      <c r="C1080" s="1" t="n">
        <v>46033</v>
      </c>
      <c r="D1080" t="inlineStr">
        <is>
          <t>STOCKHOLMS LÄN</t>
        </is>
      </c>
      <c r="E1080" t="inlineStr">
        <is>
          <t>HUDDINGE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27596-2025</t>
        </is>
      </c>
      <c r="B1081" s="1" t="n">
        <v>45813.52303240741</v>
      </c>
      <c r="C1081" s="1" t="n">
        <v>46033</v>
      </c>
      <c r="D1081" t="inlineStr">
        <is>
          <t>STOCKHOLMS LÄN</t>
        </is>
      </c>
      <c r="E1081" t="inlineStr">
        <is>
          <t>HANINGE</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48686-2023</t>
        </is>
      </c>
      <c r="B1082" s="1" t="n">
        <v>45208</v>
      </c>
      <c r="C1082" s="1" t="n">
        <v>46033</v>
      </c>
      <c r="D1082" t="inlineStr">
        <is>
          <t>STOCKHOLMS LÄN</t>
        </is>
      </c>
      <c r="E1082" t="inlineStr">
        <is>
          <t>NORRTÄLJE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48691-2023</t>
        </is>
      </c>
      <c r="B1083" s="1" t="n">
        <v>45208</v>
      </c>
      <c r="C1083" s="1" t="n">
        <v>46033</v>
      </c>
      <c r="D1083" t="inlineStr">
        <is>
          <t>STOCKHOLMS LÄN</t>
        </is>
      </c>
      <c r="E1083" t="inlineStr">
        <is>
          <t>NORRTÄLJE</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27137-2025</t>
        </is>
      </c>
      <c r="B1084" s="1" t="n">
        <v>45811.95890046296</v>
      </c>
      <c r="C1084" s="1" t="n">
        <v>46033</v>
      </c>
      <c r="D1084" t="inlineStr">
        <is>
          <t>STOCKHOLMS LÄN</t>
        </is>
      </c>
      <c r="E1084" t="inlineStr">
        <is>
          <t>ÖSTERÅKER</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30719-2025</t>
        </is>
      </c>
      <c r="B1085" s="1" t="n">
        <v>45831</v>
      </c>
      <c r="C1085" s="1" t="n">
        <v>46033</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32286-2023</t>
        </is>
      </c>
      <c r="B1086" s="1" t="n">
        <v>45120</v>
      </c>
      <c r="C1086" s="1" t="n">
        <v>46033</v>
      </c>
      <c r="D1086" t="inlineStr">
        <is>
          <t>STOCKHOLMS LÄN</t>
        </is>
      </c>
      <c r="E1086" t="inlineStr">
        <is>
          <t>VÄRMDÖ</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43269-2025</t>
        </is>
      </c>
      <c r="B1087" s="1" t="n">
        <v>45910.5819212963</v>
      </c>
      <c r="C1087" s="1" t="n">
        <v>46033</v>
      </c>
      <c r="D1087" t="inlineStr">
        <is>
          <t>STOCKHOLMS LÄN</t>
        </is>
      </c>
      <c r="E1087" t="inlineStr">
        <is>
          <t>NORRTÄLJE</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27700-2025</t>
        </is>
      </c>
      <c r="B1088" s="1" t="n">
        <v>45813.6799537037</v>
      </c>
      <c r="C1088" s="1" t="n">
        <v>46033</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27697-2025</t>
        </is>
      </c>
      <c r="B1089" s="1" t="n">
        <v>45813.66961805556</v>
      </c>
      <c r="C1089" s="1" t="n">
        <v>46033</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27802-2025</t>
        </is>
      </c>
      <c r="B1090" s="1" t="n">
        <v>45817.2565625</v>
      </c>
      <c r="C1090" s="1" t="n">
        <v>46033</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27806-2025</t>
        </is>
      </c>
      <c r="B1091" s="1" t="n">
        <v>45817.30329861111</v>
      </c>
      <c r="C1091" s="1" t="n">
        <v>46033</v>
      </c>
      <c r="D1091" t="inlineStr">
        <is>
          <t>STOCKHOLMS LÄN</t>
        </is>
      </c>
      <c r="E1091" t="inlineStr">
        <is>
          <t>NORRTÄLJE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27808-2025</t>
        </is>
      </c>
      <c r="B1092" s="1" t="n">
        <v>45817.31085648148</v>
      </c>
      <c r="C1092" s="1" t="n">
        <v>46033</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27810-2025</t>
        </is>
      </c>
      <c r="B1093" s="1" t="n">
        <v>45817.31708333334</v>
      </c>
      <c r="C1093" s="1" t="n">
        <v>46033</v>
      </c>
      <c r="D1093" t="inlineStr">
        <is>
          <t>STOCKHOLMS LÄN</t>
        </is>
      </c>
      <c r="E1093" t="inlineStr">
        <is>
          <t>NORRTÄLJE</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27811-2025</t>
        </is>
      </c>
      <c r="B1094" s="1" t="n">
        <v>45817.31986111111</v>
      </c>
      <c r="C1094" s="1" t="n">
        <v>46033</v>
      </c>
      <c r="D1094" t="inlineStr">
        <is>
          <t>STOCKHOLMS LÄN</t>
        </is>
      </c>
      <c r="E1094" t="inlineStr">
        <is>
          <t>NORRTÄLJE</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27818-2025</t>
        </is>
      </c>
      <c r="B1095" s="1" t="n">
        <v>45817.33503472222</v>
      </c>
      <c r="C1095" s="1" t="n">
        <v>46033</v>
      </c>
      <c r="D1095" t="inlineStr">
        <is>
          <t>STOCKHOLMS LÄN</t>
        </is>
      </c>
      <c r="E1095" t="inlineStr">
        <is>
          <t>NORRTÄLJE</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24636-2023</t>
        </is>
      </c>
      <c r="B1096" s="1" t="n">
        <v>45084</v>
      </c>
      <c r="C1096" s="1" t="n">
        <v>46033</v>
      </c>
      <c r="D1096" t="inlineStr">
        <is>
          <t>STOCKHOLMS LÄN</t>
        </is>
      </c>
      <c r="E1096" t="inlineStr">
        <is>
          <t>SIGTUNA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27948-2025</t>
        </is>
      </c>
      <c r="B1097" s="1" t="n">
        <v>45817.52460648148</v>
      </c>
      <c r="C1097" s="1" t="n">
        <v>46033</v>
      </c>
      <c r="D1097" t="inlineStr">
        <is>
          <t>STOCKHOLMS LÄN</t>
        </is>
      </c>
      <c r="E1097" t="inlineStr">
        <is>
          <t>ÖSTERÅKER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27801-2025</t>
        </is>
      </c>
      <c r="B1098" s="1" t="n">
        <v>45817.25471064815</v>
      </c>
      <c r="C1098" s="1" t="n">
        <v>46033</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21726-2022</t>
        </is>
      </c>
      <c r="B1099" s="1" t="n">
        <v>44708</v>
      </c>
      <c r="C1099" s="1" t="n">
        <v>46033</v>
      </c>
      <c r="D1099" t="inlineStr">
        <is>
          <t>STOCKHOLMS LÄN</t>
        </is>
      </c>
      <c r="E1099" t="inlineStr">
        <is>
          <t>NORRTÄLJE</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21739-2022</t>
        </is>
      </c>
      <c r="B1100" s="1" t="n">
        <v>44708.36708333333</v>
      </c>
      <c r="C1100" s="1" t="n">
        <v>46033</v>
      </c>
      <c r="D1100" t="inlineStr">
        <is>
          <t>STOCKHOLMS LÄN</t>
        </is>
      </c>
      <c r="E1100" t="inlineStr">
        <is>
          <t>NORRTÄLJE</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35210-2023</t>
        </is>
      </c>
      <c r="B1101" s="1" t="n">
        <v>45145.63584490741</v>
      </c>
      <c r="C1101" s="1" t="n">
        <v>46033</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43916-2025</t>
        </is>
      </c>
      <c r="B1102" s="1" t="n">
        <v>45914.78884259259</v>
      </c>
      <c r="C1102" s="1" t="n">
        <v>46033</v>
      </c>
      <c r="D1102" t="inlineStr">
        <is>
          <t>STOCKHOLMS LÄN</t>
        </is>
      </c>
      <c r="E1102" t="inlineStr">
        <is>
          <t>NORRTÄLJE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51960-2025</t>
        </is>
      </c>
      <c r="B1103" s="1" t="n">
        <v>45952.54755787037</v>
      </c>
      <c r="C1103" s="1" t="n">
        <v>46033</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34713-2025</t>
        </is>
      </c>
      <c r="B1104" s="1" t="n">
        <v>45848</v>
      </c>
      <c r="C1104" s="1" t="n">
        <v>46033</v>
      </c>
      <c r="D1104" t="inlineStr">
        <is>
          <t>STOCKHOLMS LÄN</t>
        </is>
      </c>
      <c r="E1104" t="inlineStr">
        <is>
          <t>ÖSTERÅKER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27803-2025</t>
        </is>
      </c>
      <c r="B1105" s="1" t="n">
        <v>45817.291875</v>
      </c>
      <c r="C1105" s="1" t="n">
        <v>46033</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27813-2025</t>
        </is>
      </c>
      <c r="B1106" s="1" t="n">
        <v>45817.32538194444</v>
      </c>
      <c r="C1106" s="1" t="n">
        <v>46033</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59767-2022</t>
        </is>
      </c>
      <c r="B1107" s="1" t="n">
        <v>44900</v>
      </c>
      <c r="C1107" s="1" t="n">
        <v>46033</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27821-2025</t>
        </is>
      </c>
      <c r="B1108" s="1" t="n">
        <v>45817.34083333334</v>
      </c>
      <c r="C1108" s="1" t="n">
        <v>46033</v>
      </c>
      <c r="D1108" t="inlineStr">
        <is>
          <t>STOCKHOLMS LÄN</t>
        </is>
      </c>
      <c r="E1108" t="inlineStr">
        <is>
          <t>NORRTÄLJE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5823-2023</t>
        </is>
      </c>
      <c r="B1109" s="1" t="n">
        <v>44963</v>
      </c>
      <c r="C1109" s="1" t="n">
        <v>46033</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19915-2024</t>
        </is>
      </c>
      <c r="B1110" s="1" t="n">
        <v>45433.58431712963</v>
      </c>
      <c r="C1110" s="1" t="n">
        <v>46033</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15217-2023</t>
        </is>
      </c>
      <c r="B1111" s="1" t="n">
        <v>45019.28847222222</v>
      </c>
      <c r="C1111" s="1" t="n">
        <v>46033</v>
      </c>
      <c r="D1111" t="inlineStr">
        <is>
          <t>STOCKHOLMS LÄN</t>
        </is>
      </c>
      <c r="E1111" t="inlineStr">
        <is>
          <t>NORRTÄLJE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15300-2023</t>
        </is>
      </c>
      <c r="B1112" s="1" t="n">
        <v>45019</v>
      </c>
      <c r="C1112" s="1" t="n">
        <v>46033</v>
      </c>
      <c r="D1112" t="inlineStr">
        <is>
          <t>STOCKHOLMS LÄN</t>
        </is>
      </c>
      <c r="E1112" t="inlineStr">
        <is>
          <t>VALLENTUNA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464-2022</t>
        </is>
      </c>
      <c r="B1113" s="1" t="n">
        <v>44565</v>
      </c>
      <c r="C1113" s="1" t="n">
        <v>46033</v>
      </c>
      <c r="D1113" t="inlineStr">
        <is>
          <t>STOCKHOLMS LÄN</t>
        </is>
      </c>
      <c r="E1113" t="inlineStr">
        <is>
          <t>ÖSTERÅKER</t>
        </is>
      </c>
      <c r="F1113" t="inlineStr">
        <is>
          <t>Övriga Aktiebolag</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11319-2024</t>
        </is>
      </c>
      <c r="B1114" s="1" t="n">
        <v>45371.91613425926</v>
      </c>
      <c r="C1114" s="1" t="n">
        <v>46033</v>
      </c>
      <c r="D1114" t="inlineStr">
        <is>
          <t>STOCKHOLMS LÄN</t>
        </is>
      </c>
      <c r="E1114" t="inlineStr">
        <is>
          <t>SÖDERTÄLJE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28598-2025</t>
        </is>
      </c>
      <c r="B1115" s="1" t="n">
        <v>45819.59659722223</v>
      </c>
      <c r="C1115" s="1" t="n">
        <v>46033</v>
      </c>
      <c r="D1115" t="inlineStr">
        <is>
          <t>STOCKHOLMS LÄN</t>
        </is>
      </c>
      <c r="E1115" t="inlineStr">
        <is>
          <t>NYKVARN</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60253-2025</t>
        </is>
      </c>
      <c r="B1116" s="1" t="n">
        <v>45994.59827546297</v>
      </c>
      <c r="C1116" s="1" t="n">
        <v>46033</v>
      </c>
      <c r="D1116" t="inlineStr">
        <is>
          <t>STOCKHOLMS LÄN</t>
        </is>
      </c>
      <c r="E1116" t="inlineStr">
        <is>
          <t>NORRTÄLJE</t>
        </is>
      </c>
      <c r="F1116" t="inlineStr">
        <is>
          <t>Holmen skog AB</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28346-2025</t>
        </is>
      </c>
      <c r="B1117" s="1" t="n">
        <v>45818.70325231482</v>
      </c>
      <c r="C1117" s="1" t="n">
        <v>46033</v>
      </c>
      <c r="D1117" t="inlineStr">
        <is>
          <t>STOCKHOLMS LÄN</t>
        </is>
      </c>
      <c r="E1117" t="inlineStr">
        <is>
          <t>SÖDERTÄLJE</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44354-2025</t>
        </is>
      </c>
      <c r="B1118" s="1" t="n">
        <v>45916.44655092592</v>
      </c>
      <c r="C1118" s="1" t="n">
        <v>46033</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50143-2023</t>
        </is>
      </c>
      <c r="B1119" s="1" t="n">
        <v>45215</v>
      </c>
      <c r="C1119" s="1" t="n">
        <v>46033</v>
      </c>
      <c r="D1119" t="inlineStr">
        <is>
          <t>STOCKHOLMS LÄN</t>
        </is>
      </c>
      <c r="E1119" t="inlineStr">
        <is>
          <t>NORRTÄLJE</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15528-2025</t>
        </is>
      </c>
      <c r="B1120" s="1" t="n">
        <v>45747.63471064815</v>
      </c>
      <c r="C1120" s="1" t="n">
        <v>46033</v>
      </c>
      <c r="D1120" t="inlineStr">
        <is>
          <t>STOCKHOLMS LÄN</t>
        </is>
      </c>
      <c r="E1120" t="inlineStr">
        <is>
          <t>NORRTÄLJE</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11901-2024</t>
        </is>
      </c>
      <c r="B1121" s="1" t="n">
        <v>45376.55638888889</v>
      </c>
      <c r="C1121" s="1" t="n">
        <v>46033</v>
      </c>
      <c r="D1121" t="inlineStr">
        <is>
          <t>STOCKHOLMS LÄN</t>
        </is>
      </c>
      <c r="E1121" t="inlineStr">
        <is>
          <t>NORRTÄLJE</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29176-2024</t>
        </is>
      </c>
      <c r="B1122" s="1" t="n">
        <v>45482.53388888889</v>
      </c>
      <c r="C1122" s="1" t="n">
        <v>46033</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36430-2024</t>
        </is>
      </c>
      <c r="B1123" s="1" t="n">
        <v>45536</v>
      </c>
      <c r="C1123" s="1" t="n">
        <v>46033</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54222-2023</t>
        </is>
      </c>
      <c r="B1124" s="1" t="n">
        <v>45225</v>
      </c>
      <c r="C1124" s="1" t="n">
        <v>46033</v>
      </c>
      <c r="D1124" t="inlineStr">
        <is>
          <t>STOCKHOLMS LÄN</t>
        </is>
      </c>
      <c r="E1124" t="inlineStr">
        <is>
          <t>UPPLANDS-BRO</t>
        </is>
      </c>
      <c r="F1124" t="inlineStr">
        <is>
          <t>Övriga statliga verk och myndigheter</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51312-2023</t>
        </is>
      </c>
      <c r="B1125" s="1" t="n">
        <v>45219.56697916667</v>
      </c>
      <c r="C1125" s="1" t="n">
        <v>46033</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46671-2021</t>
        </is>
      </c>
      <c r="B1126" s="1" t="n">
        <v>44445</v>
      </c>
      <c r="C1126" s="1" t="n">
        <v>46033</v>
      </c>
      <c r="D1126" t="inlineStr">
        <is>
          <t>STOCKHOLMS LÄN</t>
        </is>
      </c>
      <c r="E1126" t="inlineStr">
        <is>
          <t>SÖDERTÄLJE</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35640-2024</t>
        </is>
      </c>
      <c r="B1127" s="1" t="n">
        <v>45531</v>
      </c>
      <c r="C1127" s="1" t="n">
        <v>46033</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28607-2025</t>
        </is>
      </c>
      <c r="B1128" s="1" t="n">
        <v>45819.60226851852</v>
      </c>
      <c r="C1128" s="1" t="n">
        <v>46033</v>
      </c>
      <c r="D1128" t="inlineStr">
        <is>
          <t>STOCKHOLMS LÄN</t>
        </is>
      </c>
      <c r="E1128" t="inlineStr">
        <is>
          <t>NYKVARN</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44306-2025</t>
        </is>
      </c>
      <c r="B1129" s="1" t="n">
        <v>45916.37736111111</v>
      </c>
      <c r="C1129" s="1" t="n">
        <v>46033</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44343-2025</t>
        </is>
      </c>
      <c r="B1130" s="1" t="n">
        <v>45916.43378472222</v>
      </c>
      <c r="C1130" s="1" t="n">
        <v>46033</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44349-2025</t>
        </is>
      </c>
      <c r="B1131" s="1" t="n">
        <v>45916.43929398148</v>
      </c>
      <c r="C1131" s="1" t="n">
        <v>46033</v>
      </c>
      <c r="D1131" t="inlineStr">
        <is>
          <t>STOCKHOLMS LÄN</t>
        </is>
      </c>
      <c r="E1131" t="inlineStr">
        <is>
          <t>NORRTÄLJE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31808-2023</t>
        </is>
      </c>
      <c r="B1132" s="1" t="n">
        <v>45118.47105324074</v>
      </c>
      <c r="C1132" s="1" t="n">
        <v>46033</v>
      </c>
      <c r="D1132" t="inlineStr">
        <is>
          <t>STOCKHOLMS LÄN</t>
        </is>
      </c>
      <c r="E1132" t="inlineStr">
        <is>
          <t>NYNÄSHAMN</t>
        </is>
      </c>
      <c r="F1132" t="inlineStr">
        <is>
          <t>Kommuner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44311-2025</t>
        </is>
      </c>
      <c r="B1133" s="1" t="n">
        <v>45916.38394675926</v>
      </c>
      <c r="C1133" s="1" t="n">
        <v>46033</v>
      </c>
      <c r="D1133" t="inlineStr">
        <is>
          <t>STOCKHOLMS LÄN</t>
        </is>
      </c>
      <c r="E1133" t="inlineStr">
        <is>
          <t>NORRTÄLJE</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44333-2025</t>
        </is>
      </c>
      <c r="B1134" s="1" t="n">
        <v>45916.42293981482</v>
      </c>
      <c r="C1134" s="1" t="n">
        <v>46033</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44075-2023</t>
        </is>
      </c>
      <c r="B1135" s="1" t="n">
        <v>45188.41637731482</v>
      </c>
      <c r="C1135" s="1" t="n">
        <v>46033</v>
      </c>
      <c r="D1135" t="inlineStr">
        <is>
          <t>STOCKHOLMS LÄN</t>
        </is>
      </c>
      <c r="E1135" t="inlineStr">
        <is>
          <t>NORRTÄLJE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57010-2024</t>
        </is>
      </c>
      <c r="B1136" s="1" t="n">
        <v>45628</v>
      </c>
      <c r="C1136" s="1" t="n">
        <v>46033</v>
      </c>
      <c r="D1136" t="inlineStr">
        <is>
          <t>STOCKHOLMS LÄN</t>
        </is>
      </c>
      <c r="E1136" t="inlineStr">
        <is>
          <t>SÖDERTÄLJE</t>
        </is>
      </c>
      <c r="F1136" t="inlineStr">
        <is>
          <t>Kyrkan</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43212-2022</t>
        </is>
      </c>
      <c r="B1137" s="1" t="n">
        <v>44834.38636574074</v>
      </c>
      <c r="C1137" s="1" t="n">
        <v>46033</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51653-2022</t>
        </is>
      </c>
      <c r="B1138" s="1" t="n">
        <v>44867</v>
      </c>
      <c r="C1138" s="1" t="n">
        <v>46033</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56349-2023</t>
        </is>
      </c>
      <c r="B1139" s="1" t="n">
        <v>45243</v>
      </c>
      <c r="C1139" s="1" t="n">
        <v>46033</v>
      </c>
      <c r="D1139" t="inlineStr">
        <is>
          <t>STOCKHOLMS LÄN</t>
        </is>
      </c>
      <c r="E1139" t="inlineStr">
        <is>
          <t>SÖDERTÄLJE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41111-2023</t>
        </is>
      </c>
      <c r="B1140" s="1" t="n">
        <v>45173.74025462963</v>
      </c>
      <c r="C1140" s="1" t="n">
        <v>46033</v>
      </c>
      <c r="D1140" t="inlineStr">
        <is>
          <t>STOCKHOLMS LÄN</t>
        </is>
      </c>
      <c r="E1140" t="inlineStr">
        <is>
          <t>SÖDERTÄLJE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41115-2023</t>
        </is>
      </c>
      <c r="B1141" s="1" t="n">
        <v>45173</v>
      </c>
      <c r="C1141" s="1" t="n">
        <v>46033</v>
      </c>
      <c r="D1141" t="inlineStr">
        <is>
          <t>STOCKHOLMS LÄN</t>
        </is>
      </c>
      <c r="E1141" t="inlineStr">
        <is>
          <t>SÖDERTÄLJE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4322-2023</t>
        </is>
      </c>
      <c r="B1142" s="1" t="n">
        <v>44953.69298611111</v>
      </c>
      <c r="C1142" s="1" t="n">
        <v>46033</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50306-2023</t>
        </is>
      </c>
      <c r="B1143" s="1" t="n">
        <v>45209</v>
      </c>
      <c r="C1143" s="1" t="n">
        <v>46033</v>
      </c>
      <c r="D1143" t="inlineStr">
        <is>
          <t>STOCKHOLMS LÄN</t>
        </is>
      </c>
      <c r="E1143" t="inlineStr">
        <is>
          <t>HANINGE</t>
        </is>
      </c>
      <c r="G1143" t="n">
        <v>2.3</v>
      </c>
      <c r="H1143" t="n">
        <v>0</v>
      </c>
      <c r="I1143" t="n">
        <v>0</v>
      </c>
      <c r="J1143" t="n">
        <v>0</v>
      </c>
      <c r="K1143" t="n">
        <v>0</v>
      </c>
      <c r="L1143" t="n">
        <v>0</v>
      </c>
      <c r="M1143" t="n">
        <v>0</v>
      </c>
      <c r="N1143" t="n">
        <v>0</v>
      </c>
      <c r="O1143" t="n">
        <v>0</v>
      </c>
      <c r="P1143" t="n">
        <v>0</v>
      </c>
      <c r="Q1143" t="n">
        <v>0</v>
      </c>
      <c r="R1143" s="2" t="inlineStr"/>
      <c r="U1143">
        <f>HYPERLINK("https://klasma.github.io/Logging_0136/knärot/A 50306-2023 karta knärot.png", "A 50306-2023")</f>
        <v/>
      </c>
      <c r="V1143">
        <f>HYPERLINK("https://klasma.github.io/Logging_0136/klagomål/A 50306-2023 FSC-klagomål.docx", "A 50306-2023")</f>
        <v/>
      </c>
      <c r="W1143">
        <f>HYPERLINK("https://klasma.github.io/Logging_0136/klagomålsmail/A 50306-2023 FSC-klagomål mail.docx", "A 50306-2023")</f>
        <v/>
      </c>
      <c r="X1143">
        <f>HYPERLINK("https://klasma.github.io/Logging_0136/tillsyn/A 50306-2023 tillsynsbegäran.docx", "A 50306-2023")</f>
        <v/>
      </c>
      <c r="Y1143">
        <f>HYPERLINK("https://klasma.github.io/Logging_0136/tillsynsmail/A 50306-2023 tillsynsbegäran mail.docx", "A 50306-2023")</f>
        <v/>
      </c>
    </row>
    <row r="1144" ht="15" customHeight="1">
      <c r="A1144" t="inlineStr">
        <is>
          <t>A 44937-2025</t>
        </is>
      </c>
      <c r="B1144" s="1" t="n">
        <v>45918</v>
      </c>
      <c r="C1144" s="1" t="n">
        <v>46033</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3382-2024</t>
        </is>
      </c>
      <c r="B1145" s="1" t="n">
        <v>45317</v>
      </c>
      <c r="C1145" s="1" t="n">
        <v>46033</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29336-2025</t>
        </is>
      </c>
      <c r="B1146" s="1" t="n">
        <v>45824.49658564815</v>
      </c>
      <c r="C1146" s="1" t="n">
        <v>46033</v>
      </c>
      <c r="D1146" t="inlineStr">
        <is>
          <t>STOCKHOLMS LÄN</t>
        </is>
      </c>
      <c r="E1146" t="inlineStr">
        <is>
          <t>SÖDERTÄLJE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29811-2025</t>
        </is>
      </c>
      <c r="B1147" s="1" t="n">
        <v>45825</v>
      </c>
      <c r="C1147" s="1" t="n">
        <v>46033</v>
      </c>
      <c r="D1147" t="inlineStr">
        <is>
          <t>STOCKHOLMS LÄN</t>
        </is>
      </c>
      <c r="E1147" t="inlineStr">
        <is>
          <t>NYNÄSHAMN</t>
        </is>
      </c>
      <c r="F1147" t="inlineStr">
        <is>
          <t>Övriga statliga verk och myndigheter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36986-2025</t>
        </is>
      </c>
      <c r="B1148" s="1" t="n">
        <v>45874.65056712963</v>
      </c>
      <c r="C1148" s="1" t="n">
        <v>46033</v>
      </c>
      <c r="D1148" t="inlineStr">
        <is>
          <t>STOCKHOLMS LÄN</t>
        </is>
      </c>
      <c r="E1148" t="inlineStr">
        <is>
          <t>NYKVARN</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44988-2025</t>
        </is>
      </c>
      <c r="B1149" s="1" t="n">
        <v>45918.65505787037</v>
      </c>
      <c r="C1149" s="1" t="n">
        <v>46033</v>
      </c>
      <c r="D1149" t="inlineStr">
        <is>
          <t>STOCKHOLMS LÄN</t>
        </is>
      </c>
      <c r="E1149" t="inlineStr">
        <is>
          <t>VALLENTUNA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27969-2022</t>
        </is>
      </c>
      <c r="B1150" s="1" t="n">
        <v>44744</v>
      </c>
      <c r="C1150" s="1" t="n">
        <v>46033</v>
      </c>
      <c r="D1150" t="inlineStr">
        <is>
          <t>STOCKHOLMS LÄN</t>
        </is>
      </c>
      <c r="E1150" t="inlineStr">
        <is>
          <t>SÖDERTÄLJE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29193-2025</t>
        </is>
      </c>
      <c r="B1151" s="1" t="n">
        <v>45822.70847222222</v>
      </c>
      <c r="C1151" s="1" t="n">
        <v>46033</v>
      </c>
      <c r="D1151" t="inlineStr">
        <is>
          <t>STOCKHOLMS LÄN</t>
        </is>
      </c>
      <c r="E1151" t="inlineStr">
        <is>
          <t>SIGTUNA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29770-2025</t>
        </is>
      </c>
      <c r="B1152" s="1" t="n">
        <v>45825.62880787037</v>
      </c>
      <c r="C1152" s="1" t="n">
        <v>46033</v>
      </c>
      <c r="D1152" t="inlineStr">
        <is>
          <t>STOCKHOLMS LÄN</t>
        </is>
      </c>
      <c r="E1152" t="inlineStr">
        <is>
          <t>SÖDERTÄLJE</t>
        </is>
      </c>
      <c r="F1152" t="inlineStr">
        <is>
          <t>Sveaskog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38990-2022</t>
        </is>
      </c>
      <c r="B1153" s="1" t="n">
        <v>44816</v>
      </c>
      <c r="C1153" s="1" t="n">
        <v>46033</v>
      </c>
      <c r="D1153" t="inlineStr">
        <is>
          <t>STOCKHOLMS LÄN</t>
        </is>
      </c>
      <c r="E1153" t="inlineStr">
        <is>
          <t>NORRTÄLJE</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17956-2025</t>
        </is>
      </c>
      <c r="B1154" s="1" t="n">
        <v>45760.91174768518</v>
      </c>
      <c r="C1154" s="1" t="n">
        <v>46033</v>
      </c>
      <c r="D1154" t="inlineStr">
        <is>
          <t>STOCKHOLMS LÄN</t>
        </is>
      </c>
      <c r="E1154" t="inlineStr">
        <is>
          <t>NORRTÄLJE</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29250-2025</t>
        </is>
      </c>
      <c r="B1155" s="1" t="n">
        <v>45824.37275462963</v>
      </c>
      <c r="C1155" s="1" t="n">
        <v>46033</v>
      </c>
      <c r="D1155" t="inlineStr">
        <is>
          <t>STOCKHOLMS LÄN</t>
        </is>
      </c>
      <c r="E1155" t="inlineStr">
        <is>
          <t>NORRTÄLJE</t>
        </is>
      </c>
      <c r="F1155" t="inlineStr">
        <is>
          <t>Sveaskog</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875-2023</t>
        </is>
      </c>
      <c r="B1156" s="1" t="n">
        <v>44931.65626157408</v>
      </c>
      <c r="C1156" s="1" t="n">
        <v>46033</v>
      </c>
      <c r="D1156" t="inlineStr">
        <is>
          <t>STOCKHOLMS LÄN</t>
        </is>
      </c>
      <c r="E1156" t="inlineStr">
        <is>
          <t>NORRTÄLJE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51941-2025</t>
        </is>
      </c>
      <c r="B1157" s="1" t="n">
        <v>45952.52261574074</v>
      </c>
      <c r="C1157" s="1" t="n">
        <v>46033</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31236-2022</t>
        </is>
      </c>
      <c r="B1158" s="1" t="n">
        <v>44771</v>
      </c>
      <c r="C1158" s="1" t="n">
        <v>46033</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8315-2025</t>
        </is>
      </c>
      <c r="B1159" s="1" t="n">
        <v>45708.61761574074</v>
      </c>
      <c r="C1159" s="1" t="n">
        <v>46033</v>
      </c>
      <c r="D1159" t="inlineStr">
        <is>
          <t>STOCKHOLMS LÄN</t>
        </is>
      </c>
      <c r="E1159" t="inlineStr">
        <is>
          <t>NORRTÄLJE</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31281-2022</t>
        </is>
      </c>
      <c r="B1160" s="1" t="n">
        <v>44771</v>
      </c>
      <c r="C1160" s="1" t="n">
        <v>46033</v>
      </c>
      <c r="D1160" t="inlineStr">
        <is>
          <t>STOCKHOLMS LÄN</t>
        </is>
      </c>
      <c r="E1160" t="inlineStr">
        <is>
          <t>NORRTÄLJE</t>
        </is>
      </c>
      <c r="F1160" t="inlineStr">
        <is>
          <t>Holmen skog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22359-2025</t>
        </is>
      </c>
      <c r="B1161" s="1" t="n">
        <v>45786</v>
      </c>
      <c r="C1161" s="1" t="n">
        <v>46033</v>
      </c>
      <c r="D1161" t="inlineStr">
        <is>
          <t>STOCKHOLMS LÄN</t>
        </is>
      </c>
      <c r="E1161" t="inlineStr">
        <is>
          <t>NORRTÄLJE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10790-2023</t>
        </is>
      </c>
      <c r="B1162" s="1" t="n">
        <v>44989.32980324074</v>
      </c>
      <c r="C1162" s="1" t="n">
        <v>46033</v>
      </c>
      <c r="D1162" t="inlineStr">
        <is>
          <t>STOCKHOLMS LÄN</t>
        </is>
      </c>
      <c r="E1162" t="inlineStr">
        <is>
          <t>SIGTUNA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39958-2024</t>
        </is>
      </c>
      <c r="B1163" s="1" t="n">
        <v>45553</v>
      </c>
      <c r="C1163" s="1" t="n">
        <v>46033</v>
      </c>
      <c r="D1163" t="inlineStr">
        <is>
          <t>STOCKHOLMS LÄN</t>
        </is>
      </c>
      <c r="E1163" t="inlineStr">
        <is>
          <t>VAXHOLM</t>
        </is>
      </c>
      <c r="F1163" t="inlineStr">
        <is>
          <t>Övriga statliga verk och myndigheter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9865-2025</t>
        </is>
      </c>
      <c r="B1164" s="1" t="n">
        <v>45716</v>
      </c>
      <c r="C1164" s="1" t="n">
        <v>46033</v>
      </c>
      <c r="D1164" t="inlineStr">
        <is>
          <t>STOCKHOLMS LÄN</t>
        </is>
      </c>
      <c r="E1164" t="inlineStr">
        <is>
          <t>ÖSTERÅKER</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35145-2023</t>
        </is>
      </c>
      <c r="B1165" s="1" t="n">
        <v>45145</v>
      </c>
      <c r="C1165" s="1" t="n">
        <v>46033</v>
      </c>
      <c r="D1165" t="inlineStr">
        <is>
          <t>STOCKHOLMS LÄN</t>
        </is>
      </c>
      <c r="E1165" t="inlineStr">
        <is>
          <t>SÖDERTÄLJE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27870-2025</t>
        </is>
      </c>
      <c r="B1166" s="1" t="n">
        <v>45817</v>
      </c>
      <c r="C1166" s="1" t="n">
        <v>46033</v>
      </c>
      <c r="D1166" t="inlineStr">
        <is>
          <t>STOCKHOLMS LÄN</t>
        </is>
      </c>
      <c r="E1166" t="inlineStr">
        <is>
          <t>VALLENTUNA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18665-2022</t>
        </is>
      </c>
      <c r="B1167" s="1" t="n">
        <v>44687</v>
      </c>
      <c r="C1167" s="1" t="n">
        <v>46033</v>
      </c>
      <c r="D1167" t="inlineStr">
        <is>
          <t>STOCKHOLMS LÄN</t>
        </is>
      </c>
      <c r="E1167" t="inlineStr">
        <is>
          <t>NORRTÄLJE</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45697-2025</t>
        </is>
      </c>
      <c r="B1168" s="1" t="n">
        <v>45923.39877314815</v>
      </c>
      <c r="C1168" s="1" t="n">
        <v>46033</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60214-2025</t>
        </is>
      </c>
      <c r="B1169" s="1" t="n">
        <v>45994.53761574074</v>
      </c>
      <c r="C1169" s="1" t="n">
        <v>46033</v>
      </c>
      <c r="D1169" t="inlineStr">
        <is>
          <t>STOCKHOLMS LÄN</t>
        </is>
      </c>
      <c r="E1169" t="inlineStr">
        <is>
          <t>NORRTÄLJE</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51787-2021</t>
        </is>
      </c>
      <c r="B1170" s="1" t="n">
        <v>44462</v>
      </c>
      <c r="C1170" s="1" t="n">
        <v>46033</v>
      </c>
      <c r="D1170" t="inlineStr">
        <is>
          <t>STOCKHOLMS LÄN</t>
        </is>
      </c>
      <c r="E1170" t="inlineStr">
        <is>
          <t>NYKVARN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45945-2025</t>
        </is>
      </c>
      <c r="B1171" s="1" t="n">
        <v>45924</v>
      </c>
      <c r="C1171" s="1" t="n">
        <v>46033</v>
      </c>
      <c r="D1171" t="inlineStr">
        <is>
          <t>STOCKHOLMS LÄN</t>
        </is>
      </c>
      <c r="E1171" t="inlineStr">
        <is>
          <t>BOTKYRKA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41281-2021</t>
        </is>
      </c>
      <c r="B1172" s="1" t="n">
        <v>44424</v>
      </c>
      <c r="C1172" s="1" t="n">
        <v>46033</v>
      </c>
      <c r="D1172" t="inlineStr">
        <is>
          <t>STOCKHOLMS LÄN</t>
        </is>
      </c>
      <c r="E1172" t="inlineStr">
        <is>
          <t>NYNÄSHAMN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52061-2025</t>
        </is>
      </c>
      <c r="B1173" s="1" t="n">
        <v>45952.63679398148</v>
      </c>
      <c r="C1173" s="1" t="n">
        <v>46033</v>
      </c>
      <c r="D1173" t="inlineStr">
        <is>
          <t>STOCKHOLMS LÄN</t>
        </is>
      </c>
      <c r="E1173" t="inlineStr">
        <is>
          <t>NORRTÄLJE</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51945-2025</t>
        </is>
      </c>
      <c r="B1174" s="1" t="n">
        <v>45952.52679398148</v>
      </c>
      <c r="C1174" s="1" t="n">
        <v>46033</v>
      </c>
      <c r="D1174" t="inlineStr">
        <is>
          <t>STOCKHOLMS LÄN</t>
        </is>
      </c>
      <c r="E1174" t="inlineStr">
        <is>
          <t>NORRTÄLJE</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46415-2025</t>
        </is>
      </c>
      <c r="B1175" s="1" t="n">
        <v>45925.58636574074</v>
      </c>
      <c r="C1175" s="1" t="n">
        <v>46033</v>
      </c>
      <c r="D1175" t="inlineStr">
        <is>
          <t>STOCKHOLMS LÄN</t>
        </is>
      </c>
      <c r="E1175" t="inlineStr">
        <is>
          <t>NORRTÄLJE</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46485-2025</t>
        </is>
      </c>
      <c r="B1176" s="1" t="n">
        <v>45925.70648148148</v>
      </c>
      <c r="C1176" s="1" t="n">
        <v>46033</v>
      </c>
      <c r="D1176" t="inlineStr">
        <is>
          <t>STOCKHOLMS LÄN</t>
        </is>
      </c>
      <c r="E1176" t="inlineStr">
        <is>
          <t>VÄRMDÖ</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58302-2022</t>
        </is>
      </c>
      <c r="B1177" s="1" t="n">
        <v>44901</v>
      </c>
      <c r="C1177" s="1" t="n">
        <v>46033</v>
      </c>
      <c r="D1177" t="inlineStr">
        <is>
          <t>STOCKHOLMS LÄN</t>
        </is>
      </c>
      <c r="E1177" t="inlineStr">
        <is>
          <t>NORRTÄLJE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24967-2024</t>
        </is>
      </c>
      <c r="B1178" s="1" t="n">
        <v>45461</v>
      </c>
      <c r="C1178" s="1" t="n">
        <v>46033</v>
      </c>
      <c r="D1178" t="inlineStr">
        <is>
          <t>STOCKHOLMS LÄN</t>
        </is>
      </c>
      <c r="E1178" t="inlineStr">
        <is>
          <t>SIGTUNA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7860-2024</t>
        </is>
      </c>
      <c r="B1179" s="1" t="n">
        <v>45348</v>
      </c>
      <c r="C1179" s="1" t="n">
        <v>46033</v>
      </c>
      <c r="D1179" t="inlineStr">
        <is>
          <t>STOCKHOLMS LÄN</t>
        </is>
      </c>
      <c r="E1179" t="inlineStr">
        <is>
          <t>UPPLANDS-BRO</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38591-2023</t>
        </is>
      </c>
      <c r="B1180" s="1" t="n">
        <v>45162</v>
      </c>
      <c r="C1180" s="1" t="n">
        <v>46033</v>
      </c>
      <c r="D1180" t="inlineStr">
        <is>
          <t>STOCKHOLMS LÄN</t>
        </is>
      </c>
      <c r="E1180" t="inlineStr">
        <is>
          <t>NORRTÄLJE</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30338-2022</t>
        </is>
      </c>
      <c r="B1181" s="1" t="n">
        <v>44760</v>
      </c>
      <c r="C1181" s="1" t="n">
        <v>46033</v>
      </c>
      <c r="D1181" t="inlineStr">
        <is>
          <t>STOCKHOLMS LÄN</t>
        </is>
      </c>
      <c r="E1181" t="inlineStr">
        <is>
          <t>NORRTÄLJE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2888-2022</t>
        </is>
      </c>
      <c r="B1182" s="1" t="n">
        <v>44581</v>
      </c>
      <c r="C1182" s="1" t="n">
        <v>46033</v>
      </c>
      <c r="D1182" t="inlineStr">
        <is>
          <t>STOCKHOLMS LÄN</t>
        </is>
      </c>
      <c r="E1182" t="inlineStr">
        <is>
          <t>NORRTÄLJE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7110-2025</t>
        </is>
      </c>
      <c r="B1183" s="1" t="n">
        <v>45701</v>
      </c>
      <c r="C1183" s="1" t="n">
        <v>46033</v>
      </c>
      <c r="D1183" t="inlineStr">
        <is>
          <t>STOCKHOLMS LÄN</t>
        </is>
      </c>
      <c r="E1183" t="inlineStr">
        <is>
          <t>UPPLANDS-BRO</t>
        </is>
      </c>
      <c r="F1183" t="inlineStr">
        <is>
          <t>Övriga statliga verk och myndigheter</t>
        </is>
      </c>
      <c r="G1183" t="n">
        <v>17.3</v>
      </c>
      <c r="H1183" t="n">
        <v>0</v>
      </c>
      <c r="I1183" t="n">
        <v>0</v>
      </c>
      <c r="J1183" t="n">
        <v>0</v>
      </c>
      <c r="K1183" t="n">
        <v>0</v>
      </c>
      <c r="L1183" t="n">
        <v>0</v>
      </c>
      <c r="M1183" t="n">
        <v>0</v>
      </c>
      <c r="N1183" t="n">
        <v>0</v>
      </c>
      <c r="O1183" t="n">
        <v>0</v>
      </c>
      <c r="P1183" t="n">
        <v>0</v>
      </c>
      <c r="Q1183" t="n">
        <v>0</v>
      </c>
      <c r="R1183" s="2" t="inlineStr"/>
    </row>
    <row r="1184" ht="15" customHeight="1">
      <c r="A1184" t="inlineStr">
        <is>
          <t>A 52686-2024</t>
        </is>
      </c>
      <c r="B1184" s="1" t="n">
        <v>45610.39271990741</v>
      </c>
      <c r="C1184" s="1" t="n">
        <v>46033</v>
      </c>
      <c r="D1184" t="inlineStr">
        <is>
          <t>STOCKHOLMS LÄN</t>
        </is>
      </c>
      <c r="E1184" t="inlineStr">
        <is>
          <t>NORRTÄLJE</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52220-2025</t>
        </is>
      </c>
      <c r="B1185" s="1" t="n">
        <v>45953</v>
      </c>
      <c r="C1185" s="1" t="n">
        <v>46033</v>
      </c>
      <c r="D1185" t="inlineStr">
        <is>
          <t>STOCKHOLMS LÄN</t>
        </is>
      </c>
      <c r="E1185" t="inlineStr">
        <is>
          <t>ÖSTERÅKER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20343-2024</t>
        </is>
      </c>
      <c r="B1186" s="1" t="n">
        <v>45435.43466435185</v>
      </c>
      <c r="C1186" s="1" t="n">
        <v>46033</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20345-2024</t>
        </is>
      </c>
      <c r="B1187" s="1" t="n">
        <v>45435.43820601852</v>
      </c>
      <c r="C1187" s="1" t="n">
        <v>46033</v>
      </c>
      <c r="D1187" t="inlineStr">
        <is>
          <t>STOCKHOLMS LÄN</t>
        </is>
      </c>
      <c r="E1187" t="inlineStr">
        <is>
          <t>NORRTÄLJE</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9765-2024</t>
        </is>
      </c>
      <c r="B1188" s="1" t="n">
        <v>45362.62811342593</v>
      </c>
      <c r="C1188" s="1" t="n">
        <v>46033</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46779-2025</t>
        </is>
      </c>
      <c r="B1189" s="1" t="n">
        <v>45926</v>
      </c>
      <c r="C1189" s="1" t="n">
        <v>46033</v>
      </c>
      <c r="D1189" t="inlineStr">
        <is>
          <t>STOCKHOLMS LÄN</t>
        </is>
      </c>
      <c r="E1189" t="inlineStr">
        <is>
          <t>UPPLANDS VÄSBY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46856-2025</t>
        </is>
      </c>
      <c r="B1190" s="1" t="n">
        <v>45928.88810185185</v>
      </c>
      <c r="C1190" s="1" t="n">
        <v>46033</v>
      </c>
      <c r="D1190" t="inlineStr">
        <is>
          <t>STOCKHOLMS LÄN</t>
        </is>
      </c>
      <c r="E1190" t="inlineStr">
        <is>
          <t>NYNÄSHAMN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46857-2025</t>
        </is>
      </c>
      <c r="B1191" s="1" t="n">
        <v>45928.89146990741</v>
      </c>
      <c r="C1191" s="1" t="n">
        <v>46033</v>
      </c>
      <c r="D1191" t="inlineStr">
        <is>
          <t>STOCKHOLMS LÄN</t>
        </is>
      </c>
      <c r="E1191" t="inlineStr">
        <is>
          <t>NYNÄSHAMN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26501-2024</t>
        </is>
      </c>
      <c r="B1192" s="1" t="n">
        <v>45469</v>
      </c>
      <c r="C1192" s="1" t="n">
        <v>46033</v>
      </c>
      <c r="D1192" t="inlineStr">
        <is>
          <t>STOCKHOLMS LÄN</t>
        </is>
      </c>
      <c r="E1192" t="inlineStr">
        <is>
          <t>NYNÄSHAMN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59875-2024</t>
        </is>
      </c>
      <c r="B1193" s="1" t="n">
        <v>45640.58716435185</v>
      </c>
      <c r="C1193" s="1" t="n">
        <v>46033</v>
      </c>
      <c r="D1193" t="inlineStr">
        <is>
          <t>STOCKHOLMS LÄN</t>
        </is>
      </c>
      <c r="E1193" t="inlineStr">
        <is>
          <t>NORRTÄLJE</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61742-2022</t>
        </is>
      </c>
      <c r="B1194" s="1" t="n">
        <v>44917</v>
      </c>
      <c r="C1194" s="1" t="n">
        <v>46033</v>
      </c>
      <c r="D1194" t="inlineStr">
        <is>
          <t>STOCKHOLMS LÄN</t>
        </is>
      </c>
      <c r="E1194" t="inlineStr">
        <is>
          <t>VALLENTUNA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46900-2025</t>
        </is>
      </c>
      <c r="B1195" s="1" t="n">
        <v>45929.38712962963</v>
      </c>
      <c r="C1195" s="1" t="n">
        <v>46033</v>
      </c>
      <c r="D1195" t="inlineStr">
        <is>
          <t>STOCKHOLMS LÄN</t>
        </is>
      </c>
      <c r="E1195" t="inlineStr">
        <is>
          <t>NORRTÄLJE</t>
        </is>
      </c>
      <c r="F1195" t="inlineStr">
        <is>
          <t>Holmen skog AB</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11-2024</t>
        </is>
      </c>
      <c r="B1196" s="1" t="n">
        <v>45293</v>
      </c>
      <c r="C1196" s="1" t="n">
        <v>46033</v>
      </c>
      <c r="D1196" t="inlineStr">
        <is>
          <t>STOCKHOLMS LÄN</t>
        </is>
      </c>
      <c r="E1196" t="inlineStr">
        <is>
          <t>NORRTÄLJE</t>
        </is>
      </c>
      <c r="F1196" t="inlineStr">
        <is>
          <t>Sveaskog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14559-2024</t>
        </is>
      </c>
      <c r="B1197" s="1" t="n">
        <v>45394.72869212963</v>
      </c>
      <c r="C1197" s="1" t="n">
        <v>46033</v>
      </c>
      <c r="D1197" t="inlineStr">
        <is>
          <t>STOCKHOLMS LÄN</t>
        </is>
      </c>
      <c r="E1197" t="inlineStr">
        <is>
          <t>NORRTÄLJE</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30639-2025</t>
        </is>
      </c>
      <c r="B1198" s="1" t="n">
        <v>45831.4844212963</v>
      </c>
      <c r="C1198" s="1" t="n">
        <v>46033</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30668-2025</t>
        </is>
      </c>
      <c r="B1199" s="1" t="n">
        <v>45831.51659722222</v>
      </c>
      <c r="C1199" s="1" t="n">
        <v>46033</v>
      </c>
      <c r="D1199" t="inlineStr">
        <is>
          <t>STOCKHOLMS LÄN</t>
        </is>
      </c>
      <c r="E1199" t="inlineStr">
        <is>
          <t>NORRTÄLJE</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22288-2023</t>
        </is>
      </c>
      <c r="B1200" s="1" t="n">
        <v>45070</v>
      </c>
      <c r="C1200" s="1" t="n">
        <v>46033</v>
      </c>
      <c r="D1200" t="inlineStr">
        <is>
          <t>STOCKHOLMS LÄN</t>
        </is>
      </c>
      <c r="E1200" t="inlineStr">
        <is>
          <t>HANINGE</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8433-2022</t>
        </is>
      </c>
      <c r="B1201" s="1" t="n">
        <v>44611</v>
      </c>
      <c r="C1201" s="1" t="n">
        <v>46033</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862-2022</t>
        </is>
      </c>
      <c r="B1202" s="1" t="n">
        <v>44571</v>
      </c>
      <c r="C1202" s="1" t="n">
        <v>46033</v>
      </c>
      <c r="D1202" t="inlineStr">
        <is>
          <t>STOCKHOLMS LÄN</t>
        </is>
      </c>
      <c r="E1202" t="inlineStr">
        <is>
          <t>SIGTUNA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30902-2025</t>
        </is>
      </c>
      <c r="B1203" s="1" t="n">
        <v>45832.36104166666</v>
      </c>
      <c r="C1203" s="1" t="n">
        <v>46033</v>
      </c>
      <c r="D1203" t="inlineStr">
        <is>
          <t>STOCKHOLMS LÄN</t>
        </is>
      </c>
      <c r="E1203" t="inlineStr">
        <is>
          <t>VALLENTUNA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51954-2025</t>
        </is>
      </c>
      <c r="B1204" s="1" t="n">
        <v>45952</v>
      </c>
      <c r="C1204" s="1" t="n">
        <v>46033</v>
      </c>
      <c r="D1204" t="inlineStr">
        <is>
          <t>STOCKHOLMS LÄN</t>
        </is>
      </c>
      <c r="E1204" t="inlineStr">
        <is>
          <t>NYNÄSHAMN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25525-2022</t>
        </is>
      </c>
      <c r="B1205" s="1" t="n">
        <v>44732</v>
      </c>
      <c r="C1205" s="1" t="n">
        <v>46033</v>
      </c>
      <c r="D1205" t="inlineStr">
        <is>
          <t>STOCKHOLMS LÄN</t>
        </is>
      </c>
      <c r="E1205" t="inlineStr">
        <is>
          <t>NORRTÄLJE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12302-2025</t>
        </is>
      </c>
      <c r="B1206" s="1" t="n">
        <v>45729.72851851852</v>
      </c>
      <c r="C1206" s="1" t="n">
        <v>46033</v>
      </c>
      <c r="D1206" t="inlineStr">
        <is>
          <t>STOCKHOLMS LÄN</t>
        </is>
      </c>
      <c r="E1206" t="inlineStr">
        <is>
          <t>NORRTÄLJE</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35256-2025</t>
        </is>
      </c>
      <c r="B1207" s="1" t="n">
        <v>45853</v>
      </c>
      <c r="C1207" s="1" t="n">
        <v>46033</v>
      </c>
      <c r="D1207" t="inlineStr">
        <is>
          <t>STOCKHOLMS LÄN</t>
        </is>
      </c>
      <c r="E1207" t="inlineStr">
        <is>
          <t>NORRTÄLJE</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38889-2024</t>
        </is>
      </c>
      <c r="B1208" s="1" t="n">
        <v>45547</v>
      </c>
      <c r="C1208" s="1" t="n">
        <v>46033</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45451-2024</t>
        </is>
      </c>
      <c r="B1209" s="1" t="n">
        <v>45576</v>
      </c>
      <c r="C1209" s="1" t="n">
        <v>46033</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46818-2025</t>
        </is>
      </c>
      <c r="B1210" s="1" t="n">
        <v>45926.71837962963</v>
      </c>
      <c r="C1210" s="1" t="n">
        <v>46033</v>
      </c>
      <c r="D1210" t="inlineStr">
        <is>
          <t>STOCKHOLMS LÄN</t>
        </is>
      </c>
      <c r="E1210" t="inlineStr">
        <is>
          <t>NYNÄSHAMN</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12378-2025</t>
        </is>
      </c>
      <c r="B1211" s="1" t="n">
        <v>45730.38032407407</v>
      </c>
      <c r="C1211" s="1" t="n">
        <v>46033</v>
      </c>
      <c r="D1211" t="inlineStr">
        <is>
          <t>STOCKHOLMS LÄN</t>
        </is>
      </c>
      <c r="E1211" t="inlineStr">
        <is>
          <t>UPPLANDS-BRO</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60482-2025</t>
        </is>
      </c>
      <c r="B1212" s="1" t="n">
        <v>45995.59832175926</v>
      </c>
      <c r="C1212" s="1" t="n">
        <v>46033</v>
      </c>
      <c r="D1212" t="inlineStr">
        <is>
          <t>STOCKHOLMS LÄN</t>
        </is>
      </c>
      <c r="E1212" t="inlineStr">
        <is>
          <t>ÖSTERÅKER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41693-2022</t>
        </is>
      </c>
      <c r="B1213" s="1" t="n">
        <v>44827</v>
      </c>
      <c r="C1213" s="1" t="n">
        <v>46033</v>
      </c>
      <c r="D1213" t="inlineStr">
        <is>
          <t>STOCKHOLMS LÄN</t>
        </is>
      </c>
      <c r="E1213" t="inlineStr">
        <is>
          <t>SIGTUNA</t>
        </is>
      </c>
      <c r="F1213" t="inlineStr">
        <is>
          <t>Allmännings- och besparingsskogar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1071-2023</t>
        </is>
      </c>
      <c r="B1214" s="1" t="n">
        <v>44935</v>
      </c>
      <c r="C1214" s="1" t="n">
        <v>46033</v>
      </c>
      <c r="D1214" t="inlineStr">
        <is>
          <t>STOCKHOLMS LÄN</t>
        </is>
      </c>
      <c r="E1214" t="inlineStr">
        <is>
          <t>SALEM</t>
        </is>
      </c>
      <c r="F1214" t="inlineStr">
        <is>
          <t>Kommuner</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52251-2025</t>
        </is>
      </c>
      <c r="B1215" s="1" t="n">
        <v>45953.49185185185</v>
      </c>
      <c r="C1215" s="1" t="n">
        <v>46033</v>
      </c>
      <c r="D1215" t="inlineStr">
        <is>
          <t>STOCKHOLMS LÄN</t>
        </is>
      </c>
      <c r="E1215" t="inlineStr">
        <is>
          <t>NORRTÄLJE</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52254-2025</t>
        </is>
      </c>
      <c r="B1216" s="1" t="n">
        <v>45953.49519675926</v>
      </c>
      <c r="C1216" s="1" t="n">
        <v>46033</v>
      </c>
      <c r="D1216" t="inlineStr">
        <is>
          <t>STOCKHOLMS LÄN</t>
        </is>
      </c>
      <c r="E1216" t="inlineStr">
        <is>
          <t>NORRTÄLJE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31170-2025</t>
        </is>
      </c>
      <c r="B1217" s="1" t="n">
        <v>45832.66385416667</v>
      </c>
      <c r="C1217" s="1" t="n">
        <v>46033</v>
      </c>
      <c r="D1217" t="inlineStr">
        <is>
          <t>STOCKHOLMS LÄN</t>
        </is>
      </c>
      <c r="E1217" t="inlineStr">
        <is>
          <t>NORRTÄLJE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9020-2023</t>
        </is>
      </c>
      <c r="B1218" s="1" t="n">
        <v>44979</v>
      </c>
      <c r="C1218" s="1" t="n">
        <v>46033</v>
      </c>
      <c r="D1218" t="inlineStr">
        <is>
          <t>STOCKHOLMS LÄN</t>
        </is>
      </c>
      <c r="E1218" t="inlineStr">
        <is>
          <t>NYNÄSHAMN</t>
        </is>
      </c>
      <c r="F1218" t="inlineStr">
        <is>
          <t>Kommuner</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18848-2024</t>
        </is>
      </c>
      <c r="B1219" s="1" t="n">
        <v>45426.68278935185</v>
      </c>
      <c r="C1219" s="1" t="n">
        <v>46033</v>
      </c>
      <c r="D1219" t="inlineStr">
        <is>
          <t>STOCKHOLMS LÄN</t>
        </is>
      </c>
      <c r="E1219" t="inlineStr">
        <is>
          <t>NYKVARN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31456-2025</t>
        </is>
      </c>
      <c r="B1220" s="1" t="n">
        <v>45833.5402662037</v>
      </c>
      <c r="C1220" s="1" t="n">
        <v>46033</v>
      </c>
      <c r="D1220" t="inlineStr">
        <is>
          <t>STOCKHOLMS LÄN</t>
        </is>
      </c>
      <c r="E1220" t="inlineStr">
        <is>
          <t>ÖSTERÅKER</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31086-2025</t>
        </is>
      </c>
      <c r="B1221" s="1" t="n">
        <v>45832.59052083334</v>
      </c>
      <c r="C1221" s="1" t="n">
        <v>46033</v>
      </c>
      <c r="D1221" t="inlineStr">
        <is>
          <t>STOCKHOLMS LÄN</t>
        </is>
      </c>
      <c r="E1221" t="inlineStr">
        <is>
          <t>SÖDERTÄLJE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31607-2025</t>
        </is>
      </c>
      <c r="B1222" s="1" t="n">
        <v>45833</v>
      </c>
      <c r="C1222" s="1" t="n">
        <v>46033</v>
      </c>
      <c r="D1222" t="inlineStr">
        <is>
          <t>STOCKHOLMS LÄN</t>
        </is>
      </c>
      <c r="E1222" t="inlineStr">
        <is>
          <t>EKERÖ</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60223-2025</t>
        </is>
      </c>
      <c r="B1223" s="1" t="n">
        <v>45994.54497685185</v>
      </c>
      <c r="C1223" s="1" t="n">
        <v>46033</v>
      </c>
      <c r="D1223" t="inlineStr">
        <is>
          <t>STOCKHOLMS LÄN</t>
        </is>
      </c>
      <c r="E1223" t="inlineStr">
        <is>
          <t>NORRTÄLJE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31880-2025</t>
        </is>
      </c>
      <c r="B1224" s="1" t="n">
        <v>45834.65538194445</v>
      </c>
      <c r="C1224" s="1" t="n">
        <v>46033</v>
      </c>
      <c r="D1224" t="inlineStr">
        <is>
          <t>STOCKHOLMS LÄN</t>
        </is>
      </c>
      <c r="E1224" t="inlineStr">
        <is>
          <t>NORRTÄLJE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47392-2025</t>
        </is>
      </c>
      <c r="B1225" s="1" t="n">
        <v>45930.60368055556</v>
      </c>
      <c r="C1225" s="1" t="n">
        <v>46033</v>
      </c>
      <c r="D1225" t="inlineStr">
        <is>
          <t>STOCKHOLMS LÄN</t>
        </is>
      </c>
      <c r="E1225" t="inlineStr">
        <is>
          <t>SIGTUNA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52773-2025</t>
        </is>
      </c>
      <c r="B1226" s="1" t="n">
        <v>45957.41457175926</v>
      </c>
      <c r="C1226" s="1" t="n">
        <v>46033</v>
      </c>
      <c r="D1226" t="inlineStr">
        <is>
          <t>STOCKHOLMS LÄN</t>
        </is>
      </c>
      <c r="E1226" t="inlineStr">
        <is>
          <t>NORRTÄLJE</t>
        </is>
      </c>
      <c r="F1226" t="inlineStr">
        <is>
          <t>Sveaskog</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26644-2024</t>
        </is>
      </c>
      <c r="B1227" s="1" t="n">
        <v>45469</v>
      </c>
      <c r="C1227" s="1" t="n">
        <v>46033</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32122-2025</t>
        </is>
      </c>
      <c r="B1228" s="1" t="n">
        <v>45835.4928125</v>
      </c>
      <c r="C1228" s="1" t="n">
        <v>46033</v>
      </c>
      <c r="D1228" t="inlineStr">
        <is>
          <t>STOCKHOLMS LÄN</t>
        </is>
      </c>
      <c r="E1228" t="inlineStr">
        <is>
          <t>NORRTÄLJE</t>
        </is>
      </c>
      <c r="F1228" t="inlineStr">
        <is>
          <t>Holmen skog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47463-2025</t>
        </is>
      </c>
      <c r="B1229" s="1" t="n">
        <v>45930.66210648148</v>
      </c>
      <c r="C1229" s="1" t="n">
        <v>46033</v>
      </c>
      <c r="D1229" t="inlineStr">
        <is>
          <t>STOCKHOLMS LÄN</t>
        </is>
      </c>
      <c r="E1229" t="inlineStr">
        <is>
          <t>NYNÄSHAMN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53307-2023</t>
        </is>
      </c>
      <c r="B1230" s="1" t="n">
        <v>45229</v>
      </c>
      <c r="C1230" s="1" t="n">
        <v>46033</v>
      </c>
      <c r="D1230" t="inlineStr">
        <is>
          <t>STOCKHOLMS LÄN</t>
        </is>
      </c>
      <c r="E1230" t="inlineStr">
        <is>
          <t>NYKVARN</t>
        </is>
      </c>
      <c r="F1230" t="inlineStr">
        <is>
          <t>Kyrkan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31868-2025</t>
        </is>
      </c>
      <c r="B1231" s="1" t="n">
        <v>45834.6447337963</v>
      </c>
      <c r="C1231" s="1" t="n">
        <v>46033</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6413-2025</t>
        </is>
      </c>
      <c r="B1232" s="1" t="n">
        <v>45699.46283564815</v>
      </c>
      <c r="C1232" s="1" t="n">
        <v>46033</v>
      </c>
      <c r="D1232" t="inlineStr">
        <is>
          <t>STOCKHOLMS LÄN</t>
        </is>
      </c>
      <c r="E1232" t="inlineStr">
        <is>
          <t>NORRTÄLJE</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32256-2025</t>
        </is>
      </c>
      <c r="B1233" s="1" t="n">
        <v>45835.6353125</v>
      </c>
      <c r="C1233" s="1" t="n">
        <v>46033</v>
      </c>
      <c r="D1233" t="inlineStr">
        <is>
          <t>STOCKHOLMS LÄN</t>
        </is>
      </c>
      <c r="E1233" t="inlineStr">
        <is>
          <t>VAXHOLM</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47498-2025</t>
        </is>
      </c>
      <c r="B1234" s="1" t="n">
        <v>45930.8134375</v>
      </c>
      <c r="C1234" s="1" t="n">
        <v>46033</v>
      </c>
      <c r="D1234" t="inlineStr">
        <is>
          <t>STOCKHOLMS LÄN</t>
        </is>
      </c>
      <c r="E1234" t="inlineStr">
        <is>
          <t>NORRTÄLJE</t>
        </is>
      </c>
      <c r="F1234" t="inlineStr">
        <is>
          <t>Holmen skog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47460-2025</t>
        </is>
      </c>
      <c r="B1235" s="1" t="n">
        <v>45930.66012731481</v>
      </c>
      <c r="C1235" s="1" t="n">
        <v>46033</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47496-2025</t>
        </is>
      </c>
      <c r="B1236" s="1" t="n">
        <v>45930.79252314815</v>
      </c>
      <c r="C1236" s="1" t="n">
        <v>46033</v>
      </c>
      <c r="D1236" t="inlineStr">
        <is>
          <t>STOCKHOLMS LÄN</t>
        </is>
      </c>
      <c r="E1236" t="inlineStr">
        <is>
          <t>NORRTÄLJE</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47497-2025</t>
        </is>
      </c>
      <c r="B1237" s="1" t="n">
        <v>45930.80217592593</v>
      </c>
      <c r="C1237" s="1" t="n">
        <v>46033</v>
      </c>
      <c r="D1237" t="inlineStr">
        <is>
          <t>STOCKHOLMS LÄN</t>
        </is>
      </c>
      <c r="E1237" t="inlineStr">
        <is>
          <t>NORRTÄLJE</t>
        </is>
      </c>
      <c r="F1237" t="inlineStr">
        <is>
          <t>Holmen skog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38595-2021</t>
        </is>
      </c>
      <c r="B1238" s="1" t="n">
        <v>44407</v>
      </c>
      <c r="C1238" s="1" t="n">
        <v>46033</v>
      </c>
      <c r="D1238" t="inlineStr">
        <is>
          <t>STOCKHOLMS LÄN</t>
        </is>
      </c>
      <c r="E1238" t="inlineStr">
        <is>
          <t>HANINGE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52777-2025</t>
        </is>
      </c>
      <c r="B1239" s="1" t="n">
        <v>45957.41832175926</v>
      </c>
      <c r="C1239" s="1" t="n">
        <v>46033</v>
      </c>
      <c r="D1239" t="inlineStr">
        <is>
          <t>STOCKHOLMS LÄN</t>
        </is>
      </c>
      <c r="E1239" t="inlineStr">
        <is>
          <t>NORRTÄLJE</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15905-2022</t>
        </is>
      </c>
      <c r="B1240" s="1" t="n">
        <v>44664</v>
      </c>
      <c r="C1240" s="1" t="n">
        <v>46033</v>
      </c>
      <c r="D1240" t="inlineStr">
        <is>
          <t>STOCKHOLMS LÄN</t>
        </is>
      </c>
      <c r="E1240" t="inlineStr">
        <is>
          <t>BOTKYRKA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2982-2023</t>
        </is>
      </c>
      <c r="B1241" s="1" t="n">
        <v>44945.67409722223</v>
      </c>
      <c r="C1241" s="1" t="n">
        <v>46033</v>
      </c>
      <c r="D1241" t="inlineStr">
        <is>
          <t>STOCKHOLMS LÄN</t>
        </is>
      </c>
      <c r="E1241" t="inlineStr">
        <is>
          <t>NORRTÄLJE</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32230-2025</t>
        </is>
      </c>
      <c r="B1242" s="1" t="n">
        <v>45835.59810185185</v>
      </c>
      <c r="C1242" s="1" t="n">
        <v>46033</v>
      </c>
      <c r="D1242" t="inlineStr">
        <is>
          <t>STOCKHOLMS LÄN</t>
        </is>
      </c>
      <c r="E1242" t="inlineStr">
        <is>
          <t>VÄRMDÖ</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12535-2025</t>
        </is>
      </c>
      <c r="B1243" s="1" t="n">
        <v>45730.69502314815</v>
      </c>
      <c r="C1243" s="1" t="n">
        <v>46033</v>
      </c>
      <c r="D1243" t="inlineStr">
        <is>
          <t>STOCKHOLMS LÄN</t>
        </is>
      </c>
      <c r="E1243" t="inlineStr">
        <is>
          <t>NORRTÄLJE</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32016-2025</t>
        </is>
      </c>
      <c r="B1244" s="1" t="n">
        <v>45835</v>
      </c>
      <c r="C1244" s="1" t="n">
        <v>46033</v>
      </c>
      <c r="D1244" t="inlineStr">
        <is>
          <t>STOCKHOLMS LÄN</t>
        </is>
      </c>
      <c r="E1244" t="inlineStr">
        <is>
          <t>NORRTÄLJE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16483-2023</t>
        </is>
      </c>
      <c r="B1245" s="1" t="n">
        <v>45029</v>
      </c>
      <c r="C1245" s="1" t="n">
        <v>46033</v>
      </c>
      <c r="D1245" t="inlineStr">
        <is>
          <t>STOCKHOLMS LÄN</t>
        </is>
      </c>
      <c r="E1245" t="inlineStr">
        <is>
          <t>BOTKYRKA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48342-2025</t>
        </is>
      </c>
      <c r="B1246" s="1" t="n">
        <v>45933</v>
      </c>
      <c r="C1246" s="1" t="n">
        <v>46033</v>
      </c>
      <c r="D1246" t="inlineStr">
        <is>
          <t>STOCKHOLMS LÄN</t>
        </is>
      </c>
      <c r="E1246" t="inlineStr">
        <is>
          <t>SÖDERTÄLJE</t>
        </is>
      </c>
      <c r="F1246" t="inlineStr">
        <is>
          <t>Övriga statliga verk och myndigheter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37136-2023</t>
        </is>
      </c>
      <c r="B1247" s="1" t="n">
        <v>45155</v>
      </c>
      <c r="C1247" s="1" t="n">
        <v>46033</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48360-2025</t>
        </is>
      </c>
      <c r="B1248" s="1" t="n">
        <v>45933.66253472222</v>
      </c>
      <c r="C1248" s="1" t="n">
        <v>46033</v>
      </c>
      <c r="D1248" t="inlineStr">
        <is>
          <t>STOCKHOLMS LÄN</t>
        </is>
      </c>
      <c r="E1248" t="inlineStr">
        <is>
          <t>NORRTÄLJE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48370-2025</t>
        </is>
      </c>
      <c r="B1249" s="1" t="n">
        <v>45933.67854166667</v>
      </c>
      <c r="C1249" s="1" t="n">
        <v>46033</v>
      </c>
      <c r="D1249" t="inlineStr">
        <is>
          <t>STOCKHOLMS LÄN</t>
        </is>
      </c>
      <c r="E1249" t="inlineStr">
        <is>
          <t>NORRTÄLJE</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32283-2025</t>
        </is>
      </c>
      <c r="B1250" s="1" t="n">
        <v>45835.68076388889</v>
      </c>
      <c r="C1250" s="1" t="n">
        <v>46033</v>
      </c>
      <c r="D1250" t="inlineStr">
        <is>
          <t>STOCKHOLMS LÄN</t>
        </is>
      </c>
      <c r="E1250" t="inlineStr">
        <is>
          <t>NORRTÄLJE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48364-2025</t>
        </is>
      </c>
      <c r="B1251" s="1" t="n">
        <v>45933.66796296297</v>
      </c>
      <c r="C1251" s="1" t="n">
        <v>46033</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31874-2025</t>
        </is>
      </c>
      <c r="B1252" s="1" t="n">
        <v>45834</v>
      </c>
      <c r="C1252" s="1" t="n">
        <v>46033</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18787-2022</t>
        </is>
      </c>
      <c r="B1253" s="1" t="n">
        <v>44687</v>
      </c>
      <c r="C1253" s="1" t="n">
        <v>46033</v>
      </c>
      <c r="D1253" t="inlineStr">
        <is>
          <t>STOCKHOLMS LÄN</t>
        </is>
      </c>
      <c r="E1253" t="inlineStr">
        <is>
          <t>NORRTÄLJE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13718-2022</t>
        </is>
      </c>
      <c r="B1254" s="1" t="n">
        <v>44649</v>
      </c>
      <c r="C1254" s="1" t="n">
        <v>46033</v>
      </c>
      <c r="D1254" t="inlineStr">
        <is>
          <t>STOCKHOLMS LÄN</t>
        </is>
      </c>
      <c r="E1254" t="inlineStr">
        <is>
          <t>NORRTÄLJE</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48046-2025</t>
        </is>
      </c>
      <c r="B1255" s="1" t="n">
        <v>45932.67148148148</v>
      </c>
      <c r="C1255" s="1" t="n">
        <v>46033</v>
      </c>
      <c r="D1255" t="inlineStr">
        <is>
          <t>STOCKHOLMS LÄN</t>
        </is>
      </c>
      <c r="E1255" t="inlineStr">
        <is>
          <t>SÖDERTÄLJE</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32094-2025</t>
        </is>
      </c>
      <c r="B1256" s="1" t="n">
        <v>45835.46034722222</v>
      </c>
      <c r="C1256" s="1" t="n">
        <v>46033</v>
      </c>
      <c r="D1256" t="inlineStr">
        <is>
          <t>STOCKHOLMS LÄN</t>
        </is>
      </c>
      <c r="E1256" t="inlineStr">
        <is>
          <t>NORRTÄLJE</t>
        </is>
      </c>
      <c r="F1256" t="inlineStr">
        <is>
          <t>Holmen skog AB</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25621-2022</t>
        </is>
      </c>
      <c r="B1257" s="1" t="n">
        <v>44732</v>
      </c>
      <c r="C1257" s="1" t="n">
        <v>46033</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32092-2023</t>
        </is>
      </c>
      <c r="B1258" s="1" t="n">
        <v>45119</v>
      </c>
      <c r="C1258" s="1" t="n">
        <v>46033</v>
      </c>
      <c r="D1258" t="inlineStr">
        <is>
          <t>STOCKHOLMS LÄN</t>
        </is>
      </c>
      <c r="E1258" t="inlineStr">
        <is>
          <t>NYNÄSHAMN</t>
        </is>
      </c>
      <c r="F1258" t="inlineStr">
        <is>
          <t>Kommuner</t>
        </is>
      </c>
      <c r="G1258" t="n">
        <v>12.4</v>
      </c>
      <c r="H1258" t="n">
        <v>0</v>
      </c>
      <c r="I1258" t="n">
        <v>0</v>
      </c>
      <c r="J1258" t="n">
        <v>0</v>
      </c>
      <c r="K1258" t="n">
        <v>0</v>
      </c>
      <c r="L1258" t="n">
        <v>0</v>
      </c>
      <c r="M1258" t="n">
        <v>0</v>
      </c>
      <c r="N1258" t="n">
        <v>0</v>
      </c>
      <c r="O1258" t="n">
        <v>0</v>
      </c>
      <c r="P1258" t="n">
        <v>0</v>
      </c>
      <c r="Q1258" t="n">
        <v>0</v>
      </c>
      <c r="R1258" s="2" t="inlineStr"/>
    </row>
    <row r="1259" ht="15" customHeight="1">
      <c r="A1259" t="inlineStr">
        <is>
          <t>A 36269-2022</t>
        </is>
      </c>
      <c r="B1259" s="1" t="n">
        <v>44803</v>
      </c>
      <c r="C1259" s="1" t="n">
        <v>46033</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36308-2022</t>
        </is>
      </c>
      <c r="B1260" s="1" t="n">
        <v>44803</v>
      </c>
      <c r="C1260" s="1" t="n">
        <v>46033</v>
      </c>
      <c r="D1260" t="inlineStr">
        <is>
          <t>STOCKHOLMS LÄN</t>
        </is>
      </c>
      <c r="E1260" t="inlineStr">
        <is>
          <t>NORRTÄLJE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52526-2025</t>
        </is>
      </c>
      <c r="B1261" s="1" t="n">
        <v>45954.53061342592</v>
      </c>
      <c r="C1261" s="1" t="n">
        <v>46033</v>
      </c>
      <c r="D1261" t="inlineStr">
        <is>
          <t>STOCKHOLMS LÄN</t>
        </is>
      </c>
      <c r="E1261" t="inlineStr">
        <is>
          <t>NORRTÄLJE</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32962-2025</t>
        </is>
      </c>
      <c r="B1262" s="1" t="n">
        <v>45839</v>
      </c>
      <c r="C1262" s="1" t="n">
        <v>46033</v>
      </c>
      <c r="D1262" t="inlineStr">
        <is>
          <t>STOCKHOLMS LÄN</t>
        </is>
      </c>
      <c r="E1262" t="inlineStr">
        <is>
          <t>SALEM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33029-2025</t>
        </is>
      </c>
      <c r="B1263" s="1" t="n">
        <v>45839</v>
      </c>
      <c r="C1263" s="1" t="n">
        <v>46033</v>
      </c>
      <c r="D1263" t="inlineStr">
        <is>
          <t>STOCKHOLMS LÄN</t>
        </is>
      </c>
      <c r="E1263" t="inlineStr">
        <is>
          <t>SALEM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53000-2025</t>
        </is>
      </c>
      <c r="B1264" s="1" t="n">
        <v>45957.74357638889</v>
      </c>
      <c r="C1264" s="1" t="n">
        <v>46033</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33455-2025</t>
        </is>
      </c>
      <c r="B1265" s="1" t="n">
        <v>45839</v>
      </c>
      <c r="C1265" s="1" t="n">
        <v>46033</v>
      </c>
      <c r="D1265" t="inlineStr">
        <is>
          <t>STOCKHOLMS LÄN</t>
        </is>
      </c>
      <c r="E1265" t="inlineStr">
        <is>
          <t>SALEM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60649-2025</t>
        </is>
      </c>
      <c r="B1266" s="1" t="n">
        <v>45996.4560300926</v>
      </c>
      <c r="C1266" s="1" t="n">
        <v>46033</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48174-2025</t>
        </is>
      </c>
      <c r="B1267" s="1" t="n">
        <v>45933.44230324074</v>
      </c>
      <c r="C1267" s="1" t="n">
        <v>46033</v>
      </c>
      <c r="D1267" t="inlineStr">
        <is>
          <t>STOCKHOLMS LÄN</t>
        </is>
      </c>
      <c r="E1267" t="inlineStr">
        <is>
          <t>NORRTÄLJE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6919-2025</t>
        </is>
      </c>
      <c r="B1268" s="1" t="n">
        <v>45701.44372685185</v>
      </c>
      <c r="C1268" s="1" t="n">
        <v>46033</v>
      </c>
      <c r="D1268" t="inlineStr">
        <is>
          <t>STOCKHOLMS LÄN</t>
        </is>
      </c>
      <c r="E1268" t="inlineStr">
        <is>
          <t>NORRTÄLJE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32100-2022</t>
        </is>
      </c>
      <c r="B1269" s="1" t="n">
        <v>44778</v>
      </c>
      <c r="C1269" s="1" t="n">
        <v>46033</v>
      </c>
      <c r="D1269" t="inlineStr">
        <is>
          <t>STOCKHOLMS LÄN</t>
        </is>
      </c>
      <c r="E1269" t="inlineStr">
        <is>
          <t>NORRTÄLJE</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33243-2025</t>
        </is>
      </c>
      <c r="B1270" s="1" t="n">
        <v>45839</v>
      </c>
      <c r="C1270" s="1" t="n">
        <v>46033</v>
      </c>
      <c r="D1270" t="inlineStr">
        <is>
          <t>STOCKHOLMS LÄN</t>
        </is>
      </c>
      <c r="E1270" t="inlineStr">
        <is>
          <t>SALEM</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33251-2025</t>
        </is>
      </c>
      <c r="B1271" s="1" t="n">
        <v>45839</v>
      </c>
      <c r="C1271" s="1" t="n">
        <v>46033</v>
      </c>
      <c r="D1271" t="inlineStr">
        <is>
          <t>STOCKHOLMS LÄN</t>
        </is>
      </c>
      <c r="E1271" t="inlineStr">
        <is>
          <t>SALEM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33277-2025</t>
        </is>
      </c>
      <c r="B1272" s="1" t="n">
        <v>45839</v>
      </c>
      <c r="C1272" s="1" t="n">
        <v>46033</v>
      </c>
      <c r="D1272" t="inlineStr">
        <is>
          <t>STOCKHOLMS LÄN</t>
        </is>
      </c>
      <c r="E1272" t="inlineStr">
        <is>
          <t>SALEM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32480-2025</t>
        </is>
      </c>
      <c r="B1273" s="1" t="n">
        <v>45838.43261574074</v>
      </c>
      <c r="C1273" s="1" t="n">
        <v>46033</v>
      </c>
      <c r="D1273" t="inlineStr">
        <is>
          <t>STOCKHOLMS LÄN</t>
        </is>
      </c>
      <c r="E1273" t="inlineStr">
        <is>
          <t>NORRTÄLJE</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48014-2025</t>
        </is>
      </c>
      <c r="B1274" s="1" t="n">
        <v>45932.64520833334</v>
      </c>
      <c r="C1274" s="1" t="n">
        <v>46033</v>
      </c>
      <c r="D1274" t="inlineStr">
        <is>
          <t>STOCKHOLMS LÄN</t>
        </is>
      </c>
      <c r="E1274" t="inlineStr">
        <is>
          <t>VALLENTUNA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48127-2025</t>
        </is>
      </c>
      <c r="B1275" s="1" t="n">
        <v>45933.36621527778</v>
      </c>
      <c r="C1275" s="1" t="n">
        <v>46033</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11332-2025</t>
        </is>
      </c>
      <c r="B1276" s="1" t="n">
        <v>45726.48152777777</v>
      </c>
      <c r="C1276" s="1" t="n">
        <v>46033</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33284-2025</t>
        </is>
      </c>
      <c r="B1277" s="1" t="n">
        <v>45839</v>
      </c>
      <c r="C1277" s="1" t="n">
        <v>46033</v>
      </c>
      <c r="D1277" t="inlineStr">
        <is>
          <t>STOCKHOLMS LÄN</t>
        </is>
      </c>
      <c r="E1277" t="inlineStr">
        <is>
          <t>SALEM</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37444-2021</t>
        </is>
      </c>
      <c r="B1278" s="1" t="n">
        <v>44398</v>
      </c>
      <c r="C1278" s="1" t="n">
        <v>46033</v>
      </c>
      <c r="D1278" t="inlineStr">
        <is>
          <t>STOCKHOLMS LÄN</t>
        </is>
      </c>
      <c r="E1278" t="inlineStr">
        <is>
          <t>NORRTÄLJE</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30886-2022</t>
        </is>
      </c>
      <c r="B1279" s="1" t="n">
        <v>44767.60601851852</v>
      </c>
      <c r="C1279" s="1" t="n">
        <v>46033</v>
      </c>
      <c r="D1279" t="inlineStr">
        <is>
          <t>STOCKHOLMS LÄN</t>
        </is>
      </c>
      <c r="E1279" t="inlineStr">
        <is>
          <t>NORRTÄLJE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48179-2025</t>
        </is>
      </c>
      <c r="B1280" s="1" t="n">
        <v>45933.44907407407</v>
      </c>
      <c r="C1280" s="1" t="n">
        <v>46033</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32960-2025</t>
        </is>
      </c>
      <c r="B1281" s="1" t="n">
        <v>45839</v>
      </c>
      <c r="C1281" s="1" t="n">
        <v>46033</v>
      </c>
      <c r="D1281" t="inlineStr">
        <is>
          <t>STOCKHOLMS LÄN</t>
        </is>
      </c>
      <c r="E1281" t="inlineStr">
        <is>
          <t>SALEM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32968-2025</t>
        </is>
      </c>
      <c r="B1282" s="1" t="n">
        <v>45839</v>
      </c>
      <c r="C1282" s="1" t="n">
        <v>46033</v>
      </c>
      <c r="D1282" t="inlineStr">
        <is>
          <t>STOCKHOLMS LÄN</t>
        </is>
      </c>
      <c r="E1282" t="inlineStr">
        <is>
          <t>SALEM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32872-2025</t>
        </is>
      </c>
      <c r="B1283" s="1" t="n">
        <v>45839</v>
      </c>
      <c r="C1283" s="1" t="n">
        <v>46033</v>
      </c>
      <c r="D1283" t="inlineStr">
        <is>
          <t>STOCKHOLMS LÄN</t>
        </is>
      </c>
      <c r="E1283" t="inlineStr">
        <is>
          <t>NORRTÄLJE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32903-2025</t>
        </is>
      </c>
      <c r="B1284" s="1" t="n">
        <v>45839.62398148148</v>
      </c>
      <c r="C1284" s="1" t="n">
        <v>46033</v>
      </c>
      <c r="D1284" t="inlineStr">
        <is>
          <t>STOCKHOLMS LÄN</t>
        </is>
      </c>
      <c r="E1284" t="inlineStr">
        <is>
          <t>NORRTÄLJE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50184-2023</t>
        </is>
      </c>
      <c r="B1285" s="1" t="n">
        <v>45208</v>
      </c>
      <c r="C1285" s="1" t="n">
        <v>46033</v>
      </c>
      <c r="D1285" t="inlineStr">
        <is>
          <t>STOCKHOLMS LÄN</t>
        </is>
      </c>
      <c r="E1285" t="inlineStr">
        <is>
          <t>EKERÖ</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9654-2022</t>
        </is>
      </c>
      <c r="B1286" s="1" t="n">
        <v>44617</v>
      </c>
      <c r="C1286" s="1" t="n">
        <v>46033</v>
      </c>
      <c r="D1286" t="inlineStr">
        <is>
          <t>STOCKHOLMS LÄN</t>
        </is>
      </c>
      <c r="E1286" t="inlineStr">
        <is>
          <t>NORRTÄLJE</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48038-2025</t>
        </is>
      </c>
      <c r="B1287" s="1" t="n">
        <v>45932.66008101852</v>
      </c>
      <c r="C1287" s="1" t="n">
        <v>46033</v>
      </c>
      <c r="D1287" t="inlineStr">
        <is>
          <t>STOCKHOLMS LÄN</t>
        </is>
      </c>
      <c r="E1287" t="inlineStr">
        <is>
          <t>VALLENTUNA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32942-2025</t>
        </is>
      </c>
      <c r="B1288" s="1" t="n">
        <v>45839</v>
      </c>
      <c r="C1288" s="1" t="n">
        <v>46033</v>
      </c>
      <c r="D1288" t="inlineStr">
        <is>
          <t>STOCKHOLMS LÄN</t>
        </is>
      </c>
      <c r="E1288" t="inlineStr">
        <is>
          <t>SALEM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32952-2025</t>
        </is>
      </c>
      <c r="B1289" s="1" t="n">
        <v>45839.69278935185</v>
      </c>
      <c r="C1289" s="1" t="n">
        <v>46033</v>
      </c>
      <c r="D1289" t="inlineStr">
        <is>
          <t>STOCKHOLMS LÄN</t>
        </is>
      </c>
      <c r="E1289" t="inlineStr">
        <is>
          <t>HANINGE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32965-2025</t>
        </is>
      </c>
      <c r="B1290" s="1" t="n">
        <v>45839</v>
      </c>
      <c r="C1290" s="1" t="n">
        <v>46033</v>
      </c>
      <c r="D1290" t="inlineStr">
        <is>
          <t>STOCKHOLMS LÄN</t>
        </is>
      </c>
      <c r="E1290" t="inlineStr">
        <is>
          <t>SALEM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32970-2025</t>
        </is>
      </c>
      <c r="B1291" s="1" t="n">
        <v>45839</v>
      </c>
      <c r="C1291" s="1" t="n">
        <v>46033</v>
      </c>
      <c r="D1291" t="inlineStr">
        <is>
          <t>STOCKHOLMS LÄN</t>
        </is>
      </c>
      <c r="E1291" t="inlineStr">
        <is>
          <t>SALEM</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33281-2025</t>
        </is>
      </c>
      <c r="B1292" s="1" t="n">
        <v>45839</v>
      </c>
      <c r="C1292" s="1" t="n">
        <v>46033</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32395-2025</t>
        </is>
      </c>
      <c r="B1293" s="1" t="n">
        <v>45837.93730324074</v>
      </c>
      <c r="C1293" s="1" t="n">
        <v>46033</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32396-2025</t>
        </is>
      </c>
      <c r="B1294" s="1" t="n">
        <v>45837</v>
      </c>
      <c r="C1294" s="1" t="n">
        <v>46033</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32397-2025</t>
        </is>
      </c>
      <c r="B1295" s="1" t="n">
        <v>45837.94081018519</v>
      </c>
      <c r="C1295" s="1" t="n">
        <v>46033</v>
      </c>
      <c r="D1295" t="inlineStr">
        <is>
          <t>STOCKHOLMS LÄN</t>
        </is>
      </c>
      <c r="E1295" t="inlineStr">
        <is>
          <t>NORRTÄLJE</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48718-2025</t>
        </is>
      </c>
      <c r="B1296" s="1" t="n">
        <v>45936</v>
      </c>
      <c r="C1296" s="1" t="n">
        <v>46033</v>
      </c>
      <c r="D1296" t="inlineStr">
        <is>
          <t>STOCKHOLMS LÄN</t>
        </is>
      </c>
      <c r="E1296" t="inlineStr">
        <is>
          <t>NORRTÄLJE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32953-2025</t>
        </is>
      </c>
      <c r="B1297" s="1" t="n">
        <v>45839</v>
      </c>
      <c r="C1297" s="1" t="n">
        <v>46033</v>
      </c>
      <c r="D1297" t="inlineStr">
        <is>
          <t>STOCKHOLMS LÄN</t>
        </is>
      </c>
      <c r="E1297" t="inlineStr">
        <is>
          <t>SALEM</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32954-2025</t>
        </is>
      </c>
      <c r="B1298" s="1" t="n">
        <v>45839.70034722222</v>
      </c>
      <c r="C1298" s="1" t="n">
        <v>46033</v>
      </c>
      <c r="D1298" t="inlineStr">
        <is>
          <t>STOCKHOLMS LÄN</t>
        </is>
      </c>
      <c r="E1298" t="inlineStr">
        <is>
          <t>HANINGE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33470-2025</t>
        </is>
      </c>
      <c r="B1299" s="1" t="n">
        <v>45839</v>
      </c>
      <c r="C1299" s="1" t="n">
        <v>46033</v>
      </c>
      <c r="D1299" t="inlineStr">
        <is>
          <t>STOCKHOLMS LÄN</t>
        </is>
      </c>
      <c r="E1299" t="inlineStr">
        <is>
          <t>SALEM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33441-2025</t>
        </is>
      </c>
      <c r="B1300" s="1" t="n">
        <v>45839</v>
      </c>
      <c r="C1300" s="1" t="n">
        <v>46033</v>
      </c>
      <c r="D1300" t="inlineStr">
        <is>
          <t>STOCKHOLMS LÄN</t>
        </is>
      </c>
      <c r="E1300" t="inlineStr">
        <is>
          <t>SALEM</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59041-2025</t>
        </is>
      </c>
      <c r="B1301" s="1" t="n">
        <v>45988</v>
      </c>
      <c r="C1301" s="1" t="n">
        <v>46033</v>
      </c>
      <c r="D1301" t="inlineStr">
        <is>
          <t>STOCKHOLMS LÄN</t>
        </is>
      </c>
      <c r="E1301" t="inlineStr">
        <is>
          <t>NORRTÄLJE</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1453-2025</t>
        </is>
      </c>
      <c r="B1302" s="1" t="n">
        <v>45670.3079050926</v>
      </c>
      <c r="C1302" s="1" t="n">
        <v>46033</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48593-2025</t>
        </is>
      </c>
      <c r="B1303" s="1" t="n">
        <v>45936.4627662037</v>
      </c>
      <c r="C1303" s="1" t="n">
        <v>46033</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5804-2025</t>
        </is>
      </c>
      <c r="B1304" s="1" t="n">
        <v>45694.68207175926</v>
      </c>
      <c r="C1304" s="1" t="n">
        <v>46033</v>
      </c>
      <c r="D1304" t="inlineStr">
        <is>
          <t>STOCKHOLMS LÄN</t>
        </is>
      </c>
      <c r="E1304" t="inlineStr">
        <is>
          <t>NORRTÄLJE</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33279-2025</t>
        </is>
      </c>
      <c r="B1305" s="1" t="n">
        <v>45840</v>
      </c>
      <c r="C1305" s="1" t="n">
        <v>46033</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52703-2025</t>
        </is>
      </c>
      <c r="B1306" s="1" t="n">
        <v>45956.88643518519</v>
      </c>
      <c r="C1306" s="1" t="n">
        <v>46033</v>
      </c>
      <c r="D1306" t="inlineStr">
        <is>
          <t>STOCKHOLMS LÄN</t>
        </is>
      </c>
      <c r="E1306" t="inlineStr">
        <is>
          <t>NORRTÄLJE</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50907-2022</t>
        </is>
      </c>
      <c r="B1307" s="1" t="n">
        <v>44867.62090277778</v>
      </c>
      <c r="C1307" s="1" t="n">
        <v>46033</v>
      </c>
      <c r="D1307" t="inlineStr">
        <is>
          <t>STOCKHOLMS LÄN</t>
        </is>
      </c>
      <c r="E1307" t="inlineStr">
        <is>
          <t>NORRTÄLJE</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33428-2025</t>
        </is>
      </c>
      <c r="B1308" s="1" t="n">
        <v>45839</v>
      </c>
      <c r="C1308" s="1" t="n">
        <v>46033</v>
      </c>
      <c r="D1308" t="inlineStr">
        <is>
          <t>STOCKHOLMS LÄN</t>
        </is>
      </c>
      <c r="E1308" t="inlineStr">
        <is>
          <t>SALEM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33439-2025</t>
        </is>
      </c>
      <c r="B1309" s="1" t="n">
        <v>45839</v>
      </c>
      <c r="C1309" s="1" t="n">
        <v>46033</v>
      </c>
      <c r="D1309" t="inlineStr">
        <is>
          <t>STOCKHOLMS LÄN</t>
        </is>
      </c>
      <c r="E1309" t="inlineStr">
        <is>
          <t>SALEM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33458-2025</t>
        </is>
      </c>
      <c r="B1310" s="1" t="n">
        <v>45839</v>
      </c>
      <c r="C1310" s="1" t="n">
        <v>46033</v>
      </c>
      <c r="D1310" t="inlineStr">
        <is>
          <t>STOCKHOLMS LÄN</t>
        </is>
      </c>
      <c r="E1310" t="inlineStr">
        <is>
          <t>SALEM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33460-2025</t>
        </is>
      </c>
      <c r="B1311" s="1" t="n">
        <v>45839</v>
      </c>
      <c r="C1311" s="1" t="n">
        <v>46033</v>
      </c>
      <c r="D1311" t="inlineStr">
        <is>
          <t>STOCKHOLMS LÄN</t>
        </is>
      </c>
      <c r="E1311" t="inlineStr">
        <is>
          <t>SALEM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52729-2025</t>
        </is>
      </c>
      <c r="B1312" s="1" t="n">
        <v>45957.3636574074</v>
      </c>
      <c r="C1312" s="1" t="n">
        <v>46033</v>
      </c>
      <c r="D1312" t="inlineStr">
        <is>
          <t>STOCKHOLMS LÄN</t>
        </is>
      </c>
      <c r="E1312" t="inlineStr">
        <is>
          <t>NORRTÄLJE</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28981-2023</t>
        </is>
      </c>
      <c r="B1313" s="1" t="n">
        <v>45104</v>
      </c>
      <c r="C1313" s="1" t="n">
        <v>46033</v>
      </c>
      <c r="D1313" t="inlineStr">
        <is>
          <t>STOCKHOLMS LÄN</t>
        </is>
      </c>
      <c r="E1313" t="inlineStr">
        <is>
          <t>SÖDERTÄLJE</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33465-2025</t>
        </is>
      </c>
      <c r="B1314" s="1" t="n">
        <v>45839</v>
      </c>
      <c r="C1314" s="1" t="n">
        <v>46033</v>
      </c>
      <c r="D1314" t="inlineStr">
        <is>
          <t>STOCKHOLMS LÄN</t>
        </is>
      </c>
      <c r="E1314" t="inlineStr">
        <is>
          <t>SALEM</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32946-2025</t>
        </is>
      </c>
      <c r="B1315" s="1" t="n">
        <v>45839</v>
      </c>
      <c r="C1315" s="1" t="n">
        <v>46033</v>
      </c>
      <c r="D1315" t="inlineStr">
        <is>
          <t>STOCKHOLMS LÄN</t>
        </is>
      </c>
      <c r="E1315" t="inlineStr">
        <is>
          <t>SALEM</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33421-2025</t>
        </is>
      </c>
      <c r="B1316" s="1" t="n">
        <v>45839</v>
      </c>
      <c r="C1316" s="1" t="n">
        <v>46033</v>
      </c>
      <c r="D1316" t="inlineStr">
        <is>
          <t>STOCKHOLMS LÄN</t>
        </is>
      </c>
      <c r="E1316" t="inlineStr">
        <is>
          <t>SALEM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33446-2025</t>
        </is>
      </c>
      <c r="B1317" s="1" t="n">
        <v>45839</v>
      </c>
      <c r="C1317" s="1" t="n">
        <v>46033</v>
      </c>
      <c r="D1317" t="inlineStr">
        <is>
          <t>STOCKHOLMS LÄN</t>
        </is>
      </c>
      <c r="E1317" t="inlineStr">
        <is>
          <t>SALEM</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29003-2023</t>
        </is>
      </c>
      <c r="B1318" s="1" t="n">
        <v>45104</v>
      </c>
      <c r="C1318" s="1" t="n">
        <v>46033</v>
      </c>
      <c r="D1318" t="inlineStr">
        <is>
          <t>STOCKHOLMS LÄN</t>
        </is>
      </c>
      <c r="E1318" t="inlineStr">
        <is>
          <t>NORRTÄLJE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48443-2025</t>
        </is>
      </c>
      <c r="B1319" s="1" t="n">
        <v>45935.55326388889</v>
      </c>
      <c r="C1319" s="1" t="n">
        <v>46033</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48456-2025</t>
        </is>
      </c>
      <c r="B1320" s="1" t="n">
        <v>45935.85752314814</v>
      </c>
      <c r="C1320" s="1" t="n">
        <v>46033</v>
      </c>
      <c r="D1320" t="inlineStr">
        <is>
          <t>STOCKHOLMS LÄN</t>
        </is>
      </c>
      <c r="E1320" t="inlineStr">
        <is>
          <t>NYNÄSHAMN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33295-2023</t>
        </is>
      </c>
      <c r="B1321" s="1" t="n">
        <v>45127.69371527778</v>
      </c>
      <c r="C1321" s="1" t="n">
        <v>46033</v>
      </c>
      <c r="D1321" t="inlineStr">
        <is>
          <t>STOCKHOLMS LÄN</t>
        </is>
      </c>
      <c r="E1321" t="inlineStr">
        <is>
          <t>NORRTÄLJE</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14127-2025</t>
        </is>
      </c>
      <c r="B1322" s="1" t="n">
        <v>45740.47055555556</v>
      </c>
      <c r="C1322" s="1" t="n">
        <v>46033</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16980-2023</t>
        </is>
      </c>
      <c r="B1323" s="1" t="n">
        <v>45033</v>
      </c>
      <c r="C1323" s="1" t="n">
        <v>46033</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33473-2025</t>
        </is>
      </c>
      <c r="B1324" s="1" t="n">
        <v>45839</v>
      </c>
      <c r="C1324" s="1" t="n">
        <v>46033</v>
      </c>
      <c r="D1324" t="inlineStr">
        <is>
          <t>STOCKHOLMS LÄN</t>
        </is>
      </c>
      <c r="E1324" t="inlineStr">
        <is>
          <t>SALEM</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12562-2023</t>
        </is>
      </c>
      <c r="B1325" s="1" t="n">
        <v>45000</v>
      </c>
      <c r="C1325" s="1" t="n">
        <v>46033</v>
      </c>
      <c r="D1325" t="inlineStr">
        <is>
          <t>STOCKHOLMS LÄN</t>
        </is>
      </c>
      <c r="E1325" t="inlineStr">
        <is>
          <t>VALLENTUNA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60745-2025</t>
        </is>
      </c>
      <c r="B1326" s="1" t="n">
        <v>45999.37753472223</v>
      </c>
      <c r="C1326" s="1" t="n">
        <v>46033</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52734-2025</t>
        </is>
      </c>
      <c r="B1327" s="1" t="n">
        <v>45957.3710300926</v>
      </c>
      <c r="C1327" s="1" t="n">
        <v>46033</v>
      </c>
      <c r="D1327" t="inlineStr">
        <is>
          <t>STOCKHOLMS LÄN</t>
        </is>
      </c>
      <c r="E1327" t="inlineStr">
        <is>
          <t>NORRTÄLJE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32595-2023</t>
        </is>
      </c>
      <c r="B1328" s="1" t="n">
        <v>45121</v>
      </c>
      <c r="C1328" s="1" t="n">
        <v>46033</v>
      </c>
      <c r="D1328" t="inlineStr">
        <is>
          <t>STOCKHOLMS LÄN</t>
        </is>
      </c>
      <c r="E1328" t="inlineStr">
        <is>
          <t>NORRTÄLJE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48606-2025</t>
        </is>
      </c>
      <c r="B1329" s="1" t="n">
        <v>45936.47019675926</v>
      </c>
      <c r="C1329" s="1" t="n">
        <v>46033</v>
      </c>
      <c r="D1329" t="inlineStr">
        <is>
          <t>STOCKHOLMS LÄN</t>
        </is>
      </c>
      <c r="E1329" t="inlineStr">
        <is>
          <t>HANINGE</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14480-2024</t>
        </is>
      </c>
      <c r="B1330" s="1" t="n">
        <v>45394.56777777777</v>
      </c>
      <c r="C1330" s="1" t="n">
        <v>46033</v>
      </c>
      <c r="D1330" t="inlineStr">
        <is>
          <t>STOCKHOLMS LÄN</t>
        </is>
      </c>
      <c r="E1330" t="inlineStr">
        <is>
          <t>VALLENTUNA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48780-2025</t>
        </is>
      </c>
      <c r="B1331" s="1" t="n">
        <v>45937.30377314815</v>
      </c>
      <c r="C1331" s="1" t="n">
        <v>46033</v>
      </c>
      <c r="D1331" t="inlineStr">
        <is>
          <t>STOCKHOLMS LÄN</t>
        </is>
      </c>
      <c r="E1331" t="inlineStr">
        <is>
          <t>NORRTÄLJE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33702-2025</t>
        </is>
      </c>
      <c r="B1332" s="1" t="n">
        <v>45841.74596064815</v>
      </c>
      <c r="C1332" s="1" t="n">
        <v>46033</v>
      </c>
      <c r="D1332" t="inlineStr">
        <is>
          <t>STOCKHOLMS LÄN</t>
        </is>
      </c>
      <c r="E1332" t="inlineStr">
        <is>
          <t>NORRTÄLJE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49175-2025</t>
        </is>
      </c>
      <c r="B1333" s="1" t="n">
        <v>45938.3790162037</v>
      </c>
      <c r="C1333" s="1" t="n">
        <v>46033</v>
      </c>
      <c r="D1333" t="inlineStr">
        <is>
          <t>STOCKHOLMS LÄN</t>
        </is>
      </c>
      <c r="E1333" t="inlineStr">
        <is>
          <t>BOTKYRKA</t>
        </is>
      </c>
      <c r="F1333" t="inlineStr">
        <is>
          <t>Övriga Aktiebolag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37550-2022</t>
        </is>
      </c>
      <c r="B1334" s="1" t="n">
        <v>44809</v>
      </c>
      <c r="C1334" s="1" t="n">
        <v>46033</v>
      </c>
      <c r="D1334" t="inlineStr">
        <is>
          <t>STOCKHOLMS LÄN</t>
        </is>
      </c>
      <c r="E1334" t="inlineStr">
        <is>
          <t>NORRTÄLJE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33211-2025</t>
        </is>
      </c>
      <c r="B1335" s="1" t="n">
        <v>45840.62755787037</v>
      </c>
      <c r="C1335" s="1" t="n">
        <v>46033</v>
      </c>
      <c r="D1335" t="inlineStr">
        <is>
          <t>STOCKHOLMS LÄN</t>
        </is>
      </c>
      <c r="E1335" t="inlineStr">
        <is>
          <t>NORRTÄLJE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17340-2025</t>
        </is>
      </c>
      <c r="B1336" s="1" t="n">
        <v>45756</v>
      </c>
      <c r="C1336" s="1" t="n">
        <v>46033</v>
      </c>
      <c r="D1336" t="inlineStr">
        <is>
          <t>STOCKHOLMS LÄN</t>
        </is>
      </c>
      <c r="E1336" t="inlineStr">
        <is>
          <t>VALLENTUNA</t>
        </is>
      </c>
      <c r="F1336" t="inlineStr">
        <is>
          <t>Övriga Aktiebolag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17353-2025</t>
        </is>
      </c>
      <c r="B1337" s="1" t="n">
        <v>45756</v>
      </c>
      <c r="C1337" s="1" t="n">
        <v>46033</v>
      </c>
      <c r="D1337" t="inlineStr">
        <is>
          <t>STOCKHOLMS LÄN</t>
        </is>
      </c>
      <c r="E1337" t="inlineStr">
        <is>
          <t>ÖSTERÅKER</t>
        </is>
      </c>
      <c r="F1337" t="inlineStr">
        <is>
          <t>Övriga Aktiebolag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48161-2022</t>
        </is>
      </c>
      <c r="B1338" s="1" t="n">
        <v>44858</v>
      </c>
      <c r="C1338" s="1" t="n">
        <v>46033</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33265-2025</t>
        </is>
      </c>
      <c r="B1339" s="1" t="n">
        <v>45840.67829861111</v>
      </c>
      <c r="C1339" s="1" t="n">
        <v>46033</v>
      </c>
      <c r="D1339" t="inlineStr">
        <is>
          <t>STOCKHOLMS LÄN</t>
        </is>
      </c>
      <c r="E1339" t="inlineStr">
        <is>
          <t>NORRTÄLJE</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48798-2021</t>
        </is>
      </c>
      <c r="B1340" s="1" t="n">
        <v>44452</v>
      </c>
      <c r="C1340" s="1" t="n">
        <v>46033</v>
      </c>
      <c r="D1340" t="inlineStr">
        <is>
          <t>STOCKHOLMS LÄN</t>
        </is>
      </c>
      <c r="E1340" t="inlineStr">
        <is>
          <t>NORRTÄLJE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49129-2025</t>
        </is>
      </c>
      <c r="B1341" s="1" t="n">
        <v>45937.89517361111</v>
      </c>
      <c r="C1341" s="1" t="n">
        <v>46033</v>
      </c>
      <c r="D1341" t="inlineStr">
        <is>
          <t>STOCKHOLMS LÄN</t>
        </is>
      </c>
      <c r="E1341" t="inlineStr">
        <is>
          <t>NORRTÄLJE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16615-2024</t>
        </is>
      </c>
      <c r="B1342" s="1" t="n">
        <v>45408</v>
      </c>
      <c r="C1342" s="1" t="n">
        <v>46033</v>
      </c>
      <c r="D1342" t="inlineStr">
        <is>
          <t>STOCKHOLMS LÄN</t>
        </is>
      </c>
      <c r="E1342" t="inlineStr">
        <is>
          <t>SÖDERTÄLJE</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12111-2021</t>
        </is>
      </c>
      <c r="B1343" s="1" t="n">
        <v>44266</v>
      </c>
      <c r="C1343" s="1" t="n">
        <v>46033</v>
      </c>
      <c r="D1343" t="inlineStr">
        <is>
          <t>STOCKHOLMS LÄN</t>
        </is>
      </c>
      <c r="E1343" t="inlineStr">
        <is>
          <t>NORRTÄLJE</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52776-2025</t>
        </is>
      </c>
      <c r="B1344" s="1" t="n">
        <v>45957.41724537037</v>
      </c>
      <c r="C1344" s="1" t="n">
        <v>46033</v>
      </c>
      <c r="D1344" t="inlineStr">
        <is>
          <t>STOCKHOLMS LÄN</t>
        </is>
      </c>
      <c r="E1344" t="inlineStr">
        <is>
          <t>NORRTÄLJE</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50934-2024</t>
        </is>
      </c>
      <c r="B1345" s="1" t="n">
        <v>45602</v>
      </c>
      <c r="C1345" s="1" t="n">
        <v>46033</v>
      </c>
      <c r="D1345" t="inlineStr">
        <is>
          <t>STOCKHOLMS LÄN</t>
        </is>
      </c>
      <c r="E1345" t="inlineStr">
        <is>
          <t>UPPLANDS VÄSBY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33552-2025</t>
        </is>
      </c>
      <c r="B1346" s="1" t="n">
        <v>45841.5737962963</v>
      </c>
      <c r="C1346" s="1" t="n">
        <v>46033</v>
      </c>
      <c r="D1346" t="inlineStr">
        <is>
          <t>STOCKHOLMS LÄN</t>
        </is>
      </c>
      <c r="E1346" t="inlineStr">
        <is>
          <t>NORRTÄLJE</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33336-2025</t>
        </is>
      </c>
      <c r="B1347" s="1" t="n">
        <v>45841.35611111111</v>
      </c>
      <c r="C1347" s="1" t="n">
        <v>46033</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54776-2023</t>
        </is>
      </c>
      <c r="B1348" s="1" t="n">
        <v>45236.46369212963</v>
      </c>
      <c r="C1348" s="1" t="n">
        <v>46033</v>
      </c>
      <c r="D1348" t="inlineStr">
        <is>
          <t>STOCKHOLMS LÄN</t>
        </is>
      </c>
      <c r="E1348" t="inlineStr">
        <is>
          <t>NORRTÄLJE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33824-2025</t>
        </is>
      </c>
      <c r="B1349" s="1" t="n">
        <v>45842.46885416667</v>
      </c>
      <c r="C1349" s="1" t="n">
        <v>46033</v>
      </c>
      <c r="D1349" t="inlineStr">
        <is>
          <t>STOCKHOLMS LÄN</t>
        </is>
      </c>
      <c r="E1349" t="inlineStr">
        <is>
          <t>NORRTÄLJE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6857-2022</t>
        </is>
      </c>
      <c r="B1350" s="1" t="n">
        <v>44602.69712962963</v>
      </c>
      <c r="C1350" s="1" t="n">
        <v>46033</v>
      </c>
      <c r="D1350" t="inlineStr">
        <is>
          <t>STOCKHOLMS LÄN</t>
        </is>
      </c>
      <c r="E1350" t="inlineStr">
        <is>
          <t>NYKVARN</t>
        </is>
      </c>
      <c r="F1350" t="inlineStr">
        <is>
          <t>Kommuner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32458-2023</t>
        </is>
      </c>
      <c r="B1351" s="1" t="n">
        <v>45120</v>
      </c>
      <c r="C1351" s="1" t="n">
        <v>46033</v>
      </c>
      <c r="D1351" t="inlineStr">
        <is>
          <t>STOCKHOLMS LÄN</t>
        </is>
      </c>
      <c r="E1351" t="inlineStr">
        <is>
          <t>VÄRMDÖ</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61360-2022</t>
        </is>
      </c>
      <c r="B1352" s="1" t="n">
        <v>44915</v>
      </c>
      <c r="C1352" s="1" t="n">
        <v>46033</v>
      </c>
      <c r="D1352" t="inlineStr">
        <is>
          <t>STOCKHOLMS LÄN</t>
        </is>
      </c>
      <c r="E1352" t="inlineStr">
        <is>
          <t>ÖSTERÅKER</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34038-2025</t>
        </is>
      </c>
      <c r="B1353" s="1" t="n">
        <v>45842</v>
      </c>
      <c r="C1353" s="1" t="n">
        <v>46033</v>
      </c>
      <c r="D1353" t="inlineStr">
        <is>
          <t>STOCKHOLMS LÄN</t>
        </is>
      </c>
      <c r="E1353" t="inlineStr">
        <is>
          <t>ÖSTERÅKER</t>
        </is>
      </c>
      <c r="F1353" t="inlineStr">
        <is>
          <t>Övriga Aktiebolag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57442-2021</t>
        </is>
      </c>
      <c r="B1354" s="1" t="n">
        <v>44483</v>
      </c>
      <c r="C1354" s="1" t="n">
        <v>46033</v>
      </c>
      <c r="D1354" t="inlineStr">
        <is>
          <t>STOCKHOLMS LÄN</t>
        </is>
      </c>
      <c r="E1354" t="inlineStr">
        <is>
          <t>NORRTÄLJE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12931-2022</t>
        </is>
      </c>
      <c r="B1355" s="1" t="n">
        <v>44642</v>
      </c>
      <c r="C1355" s="1" t="n">
        <v>46033</v>
      </c>
      <c r="D1355" t="inlineStr">
        <is>
          <t>STOCKHOLMS LÄN</t>
        </is>
      </c>
      <c r="E1355" t="inlineStr">
        <is>
          <t>SIGTUNA</t>
        </is>
      </c>
      <c r="F1355" t="inlineStr">
        <is>
          <t>Kyrkan</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49916-2025</t>
        </is>
      </c>
      <c r="B1356" s="1" t="n">
        <v>45940.62260416667</v>
      </c>
      <c r="C1356" s="1" t="n">
        <v>46033</v>
      </c>
      <c r="D1356" t="inlineStr">
        <is>
          <t>STOCKHOLMS LÄN</t>
        </is>
      </c>
      <c r="E1356" t="inlineStr">
        <is>
          <t>SIGTUNA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30913-2021</t>
        </is>
      </c>
      <c r="B1357" s="1" t="n">
        <v>44365</v>
      </c>
      <c r="C1357" s="1" t="n">
        <v>46033</v>
      </c>
      <c r="D1357" t="inlineStr">
        <is>
          <t>STOCKHOLMS LÄN</t>
        </is>
      </c>
      <c r="E1357" t="inlineStr">
        <is>
          <t>VALLENTUNA</t>
        </is>
      </c>
      <c r="F1357" t="inlineStr">
        <is>
          <t>Övriga Aktiebolag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34006-2025</t>
        </is>
      </c>
      <c r="B1358" s="1" t="n">
        <v>45844.62609953704</v>
      </c>
      <c r="C1358" s="1" t="n">
        <v>46033</v>
      </c>
      <c r="D1358" t="inlineStr">
        <is>
          <t>STOCKHOLMS LÄN</t>
        </is>
      </c>
      <c r="E1358" t="inlineStr">
        <is>
          <t>NORRTÄLJE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34139-2025</t>
        </is>
      </c>
      <c r="B1359" s="1" t="n">
        <v>45845</v>
      </c>
      <c r="C1359" s="1" t="n">
        <v>46033</v>
      </c>
      <c r="D1359" t="inlineStr">
        <is>
          <t>STOCKHOLMS LÄN</t>
        </is>
      </c>
      <c r="E1359" t="inlineStr">
        <is>
          <t>NORRTÄLJE</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55952-2024</t>
        </is>
      </c>
      <c r="B1360" s="1" t="n">
        <v>45623.62563657408</v>
      </c>
      <c r="C1360" s="1" t="n">
        <v>46033</v>
      </c>
      <c r="D1360" t="inlineStr">
        <is>
          <t>STOCKHOLMS LÄN</t>
        </is>
      </c>
      <c r="E1360" t="inlineStr">
        <is>
          <t>NORRTÄLJE</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34079-2025</t>
        </is>
      </c>
      <c r="B1361" s="1" t="n">
        <v>45842</v>
      </c>
      <c r="C1361" s="1" t="n">
        <v>46033</v>
      </c>
      <c r="D1361" t="inlineStr">
        <is>
          <t>STOCKHOLMS LÄN</t>
        </is>
      </c>
      <c r="E1361" t="inlineStr">
        <is>
          <t>ÖSTERÅKER</t>
        </is>
      </c>
      <c r="F1361" t="inlineStr">
        <is>
          <t>Övriga Aktiebolag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45496-2023</t>
        </is>
      </c>
      <c r="B1362" s="1" t="n">
        <v>45194</v>
      </c>
      <c r="C1362" s="1" t="n">
        <v>46033</v>
      </c>
      <c r="D1362" t="inlineStr">
        <is>
          <t>STOCKHOLMS LÄN</t>
        </is>
      </c>
      <c r="E1362" t="inlineStr">
        <is>
          <t>VALLENTUNA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8135-2025</t>
        </is>
      </c>
      <c r="B1363" s="1" t="n">
        <v>45707.84997685185</v>
      </c>
      <c r="C1363" s="1" t="n">
        <v>46033</v>
      </c>
      <c r="D1363" t="inlineStr">
        <is>
          <t>STOCKHOLMS LÄN</t>
        </is>
      </c>
      <c r="E1363" t="inlineStr">
        <is>
          <t>NORRTÄLJE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3383-2023</t>
        </is>
      </c>
      <c r="B1364" s="1" t="n">
        <v>44949</v>
      </c>
      <c r="C1364" s="1" t="n">
        <v>46033</v>
      </c>
      <c r="D1364" t="inlineStr">
        <is>
          <t>STOCKHOLMS LÄN</t>
        </is>
      </c>
      <c r="E1364" t="inlineStr">
        <is>
          <t>NORRTÄLJE</t>
        </is>
      </c>
      <c r="G1364" t="n">
        <v>14.6</v>
      </c>
      <c r="H1364" t="n">
        <v>0</v>
      </c>
      <c r="I1364" t="n">
        <v>0</v>
      </c>
      <c r="J1364" t="n">
        <v>0</v>
      </c>
      <c r="K1364" t="n">
        <v>0</v>
      </c>
      <c r="L1364" t="n">
        <v>0</v>
      </c>
      <c r="M1364" t="n">
        <v>0</v>
      </c>
      <c r="N1364" t="n">
        <v>0</v>
      </c>
      <c r="O1364" t="n">
        <v>0</v>
      </c>
      <c r="P1364" t="n">
        <v>0</v>
      </c>
      <c r="Q1364" t="n">
        <v>0</v>
      </c>
      <c r="R1364" s="2" t="inlineStr"/>
    </row>
    <row r="1365" ht="15" customHeight="1">
      <c r="A1365" t="inlineStr">
        <is>
          <t>A 34010-2025</t>
        </is>
      </c>
      <c r="B1365" s="1" t="n">
        <v>45844.91234953704</v>
      </c>
      <c r="C1365" s="1" t="n">
        <v>46033</v>
      </c>
      <c r="D1365" t="inlineStr">
        <is>
          <t>STOCKHOLMS LÄN</t>
        </is>
      </c>
      <c r="E1365" t="inlineStr">
        <is>
          <t>NORRTÄLJE</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34073-2025</t>
        </is>
      </c>
      <c r="B1366" s="1" t="n">
        <v>45845</v>
      </c>
      <c r="C1366" s="1" t="n">
        <v>46033</v>
      </c>
      <c r="D1366" t="inlineStr">
        <is>
          <t>STOCKHOLMS LÄN</t>
        </is>
      </c>
      <c r="E1366" t="inlineStr">
        <is>
          <t>EKERÖ</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52953-2024</t>
        </is>
      </c>
      <c r="B1367" s="1" t="n">
        <v>45610.92077546296</v>
      </c>
      <c r="C1367" s="1" t="n">
        <v>46033</v>
      </c>
      <c r="D1367" t="inlineStr">
        <is>
          <t>STOCKHOLMS LÄN</t>
        </is>
      </c>
      <c r="E1367" t="inlineStr">
        <is>
          <t>NYNÄSHAMN</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28431-2025</t>
        </is>
      </c>
      <c r="B1368" s="1" t="n">
        <v>45819.38072916667</v>
      </c>
      <c r="C1368" s="1" t="n">
        <v>46033</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13148-2021</t>
        </is>
      </c>
      <c r="B1369" s="1" t="n">
        <v>44272</v>
      </c>
      <c r="C1369" s="1" t="n">
        <v>46033</v>
      </c>
      <c r="D1369" t="inlineStr">
        <is>
          <t>STOCKHOLMS LÄN</t>
        </is>
      </c>
      <c r="E1369" t="inlineStr">
        <is>
          <t>NORRTÄLJE</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13945-2025</t>
        </is>
      </c>
      <c r="B1370" s="1" t="n">
        <v>45737.71512731481</v>
      </c>
      <c r="C1370" s="1" t="n">
        <v>46033</v>
      </c>
      <c r="D1370" t="inlineStr">
        <is>
          <t>STOCKHOLMS LÄN</t>
        </is>
      </c>
      <c r="E1370" t="inlineStr">
        <is>
          <t>NYNÄSHAMN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50097-2025</t>
        </is>
      </c>
      <c r="B1371" s="1" t="n">
        <v>45943.50207175926</v>
      </c>
      <c r="C1371" s="1" t="n">
        <v>46033</v>
      </c>
      <c r="D1371" t="inlineStr">
        <is>
          <t>STOCKHOLMS LÄN</t>
        </is>
      </c>
      <c r="E1371" t="inlineStr">
        <is>
          <t>NORRTÄLJE</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34034-2025</t>
        </is>
      </c>
      <c r="B1372" s="1" t="n">
        <v>45842</v>
      </c>
      <c r="C1372" s="1" t="n">
        <v>46033</v>
      </c>
      <c r="D1372" t="inlineStr">
        <is>
          <t>STOCKHOLMS LÄN</t>
        </is>
      </c>
      <c r="E1372" t="inlineStr">
        <is>
          <t>ÖSTERÅKER</t>
        </is>
      </c>
      <c r="F1372" t="inlineStr">
        <is>
          <t>Övriga Aktiebolag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21732-2023</t>
        </is>
      </c>
      <c r="B1373" s="1" t="n">
        <v>45063</v>
      </c>
      <c r="C1373" s="1" t="n">
        <v>46033</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36689-2023</t>
        </is>
      </c>
      <c r="B1374" s="1" t="n">
        <v>45152</v>
      </c>
      <c r="C1374" s="1" t="n">
        <v>46033</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23307-2024</t>
        </is>
      </c>
      <c r="B1375" s="1" t="n">
        <v>45453</v>
      </c>
      <c r="C1375" s="1" t="n">
        <v>46033</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49836-2025</t>
        </is>
      </c>
      <c r="B1376" s="1" t="n">
        <v>45940.46862268518</v>
      </c>
      <c r="C1376" s="1" t="n">
        <v>46033</v>
      </c>
      <c r="D1376" t="inlineStr">
        <is>
          <t>STOCKHOLMS LÄN</t>
        </is>
      </c>
      <c r="E1376" t="inlineStr">
        <is>
          <t>NORRTÄLJE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46073-2024</t>
        </is>
      </c>
      <c r="B1377" s="1" t="n">
        <v>45581</v>
      </c>
      <c r="C1377" s="1" t="n">
        <v>46033</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29704-2023</t>
        </is>
      </c>
      <c r="B1378" s="1" t="n">
        <v>45107</v>
      </c>
      <c r="C1378" s="1" t="n">
        <v>46033</v>
      </c>
      <c r="D1378" t="inlineStr">
        <is>
          <t>STOCKHOLMS LÄN</t>
        </is>
      </c>
      <c r="E1378" t="inlineStr">
        <is>
          <t>VALLENTUNA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61323-2022</t>
        </is>
      </c>
      <c r="B1379" s="1" t="n">
        <v>44915</v>
      </c>
      <c r="C1379" s="1" t="n">
        <v>46033</v>
      </c>
      <c r="D1379" t="inlineStr">
        <is>
          <t>STOCKHOLMS LÄN</t>
        </is>
      </c>
      <c r="E1379" t="inlineStr">
        <is>
          <t>ÖSTERÅKER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29982-2025</t>
        </is>
      </c>
      <c r="B1380" s="1" t="n">
        <v>45826</v>
      </c>
      <c r="C1380" s="1" t="n">
        <v>46033</v>
      </c>
      <c r="D1380" t="inlineStr">
        <is>
          <t>STOCKHOLMS LÄN</t>
        </is>
      </c>
      <c r="E1380" t="inlineStr">
        <is>
          <t>SALEM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23152-2021</t>
        </is>
      </c>
      <c r="B1381" s="1" t="n">
        <v>44332</v>
      </c>
      <c r="C1381" s="1" t="n">
        <v>46033</v>
      </c>
      <c r="D1381" t="inlineStr">
        <is>
          <t>STOCKHOLMS LÄN</t>
        </is>
      </c>
      <c r="E1381" t="inlineStr">
        <is>
          <t>NYKVARN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36148-2023</t>
        </is>
      </c>
      <c r="B1382" s="1" t="n">
        <v>45149</v>
      </c>
      <c r="C1382" s="1" t="n">
        <v>46033</v>
      </c>
      <c r="D1382" t="inlineStr">
        <is>
          <t>STOCKHOLMS LÄN</t>
        </is>
      </c>
      <c r="E1382" t="inlineStr">
        <is>
          <t>VÄRMDÖ</t>
        </is>
      </c>
      <c r="F1382" t="inlineStr">
        <is>
          <t>Övriga statliga verk och myndigheter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50327-2025</t>
        </is>
      </c>
      <c r="B1383" s="1" t="n">
        <v>45944.46387731482</v>
      </c>
      <c r="C1383" s="1" t="n">
        <v>46033</v>
      </c>
      <c r="D1383" t="inlineStr">
        <is>
          <t>STOCKHOLMS LÄN</t>
        </is>
      </c>
      <c r="E1383" t="inlineStr">
        <is>
          <t>NORRTÄLJE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3386-2021</t>
        </is>
      </c>
      <c r="B1384" s="1" t="n">
        <v>44218</v>
      </c>
      <c r="C1384" s="1" t="n">
        <v>46033</v>
      </c>
      <c r="D1384" t="inlineStr">
        <is>
          <t>STOCKHOLMS LÄN</t>
        </is>
      </c>
      <c r="E1384" t="inlineStr">
        <is>
          <t>NORRTÄLJE</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52529-2025</t>
        </is>
      </c>
      <c r="B1385" s="1" t="n">
        <v>45954.53229166667</v>
      </c>
      <c r="C1385" s="1" t="n">
        <v>46033</v>
      </c>
      <c r="D1385" t="inlineStr">
        <is>
          <t>STOCKHOLMS LÄN</t>
        </is>
      </c>
      <c r="E1385" t="inlineStr">
        <is>
          <t>NORRTÄLJE</t>
        </is>
      </c>
      <c r="F1385" t="inlineStr">
        <is>
          <t>Sveaskog</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52704-2025</t>
        </is>
      </c>
      <c r="B1386" s="1" t="n">
        <v>45956.89097222222</v>
      </c>
      <c r="C1386" s="1" t="n">
        <v>46033</v>
      </c>
      <c r="D1386" t="inlineStr">
        <is>
          <t>STOCKHOLMS LÄN</t>
        </is>
      </c>
      <c r="E1386" t="inlineStr">
        <is>
          <t>NORRTÄLJE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50563-2025</t>
        </is>
      </c>
      <c r="B1387" s="1" t="n">
        <v>45944</v>
      </c>
      <c r="C1387" s="1" t="n">
        <v>46033</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50474-2025</t>
        </is>
      </c>
      <c r="B1388" s="1" t="n">
        <v>45945.36526620371</v>
      </c>
      <c r="C1388" s="1" t="n">
        <v>46033</v>
      </c>
      <c r="D1388" t="inlineStr">
        <is>
          <t>STOCKHOLMS LÄN</t>
        </is>
      </c>
      <c r="E1388" t="inlineStr">
        <is>
          <t>BOTKYRKA</t>
        </is>
      </c>
      <c r="F1388" t="inlineStr">
        <is>
          <t>Övriga Aktiebolag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37085-2021</t>
        </is>
      </c>
      <c r="B1389" s="1" t="n">
        <v>44395</v>
      </c>
      <c r="C1389" s="1" t="n">
        <v>46033</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50333-2025</t>
        </is>
      </c>
      <c r="B1390" s="1" t="n">
        <v>45944.47178240741</v>
      </c>
      <c r="C1390" s="1" t="n">
        <v>46033</v>
      </c>
      <c r="D1390" t="inlineStr">
        <is>
          <t>STOCKHOLMS LÄN</t>
        </is>
      </c>
      <c r="E1390" t="inlineStr">
        <is>
          <t>NORRTÄLJE</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56428-2023</t>
        </is>
      </c>
      <c r="B1391" s="1" t="n">
        <v>45243.45289351852</v>
      </c>
      <c r="C1391" s="1" t="n">
        <v>46033</v>
      </c>
      <c r="D1391" t="inlineStr">
        <is>
          <t>STOCKHOLMS LÄN</t>
        </is>
      </c>
      <c r="E1391" t="inlineStr">
        <is>
          <t>NORRTÄLJE</t>
        </is>
      </c>
      <c r="F1391" t="inlineStr">
        <is>
          <t>Kyrkan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60928-2025</t>
        </is>
      </c>
      <c r="B1392" s="1" t="n">
        <v>45999.633125</v>
      </c>
      <c r="C1392" s="1" t="n">
        <v>46033</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52553-2025</t>
        </is>
      </c>
      <c r="B1393" s="1" t="n">
        <v>45954.5624537037</v>
      </c>
      <c r="C1393" s="1" t="n">
        <v>46033</v>
      </c>
      <c r="D1393" t="inlineStr">
        <is>
          <t>STOCKHOLMS LÄN</t>
        </is>
      </c>
      <c r="E1393" t="inlineStr">
        <is>
          <t>NORRTÄLJE</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60948-2025</t>
        </is>
      </c>
      <c r="B1394" s="1" t="n">
        <v>45999.650625</v>
      </c>
      <c r="C1394" s="1" t="n">
        <v>46033</v>
      </c>
      <c r="D1394" t="inlineStr">
        <is>
          <t>STOCKHOLMS LÄN</t>
        </is>
      </c>
      <c r="E1394" t="inlineStr">
        <is>
          <t>NORRTÄLJE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52101-2022</t>
        </is>
      </c>
      <c r="B1395" s="1" t="n">
        <v>44873</v>
      </c>
      <c r="C1395" s="1" t="n">
        <v>46033</v>
      </c>
      <c r="D1395" t="inlineStr">
        <is>
          <t>STOCKHOLMS LÄN</t>
        </is>
      </c>
      <c r="E1395" t="inlineStr">
        <is>
          <t>SÖDERTÄLJE</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17556-2025</t>
        </is>
      </c>
      <c r="B1396" s="1" t="n">
        <v>45757.62482638889</v>
      </c>
      <c r="C1396" s="1" t="n">
        <v>46033</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32948-2025</t>
        </is>
      </c>
      <c r="B1397" s="1" t="n">
        <v>45839</v>
      </c>
      <c r="C1397" s="1" t="n">
        <v>46033</v>
      </c>
      <c r="D1397" t="inlineStr">
        <is>
          <t>STOCKHOLMS LÄN</t>
        </is>
      </c>
      <c r="E1397" t="inlineStr">
        <is>
          <t>HANINGE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22080-2024</t>
        </is>
      </c>
      <c r="B1398" s="1" t="n">
        <v>45443.64962962963</v>
      </c>
      <c r="C1398" s="1" t="n">
        <v>46033</v>
      </c>
      <c r="D1398" t="inlineStr">
        <is>
          <t>STOCKHOLMS LÄN</t>
        </is>
      </c>
      <c r="E1398" t="inlineStr">
        <is>
          <t>ÖSTERÅKER</t>
        </is>
      </c>
      <c r="F1398" t="inlineStr">
        <is>
          <t>Övriga Aktiebolag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39610-2025</t>
        </is>
      </c>
      <c r="B1399" s="1" t="n">
        <v>45890.56001157407</v>
      </c>
      <c r="C1399" s="1" t="n">
        <v>46033</v>
      </c>
      <c r="D1399" t="inlineStr">
        <is>
          <t>STOCKHOLMS LÄN</t>
        </is>
      </c>
      <c r="E1399" t="inlineStr">
        <is>
          <t>NORRTÄLJE</t>
        </is>
      </c>
      <c r="G1399" t="n">
        <v>28.6</v>
      </c>
      <c r="H1399" t="n">
        <v>0</v>
      </c>
      <c r="I1399" t="n">
        <v>0</v>
      </c>
      <c r="J1399" t="n">
        <v>0</v>
      </c>
      <c r="K1399" t="n">
        <v>0</v>
      </c>
      <c r="L1399" t="n">
        <v>0</v>
      </c>
      <c r="M1399" t="n">
        <v>0</v>
      </c>
      <c r="N1399" t="n">
        <v>0</v>
      </c>
      <c r="O1399" t="n">
        <v>0</v>
      </c>
      <c r="P1399" t="n">
        <v>0</v>
      </c>
      <c r="Q1399" t="n">
        <v>0</v>
      </c>
      <c r="R1399" s="2" t="inlineStr"/>
    </row>
    <row r="1400" ht="15" customHeight="1">
      <c r="A1400" t="inlineStr">
        <is>
          <t>A 74170-2021</t>
        </is>
      </c>
      <c r="B1400" s="1" t="n">
        <v>44557</v>
      </c>
      <c r="C1400" s="1" t="n">
        <v>46033</v>
      </c>
      <c r="D1400" t="inlineStr">
        <is>
          <t>STOCKHOLMS LÄN</t>
        </is>
      </c>
      <c r="E1400" t="inlineStr">
        <is>
          <t>SIGTUNA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25754-2023</t>
        </is>
      </c>
      <c r="B1401" s="1" t="n">
        <v>45084</v>
      </c>
      <c r="C1401" s="1" t="n">
        <v>46033</v>
      </c>
      <c r="D1401" t="inlineStr">
        <is>
          <t>STOCKHOLMS LÄN</t>
        </is>
      </c>
      <c r="E1401" t="inlineStr">
        <is>
          <t>NYKVARN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42094-2023</t>
        </is>
      </c>
      <c r="B1402" s="1" t="n">
        <v>45177.61498842593</v>
      </c>
      <c r="C1402" s="1" t="n">
        <v>46033</v>
      </c>
      <c r="D1402" t="inlineStr">
        <is>
          <t>STOCKHOLMS LÄN</t>
        </is>
      </c>
      <c r="E1402" t="inlineStr">
        <is>
          <t>NORRTÄLJE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42133-2023</t>
        </is>
      </c>
      <c r="B1403" s="1" t="n">
        <v>45177.83136574074</v>
      </c>
      <c r="C1403" s="1" t="n">
        <v>46033</v>
      </c>
      <c r="D1403" t="inlineStr">
        <is>
          <t>STOCKHOLMS LÄN</t>
        </is>
      </c>
      <c r="E1403" t="inlineStr">
        <is>
          <t>SÖDERTÄLJE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61430-2025</t>
        </is>
      </c>
      <c r="B1404" s="1" t="n">
        <v>46001.55583333333</v>
      </c>
      <c r="C1404" s="1" t="n">
        <v>46033</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27313-2023</t>
        </is>
      </c>
      <c r="B1405" s="1" t="n">
        <v>45096</v>
      </c>
      <c r="C1405" s="1" t="n">
        <v>46033</v>
      </c>
      <c r="D1405" t="inlineStr">
        <is>
          <t>STOCKHOLMS LÄN</t>
        </is>
      </c>
      <c r="E1405" t="inlineStr">
        <is>
          <t>UPPLANDS-BRO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37844-2022</t>
        </is>
      </c>
      <c r="B1406" s="1" t="n">
        <v>44810</v>
      </c>
      <c r="C1406" s="1" t="n">
        <v>46033</v>
      </c>
      <c r="D1406" t="inlineStr">
        <is>
          <t>STOCKHOLMS LÄN</t>
        </is>
      </c>
      <c r="E1406" t="inlineStr">
        <is>
          <t>SÖDERTÄLJE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8370-2025</t>
        </is>
      </c>
      <c r="B1407" s="1" t="n">
        <v>45708</v>
      </c>
      <c r="C1407" s="1" t="n">
        <v>46033</v>
      </c>
      <c r="D1407" t="inlineStr">
        <is>
          <t>STOCKHOLMS LÄN</t>
        </is>
      </c>
      <c r="E1407" t="inlineStr">
        <is>
          <t>NORRTÄLJE</t>
        </is>
      </c>
      <c r="F1407" t="inlineStr">
        <is>
          <t>Övriga Aktiebolag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35110-2025</t>
        </is>
      </c>
      <c r="B1408" s="1" t="n">
        <v>45852.58030092593</v>
      </c>
      <c r="C1408" s="1" t="n">
        <v>46033</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32555-2023</t>
        </is>
      </c>
      <c r="B1409" s="1" t="n">
        <v>45121.43032407408</v>
      </c>
      <c r="C1409" s="1" t="n">
        <v>46033</v>
      </c>
      <c r="D1409" t="inlineStr">
        <is>
          <t>STOCKHOLMS LÄN</t>
        </is>
      </c>
      <c r="E1409" t="inlineStr">
        <is>
          <t>NYKVARN</t>
        </is>
      </c>
      <c r="F1409" t="inlineStr">
        <is>
          <t>Sveaskog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61289-2025</t>
        </is>
      </c>
      <c r="B1410" s="1" t="n">
        <v>46000.73659722223</v>
      </c>
      <c r="C1410" s="1" t="n">
        <v>46033</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3299-2022</t>
        </is>
      </c>
      <c r="B1411" s="1" t="n">
        <v>44584.91001157407</v>
      </c>
      <c r="C1411" s="1" t="n">
        <v>46033</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28681-2025</t>
        </is>
      </c>
      <c r="B1412" s="1" t="n">
        <v>45819.68207175926</v>
      </c>
      <c r="C1412" s="1" t="n">
        <v>46033</v>
      </c>
      <c r="D1412" t="inlineStr">
        <is>
          <t>STOCKHOLMS LÄN</t>
        </is>
      </c>
      <c r="E1412" t="inlineStr">
        <is>
          <t>SIGTUNA</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35254-2025</t>
        </is>
      </c>
      <c r="B1413" s="1" t="n">
        <v>45853</v>
      </c>
      <c r="C1413" s="1" t="n">
        <v>46033</v>
      </c>
      <c r="D1413" t="inlineStr">
        <is>
          <t>STOCKHOLMS LÄN</t>
        </is>
      </c>
      <c r="E1413" t="inlineStr">
        <is>
          <t>NORRTÄLJE</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61452-2025</t>
        </is>
      </c>
      <c r="B1414" s="1" t="n">
        <v>46001.58043981482</v>
      </c>
      <c r="C1414" s="1" t="n">
        <v>46033</v>
      </c>
      <c r="D1414" t="inlineStr">
        <is>
          <t>STOCKHOLMS LÄN</t>
        </is>
      </c>
      <c r="E1414" t="inlineStr">
        <is>
          <t>NORRTÄLJE</t>
        </is>
      </c>
      <c r="F1414" t="inlineStr">
        <is>
          <t>Holmen skog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16728-2022</t>
        </is>
      </c>
      <c r="B1415" s="1" t="n">
        <v>44673</v>
      </c>
      <c r="C1415" s="1" t="n">
        <v>46033</v>
      </c>
      <c r="D1415" t="inlineStr">
        <is>
          <t>STOCKHOLMS LÄN</t>
        </is>
      </c>
      <c r="E1415" t="inlineStr">
        <is>
          <t>ÖSTERÅKER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10280-2025</t>
        </is>
      </c>
      <c r="B1416" s="1" t="n">
        <v>45720.40354166667</v>
      </c>
      <c r="C1416" s="1" t="n">
        <v>46033</v>
      </c>
      <c r="D1416" t="inlineStr">
        <is>
          <t>STOCKHOLMS LÄN</t>
        </is>
      </c>
      <c r="E1416" t="inlineStr">
        <is>
          <t>SÖDERTÄLJE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12348-2025</t>
        </is>
      </c>
      <c r="B1417" s="1" t="n">
        <v>45730.35026620371</v>
      </c>
      <c r="C1417" s="1" t="n">
        <v>46033</v>
      </c>
      <c r="D1417" t="inlineStr">
        <is>
          <t>STOCKHOLMS LÄN</t>
        </is>
      </c>
      <c r="E1417" t="inlineStr">
        <is>
          <t>NORRTÄLJE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35047-2025</t>
        </is>
      </c>
      <c r="B1418" s="1" t="n">
        <v>45852.35094907408</v>
      </c>
      <c r="C1418" s="1" t="n">
        <v>46033</v>
      </c>
      <c r="D1418" t="inlineStr">
        <is>
          <t>STOCKHOLMS LÄN</t>
        </is>
      </c>
      <c r="E1418" t="inlineStr">
        <is>
          <t>EKERÖ</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63931-2021</t>
        </is>
      </c>
      <c r="B1419" s="1" t="n">
        <v>44509</v>
      </c>
      <c r="C1419" s="1" t="n">
        <v>46033</v>
      </c>
      <c r="D1419" t="inlineStr">
        <is>
          <t>STOCKHOLMS LÄN</t>
        </is>
      </c>
      <c r="E1419" t="inlineStr">
        <is>
          <t>NYNÄSHAMN</t>
        </is>
      </c>
      <c r="F1419" t="inlineStr">
        <is>
          <t>Kommuner</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12874-2021</t>
        </is>
      </c>
      <c r="B1420" s="1" t="n">
        <v>44271.42787037037</v>
      </c>
      <c r="C1420" s="1" t="n">
        <v>46033</v>
      </c>
      <c r="D1420" t="inlineStr">
        <is>
          <t>STOCKHOLMS LÄN</t>
        </is>
      </c>
      <c r="E1420" t="inlineStr">
        <is>
          <t>SALEM</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36886-2023</t>
        </is>
      </c>
      <c r="B1421" s="1" t="n">
        <v>45154</v>
      </c>
      <c r="C1421" s="1" t="n">
        <v>46033</v>
      </c>
      <c r="D1421" t="inlineStr">
        <is>
          <t>STOCKHOLMS LÄN</t>
        </is>
      </c>
      <c r="E1421" t="inlineStr">
        <is>
          <t>SÖDERTÄLJE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17545-2025</t>
        </is>
      </c>
      <c r="B1422" s="1" t="n">
        <v>45757.60658564815</v>
      </c>
      <c r="C1422" s="1" t="n">
        <v>46033</v>
      </c>
      <c r="D1422" t="inlineStr">
        <is>
          <t>STOCKHOLMS LÄN</t>
        </is>
      </c>
      <c r="E1422" t="inlineStr">
        <is>
          <t>NORRTÄLJE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35479-2025</t>
        </is>
      </c>
      <c r="B1423" s="1" t="n">
        <v>45855.69387731481</v>
      </c>
      <c r="C1423" s="1" t="n">
        <v>46033</v>
      </c>
      <c r="D1423" t="inlineStr">
        <is>
          <t>STOCKHOLMS LÄN</t>
        </is>
      </c>
      <c r="E1423" t="inlineStr">
        <is>
          <t>NORRTÄLJE</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35483-2025</t>
        </is>
      </c>
      <c r="B1424" s="1" t="n">
        <v>45855</v>
      </c>
      <c r="C1424" s="1" t="n">
        <v>46033</v>
      </c>
      <c r="D1424" t="inlineStr">
        <is>
          <t>STOCKHOLMS LÄN</t>
        </is>
      </c>
      <c r="E1424" t="inlineStr">
        <is>
          <t>NYNÄSHAMN</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35451-2025</t>
        </is>
      </c>
      <c r="B1425" s="1" t="n">
        <v>45855.57033564815</v>
      </c>
      <c r="C1425" s="1" t="n">
        <v>46033</v>
      </c>
      <c r="D1425" t="inlineStr">
        <is>
          <t>STOCKHOLMS LÄN</t>
        </is>
      </c>
      <c r="E1425" t="inlineStr">
        <is>
          <t>NORRTÄLJE</t>
        </is>
      </c>
      <c r="F1425" t="inlineStr">
        <is>
          <t>Holmen skog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35478-2025</t>
        </is>
      </c>
      <c r="B1426" s="1" t="n">
        <v>45855.68413194444</v>
      </c>
      <c r="C1426" s="1" t="n">
        <v>46033</v>
      </c>
      <c r="D1426" t="inlineStr">
        <is>
          <t>STOCKHOLMS LÄN</t>
        </is>
      </c>
      <c r="E1426" t="inlineStr">
        <is>
          <t>NORRTÄLJE</t>
        </is>
      </c>
      <c r="F1426" t="inlineStr">
        <is>
          <t>Holmen skog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25094-2023</t>
        </is>
      </c>
      <c r="B1427" s="1" t="n">
        <v>45086.3629050926</v>
      </c>
      <c r="C1427" s="1" t="n">
        <v>46033</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36157-2024</t>
        </is>
      </c>
      <c r="B1428" s="1" t="n">
        <v>45534.38240740741</v>
      </c>
      <c r="C1428" s="1" t="n">
        <v>46033</v>
      </c>
      <c r="D1428" t="inlineStr">
        <is>
          <t>STOCKHOLMS LÄN</t>
        </is>
      </c>
      <c r="E1428" t="inlineStr">
        <is>
          <t>NORRTÄLJE</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60324-2022</t>
        </is>
      </c>
      <c r="B1429" s="1" t="n">
        <v>44910.59086805556</v>
      </c>
      <c r="C1429" s="1" t="n">
        <v>46033</v>
      </c>
      <c r="D1429" t="inlineStr">
        <is>
          <t>STOCKHOLMS LÄN</t>
        </is>
      </c>
      <c r="E1429" t="inlineStr">
        <is>
          <t>NYKVARN</t>
        </is>
      </c>
      <c r="F1429" t="inlineStr">
        <is>
          <t>Kyrkan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64114-2023</t>
        </is>
      </c>
      <c r="B1430" s="1" t="n">
        <v>45279</v>
      </c>
      <c r="C1430" s="1" t="n">
        <v>46033</v>
      </c>
      <c r="D1430" t="inlineStr">
        <is>
          <t>STOCKHOLMS LÄN</t>
        </is>
      </c>
      <c r="E1430" t="inlineStr">
        <is>
          <t>UPPLANDS-BRO</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61419-2025</t>
        </is>
      </c>
      <c r="B1431" s="1" t="n">
        <v>46001.54137731482</v>
      </c>
      <c r="C1431" s="1" t="n">
        <v>46033</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47694-2023</t>
        </is>
      </c>
      <c r="B1432" s="1" t="n">
        <v>45203.63303240741</v>
      </c>
      <c r="C1432" s="1" t="n">
        <v>46033</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35532-2024</t>
        </is>
      </c>
      <c r="B1433" s="1" t="n">
        <v>45531</v>
      </c>
      <c r="C1433" s="1" t="n">
        <v>46033</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35656-2025</t>
        </is>
      </c>
      <c r="B1434" s="1" t="n">
        <v>45859</v>
      </c>
      <c r="C1434" s="1" t="n">
        <v>46033</v>
      </c>
      <c r="D1434" t="inlineStr">
        <is>
          <t>STOCKHOLMS LÄN</t>
        </is>
      </c>
      <c r="E1434" t="inlineStr">
        <is>
          <t>ÖSTERÅKER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1654-2025</t>
        </is>
      </c>
      <c r="B1435" s="1" t="n">
        <v>45670.65921296296</v>
      </c>
      <c r="C1435" s="1" t="n">
        <v>46033</v>
      </c>
      <c r="D1435" t="inlineStr">
        <is>
          <t>STOCKHOLMS LÄN</t>
        </is>
      </c>
      <c r="E1435" t="inlineStr">
        <is>
          <t>NORRTÄLJE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62644-2023</t>
        </is>
      </c>
      <c r="B1436" s="1" t="n">
        <v>45271</v>
      </c>
      <c r="C1436" s="1" t="n">
        <v>46033</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1136-2023</t>
        </is>
      </c>
      <c r="B1437" s="1" t="n">
        <v>44935</v>
      </c>
      <c r="C1437" s="1" t="n">
        <v>46033</v>
      </c>
      <c r="D1437" t="inlineStr">
        <is>
          <t>STOCKHOLMS LÄN</t>
        </is>
      </c>
      <c r="E1437" t="inlineStr">
        <is>
          <t>ÖSTERÅKER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61710-2022</t>
        </is>
      </c>
      <c r="B1438" s="1" t="n">
        <v>44917</v>
      </c>
      <c r="C1438" s="1" t="n">
        <v>46033</v>
      </c>
      <c r="D1438" t="inlineStr">
        <is>
          <t>STOCKHOLMS LÄN</t>
        </is>
      </c>
      <c r="E1438" t="inlineStr">
        <is>
          <t>ÖSTERÅKER</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11229-2022</t>
        </is>
      </c>
      <c r="B1439" s="1" t="n">
        <v>44629</v>
      </c>
      <c r="C1439" s="1" t="n">
        <v>46033</v>
      </c>
      <c r="D1439" t="inlineStr">
        <is>
          <t>STOCKHOLMS LÄN</t>
        </is>
      </c>
      <c r="E1439" t="inlineStr">
        <is>
          <t>NORRTÄLJE</t>
        </is>
      </c>
      <c r="F1439" t="inlineStr">
        <is>
          <t>Övriga Aktiebolag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62013-2023</t>
        </is>
      </c>
      <c r="B1440" s="1" t="n">
        <v>45266</v>
      </c>
      <c r="C1440" s="1" t="n">
        <v>46033</v>
      </c>
      <c r="D1440" t="inlineStr">
        <is>
          <t>STOCKHOLMS LÄN</t>
        </is>
      </c>
      <c r="E1440" t="inlineStr">
        <is>
          <t>NYNÄSHAMN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62038-2023</t>
        </is>
      </c>
      <c r="B1441" s="1" t="n">
        <v>45266</v>
      </c>
      <c r="C1441" s="1" t="n">
        <v>46033</v>
      </c>
      <c r="D1441" t="inlineStr">
        <is>
          <t>STOCKHOLMS LÄN</t>
        </is>
      </c>
      <c r="E1441" t="inlineStr">
        <is>
          <t>NYNÄSHAMN</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12372-2025</t>
        </is>
      </c>
      <c r="B1442" s="1" t="n">
        <v>45730.37740740741</v>
      </c>
      <c r="C1442" s="1" t="n">
        <v>46033</v>
      </c>
      <c r="D1442" t="inlineStr">
        <is>
          <t>STOCKHOLMS LÄN</t>
        </is>
      </c>
      <c r="E1442" t="inlineStr">
        <is>
          <t>UPPLANDS-BRO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35819-2025</t>
        </is>
      </c>
      <c r="B1443" s="1" t="n">
        <v>45861</v>
      </c>
      <c r="C1443" s="1" t="n">
        <v>46033</v>
      </c>
      <c r="D1443" t="inlineStr">
        <is>
          <t>STOCKHOLMS LÄN</t>
        </is>
      </c>
      <c r="E1443" t="inlineStr">
        <is>
          <t>ÖSTERÅKER</t>
        </is>
      </c>
      <c r="F1443" t="inlineStr">
        <is>
          <t>Övriga Aktiebolag</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57353-2024</t>
        </is>
      </c>
      <c r="B1444" s="1" t="n">
        <v>45629.65143518519</v>
      </c>
      <c r="C1444" s="1" t="n">
        <v>46033</v>
      </c>
      <c r="D1444" t="inlineStr">
        <is>
          <t>STOCKHOLMS LÄN</t>
        </is>
      </c>
      <c r="E1444" t="inlineStr">
        <is>
          <t>NORRTÄLJE</t>
        </is>
      </c>
      <c r="F1444" t="inlineStr">
        <is>
          <t>Holmen skog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48587-2023</t>
        </is>
      </c>
      <c r="B1445" s="1" t="n">
        <v>45208</v>
      </c>
      <c r="C1445" s="1" t="n">
        <v>46033</v>
      </c>
      <c r="D1445" t="inlineStr">
        <is>
          <t>STOCKHOLMS LÄN</t>
        </is>
      </c>
      <c r="E1445" t="inlineStr">
        <is>
          <t>NORRTÄLJE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61160-2025</t>
        </is>
      </c>
      <c r="B1446" s="1" t="n">
        <v>46000.55262731481</v>
      </c>
      <c r="C1446" s="1" t="n">
        <v>46033</v>
      </c>
      <c r="D1446" t="inlineStr">
        <is>
          <t>STOCKHOLMS LÄN</t>
        </is>
      </c>
      <c r="E1446" t="inlineStr">
        <is>
          <t>NORRTÄLJE</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2549-2022</t>
        </is>
      </c>
      <c r="B1447" s="1" t="n">
        <v>44580</v>
      </c>
      <c r="C1447" s="1" t="n">
        <v>46033</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4438-2023</t>
        </is>
      </c>
      <c r="B1448" s="1" t="n">
        <v>44956</v>
      </c>
      <c r="C1448" s="1" t="n">
        <v>46033</v>
      </c>
      <c r="D1448" t="inlineStr">
        <is>
          <t>STOCKHOLMS LÄN</t>
        </is>
      </c>
      <c r="E1448" t="inlineStr">
        <is>
          <t>NORRTÄLJE</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4443-2023</t>
        </is>
      </c>
      <c r="B1449" s="1" t="n">
        <v>44956.45393518519</v>
      </c>
      <c r="C1449" s="1" t="n">
        <v>46033</v>
      </c>
      <c r="D1449" t="inlineStr">
        <is>
          <t>STOCKHOLMS LÄN</t>
        </is>
      </c>
      <c r="E1449" t="inlineStr">
        <is>
          <t>SÖDERTÄLJE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28752-2024</t>
        </is>
      </c>
      <c r="B1450" s="1" t="n">
        <v>45478.57900462963</v>
      </c>
      <c r="C1450" s="1" t="n">
        <v>46033</v>
      </c>
      <c r="D1450" t="inlineStr">
        <is>
          <t>STOCKHOLMS LÄN</t>
        </is>
      </c>
      <c r="E1450" t="inlineStr">
        <is>
          <t>SIGTUNA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12609-2024</t>
        </is>
      </c>
      <c r="B1451" s="1" t="n">
        <v>45382.8109375</v>
      </c>
      <c r="C1451" s="1" t="n">
        <v>46033</v>
      </c>
      <c r="D1451" t="inlineStr">
        <is>
          <t>STOCKHOLMS LÄN</t>
        </is>
      </c>
      <c r="E1451" t="inlineStr">
        <is>
          <t>VALLENTUNA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34444-2024</t>
        </is>
      </c>
      <c r="B1452" s="1" t="n">
        <v>45525</v>
      </c>
      <c r="C1452" s="1" t="n">
        <v>46033</v>
      </c>
      <c r="D1452" t="inlineStr">
        <is>
          <t>STOCKHOLMS LÄN</t>
        </is>
      </c>
      <c r="E1452" t="inlineStr">
        <is>
          <t>NORRTÄLJE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47714-2023</t>
        </is>
      </c>
      <c r="B1453" s="1" t="n">
        <v>45198</v>
      </c>
      <c r="C1453" s="1" t="n">
        <v>46033</v>
      </c>
      <c r="D1453" t="inlineStr">
        <is>
          <t>STOCKHOLMS LÄN</t>
        </is>
      </c>
      <c r="E1453" t="inlineStr">
        <is>
          <t>SÖDERTÄLJE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47758-2023</t>
        </is>
      </c>
      <c r="B1454" s="1" t="n">
        <v>45203.83891203703</v>
      </c>
      <c r="C1454" s="1" t="n">
        <v>46033</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14264-2025</t>
        </is>
      </c>
      <c r="B1455" s="1" t="n">
        <v>45740.6340162037</v>
      </c>
      <c r="C1455" s="1" t="n">
        <v>46033</v>
      </c>
      <c r="D1455" t="inlineStr">
        <is>
          <t>STOCKHOLMS LÄN</t>
        </is>
      </c>
      <c r="E1455" t="inlineStr">
        <is>
          <t>HANINGE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20698-2025</t>
        </is>
      </c>
      <c r="B1456" s="1" t="n">
        <v>45776.47122685185</v>
      </c>
      <c r="C1456" s="1" t="n">
        <v>46033</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18512-2024</t>
        </is>
      </c>
      <c r="B1457" s="1" t="n">
        <v>45425.59938657407</v>
      </c>
      <c r="C1457" s="1" t="n">
        <v>46033</v>
      </c>
      <c r="D1457" t="inlineStr">
        <is>
          <t>STOCKHOLMS LÄN</t>
        </is>
      </c>
      <c r="E1457" t="inlineStr">
        <is>
          <t>HANINGE</t>
        </is>
      </c>
      <c r="F1457" t="inlineStr">
        <is>
          <t>Kommuner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50294-2023</t>
        </is>
      </c>
      <c r="B1458" s="1" t="n">
        <v>45216</v>
      </c>
      <c r="C1458" s="1" t="n">
        <v>46033</v>
      </c>
      <c r="D1458" t="inlineStr">
        <is>
          <t>STOCKHOLMS LÄN</t>
        </is>
      </c>
      <c r="E1458" t="inlineStr">
        <is>
          <t>UPPLANDS-BRO</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47128-2023</t>
        </is>
      </c>
      <c r="B1459" s="1" t="n">
        <v>45196</v>
      </c>
      <c r="C1459" s="1" t="n">
        <v>46033</v>
      </c>
      <c r="D1459" t="inlineStr">
        <is>
          <t>STOCKHOLMS LÄN</t>
        </is>
      </c>
      <c r="E1459" t="inlineStr">
        <is>
          <t>NYNÄSHAMN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51061-2023</t>
        </is>
      </c>
      <c r="B1460" s="1" t="n">
        <v>45218.65849537037</v>
      </c>
      <c r="C1460" s="1" t="n">
        <v>46033</v>
      </c>
      <c r="D1460" t="inlineStr">
        <is>
          <t>STOCKHOLMS LÄN</t>
        </is>
      </c>
      <c r="E1460" t="inlineStr">
        <is>
          <t>NORRTÄLJE</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36082-2025</t>
        </is>
      </c>
      <c r="B1461" s="1" t="n">
        <v>45866.45336805555</v>
      </c>
      <c r="C1461" s="1" t="n">
        <v>46033</v>
      </c>
      <c r="D1461" t="inlineStr">
        <is>
          <t>STOCKHOLMS LÄN</t>
        </is>
      </c>
      <c r="E1461" t="inlineStr">
        <is>
          <t>NYNÄSHAMN</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22697-2022</t>
        </is>
      </c>
      <c r="B1462" s="1" t="n">
        <v>44714.56040509259</v>
      </c>
      <c r="C1462" s="1" t="n">
        <v>46033</v>
      </c>
      <c r="D1462" t="inlineStr">
        <is>
          <t>STOCKHOLMS LÄN</t>
        </is>
      </c>
      <c r="E1462" t="inlineStr">
        <is>
          <t>NORRTÄLJE</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56756-2021</t>
        </is>
      </c>
      <c r="B1463" s="1" t="n">
        <v>44481</v>
      </c>
      <c r="C1463" s="1" t="n">
        <v>46033</v>
      </c>
      <c r="D1463" t="inlineStr">
        <is>
          <t>STOCKHOLMS LÄN</t>
        </is>
      </c>
      <c r="E1463" t="inlineStr">
        <is>
          <t>UPPLANDS-BRO</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53299-2025</t>
        </is>
      </c>
      <c r="B1464" s="1" t="n">
        <v>45959.31901620371</v>
      </c>
      <c r="C1464" s="1" t="n">
        <v>46033</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53087-2025</t>
        </is>
      </c>
      <c r="B1465" s="1" t="n">
        <v>45958.41065972222</v>
      </c>
      <c r="C1465" s="1" t="n">
        <v>46033</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45549-2022</t>
        </is>
      </c>
      <c r="B1466" s="1" t="n">
        <v>44845.48064814815</v>
      </c>
      <c r="C1466" s="1" t="n">
        <v>46033</v>
      </c>
      <c r="D1466" t="inlineStr">
        <is>
          <t>STOCKHOLMS LÄN</t>
        </is>
      </c>
      <c r="E1466" t="inlineStr">
        <is>
          <t>NORRTÄLJE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54396-2021</t>
        </is>
      </c>
      <c r="B1467" s="1" t="n">
        <v>44472</v>
      </c>
      <c r="C1467" s="1" t="n">
        <v>46033</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24727-2023</t>
        </is>
      </c>
      <c r="B1468" s="1" t="n">
        <v>45084.57695601852</v>
      </c>
      <c r="C1468" s="1" t="n">
        <v>46033</v>
      </c>
      <c r="D1468" t="inlineStr">
        <is>
          <t>STOCKHOLMS LÄN</t>
        </is>
      </c>
      <c r="E1468" t="inlineStr">
        <is>
          <t>NORRTÄLJE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22528-2024</t>
        </is>
      </c>
      <c r="B1469" s="1" t="n">
        <v>45447.44967592593</v>
      </c>
      <c r="C1469" s="1" t="n">
        <v>46033</v>
      </c>
      <c r="D1469" t="inlineStr">
        <is>
          <t>STOCKHOLMS LÄN</t>
        </is>
      </c>
      <c r="E1469" t="inlineStr">
        <is>
          <t>ÖSTERÅKER</t>
        </is>
      </c>
      <c r="F1469" t="inlineStr">
        <is>
          <t>Övriga Aktiebolag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48722-2023</t>
        </is>
      </c>
      <c r="B1470" s="1" t="n">
        <v>45208.70996527778</v>
      </c>
      <c r="C1470" s="1" t="n">
        <v>46033</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53115-2025</t>
        </is>
      </c>
      <c r="B1471" s="1" t="n">
        <v>45958.44614583333</v>
      </c>
      <c r="C1471" s="1" t="n">
        <v>46033</v>
      </c>
      <c r="D1471" t="inlineStr">
        <is>
          <t>STOCKHOLMS LÄN</t>
        </is>
      </c>
      <c r="E1471" t="inlineStr">
        <is>
          <t>NORRTÄLJE</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35235-2024</t>
        </is>
      </c>
      <c r="B1472" s="1" t="n">
        <v>45530</v>
      </c>
      <c r="C1472" s="1" t="n">
        <v>46033</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36509-2025</t>
        </is>
      </c>
      <c r="B1473" s="1" t="n">
        <v>45869.57434027778</v>
      </c>
      <c r="C1473" s="1" t="n">
        <v>46033</v>
      </c>
      <c r="D1473" t="inlineStr">
        <is>
          <t>STOCKHOLMS LÄN</t>
        </is>
      </c>
      <c r="E1473" t="inlineStr">
        <is>
          <t>NYNÄSHAMN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13836-2022</t>
        </is>
      </c>
      <c r="B1474" s="1" t="n">
        <v>44649</v>
      </c>
      <c r="C1474" s="1" t="n">
        <v>46033</v>
      </c>
      <c r="D1474" t="inlineStr">
        <is>
          <t>STOCKHOLMS LÄN</t>
        </is>
      </c>
      <c r="E1474" t="inlineStr">
        <is>
          <t>VALLENTUNA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22232-2024</t>
        </is>
      </c>
      <c r="B1475" s="1" t="n">
        <v>45446.4287962963</v>
      </c>
      <c r="C1475" s="1" t="n">
        <v>46033</v>
      </c>
      <c r="D1475" t="inlineStr">
        <is>
          <t>STOCKHOLMS LÄN</t>
        </is>
      </c>
      <c r="E1475" t="inlineStr">
        <is>
          <t>NORRTÄLJE</t>
        </is>
      </c>
      <c r="G1475" t="n">
        <v>12.8</v>
      </c>
      <c r="H1475" t="n">
        <v>0</v>
      </c>
      <c r="I1475" t="n">
        <v>0</v>
      </c>
      <c r="J1475" t="n">
        <v>0</v>
      </c>
      <c r="K1475" t="n">
        <v>0</v>
      </c>
      <c r="L1475" t="n">
        <v>0</v>
      </c>
      <c r="M1475" t="n">
        <v>0</v>
      </c>
      <c r="N1475" t="n">
        <v>0</v>
      </c>
      <c r="O1475" t="n">
        <v>0</v>
      </c>
      <c r="P1475" t="n">
        <v>0</v>
      </c>
      <c r="Q1475" t="n">
        <v>0</v>
      </c>
      <c r="R1475" s="2" t="inlineStr"/>
    </row>
    <row r="1476" ht="15" customHeight="1">
      <c r="A1476" t="inlineStr">
        <is>
          <t>A 1448-2023</t>
        </is>
      </c>
      <c r="B1476" s="1" t="n">
        <v>44937</v>
      </c>
      <c r="C1476" s="1" t="n">
        <v>46033</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61646-2025</t>
        </is>
      </c>
      <c r="B1477" s="1" t="n">
        <v>46002</v>
      </c>
      <c r="C1477" s="1" t="n">
        <v>46033</v>
      </c>
      <c r="D1477" t="inlineStr">
        <is>
          <t>STOCKHOLMS LÄN</t>
        </is>
      </c>
      <c r="E1477" t="inlineStr">
        <is>
          <t>VALLENTUNA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36396-2025</t>
        </is>
      </c>
      <c r="B1478" s="1" t="n">
        <v>45868.62267361111</v>
      </c>
      <c r="C1478" s="1" t="n">
        <v>46033</v>
      </c>
      <c r="D1478" t="inlineStr">
        <is>
          <t>STOCKHOLMS LÄN</t>
        </is>
      </c>
      <c r="E1478" t="inlineStr">
        <is>
          <t>NORRTÄLJE</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36496-2025</t>
        </is>
      </c>
      <c r="B1479" s="1" t="n">
        <v>45869.55287037037</v>
      </c>
      <c r="C1479" s="1" t="n">
        <v>46033</v>
      </c>
      <c r="D1479" t="inlineStr">
        <is>
          <t>STOCKHOLMS LÄN</t>
        </is>
      </c>
      <c r="E1479" t="inlineStr">
        <is>
          <t>NYNÄSHAMN</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36468-2025</t>
        </is>
      </c>
      <c r="B1480" s="1" t="n">
        <v>45869.47163194444</v>
      </c>
      <c r="C1480" s="1" t="n">
        <v>46033</v>
      </c>
      <c r="D1480" t="inlineStr">
        <is>
          <t>STOCKHOLMS LÄN</t>
        </is>
      </c>
      <c r="E1480" t="inlineStr">
        <is>
          <t>NYNÄSHAMN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8736-2024</t>
        </is>
      </c>
      <c r="B1481" s="1" t="n">
        <v>45356.4722800926</v>
      </c>
      <c r="C1481" s="1" t="n">
        <v>46033</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32044-2023</t>
        </is>
      </c>
      <c r="B1482" s="1" t="n">
        <v>45119</v>
      </c>
      <c r="C1482" s="1" t="n">
        <v>46033</v>
      </c>
      <c r="D1482" t="inlineStr">
        <is>
          <t>STOCKHOLMS LÄN</t>
        </is>
      </c>
      <c r="E1482" t="inlineStr">
        <is>
          <t>SÖDERTÄLJE</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32074-2023</t>
        </is>
      </c>
      <c r="B1483" s="1" t="n">
        <v>45119</v>
      </c>
      <c r="C1483" s="1" t="n">
        <v>46033</v>
      </c>
      <c r="D1483" t="inlineStr">
        <is>
          <t>STOCKHOLMS LÄN</t>
        </is>
      </c>
      <c r="E1483" t="inlineStr">
        <is>
          <t>NYNÄSHAMN</t>
        </is>
      </c>
      <c r="F1483" t="inlineStr">
        <is>
          <t>Kommuner</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36611-2025</t>
        </is>
      </c>
      <c r="B1484" s="1" t="n">
        <v>45870</v>
      </c>
      <c r="C1484" s="1" t="n">
        <v>46033</v>
      </c>
      <c r="D1484" t="inlineStr">
        <is>
          <t>STOCKHOLMS LÄN</t>
        </is>
      </c>
      <c r="E1484" t="inlineStr">
        <is>
          <t>ÖSTERÅKER</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33149-2022</t>
        </is>
      </c>
      <c r="B1485" s="1" t="n">
        <v>44785</v>
      </c>
      <c r="C1485" s="1" t="n">
        <v>46033</v>
      </c>
      <c r="D1485" t="inlineStr">
        <is>
          <t>STOCKHOLMS LÄN</t>
        </is>
      </c>
      <c r="E1485" t="inlineStr">
        <is>
          <t>NORRTÄLJE</t>
        </is>
      </c>
      <c r="F1485" t="inlineStr">
        <is>
          <t>Holmen skog AB</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36614-2025</t>
        </is>
      </c>
      <c r="B1486" s="1" t="n">
        <v>45870</v>
      </c>
      <c r="C1486" s="1" t="n">
        <v>46033</v>
      </c>
      <c r="D1486" t="inlineStr">
        <is>
          <t>STOCKHOLMS LÄN</t>
        </is>
      </c>
      <c r="E1486" t="inlineStr">
        <is>
          <t>ÖSTERÅKER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53629-2025</t>
        </is>
      </c>
      <c r="B1487" s="1" t="n">
        <v>45960.49570601852</v>
      </c>
      <c r="C1487" s="1" t="n">
        <v>46033</v>
      </c>
      <c r="D1487" t="inlineStr">
        <is>
          <t>STOCKHOLMS LÄN</t>
        </is>
      </c>
      <c r="E1487" t="inlineStr">
        <is>
          <t>NORRTÄLJE</t>
        </is>
      </c>
      <c r="F1487" t="inlineStr">
        <is>
          <t>Naturvårdsverket</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36612-2025</t>
        </is>
      </c>
      <c r="B1488" s="1" t="n">
        <v>45870</v>
      </c>
      <c r="C1488" s="1" t="n">
        <v>46033</v>
      </c>
      <c r="D1488" t="inlineStr">
        <is>
          <t>STOCKHOLMS LÄN</t>
        </is>
      </c>
      <c r="E1488" t="inlineStr">
        <is>
          <t>ÖSTERÅKER</t>
        </is>
      </c>
      <c r="F1488" t="inlineStr">
        <is>
          <t>Övriga Aktiebolag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61735-2025</t>
        </is>
      </c>
      <c r="B1489" s="1" t="n">
        <v>46002.594375</v>
      </c>
      <c r="C1489" s="1" t="n">
        <v>46033</v>
      </c>
      <c r="D1489" t="inlineStr">
        <is>
          <t>STOCKHOLMS LÄN</t>
        </is>
      </c>
      <c r="E1489" t="inlineStr">
        <is>
          <t>SÖDERTÄLJE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61769-2025</t>
        </is>
      </c>
      <c r="B1490" s="1" t="n">
        <v>46002.64556712963</v>
      </c>
      <c r="C1490" s="1" t="n">
        <v>46033</v>
      </c>
      <c r="D1490" t="inlineStr">
        <is>
          <t>STOCKHOLMS LÄN</t>
        </is>
      </c>
      <c r="E1490" t="inlineStr">
        <is>
          <t>NORRTÄLJE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1184-2024</t>
        </is>
      </c>
      <c r="B1491" s="1" t="n">
        <v>45302.57663194444</v>
      </c>
      <c r="C1491" s="1" t="n">
        <v>46033</v>
      </c>
      <c r="D1491" t="inlineStr">
        <is>
          <t>STOCKHOLMS LÄN</t>
        </is>
      </c>
      <c r="E1491" t="inlineStr">
        <is>
          <t>HANINGE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55941-2023</t>
        </is>
      </c>
      <c r="B1492" s="1" t="n">
        <v>45240</v>
      </c>
      <c r="C1492" s="1" t="n">
        <v>46033</v>
      </c>
      <c r="D1492" t="inlineStr">
        <is>
          <t>STOCKHOLMS LÄN</t>
        </is>
      </c>
      <c r="E1492" t="inlineStr">
        <is>
          <t>SÖDERTÄLJE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41702-2023</t>
        </is>
      </c>
      <c r="B1493" s="1" t="n">
        <v>45176</v>
      </c>
      <c r="C1493" s="1" t="n">
        <v>46033</v>
      </c>
      <c r="D1493" t="inlineStr">
        <is>
          <t>STOCKHOLMS LÄN</t>
        </is>
      </c>
      <c r="E1493" t="inlineStr">
        <is>
          <t>SIGTUNA</t>
        </is>
      </c>
      <c r="F1493" t="inlineStr">
        <is>
          <t>Allmännings- och besparingsskogar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6537-2024</t>
        </is>
      </c>
      <c r="B1494" s="1" t="n">
        <v>45341.39853009259</v>
      </c>
      <c r="C1494" s="1" t="n">
        <v>46033</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40175-2024</t>
        </is>
      </c>
      <c r="B1495" s="1" t="n">
        <v>45554.55707175926</v>
      </c>
      <c r="C1495" s="1" t="n">
        <v>46033</v>
      </c>
      <c r="D1495" t="inlineStr">
        <is>
          <t>STOCKHOLMS LÄN</t>
        </is>
      </c>
      <c r="E1495" t="inlineStr">
        <is>
          <t>NORRTÄLJE</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28982-2024</t>
        </is>
      </c>
      <c r="B1496" s="1" t="n">
        <v>45481.47568287037</v>
      </c>
      <c r="C1496" s="1" t="n">
        <v>46033</v>
      </c>
      <c r="D1496" t="inlineStr">
        <is>
          <t>STOCKHOLMS LÄN</t>
        </is>
      </c>
      <c r="E1496" t="inlineStr">
        <is>
          <t>SÖDERTÄLJE</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54558-2024</t>
        </is>
      </c>
      <c r="B1497" s="1" t="n">
        <v>45617.62358796296</v>
      </c>
      <c r="C1497" s="1" t="n">
        <v>46033</v>
      </c>
      <c r="D1497" t="inlineStr">
        <is>
          <t>STOCKHOLMS LÄN</t>
        </is>
      </c>
      <c r="E1497" t="inlineStr">
        <is>
          <t>NORRTÄLJE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4804-2024</t>
        </is>
      </c>
      <c r="B1498" s="1" t="n">
        <v>45328</v>
      </c>
      <c r="C1498" s="1" t="n">
        <v>46033</v>
      </c>
      <c r="D1498" t="inlineStr">
        <is>
          <t>STOCKHOLMS LÄN</t>
        </is>
      </c>
      <c r="E1498" t="inlineStr">
        <is>
          <t>VALLENTUNA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27868-2025</t>
        </is>
      </c>
      <c r="B1499" s="1" t="n">
        <v>45817</v>
      </c>
      <c r="C1499" s="1" t="n">
        <v>46033</v>
      </c>
      <c r="D1499" t="inlineStr">
        <is>
          <t>STOCKHOLMS LÄN</t>
        </is>
      </c>
      <c r="E1499" t="inlineStr">
        <is>
          <t>VALLENTUNA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23056-2023</t>
        </is>
      </c>
      <c r="B1500" s="1" t="n">
        <v>45075</v>
      </c>
      <c r="C1500" s="1" t="n">
        <v>46033</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47431-2023</t>
        </is>
      </c>
      <c r="B1501" s="1" t="n">
        <v>45202</v>
      </c>
      <c r="C1501" s="1" t="n">
        <v>46033</v>
      </c>
      <c r="D1501" t="inlineStr">
        <is>
          <t>STOCKHOLMS LÄN</t>
        </is>
      </c>
      <c r="E1501" t="inlineStr">
        <is>
          <t>NORRTÄLJE</t>
        </is>
      </c>
      <c r="F1501" t="inlineStr">
        <is>
          <t>Naturvårdsverket</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46033</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53747-2025</t>
        </is>
      </c>
      <c r="B1503" s="1" t="n">
        <v>45960.65415509259</v>
      </c>
      <c r="C1503" s="1" t="n">
        <v>46033</v>
      </c>
      <c r="D1503" t="inlineStr">
        <is>
          <t>STOCKHOLMS LÄN</t>
        </is>
      </c>
      <c r="E1503" t="inlineStr">
        <is>
          <t>NORRTÄLJE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59468-2023</t>
        </is>
      </c>
      <c r="B1504" s="1" t="n">
        <v>45254.41509259259</v>
      </c>
      <c r="C1504" s="1" t="n">
        <v>46033</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28143-2024</t>
        </is>
      </c>
      <c r="B1505" s="1" t="n">
        <v>45476</v>
      </c>
      <c r="C1505" s="1" t="n">
        <v>46033</v>
      </c>
      <c r="D1505" t="inlineStr">
        <is>
          <t>STOCKHOLMS LÄN</t>
        </is>
      </c>
      <c r="E1505" t="inlineStr">
        <is>
          <t>ÖSTERÅKER</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37261-2025</t>
        </is>
      </c>
      <c r="B1506" s="1" t="n">
        <v>45876.45253472222</v>
      </c>
      <c r="C1506" s="1" t="n">
        <v>46033</v>
      </c>
      <c r="D1506" t="inlineStr">
        <is>
          <t>STOCKHOLMS LÄN</t>
        </is>
      </c>
      <c r="E1506" t="inlineStr">
        <is>
          <t>NORRTÄLJE</t>
        </is>
      </c>
      <c r="F1506" t="inlineStr">
        <is>
          <t>Kommuner</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12532-2025</t>
        </is>
      </c>
      <c r="B1507" s="1" t="n">
        <v>45730.69143518519</v>
      </c>
      <c r="C1507" s="1" t="n">
        <v>46033</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5732-2023</t>
        </is>
      </c>
      <c r="B1508" s="1" t="n">
        <v>44962</v>
      </c>
      <c r="C1508" s="1" t="n">
        <v>46033</v>
      </c>
      <c r="D1508" t="inlineStr">
        <is>
          <t>STOCKHOLMS LÄN</t>
        </is>
      </c>
      <c r="E1508" t="inlineStr">
        <is>
          <t>NORRTÄLJE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37245-2025</t>
        </is>
      </c>
      <c r="B1509" s="1" t="n">
        <v>45876.39396990741</v>
      </c>
      <c r="C1509" s="1" t="n">
        <v>46033</v>
      </c>
      <c r="D1509" t="inlineStr">
        <is>
          <t>STOCKHOLMS LÄN</t>
        </is>
      </c>
      <c r="E1509" t="inlineStr">
        <is>
          <t>EKERÖ</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36179-2022</t>
        </is>
      </c>
      <c r="B1510" s="1" t="n">
        <v>44803</v>
      </c>
      <c r="C1510" s="1" t="n">
        <v>46033</v>
      </c>
      <c r="D1510" t="inlineStr">
        <is>
          <t>STOCKHOLMS LÄN</t>
        </is>
      </c>
      <c r="E1510" t="inlineStr">
        <is>
          <t>SIGTUNA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10653-2022</t>
        </is>
      </c>
      <c r="B1511" s="1" t="n">
        <v>44624.59434027778</v>
      </c>
      <c r="C1511" s="1" t="n">
        <v>46033</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60731-2025</t>
        </is>
      </c>
      <c r="B1512" s="1" t="n">
        <v>45995</v>
      </c>
      <c r="C1512" s="1" t="n">
        <v>46033</v>
      </c>
      <c r="D1512" t="inlineStr">
        <is>
          <t>STOCKHOLMS LÄN</t>
        </is>
      </c>
      <c r="E1512" t="inlineStr">
        <is>
          <t>SALEM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43230-2022</t>
        </is>
      </c>
      <c r="B1513" s="1" t="n">
        <v>44834</v>
      </c>
      <c r="C1513" s="1" t="n">
        <v>46033</v>
      </c>
      <c r="D1513" t="inlineStr">
        <is>
          <t>STOCKHOLMS LÄN</t>
        </is>
      </c>
      <c r="E1513" t="inlineStr">
        <is>
          <t>NYKVARN</t>
        </is>
      </c>
      <c r="F1513" t="inlineStr">
        <is>
          <t>Allmännings- och besparingsskogar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44947-2021</t>
        </is>
      </c>
      <c r="B1514" s="1" t="n">
        <v>44438.69939814815</v>
      </c>
      <c r="C1514" s="1" t="n">
        <v>46033</v>
      </c>
      <c r="D1514" t="inlineStr">
        <is>
          <t>STOCKHOLMS LÄN</t>
        </is>
      </c>
      <c r="E1514" t="inlineStr">
        <is>
          <t>NYKVARN</t>
        </is>
      </c>
      <c r="F1514" t="inlineStr">
        <is>
          <t>Allmännings- och besparingsskogar</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21729-2024</t>
        </is>
      </c>
      <c r="B1515" s="1" t="n">
        <v>45442</v>
      </c>
      <c r="C1515" s="1" t="n">
        <v>46033</v>
      </c>
      <c r="D1515" t="inlineStr">
        <is>
          <t>STOCKHOLMS LÄN</t>
        </is>
      </c>
      <c r="E1515" t="inlineStr">
        <is>
          <t>NORRTÄLJE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2990-2023</t>
        </is>
      </c>
      <c r="B1516" s="1" t="n">
        <v>44945</v>
      </c>
      <c r="C1516" s="1" t="n">
        <v>46033</v>
      </c>
      <c r="D1516" t="inlineStr">
        <is>
          <t>STOCKHOLMS LÄN</t>
        </is>
      </c>
      <c r="E1516" t="inlineStr">
        <is>
          <t>SALEM</t>
        </is>
      </c>
      <c r="F1516" t="inlineStr">
        <is>
          <t>Kommuner</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9017-2023</t>
        </is>
      </c>
      <c r="B1517" s="1" t="n">
        <v>44979</v>
      </c>
      <c r="C1517" s="1" t="n">
        <v>46033</v>
      </c>
      <c r="D1517" t="inlineStr">
        <is>
          <t>STOCKHOLMS LÄN</t>
        </is>
      </c>
      <c r="E1517" t="inlineStr">
        <is>
          <t>NYNÄSHAMN</t>
        </is>
      </c>
      <c r="F1517" t="inlineStr">
        <is>
          <t>Kommuner</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17020-2022</t>
        </is>
      </c>
      <c r="B1518" s="1" t="n">
        <v>44676</v>
      </c>
      <c r="C1518" s="1" t="n">
        <v>46033</v>
      </c>
      <c r="D1518" t="inlineStr">
        <is>
          <t>STOCKHOLMS LÄN</t>
        </is>
      </c>
      <c r="E1518" t="inlineStr">
        <is>
          <t>HANINGE</t>
        </is>
      </c>
      <c r="F1518" t="inlineStr">
        <is>
          <t>Övriga statliga verk och myndigheter</t>
        </is>
      </c>
      <c r="G1518" t="n">
        <v>12.4</v>
      </c>
      <c r="H1518" t="n">
        <v>0</v>
      </c>
      <c r="I1518" t="n">
        <v>0</v>
      </c>
      <c r="J1518" t="n">
        <v>0</v>
      </c>
      <c r="K1518" t="n">
        <v>0</v>
      </c>
      <c r="L1518" t="n">
        <v>0</v>
      </c>
      <c r="M1518" t="n">
        <v>0</v>
      </c>
      <c r="N1518" t="n">
        <v>0</v>
      </c>
      <c r="O1518" t="n">
        <v>0</v>
      </c>
      <c r="P1518" t="n">
        <v>0</v>
      </c>
      <c r="Q1518" t="n">
        <v>0</v>
      </c>
      <c r="R1518" s="2" t="inlineStr"/>
    </row>
    <row r="1519" ht="15" customHeight="1">
      <c r="A1519" t="inlineStr">
        <is>
          <t>A 11854-2025</t>
        </is>
      </c>
      <c r="B1519" s="1" t="n">
        <v>45728.38924768518</v>
      </c>
      <c r="C1519" s="1" t="n">
        <v>46033</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37628-2025</t>
        </is>
      </c>
      <c r="B1520" s="1" t="n">
        <v>45880.46189814815</v>
      </c>
      <c r="C1520" s="1" t="n">
        <v>46033</v>
      </c>
      <c r="D1520" t="inlineStr">
        <is>
          <t>STOCKHOLMS LÄN</t>
        </is>
      </c>
      <c r="E1520" t="inlineStr">
        <is>
          <t>NORRTÄLJE</t>
        </is>
      </c>
      <c r="F1520" t="inlineStr">
        <is>
          <t>Sveaskog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29369-2024</t>
        </is>
      </c>
      <c r="B1521" s="1" t="n">
        <v>45483.57244212963</v>
      </c>
      <c r="C1521" s="1" t="n">
        <v>46033</v>
      </c>
      <c r="D1521" t="inlineStr">
        <is>
          <t>STOCKHOLMS LÄN</t>
        </is>
      </c>
      <c r="E1521" t="inlineStr">
        <is>
          <t>NORRTÄLJE</t>
        </is>
      </c>
      <c r="G1521" t="n">
        <v>15.9</v>
      </c>
      <c r="H1521" t="n">
        <v>0</v>
      </c>
      <c r="I1521" t="n">
        <v>0</v>
      </c>
      <c r="J1521" t="n">
        <v>0</v>
      </c>
      <c r="K1521" t="n">
        <v>0</v>
      </c>
      <c r="L1521" t="n">
        <v>0</v>
      </c>
      <c r="M1521" t="n">
        <v>0</v>
      </c>
      <c r="N1521" t="n">
        <v>0</v>
      </c>
      <c r="O1521" t="n">
        <v>0</v>
      </c>
      <c r="P1521" t="n">
        <v>0</v>
      </c>
      <c r="Q1521" t="n">
        <v>0</v>
      </c>
      <c r="R1521" s="2" t="inlineStr"/>
    </row>
    <row r="1522" ht="15" customHeight="1">
      <c r="A1522" t="inlineStr">
        <is>
          <t>A 14762-2024</t>
        </is>
      </c>
      <c r="B1522" s="1" t="n">
        <v>45397</v>
      </c>
      <c r="C1522" s="1" t="n">
        <v>46033</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37632-2025</t>
        </is>
      </c>
      <c r="B1523" s="1" t="n">
        <v>45880.46524305556</v>
      </c>
      <c r="C1523" s="1" t="n">
        <v>46033</v>
      </c>
      <c r="D1523" t="inlineStr">
        <is>
          <t>STOCKHOLMS LÄN</t>
        </is>
      </c>
      <c r="E1523" t="inlineStr">
        <is>
          <t>NORRTÄLJE</t>
        </is>
      </c>
      <c r="F1523" t="inlineStr">
        <is>
          <t>Sveaskog</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29841-2024</t>
        </is>
      </c>
      <c r="B1524" s="1" t="n">
        <v>45485.60261574074</v>
      </c>
      <c r="C1524" s="1" t="n">
        <v>46033</v>
      </c>
      <c r="D1524" t="inlineStr">
        <is>
          <t>STOCKHOLMS LÄN</t>
        </is>
      </c>
      <c r="E1524" t="inlineStr">
        <is>
          <t>NORRTÄLJE</t>
        </is>
      </c>
      <c r="G1524" t="n">
        <v>15.9</v>
      </c>
      <c r="H1524" t="n">
        <v>0</v>
      </c>
      <c r="I1524" t="n">
        <v>0</v>
      </c>
      <c r="J1524" t="n">
        <v>0</v>
      </c>
      <c r="K1524" t="n">
        <v>0</v>
      </c>
      <c r="L1524" t="n">
        <v>0</v>
      </c>
      <c r="M1524" t="n">
        <v>0</v>
      </c>
      <c r="N1524" t="n">
        <v>0</v>
      </c>
      <c r="O1524" t="n">
        <v>0</v>
      </c>
      <c r="P1524" t="n">
        <v>0</v>
      </c>
      <c r="Q1524" t="n">
        <v>0</v>
      </c>
      <c r="R1524" s="2" t="inlineStr"/>
    </row>
    <row r="1525" ht="15" customHeight="1">
      <c r="A1525" t="inlineStr">
        <is>
          <t>A 58011-2021</t>
        </is>
      </c>
      <c r="B1525" s="1" t="n">
        <v>44487</v>
      </c>
      <c r="C1525" s="1" t="n">
        <v>46033</v>
      </c>
      <c r="D1525" t="inlineStr">
        <is>
          <t>STOCKHOLMS LÄN</t>
        </is>
      </c>
      <c r="E1525" t="inlineStr">
        <is>
          <t>UPPLANDS-BRO</t>
        </is>
      </c>
      <c r="F1525" t="inlineStr">
        <is>
          <t>Övriga statliga verk och myndigheter</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20692-2025</t>
        </is>
      </c>
      <c r="B1526" s="1" t="n">
        <v>45776.46369212963</v>
      </c>
      <c r="C1526" s="1" t="n">
        <v>46033</v>
      </c>
      <c r="D1526" t="inlineStr">
        <is>
          <t>STOCKHOLMS LÄN</t>
        </is>
      </c>
      <c r="E1526" t="inlineStr">
        <is>
          <t>NORRTÄLJE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37630-2025</t>
        </is>
      </c>
      <c r="B1527" s="1" t="n">
        <v>45880.46372685185</v>
      </c>
      <c r="C1527" s="1" t="n">
        <v>46033</v>
      </c>
      <c r="D1527" t="inlineStr">
        <is>
          <t>STOCKHOLMS LÄN</t>
        </is>
      </c>
      <c r="E1527" t="inlineStr">
        <is>
          <t>NORRTÄLJE</t>
        </is>
      </c>
      <c r="F1527" t="inlineStr">
        <is>
          <t>Sveaskog</t>
        </is>
      </c>
      <c r="G1527" t="n">
        <v>12.9</v>
      </c>
      <c r="H1527" t="n">
        <v>0</v>
      </c>
      <c r="I1527" t="n">
        <v>0</v>
      </c>
      <c r="J1527" t="n">
        <v>0</v>
      </c>
      <c r="K1527" t="n">
        <v>0</v>
      </c>
      <c r="L1527" t="n">
        <v>0</v>
      </c>
      <c r="M1527" t="n">
        <v>0</v>
      </c>
      <c r="N1527" t="n">
        <v>0</v>
      </c>
      <c r="O1527" t="n">
        <v>0</v>
      </c>
      <c r="P1527" t="n">
        <v>0</v>
      </c>
      <c r="Q1527" t="n">
        <v>0</v>
      </c>
      <c r="R1527" s="2" t="inlineStr"/>
    </row>
    <row r="1528" ht="15" customHeight="1">
      <c r="A1528" t="inlineStr">
        <is>
          <t>A 61764-2025</t>
        </is>
      </c>
      <c r="B1528" s="1" t="n">
        <v>46002.62763888889</v>
      </c>
      <c r="C1528" s="1" t="n">
        <v>46033</v>
      </c>
      <c r="D1528" t="inlineStr">
        <is>
          <t>STOCKHOLMS LÄN</t>
        </is>
      </c>
      <c r="E1528" t="inlineStr">
        <is>
          <t>NORRTÄLJE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59712-2024</t>
        </is>
      </c>
      <c r="B1529" s="1" t="n">
        <v>45639.45166666667</v>
      </c>
      <c r="C1529" s="1" t="n">
        <v>46033</v>
      </c>
      <c r="D1529" t="inlineStr">
        <is>
          <t>STOCKHOLMS LÄN</t>
        </is>
      </c>
      <c r="E1529" t="inlineStr">
        <is>
          <t>NORRTÄLJE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46071-2024</t>
        </is>
      </c>
      <c r="B1530" s="1" t="n">
        <v>45581</v>
      </c>
      <c r="C1530" s="1" t="n">
        <v>46033</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5968-2023</t>
        </is>
      </c>
      <c r="B1531" s="1" t="n">
        <v>44959</v>
      </c>
      <c r="C1531" s="1" t="n">
        <v>46033</v>
      </c>
      <c r="D1531" t="inlineStr">
        <is>
          <t>STOCKHOLMS LÄN</t>
        </is>
      </c>
      <c r="E1531" t="inlineStr">
        <is>
          <t>VAXHOLM</t>
        </is>
      </c>
      <c r="F1531" t="inlineStr">
        <is>
          <t>Övriga statliga verk och myndigheter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52950-2024</t>
        </is>
      </c>
      <c r="B1532" s="1" t="n">
        <v>45610.89103009259</v>
      </c>
      <c r="C1532" s="1" t="n">
        <v>46033</v>
      </c>
      <c r="D1532" t="inlineStr">
        <is>
          <t>STOCKHOLMS LÄN</t>
        </is>
      </c>
      <c r="E1532" t="inlineStr">
        <is>
          <t>NYNÄSHAMN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46405-2022</t>
        </is>
      </c>
      <c r="B1533" s="1" t="n">
        <v>44846</v>
      </c>
      <c r="C1533" s="1" t="n">
        <v>46033</v>
      </c>
      <c r="D1533" t="inlineStr">
        <is>
          <t>STOCKHOLMS LÄN</t>
        </is>
      </c>
      <c r="E1533" t="inlineStr">
        <is>
          <t>BOTKYRKA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35127-2023</t>
        </is>
      </c>
      <c r="B1534" s="1" t="n">
        <v>45145.51</v>
      </c>
      <c r="C1534" s="1" t="n">
        <v>46033</v>
      </c>
      <c r="D1534" t="inlineStr">
        <is>
          <t>STOCKHOLMS LÄN</t>
        </is>
      </c>
      <c r="E1534" t="inlineStr">
        <is>
          <t>NORRTÄLJE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33046-2022</t>
        </is>
      </c>
      <c r="B1535" s="1" t="n">
        <v>44785</v>
      </c>
      <c r="C1535" s="1" t="n">
        <v>46033</v>
      </c>
      <c r="D1535" t="inlineStr">
        <is>
          <t>STOCKHOLMS LÄN</t>
        </is>
      </c>
      <c r="E1535" t="inlineStr">
        <is>
          <t>VÄRMDÖ</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60733-2025</t>
        </is>
      </c>
      <c r="B1536" s="1" t="n">
        <v>45995</v>
      </c>
      <c r="C1536" s="1" t="n">
        <v>46033</v>
      </c>
      <c r="D1536" t="inlineStr">
        <is>
          <t>STOCKHOLMS LÄN</t>
        </is>
      </c>
      <c r="E1536" t="inlineStr">
        <is>
          <t>SALEM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12900-2022</t>
        </is>
      </c>
      <c r="B1537" s="1" t="n">
        <v>44642</v>
      </c>
      <c r="C1537" s="1" t="n">
        <v>46033</v>
      </c>
      <c r="D1537" t="inlineStr">
        <is>
          <t>STOCKHOLMS LÄN</t>
        </is>
      </c>
      <c r="E1537" t="inlineStr">
        <is>
          <t>SIGTUNA</t>
        </is>
      </c>
      <c r="G1537" t="n">
        <v>5.6</v>
      </c>
      <c r="H1537" t="n">
        <v>0</v>
      </c>
      <c r="I1537" t="n">
        <v>0</v>
      </c>
      <c r="J1537" t="n">
        <v>0</v>
      </c>
      <c r="K1537" t="n">
        <v>0</v>
      </c>
      <c r="L1537" t="n">
        <v>0</v>
      </c>
      <c r="M1537" t="n">
        <v>0</v>
      </c>
      <c r="N1537" t="n">
        <v>0</v>
      </c>
      <c r="O1537" t="n">
        <v>0</v>
      </c>
      <c r="P1537" t="n">
        <v>0</v>
      </c>
      <c r="Q1537" t="n">
        <v>0</v>
      </c>
      <c r="R1537" s="2" t="inlineStr"/>
      <c r="U1537">
        <f>HYPERLINK("https://klasma.github.io/Logging_0191/knärot/A 12900-2022 karta knärot.png", "A 12900-2022")</f>
        <v/>
      </c>
      <c r="V1537">
        <f>HYPERLINK("https://klasma.github.io/Logging_0191/klagomål/A 12900-2022 FSC-klagomål.docx", "A 12900-2022")</f>
        <v/>
      </c>
      <c r="W1537">
        <f>HYPERLINK("https://klasma.github.io/Logging_0191/klagomålsmail/A 12900-2022 FSC-klagomål mail.docx", "A 12900-2022")</f>
        <v/>
      </c>
      <c r="X1537">
        <f>HYPERLINK("https://klasma.github.io/Logging_0191/tillsyn/A 12900-2022 tillsynsbegäran.docx", "A 12900-2022")</f>
        <v/>
      </c>
      <c r="Y1537">
        <f>HYPERLINK("https://klasma.github.io/Logging_0191/tillsynsmail/A 12900-2022 tillsynsbegäran mail.docx", "A 12900-2022")</f>
        <v/>
      </c>
    </row>
    <row r="1538" ht="15" customHeight="1">
      <c r="A1538" t="inlineStr">
        <is>
          <t>A 17286-2022</t>
        </is>
      </c>
      <c r="B1538" s="1" t="n">
        <v>44678</v>
      </c>
      <c r="C1538" s="1" t="n">
        <v>46033</v>
      </c>
      <c r="D1538" t="inlineStr">
        <is>
          <t>STOCKHOLMS LÄN</t>
        </is>
      </c>
      <c r="E1538" t="inlineStr">
        <is>
          <t>SIGTUNA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13137-2024</t>
        </is>
      </c>
      <c r="B1539" s="1" t="n">
        <v>45386.34175925926</v>
      </c>
      <c r="C1539" s="1" t="n">
        <v>46033</v>
      </c>
      <c r="D1539" t="inlineStr">
        <is>
          <t>STOCKHOLMS LÄN</t>
        </is>
      </c>
      <c r="E1539" t="inlineStr">
        <is>
          <t>NORRTÄLJE</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44346-2021</t>
        </is>
      </c>
      <c r="B1540" s="1" t="n">
        <v>44434</v>
      </c>
      <c r="C1540" s="1" t="n">
        <v>46033</v>
      </c>
      <c r="D1540" t="inlineStr">
        <is>
          <t>STOCKHOLMS LÄN</t>
        </is>
      </c>
      <c r="E1540" t="inlineStr">
        <is>
          <t>VALLENTUNA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24350-2025</t>
        </is>
      </c>
      <c r="B1541" s="1" t="n">
        <v>45797.58350694444</v>
      </c>
      <c r="C1541" s="1" t="n">
        <v>46033</v>
      </c>
      <c r="D1541" t="inlineStr">
        <is>
          <t>STOCKHOLMS LÄN</t>
        </is>
      </c>
      <c r="E1541" t="inlineStr">
        <is>
          <t>NORRTÄLJE</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26703-2025</t>
        </is>
      </c>
      <c r="B1542" s="1" t="n">
        <v>45810.45263888889</v>
      </c>
      <c r="C1542" s="1" t="n">
        <v>46033</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92-2024</t>
        </is>
      </c>
      <c r="B1543" s="1" t="n">
        <v>45293</v>
      </c>
      <c r="C1543" s="1" t="n">
        <v>46033</v>
      </c>
      <c r="D1543" t="inlineStr">
        <is>
          <t>STOCKHOLMS LÄN</t>
        </is>
      </c>
      <c r="E1543" t="inlineStr">
        <is>
          <t>SÖDERTÄLJE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45255-2022</t>
        </is>
      </c>
      <c r="B1544" s="1" t="n">
        <v>44840</v>
      </c>
      <c r="C1544" s="1" t="n">
        <v>46033</v>
      </c>
      <c r="D1544" t="inlineStr">
        <is>
          <t>STOCKHOLMS LÄN</t>
        </is>
      </c>
      <c r="E1544" t="inlineStr">
        <is>
          <t>NORRTÄLJE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38194-2025</t>
        </is>
      </c>
      <c r="B1545" s="1" t="n">
        <v>45882.65921296296</v>
      </c>
      <c r="C1545" s="1" t="n">
        <v>46033</v>
      </c>
      <c r="D1545" t="inlineStr">
        <is>
          <t>STOCKHOLMS LÄN</t>
        </is>
      </c>
      <c r="E1545" t="inlineStr">
        <is>
          <t>SÖDERTÄLJE</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54460-2025</t>
        </is>
      </c>
      <c r="B1546" s="1" t="n">
        <v>45965.56219907408</v>
      </c>
      <c r="C1546" s="1" t="n">
        <v>46033</v>
      </c>
      <c r="D1546" t="inlineStr">
        <is>
          <t>STOCKHOLMS LÄN</t>
        </is>
      </c>
      <c r="E1546" t="inlineStr">
        <is>
          <t>VALLENTUNA</t>
        </is>
      </c>
      <c r="G1546" t="n">
        <v>22.9</v>
      </c>
      <c r="H1546" t="n">
        <v>0</v>
      </c>
      <c r="I1546" t="n">
        <v>0</v>
      </c>
      <c r="J1546" t="n">
        <v>0</v>
      </c>
      <c r="K1546" t="n">
        <v>0</v>
      </c>
      <c r="L1546" t="n">
        <v>0</v>
      </c>
      <c r="M1546" t="n">
        <v>0</v>
      </c>
      <c r="N1546" t="n">
        <v>0</v>
      </c>
      <c r="O1546" t="n">
        <v>0</v>
      </c>
      <c r="P1546" t="n">
        <v>0</v>
      </c>
      <c r="Q1546" t="n">
        <v>0</v>
      </c>
      <c r="R1546" s="2" t="inlineStr"/>
    </row>
    <row r="1547" ht="15" customHeight="1">
      <c r="A1547" t="inlineStr">
        <is>
          <t>A 38153-2025</t>
        </is>
      </c>
      <c r="B1547" s="1" t="n">
        <v>45882.59722222222</v>
      </c>
      <c r="C1547" s="1" t="n">
        <v>46033</v>
      </c>
      <c r="D1547" t="inlineStr">
        <is>
          <t>STOCKHOLMS LÄN</t>
        </is>
      </c>
      <c r="E1547" t="inlineStr">
        <is>
          <t>NORRTÄLJE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59893-2022</t>
        </is>
      </c>
      <c r="B1548" s="1" t="n">
        <v>44908.77368055555</v>
      </c>
      <c r="C1548" s="1" t="n">
        <v>46033</v>
      </c>
      <c r="D1548" t="inlineStr">
        <is>
          <t>STOCKHOLMS LÄN</t>
        </is>
      </c>
      <c r="E1548" t="inlineStr">
        <is>
          <t>NORRTÄLJE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35838-2023</t>
        </is>
      </c>
      <c r="B1549" s="1" t="n">
        <v>45147</v>
      </c>
      <c r="C1549" s="1" t="n">
        <v>46033</v>
      </c>
      <c r="D1549" t="inlineStr">
        <is>
          <t>STOCKHOLMS LÄN</t>
        </is>
      </c>
      <c r="E1549" t="inlineStr">
        <is>
          <t>VAXHOLM</t>
        </is>
      </c>
      <c r="F1549" t="inlineStr">
        <is>
          <t>Övriga statliga verk och myndigheter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39905-2023</t>
        </is>
      </c>
      <c r="B1550" s="1" t="n">
        <v>45168.44489583333</v>
      </c>
      <c r="C1550" s="1" t="n">
        <v>46033</v>
      </c>
      <c r="D1550" t="inlineStr">
        <is>
          <t>STOCKHOLMS LÄN</t>
        </is>
      </c>
      <c r="E1550" t="inlineStr">
        <is>
          <t>NORRTÄLJE</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5645-2023</t>
        </is>
      </c>
      <c r="B1551" s="1" t="n">
        <v>44960.60469907407</v>
      </c>
      <c r="C1551" s="1" t="n">
        <v>46033</v>
      </c>
      <c r="D1551" t="inlineStr">
        <is>
          <t>STOCKHOLMS LÄN</t>
        </is>
      </c>
      <c r="E1551" t="inlineStr">
        <is>
          <t>NORRTÄLJE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44528.91494212963</v>
      </c>
      <c r="C1552" s="1" t="n">
        <v>46033</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62047-2025</t>
        </is>
      </c>
      <c r="B1553" s="1" t="n">
        <v>46006.30792824074</v>
      </c>
      <c r="C1553" s="1" t="n">
        <v>46033</v>
      </c>
      <c r="D1553" t="inlineStr">
        <is>
          <t>STOCKHOLMS LÄN</t>
        </is>
      </c>
      <c r="E1553" t="inlineStr">
        <is>
          <t>SÖDERTÄLJE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62049-2025</t>
        </is>
      </c>
      <c r="B1554" s="1" t="n">
        <v>46006.3159837963</v>
      </c>
      <c r="C1554" s="1" t="n">
        <v>46033</v>
      </c>
      <c r="D1554" t="inlineStr">
        <is>
          <t>STOCKHOLMS LÄN</t>
        </is>
      </c>
      <c r="E1554" t="inlineStr">
        <is>
          <t>SÖDERTÄLJE</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60529-2023</t>
        </is>
      </c>
      <c r="B1555" s="1" t="n">
        <v>45259</v>
      </c>
      <c r="C1555" s="1" t="n">
        <v>46033</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22816-2021</t>
        </is>
      </c>
      <c r="B1556" s="1" t="n">
        <v>44325</v>
      </c>
      <c r="C1556" s="1" t="n">
        <v>46033</v>
      </c>
      <c r="D1556" t="inlineStr">
        <is>
          <t>STOCKHOLMS LÄN</t>
        </is>
      </c>
      <c r="E1556" t="inlineStr">
        <is>
          <t>NORRTÄLJE</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49622-2021</t>
        </is>
      </c>
      <c r="B1557" s="1" t="n">
        <v>44455</v>
      </c>
      <c r="C1557" s="1" t="n">
        <v>46033</v>
      </c>
      <c r="D1557" t="inlineStr">
        <is>
          <t>STOCKHOLMS LÄN</t>
        </is>
      </c>
      <c r="E1557" t="inlineStr">
        <is>
          <t>UPPLANDS-BRO</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12907-2024</t>
        </is>
      </c>
      <c r="B1558" s="1" t="n">
        <v>45385</v>
      </c>
      <c r="C1558" s="1" t="n">
        <v>46033</v>
      </c>
      <c r="D1558" t="inlineStr">
        <is>
          <t>STOCKHOLMS LÄN</t>
        </is>
      </c>
      <c r="E1558" t="inlineStr">
        <is>
          <t>SÖDERTÄLJE</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26909-2024</t>
        </is>
      </c>
      <c r="B1559" s="1" t="n">
        <v>45470</v>
      </c>
      <c r="C1559" s="1" t="n">
        <v>46033</v>
      </c>
      <c r="D1559" t="inlineStr">
        <is>
          <t>STOCKHOLMS LÄN</t>
        </is>
      </c>
      <c r="E1559" t="inlineStr">
        <is>
          <t>SÖDERTÄLJE</t>
        </is>
      </c>
      <c r="F1559" t="inlineStr">
        <is>
          <t>Kommuner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54466-2025</t>
        </is>
      </c>
      <c r="B1560" s="1" t="n">
        <v>45965.56984953704</v>
      </c>
      <c r="C1560" s="1" t="n">
        <v>46033</v>
      </c>
      <c r="D1560" t="inlineStr">
        <is>
          <t>STOCKHOLMS LÄN</t>
        </is>
      </c>
      <c r="E1560" t="inlineStr">
        <is>
          <t>VALLENTUNA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20649-2022</t>
        </is>
      </c>
      <c r="B1561" s="1" t="n">
        <v>44700</v>
      </c>
      <c r="C1561" s="1" t="n">
        <v>46033</v>
      </c>
      <c r="D1561" t="inlineStr">
        <is>
          <t>STOCKHOLMS LÄN</t>
        </is>
      </c>
      <c r="E1561" t="inlineStr">
        <is>
          <t>BOTKYRKA</t>
        </is>
      </c>
      <c r="F1561" t="inlineStr">
        <is>
          <t>Övriga Aktiebolag</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24707-2023</t>
        </is>
      </c>
      <c r="B1562" s="1" t="n">
        <v>45084</v>
      </c>
      <c r="C1562" s="1" t="n">
        <v>46033</v>
      </c>
      <c r="D1562" t="inlineStr">
        <is>
          <t>STOCKHOLMS LÄN</t>
        </is>
      </c>
      <c r="E1562" t="inlineStr">
        <is>
          <t>VALLENTUNA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28502-2023</t>
        </is>
      </c>
      <c r="B1563" s="1" t="n">
        <v>45103</v>
      </c>
      <c r="C1563" s="1" t="n">
        <v>46033</v>
      </c>
      <c r="D1563" t="inlineStr">
        <is>
          <t>STOCKHOLMS LÄN</t>
        </is>
      </c>
      <c r="E1563" t="inlineStr">
        <is>
          <t>SÖDERTÄLJE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36052-2023</t>
        </is>
      </c>
      <c r="B1564" s="1" t="n">
        <v>45149</v>
      </c>
      <c r="C1564" s="1" t="n">
        <v>46033</v>
      </c>
      <c r="D1564" t="inlineStr">
        <is>
          <t>STOCKHOLMS LÄN</t>
        </is>
      </c>
      <c r="E1564" t="inlineStr">
        <is>
          <t>NYNÄSHAMN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19706-2023</t>
        </is>
      </c>
      <c r="B1565" s="1" t="n">
        <v>45051.455</v>
      </c>
      <c r="C1565" s="1" t="n">
        <v>46033</v>
      </c>
      <c r="D1565" t="inlineStr">
        <is>
          <t>STOCKHOLMS LÄN</t>
        </is>
      </c>
      <c r="E1565" t="inlineStr">
        <is>
          <t>NORRTÄLJE</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54448-2025</t>
        </is>
      </c>
      <c r="B1566" s="1" t="n">
        <v>45965</v>
      </c>
      <c r="C1566" s="1" t="n">
        <v>46033</v>
      </c>
      <c r="D1566" t="inlineStr">
        <is>
          <t>STOCKHOLMS LÄN</t>
        </is>
      </c>
      <c r="E1566" t="inlineStr">
        <is>
          <t>SÖDERTÄLJE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15176-2024</t>
        </is>
      </c>
      <c r="B1567" s="1" t="n">
        <v>45400</v>
      </c>
      <c r="C1567" s="1" t="n">
        <v>46033</v>
      </c>
      <c r="D1567" t="inlineStr">
        <is>
          <t>STOCKHOLMS LÄN</t>
        </is>
      </c>
      <c r="E1567" t="inlineStr">
        <is>
          <t>NYNÄSHAMN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18539-2021</t>
        </is>
      </c>
      <c r="B1568" s="1" t="n">
        <v>44306</v>
      </c>
      <c r="C1568" s="1" t="n">
        <v>46033</v>
      </c>
      <c r="D1568" t="inlineStr">
        <is>
          <t>STOCKHOLMS LÄN</t>
        </is>
      </c>
      <c r="E1568" t="inlineStr">
        <is>
          <t>NORRTÄLJE</t>
        </is>
      </c>
      <c r="F1568" t="inlineStr">
        <is>
          <t>Holmen skog AB</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17612-2022</t>
        </is>
      </c>
      <c r="B1569" s="1" t="n">
        <v>44680</v>
      </c>
      <c r="C1569" s="1" t="n">
        <v>46033</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16835-2022</t>
        </is>
      </c>
      <c r="B1570" s="1" t="n">
        <v>44673</v>
      </c>
      <c r="C1570" s="1" t="n">
        <v>46033</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9562-2025</t>
        </is>
      </c>
      <c r="B1571" s="1" t="n">
        <v>45715.61215277778</v>
      </c>
      <c r="C1571" s="1" t="n">
        <v>46033</v>
      </c>
      <c r="D1571" t="inlineStr">
        <is>
          <t>STOCKHOLMS LÄN</t>
        </is>
      </c>
      <c r="E1571" t="inlineStr">
        <is>
          <t>SÖDERTÄLJE</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62765-2022</t>
        </is>
      </c>
      <c r="B1572" s="1" t="n">
        <v>44637</v>
      </c>
      <c r="C1572" s="1" t="n">
        <v>46033</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54468-2025</t>
        </is>
      </c>
      <c r="B1573" s="1" t="n">
        <v>45965</v>
      </c>
      <c r="C1573" s="1" t="n">
        <v>46033</v>
      </c>
      <c r="D1573" t="inlineStr">
        <is>
          <t>STOCKHOLMS LÄN</t>
        </is>
      </c>
      <c r="E1573" t="inlineStr">
        <is>
          <t>BOTKYRKA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58404-2023</t>
        </is>
      </c>
      <c r="B1574" s="1" t="n">
        <v>45245</v>
      </c>
      <c r="C1574" s="1" t="n">
        <v>46033</v>
      </c>
      <c r="D1574" t="inlineStr">
        <is>
          <t>STOCKHOLMS LÄN</t>
        </is>
      </c>
      <c r="E1574" t="inlineStr">
        <is>
          <t>NORRTÄLJE</t>
        </is>
      </c>
      <c r="G1574" t="n">
        <v>53.5</v>
      </c>
      <c r="H1574" t="n">
        <v>0</v>
      </c>
      <c r="I1574" t="n">
        <v>0</v>
      </c>
      <c r="J1574" t="n">
        <v>0</v>
      </c>
      <c r="K1574" t="n">
        <v>0</v>
      </c>
      <c r="L1574" t="n">
        <v>0</v>
      </c>
      <c r="M1574" t="n">
        <v>0</v>
      </c>
      <c r="N1574" t="n">
        <v>0</v>
      </c>
      <c r="O1574" t="n">
        <v>0</v>
      </c>
      <c r="P1574" t="n">
        <v>0</v>
      </c>
      <c r="Q1574" t="n">
        <v>0</v>
      </c>
      <c r="R1574" s="2" t="inlineStr"/>
    </row>
    <row r="1575" ht="15" customHeight="1">
      <c r="A1575" t="inlineStr">
        <is>
          <t>A 8586-2023</t>
        </is>
      </c>
      <c r="B1575" s="1" t="n">
        <v>44977</v>
      </c>
      <c r="C1575" s="1" t="n">
        <v>46033</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8611-2023</t>
        </is>
      </c>
      <c r="B1576" s="1" t="n">
        <v>44977</v>
      </c>
      <c r="C1576" s="1" t="n">
        <v>46033</v>
      </c>
      <c r="D1576" t="inlineStr">
        <is>
          <t>STOCKHOLMS LÄN</t>
        </is>
      </c>
      <c r="E1576" t="inlineStr">
        <is>
          <t>SÖDERTÄLJE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42572-2024</t>
        </is>
      </c>
      <c r="B1577" s="1" t="n">
        <v>45565.64217592592</v>
      </c>
      <c r="C1577" s="1" t="n">
        <v>46033</v>
      </c>
      <c r="D1577" t="inlineStr">
        <is>
          <t>STOCKHOLMS LÄN</t>
        </is>
      </c>
      <c r="E1577" t="inlineStr">
        <is>
          <t>SIGTUNA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52770-2024</t>
        </is>
      </c>
      <c r="B1578" s="1" t="n">
        <v>45610.52414351852</v>
      </c>
      <c r="C1578" s="1" t="n">
        <v>46033</v>
      </c>
      <c r="D1578" t="inlineStr">
        <is>
          <t>STOCKHOLMS LÄN</t>
        </is>
      </c>
      <c r="E1578" t="inlineStr">
        <is>
          <t>HANINGE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62708-2025</t>
        </is>
      </c>
      <c r="B1579" s="1" t="n">
        <v>46008.50986111111</v>
      </c>
      <c r="C1579" s="1" t="n">
        <v>46033</v>
      </c>
      <c r="D1579" t="inlineStr">
        <is>
          <t>STOCKHOLMS LÄN</t>
        </is>
      </c>
      <c r="E1579" t="inlineStr">
        <is>
          <t>NORRTÄLJE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67921-2021</t>
        </is>
      </c>
      <c r="B1580" s="1" t="n">
        <v>44525</v>
      </c>
      <c r="C1580" s="1" t="n">
        <v>46033</v>
      </c>
      <c r="D1580" t="inlineStr">
        <is>
          <t>STOCKHOLMS LÄN</t>
        </is>
      </c>
      <c r="E1580" t="inlineStr">
        <is>
          <t>NORRTÄLJE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16202-2022</t>
        </is>
      </c>
      <c r="B1581" s="1" t="n">
        <v>44670</v>
      </c>
      <c r="C1581" s="1" t="n">
        <v>46033</v>
      </c>
      <c r="D1581" t="inlineStr">
        <is>
          <t>STOCKHOLMS LÄN</t>
        </is>
      </c>
      <c r="E1581" t="inlineStr">
        <is>
          <t>NORRTÄLJE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3108-2024</t>
        </is>
      </c>
      <c r="B1582" s="1" t="n">
        <v>45316</v>
      </c>
      <c r="C1582" s="1" t="n">
        <v>46033</v>
      </c>
      <c r="D1582" t="inlineStr">
        <is>
          <t>STOCKHOLMS LÄN</t>
        </is>
      </c>
      <c r="E1582" t="inlineStr">
        <is>
          <t>SÖDERTÄLJE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55018-2024</t>
        </is>
      </c>
      <c r="B1583" s="1" t="n">
        <v>45621.35712962963</v>
      </c>
      <c r="C1583" s="1" t="n">
        <v>46033</v>
      </c>
      <c r="D1583" t="inlineStr">
        <is>
          <t>STOCKHOLMS LÄN</t>
        </is>
      </c>
      <c r="E1583" t="inlineStr">
        <is>
          <t>NORRTÄLJE</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62831-2025</t>
        </is>
      </c>
      <c r="B1584" s="1" t="n">
        <v>46008.67471064815</v>
      </c>
      <c r="C1584" s="1" t="n">
        <v>46033</v>
      </c>
      <c r="D1584" t="inlineStr">
        <is>
          <t>STOCKHOLMS LÄN</t>
        </is>
      </c>
      <c r="E1584" t="inlineStr">
        <is>
          <t>ÖSTERÅKER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38880-2025</t>
        </is>
      </c>
      <c r="B1585" s="1" t="n">
        <v>45887.57966435186</v>
      </c>
      <c r="C1585" s="1" t="n">
        <v>46033</v>
      </c>
      <c r="D1585" t="inlineStr">
        <is>
          <t>STOCKHOLMS LÄN</t>
        </is>
      </c>
      <c r="E1585" t="inlineStr">
        <is>
          <t>HANINGE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50136-2023</t>
        </is>
      </c>
      <c r="B1586" s="1" t="n">
        <v>45215</v>
      </c>
      <c r="C1586" s="1" t="n">
        <v>46033</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25656-2023</t>
        </is>
      </c>
      <c r="B1587" s="1" t="n">
        <v>45089</v>
      </c>
      <c r="C1587" s="1" t="n">
        <v>46033</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6003-2025</t>
        </is>
      </c>
      <c r="B1588" s="1" t="n">
        <v>45695.57881944445</v>
      </c>
      <c r="C1588" s="1" t="n">
        <v>46033</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11430-2022</t>
        </is>
      </c>
      <c r="B1589" s="1" t="n">
        <v>44630.5968287037</v>
      </c>
      <c r="C1589" s="1" t="n">
        <v>46033</v>
      </c>
      <c r="D1589" t="inlineStr">
        <is>
          <t>STOCKHOLMS LÄN</t>
        </is>
      </c>
      <c r="E1589" t="inlineStr">
        <is>
          <t>NYKVARN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42337-2024</t>
        </is>
      </c>
      <c r="B1590" s="1" t="n">
        <v>45562</v>
      </c>
      <c r="C1590" s="1" t="n">
        <v>46033</v>
      </c>
      <c r="D1590" t="inlineStr">
        <is>
          <t>STOCKHOLMS LÄN</t>
        </is>
      </c>
      <c r="E1590" t="inlineStr">
        <is>
          <t>SÖDERTÄLJE</t>
        </is>
      </c>
      <c r="F1590" t="inlineStr">
        <is>
          <t>Övriga statliga verk och myndigheter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45376.55704861111</v>
      </c>
      <c r="C1591" s="1" t="n">
        <v>46033</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14776-2024</t>
        </is>
      </c>
      <c r="B1592" s="1" t="n">
        <v>45397</v>
      </c>
      <c r="C1592" s="1" t="n">
        <v>46033</v>
      </c>
      <c r="D1592" t="inlineStr">
        <is>
          <t>STOCKHOLMS LÄN</t>
        </is>
      </c>
      <c r="E1592" t="inlineStr">
        <is>
          <t>ÖSTERÅKER</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62689-2025</t>
        </is>
      </c>
      <c r="B1593" s="1" t="n">
        <v>46008.47171296296</v>
      </c>
      <c r="C1593" s="1" t="n">
        <v>46033</v>
      </c>
      <c r="D1593" t="inlineStr">
        <is>
          <t>STOCKHOLMS LÄN</t>
        </is>
      </c>
      <c r="E1593" t="inlineStr">
        <is>
          <t>NORRTÄLJE</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38049-2023</t>
        </is>
      </c>
      <c r="B1594" s="1" t="n">
        <v>45159</v>
      </c>
      <c r="C1594" s="1" t="n">
        <v>46033</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62681-2025</t>
        </is>
      </c>
      <c r="B1595" s="1" t="n">
        <v>46008.45534722223</v>
      </c>
      <c r="C1595" s="1" t="n">
        <v>46033</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59535-2024</t>
        </is>
      </c>
      <c r="B1596" s="1" t="n">
        <v>45638.59979166667</v>
      </c>
      <c r="C1596" s="1" t="n">
        <v>46033</v>
      </c>
      <c r="D1596" t="inlineStr">
        <is>
          <t>STOCKHOLMS LÄN</t>
        </is>
      </c>
      <c r="E1596" t="inlineStr">
        <is>
          <t>NORRTÄLJE</t>
        </is>
      </c>
      <c r="F1596" t="inlineStr">
        <is>
          <t>Holmen skog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65499-2021</t>
        </is>
      </c>
      <c r="B1597" s="1" t="n">
        <v>44516</v>
      </c>
      <c r="C1597" s="1" t="n">
        <v>46033</v>
      </c>
      <c r="D1597" t="inlineStr">
        <is>
          <t>STOCKHOLMS LÄN</t>
        </is>
      </c>
      <c r="E1597" t="inlineStr">
        <is>
          <t>NORRTÄLJE</t>
        </is>
      </c>
      <c r="F1597" t="inlineStr">
        <is>
          <t>Kommuner</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8528-2024</t>
        </is>
      </c>
      <c r="B1598" s="1" t="n">
        <v>45355.49099537037</v>
      </c>
      <c r="C1598" s="1" t="n">
        <v>46033</v>
      </c>
      <c r="D1598" t="inlineStr">
        <is>
          <t>STOCKHOLMS LÄN</t>
        </is>
      </c>
      <c r="E1598" t="inlineStr">
        <is>
          <t>BOTKYRKA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45233-2024</t>
        </is>
      </c>
      <c r="B1599" s="1" t="n">
        <v>45575</v>
      </c>
      <c r="C1599" s="1" t="n">
        <v>46033</v>
      </c>
      <c r="D1599" t="inlineStr">
        <is>
          <t>STOCKHOLMS LÄN</t>
        </is>
      </c>
      <c r="E1599" t="inlineStr">
        <is>
          <t>SIGTUNA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7457-2025</t>
        </is>
      </c>
      <c r="B1600" s="1" t="n">
        <v>45705.43699074074</v>
      </c>
      <c r="C1600" s="1" t="n">
        <v>46033</v>
      </c>
      <c r="D1600" t="inlineStr">
        <is>
          <t>STOCKHOLMS LÄN</t>
        </is>
      </c>
      <c r="E1600" t="inlineStr">
        <is>
          <t>NYNÄSHAMN</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4183-2025</t>
        </is>
      </c>
      <c r="B1601" s="1" t="n">
        <v>45685.44592592592</v>
      </c>
      <c r="C1601" s="1" t="n">
        <v>46033</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59957-2023</t>
        </is>
      </c>
      <c r="B1602" s="1" t="n">
        <v>45257</v>
      </c>
      <c r="C1602" s="1" t="n">
        <v>46033</v>
      </c>
      <c r="D1602" t="inlineStr">
        <is>
          <t>STOCKHOLMS LÄN</t>
        </is>
      </c>
      <c r="E1602" t="inlineStr">
        <is>
          <t>SIGTUNA</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62922-2025</t>
        </is>
      </c>
      <c r="B1603" s="1" t="n">
        <v>46009.38064814815</v>
      </c>
      <c r="C1603" s="1" t="n">
        <v>46033</v>
      </c>
      <c r="D1603" t="inlineStr">
        <is>
          <t>STOCKHOLMS LÄN</t>
        </is>
      </c>
      <c r="E1603" t="inlineStr">
        <is>
          <t>NORRTÄLJE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18592-2023</t>
        </is>
      </c>
      <c r="B1604" s="1" t="n">
        <v>45043</v>
      </c>
      <c r="C1604" s="1" t="n">
        <v>46033</v>
      </c>
      <c r="D1604" t="inlineStr">
        <is>
          <t>STOCKHOLMS LÄN</t>
        </is>
      </c>
      <c r="E1604" t="inlineStr">
        <is>
          <t>SÖDERTÄLJE</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9480-2025</t>
        </is>
      </c>
      <c r="B1605" s="1" t="n">
        <v>45715</v>
      </c>
      <c r="C1605" s="1" t="n">
        <v>46033</v>
      </c>
      <c r="D1605" t="inlineStr">
        <is>
          <t>STOCKHOLMS LÄN</t>
        </is>
      </c>
      <c r="E1605" t="inlineStr">
        <is>
          <t>NORRTÄLJE</t>
        </is>
      </c>
      <c r="F1605" t="inlineStr">
        <is>
          <t>Övriga Aktiebolag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61781-2025</t>
        </is>
      </c>
      <c r="B1606" s="1" t="n">
        <v>46002</v>
      </c>
      <c r="C1606" s="1" t="n">
        <v>46033</v>
      </c>
      <c r="D1606" t="inlineStr">
        <is>
          <t>STOCKHOLMS LÄN</t>
        </is>
      </c>
      <c r="E1606" t="inlineStr">
        <is>
          <t>ÖSTERÅKER</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54907-2025</t>
        </is>
      </c>
      <c r="B1607" s="1" t="n">
        <v>45967.37137731481</v>
      </c>
      <c r="C1607" s="1" t="n">
        <v>46033</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1381-2023</t>
        </is>
      </c>
      <c r="B1608" s="1" t="n">
        <v>44936.68457175926</v>
      </c>
      <c r="C1608" s="1" t="n">
        <v>46033</v>
      </c>
      <c r="D1608" t="inlineStr">
        <is>
          <t>STOCKHOLMS LÄN</t>
        </is>
      </c>
      <c r="E1608" t="inlineStr">
        <is>
          <t>SÖDERTÄLJE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24522-2023</t>
        </is>
      </c>
      <c r="B1609" s="1" t="n">
        <v>45082.69179398148</v>
      </c>
      <c r="C1609" s="1" t="n">
        <v>46033</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25625-2023</t>
        </is>
      </c>
      <c r="B1610" s="1" t="n">
        <v>45089</v>
      </c>
      <c r="C1610" s="1" t="n">
        <v>46033</v>
      </c>
      <c r="D1610" t="inlineStr">
        <is>
          <t>STOCKHOLMS LÄN</t>
        </is>
      </c>
      <c r="E1610" t="inlineStr">
        <is>
          <t>NORRTÄLJE</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55503-2025</t>
        </is>
      </c>
      <c r="B1611" s="1" t="n">
        <v>45971</v>
      </c>
      <c r="C1611" s="1" t="n">
        <v>46033</v>
      </c>
      <c r="D1611" t="inlineStr">
        <is>
          <t>STOCKHOLMS LÄN</t>
        </is>
      </c>
      <c r="E1611" t="inlineStr">
        <is>
          <t>NORRTÄLJE</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37147-2023</t>
        </is>
      </c>
      <c r="B1612" s="1" t="n">
        <v>45155</v>
      </c>
      <c r="C1612" s="1" t="n">
        <v>46033</v>
      </c>
      <c r="D1612" t="inlineStr">
        <is>
          <t>STOCKHOLMS LÄN</t>
        </is>
      </c>
      <c r="E1612" t="inlineStr">
        <is>
          <t>NORRTÄLJE</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7186-2024</t>
        </is>
      </c>
      <c r="B1613" s="1" t="n">
        <v>45344</v>
      </c>
      <c r="C1613" s="1" t="n">
        <v>46033</v>
      </c>
      <c r="D1613" t="inlineStr">
        <is>
          <t>STOCKHOLMS LÄN</t>
        </is>
      </c>
      <c r="E1613" t="inlineStr">
        <is>
          <t>NORRTÄLJE</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45869-2022</t>
        </is>
      </c>
      <c r="B1614" s="1" t="n">
        <v>44844</v>
      </c>
      <c r="C1614" s="1" t="n">
        <v>46033</v>
      </c>
      <c r="D1614" t="inlineStr">
        <is>
          <t>STOCKHOLMS LÄN</t>
        </is>
      </c>
      <c r="E1614" t="inlineStr">
        <is>
          <t>BOTKYRKA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56354-2023</t>
        </is>
      </c>
      <c r="B1615" s="1" t="n">
        <v>45243</v>
      </c>
      <c r="C1615" s="1" t="n">
        <v>46033</v>
      </c>
      <c r="D1615" t="inlineStr">
        <is>
          <t>STOCKHOLMS LÄN</t>
        </is>
      </c>
      <c r="E1615" t="inlineStr">
        <is>
          <t>SÖDERTÄLJE</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57602-2024</t>
        </is>
      </c>
      <c r="B1616" s="1" t="n">
        <v>45630.52866898148</v>
      </c>
      <c r="C1616" s="1" t="n">
        <v>46033</v>
      </c>
      <c r="D1616" t="inlineStr">
        <is>
          <t>STOCKHOLMS LÄN</t>
        </is>
      </c>
      <c r="E1616" t="inlineStr">
        <is>
          <t>NORRTÄLJE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3686-2022</t>
        </is>
      </c>
      <c r="B1617" s="1" t="n">
        <v>44586.57239583333</v>
      </c>
      <c r="C1617" s="1" t="n">
        <v>46033</v>
      </c>
      <c r="D1617" t="inlineStr">
        <is>
          <t>STOCKHOLMS LÄN</t>
        </is>
      </c>
      <c r="E1617" t="inlineStr">
        <is>
          <t>BOTKYRKA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63378-2025</t>
        </is>
      </c>
      <c r="B1618" s="1" t="n">
        <v>46010.72528935185</v>
      </c>
      <c r="C1618" s="1" t="n">
        <v>46033</v>
      </c>
      <c r="D1618" t="inlineStr">
        <is>
          <t>STOCKHOLMS LÄN</t>
        </is>
      </c>
      <c r="E1618" t="inlineStr">
        <is>
          <t>EKERÖ</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64600-2021</t>
        </is>
      </c>
      <c r="B1619" s="1" t="n">
        <v>44511.70518518519</v>
      </c>
      <c r="C1619" s="1" t="n">
        <v>46033</v>
      </c>
      <c r="D1619" t="inlineStr">
        <is>
          <t>STOCKHOLMS LÄN</t>
        </is>
      </c>
      <c r="E1619" t="inlineStr">
        <is>
          <t>NORRTÄLJE</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50602-2021</t>
        </is>
      </c>
      <c r="B1620" s="1" t="n">
        <v>44459</v>
      </c>
      <c r="C1620" s="1" t="n">
        <v>46033</v>
      </c>
      <c r="D1620" t="inlineStr">
        <is>
          <t>STOCKHOLMS LÄN</t>
        </is>
      </c>
      <c r="E1620" t="inlineStr">
        <is>
          <t>NORRTÄLJE</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26365-2024</t>
        </is>
      </c>
      <c r="B1621" s="1" t="n">
        <v>45469</v>
      </c>
      <c r="C1621" s="1" t="n">
        <v>46033</v>
      </c>
      <c r="D1621" t="inlineStr">
        <is>
          <t>STOCKHOLMS LÄN</t>
        </is>
      </c>
      <c r="E1621" t="inlineStr">
        <is>
          <t>NORRTÄLJE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60949-2025</t>
        </is>
      </c>
      <c r="B1622" s="1" t="n">
        <v>45996</v>
      </c>
      <c r="C1622" s="1" t="n">
        <v>46033</v>
      </c>
      <c r="D1622" t="inlineStr">
        <is>
          <t>STOCKHOLMS LÄN</t>
        </is>
      </c>
      <c r="E1622" t="inlineStr">
        <is>
          <t>SIGTUNA</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60969-2025</t>
        </is>
      </c>
      <c r="B1623" s="1" t="n">
        <v>45996</v>
      </c>
      <c r="C1623" s="1" t="n">
        <v>46033</v>
      </c>
      <c r="D1623" t="inlineStr">
        <is>
          <t>STOCKHOLMS LÄN</t>
        </is>
      </c>
      <c r="E1623" t="inlineStr">
        <is>
          <t>SIGTUNA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21560-2021</t>
        </is>
      </c>
      <c r="B1624" s="1" t="n">
        <v>44321</v>
      </c>
      <c r="C1624" s="1" t="n">
        <v>46033</v>
      </c>
      <c r="D1624" t="inlineStr">
        <is>
          <t>STOCKHOLMS LÄN</t>
        </is>
      </c>
      <c r="E1624" t="inlineStr">
        <is>
          <t>UPPLANDS-BRO</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55532-2025</t>
        </is>
      </c>
      <c r="B1625" s="1" t="n">
        <v>45971.62462962963</v>
      </c>
      <c r="C1625" s="1" t="n">
        <v>46033</v>
      </c>
      <c r="D1625" t="inlineStr">
        <is>
          <t>STOCKHOLMS LÄN</t>
        </is>
      </c>
      <c r="E1625" t="inlineStr">
        <is>
          <t>SÖDERTÄLJE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31375-2024</t>
        </is>
      </c>
      <c r="B1626" s="1" t="n">
        <v>45505</v>
      </c>
      <c r="C1626" s="1" t="n">
        <v>46033</v>
      </c>
      <c r="D1626" t="inlineStr">
        <is>
          <t>STOCKHOLMS LÄN</t>
        </is>
      </c>
      <c r="E1626" t="inlineStr">
        <is>
          <t>SÖDERTÄLJE</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5910-2022</t>
        </is>
      </c>
      <c r="B1627" s="1" t="n">
        <v>44597</v>
      </c>
      <c r="C1627" s="1" t="n">
        <v>46033</v>
      </c>
      <c r="D1627" t="inlineStr">
        <is>
          <t>STOCKHOLMS LÄN</t>
        </is>
      </c>
      <c r="E1627" t="inlineStr">
        <is>
          <t>VALLENTUNA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11718-2021</t>
        </is>
      </c>
      <c r="B1628" s="1" t="n">
        <v>44265</v>
      </c>
      <c r="C1628" s="1" t="n">
        <v>46033</v>
      </c>
      <c r="D1628" t="inlineStr">
        <is>
          <t>STOCKHOLMS LÄN</t>
        </is>
      </c>
      <c r="E1628" t="inlineStr">
        <is>
          <t>SIGTUNA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26640-2023</t>
        </is>
      </c>
      <c r="B1629" s="1" t="n">
        <v>45092</v>
      </c>
      <c r="C1629" s="1" t="n">
        <v>46033</v>
      </c>
      <c r="D1629" t="inlineStr">
        <is>
          <t>STOCKHOLMS LÄN</t>
        </is>
      </c>
      <c r="E1629" t="inlineStr">
        <is>
          <t>NORRTÄLJE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31827-2023</t>
        </is>
      </c>
      <c r="B1630" s="1" t="n">
        <v>45118</v>
      </c>
      <c r="C1630" s="1" t="n">
        <v>46033</v>
      </c>
      <c r="D1630" t="inlineStr">
        <is>
          <t>STOCKHOLMS LÄN</t>
        </is>
      </c>
      <c r="E1630" t="inlineStr">
        <is>
          <t>NORRTÄLJE</t>
        </is>
      </c>
      <c r="F1630" t="inlineStr">
        <is>
          <t>Kyrkan</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58993-2022</t>
        </is>
      </c>
      <c r="B1631" s="1" t="n">
        <v>44903</v>
      </c>
      <c r="C1631" s="1" t="n">
        <v>46033</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28900-2022</t>
        </is>
      </c>
      <c r="B1632" s="1" t="n">
        <v>44749.55258101852</v>
      </c>
      <c r="C1632" s="1" t="n">
        <v>46033</v>
      </c>
      <c r="D1632" t="inlineStr">
        <is>
          <t>STOCKHOLMS LÄN</t>
        </is>
      </c>
      <c r="E1632" t="inlineStr">
        <is>
          <t>NORRTÄLJE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17574-2025</t>
        </is>
      </c>
      <c r="B1633" s="1" t="n">
        <v>45757.65178240741</v>
      </c>
      <c r="C1633" s="1" t="n">
        <v>46033</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17086-2025</t>
        </is>
      </c>
      <c r="B1634" s="1" t="n">
        <v>45754</v>
      </c>
      <c r="C1634" s="1" t="n">
        <v>46033</v>
      </c>
      <c r="D1634" t="inlineStr">
        <is>
          <t>STOCKHOLMS LÄN</t>
        </is>
      </c>
      <c r="E1634" t="inlineStr">
        <is>
          <t>VÄRMDÖ</t>
        </is>
      </c>
      <c r="F1634" t="inlineStr">
        <is>
          <t>Övriga statliga verk och myndigheter</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20711-2021</t>
        </is>
      </c>
      <c r="B1635" s="1" t="n">
        <v>44316</v>
      </c>
      <c r="C1635" s="1" t="n">
        <v>46033</v>
      </c>
      <c r="D1635" t="inlineStr">
        <is>
          <t>STOCKHOLMS LÄN</t>
        </is>
      </c>
      <c r="E1635" t="inlineStr">
        <is>
          <t>NYKVARN</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50059-2021</t>
        </is>
      </c>
      <c r="B1636" s="1" t="n">
        <v>44455</v>
      </c>
      <c r="C1636" s="1" t="n">
        <v>46033</v>
      </c>
      <c r="D1636" t="inlineStr">
        <is>
          <t>STOCKHOLMS LÄN</t>
        </is>
      </c>
      <c r="E1636" t="inlineStr">
        <is>
          <t>SÖDERTÄLJE</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55599-2025</t>
        </is>
      </c>
      <c r="B1637" s="1" t="n">
        <v>45971.76810185185</v>
      </c>
      <c r="C1637" s="1" t="n">
        <v>46033</v>
      </c>
      <c r="D1637" t="inlineStr">
        <is>
          <t>STOCKHOLMS LÄN</t>
        </is>
      </c>
      <c r="E1637" t="inlineStr">
        <is>
          <t>NORRTÄLJE</t>
        </is>
      </c>
      <c r="F1637" t="inlineStr">
        <is>
          <t>Holmen skog AB</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56114-2025</t>
        </is>
      </c>
      <c r="B1638" s="1" t="n">
        <v>45973.74474537037</v>
      </c>
      <c r="C1638" s="1" t="n">
        <v>46033</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58297-2023</t>
        </is>
      </c>
      <c r="B1639" s="1" t="n">
        <v>45245</v>
      </c>
      <c r="C1639" s="1" t="n">
        <v>46033</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20304-2023</t>
        </is>
      </c>
      <c r="B1640" s="1" t="n">
        <v>45056</v>
      </c>
      <c r="C1640" s="1" t="n">
        <v>46033</v>
      </c>
      <c r="D1640" t="inlineStr">
        <is>
          <t>STOCKHOLMS LÄN</t>
        </is>
      </c>
      <c r="E1640" t="inlineStr">
        <is>
          <t>NORRTÄLJE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12299-2025</t>
        </is>
      </c>
      <c r="B1641" s="1" t="n">
        <v>45729.71065972222</v>
      </c>
      <c r="C1641" s="1" t="n">
        <v>46033</v>
      </c>
      <c r="D1641" t="inlineStr">
        <is>
          <t>STOCKHOLMS LÄN</t>
        </is>
      </c>
      <c r="E1641" t="inlineStr">
        <is>
          <t>NORRTÄLJE</t>
        </is>
      </c>
      <c r="F1641" t="inlineStr">
        <is>
          <t>Holmen skog AB</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22157-2023</t>
        </is>
      </c>
      <c r="B1642" s="1" t="n">
        <v>45069</v>
      </c>
      <c r="C1642" s="1" t="n">
        <v>46033</v>
      </c>
      <c r="D1642" t="inlineStr">
        <is>
          <t>STOCKHOLMS LÄN</t>
        </is>
      </c>
      <c r="E1642" t="inlineStr">
        <is>
          <t>NORRTÄLJE</t>
        </is>
      </c>
      <c r="G1642" t="n">
        <v>0.6</v>
      </c>
      <c r="H1642" t="n">
        <v>0</v>
      </c>
      <c r="I1642" t="n">
        <v>0</v>
      </c>
      <c r="J1642" t="n">
        <v>0</v>
      </c>
      <c r="K1642" t="n">
        <v>0</v>
      </c>
      <c r="L1642" t="n">
        <v>0</v>
      </c>
      <c r="M1642" t="n">
        <v>0</v>
      </c>
      <c r="N1642" t="n">
        <v>0</v>
      </c>
      <c r="O1642" t="n">
        <v>0</v>
      </c>
      <c r="P1642" t="n">
        <v>0</v>
      </c>
      <c r="Q1642" t="n">
        <v>0</v>
      </c>
      <c r="R1642" s="2" t="inlineStr"/>
      <c r="U1642">
        <f>HYPERLINK("https://klasma.github.io/Logging_0188/knärot/A 22157-2023 karta knärot.png", "A 22157-2023")</f>
        <v/>
      </c>
      <c r="V1642">
        <f>HYPERLINK("https://klasma.github.io/Logging_0188/klagomål/A 22157-2023 FSC-klagomål.docx", "A 22157-2023")</f>
        <v/>
      </c>
      <c r="W1642">
        <f>HYPERLINK("https://klasma.github.io/Logging_0188/klagomålsmail/A 22157-2023 FSC-klagomål mail.docx", "A 22157-2023")</f>
        <v/>
      </c>
      <c r="X1642">
        <f>HYPERLINK("https://klasma.github.io/Logging_0188/tillsyn/A 22157-2023 tillsynsbegäran.docx", "A 22157-2023")</f>
        <v/>
      </c>
      <c r="Y1642">
        <f>HYPERLINK("https://klasma.github.io/Logging_0188/tillsynsmail/A 22157-2023 tillsynsbegäran mail.docx", "A 22157-2023")</f>
        <v/>
      </c>
    </row>
    <row r="1643" ht="15" customHeight="1">
      <c r="A1643" t="inlineStr">
        <is>
          <t>A 24994-2021</t>
        </is>
      </c>
      <c r="B1643" s="1" t="n">
        <v>44341</v>
      </c>
      <c r="C1643" s="1" t="n">
        <v>46033</v>
      </c>
      <c r="D1643" t="inlineStr">
        <is>
          <t>STOCKHOLMS LÄN</t>
        </is>
      </c>
      <c r="E1643" t="inlineStr">
        <is>
          <t>VALLENTUNA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11929-2024</t>
        </is>
      </c>
      <c r="B1644" s="1" t="n">
        <v>45376.64532407407</v>
      </c>
      <c r="C1644" s="1" t="n">
        <v>46033</v>
      </c>
      <c r="D1644" t="inlineStr">
        <is>
          <t>STOCKHOLMS LÄN</t>
        </is>
      </c>
      <c r="E1644" t="inlineStr">
        <is>
          <t>NORRTÄLJE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33958-2023</t>
        </is>
      </c>
      <c r="B1645" s="1" t="n">
        <v>45124</v>
      </c>
      <c r="C1645" s="1" t="n">
        <v>46033</v>
      </c>
      <c r="D1645" t="inlineStr">
        <is>
          <t>STOCKHOLMS LÄN</t>
        </is>
      </c>
      <c r="E1645" t="inlineStr">
        <is>
          <t>VÄRMDÖ</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31120-2023</t>
        </is>
      </c>
      <c r="B1646" s="1" t="n">
        <v>45113</v>
      </c>
      <c r="C1646" s="1" t="n">
        <v>46033</v>
      </c>
      <c r="D1646" t="inlineStr">
        <is>
          <t>STOCKHOLMS LÄN</t>
        </is>
      </c>
      <c r="E1646" t="inlineStr">
        <is>
          <t>UPPLANDS VÄSBY</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6775-2022</t>
        </is>
      </c>
      <c r="B1647" s="1" t="n">
        <v>44602.52413194445</v>
      </c>
      <c r="C1647" s="1" t="n">
        <v>46033</v>
      </c>
      <c r="D1647" t="inlineStr">
        <is>
          <t>STOCKHOLMS LÄN</t>
        </is>
      </c>
      <c r="E1647" t="inlineStr">
        <is>
          <t>NYNÄSHAMN</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8296-2023</t>
        </is>
      </c>
      <c r="B1648" s="1" t="n">
        <v>44974</v>
      </c>
      <c r="C1648" s="1" t="n">
        <v>46033</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24575-2024</t>
        </is>
      </c>
      <c r="B1649" s="1" t="n">
        <v>45460.45523148148</v>
      </c>
      <c r="C1649" s="1" t="n">
        <v>46033</v>
      </c>
      <c r="D1649" t="inlineStr">
        <is>
          <t>STOCKHOLMS LÄN</t>
        </is>
      </c>
      <c r="E1649" t="inlineStr">
        <is>
          <t>NORRTÄLJE</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64899-2023</t>
        </is>
      </c>
      <c r="B1650" s="1" t="n">
        <v>45282</v>
      </c>
      <c r="C1650" s="1" t="n">
        <v>46033</v>
      </c>
      <c r="D1650" t="inlineStr">
        <is>
          <t>STOCKHOLMS LÄN</t>
        </is>
      </c>
      <c r="E1650" t="inlineStr">
        <is>
          <t>NORRTÄLJE</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56210-2025</t>
        </is>
      </c>
      <c r="B1651" s="1" t="n">
        <v>45974.47630787037</v>
      </c>
      <c r="C1651" s="1" t="n">
        <v>46033</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52593-2024</t>
        </is>
      </c>
      <c r="B1652" s="1" t="n">
        <v>45609.70778935185</v>
      </c>
      <c r="C1652" s="1" t="n">
        <v>46033</v>
      </c>
      <c r="D1652" t="inlineStr">
        <is>
          <t>STOCKHOLMS LÄN</t>
        </is>
      </c>
      <c r="E1652" t="inlineStr">
        <is>
          <t>NORRTÄLJE</t>
        </is>
      </c>
      <c r="F1652" t="inlineStr">
        <is>
          <t>Holmen skog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52617-2024</t>
        </is>
      </c>
      <c r="B1653" s="1" t="n">
        <v>45609.85146990741</v>
      </c>
      <c r="C1653" s="1" t="n">
        <v>46033</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56385-2025</t>
        </is>
      </c>
      <c r="B1654" s="1" t="n">
        <v>45974.71993055556</v>
      </c>
      <c r="C1654" s="1" t="n">
        <v>46033</v>
      </c>
      <c r="D1654" t="inlineStr">
        <is>
          <t>STOCKHOLMS LÄN</t>
        </is>
      </c>
      <c r="E1654" t="inlineStr">
        <is>
          <t>NYNÄSHAMN</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56207-2025</t>
        </is>
      </c>
      <c r="B1655" s="1" t="n">
        <v>45974.47329861111</v>
      </c>
      <c r="C1655" s="1" t="n">
        <v>46033</v>
      </c>
      <c r="D1655" t="inlineStr">
        <is>
          <t>STOCKHOLMS LÄN</t>
        </is>
      </c>
      <c r="E1655" t="inlineStr">
        <is>
          <t>NORRTÄLJE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22816-2021</t>
        </is>
      </c>
      <c r="B1656" s="1" t="n">
        <v>44325</v>
      </c>
      <c r="C1656" s="1" t="n">
        <v>46033</v>
      </c>
      <c r="D1656" t="inlineStr">
        <is>
          <t>STOCKHOLMS LÄN</t>
        </is>
      </c>
      <c r="E1656" t="inlineStr">
        <is>
          <t>NORRTÄLJE</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59904-2023</t>
        </is>
      </c>
      <c r="B1657" s="1" t="n">
        <v>45257</v>
      </c>
      <c r="C1657" s="1" t="n">
        <v>46033</v>
      </c>
      <c r="D1657" t="inlineStr">
        <is>
          <t>STOCKHOLMS LÄN</t>
        </is>
      </c>
      <c r="E1657" t="inlineStr">
        <is>
          <t>NORRTÄLJE</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9914-2023</t>
        </is>
      </c>
      <c r="B1658" s="1" t="n">
        <v>44985</v>
      </c>
      <c r="C1658" s="1" t="n">
        <v>46033</v>
      </c>
      <c r="D1658" t="inlineStr">
        <is>
          <t>STOCKHOLMS LÄN</t>
        </is>
      </c>
      <c r="E1658" t="inlineStr">
        <is>
          <t>NORRTÄLJE</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15260-2023</t>
        </is>
      </c>
      <c r="B1659" s="1" t="n">
        <v>45019</v>
      </c>
      <c r="C1659" s="1" t="n">
        <v>46033</v>
      </c>
      <c r="D1659" t="inlineStr">
        <is>
          <t>STOCKHOLMS LÄN</t>
        </is>
      </c>
      <c r="E1659" t="inlineStr">
        <is>
          <t>NACKA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56948-2025</t>
        </is>
      </c>
      <c r="B1660" s="1" t="n">
        <v>45978.64356481482</v>
      </c>
      <c r="C1660" s="1" t="n">
        <v>46033</v>
      </c>
      <c r="D1660" t="inlineStr">
        <is>
          <t>STOCKHOLMS LÄN</t>
        </is>
      </c>
      <c r="E1660" t="inlineStr">
        <is>
          <t>UPPLANDS VÄSBY</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17990-2024</t>
        </is>
      </c>
      <c r="B1661" s="1" t="n">
        <v>45419</v>
      </c>
      <c r="C1661" s="1" t="n">
        <v>46033</v>
      </c>
      <c r="D1661" t="inlineStr">
        <is>
          <t>STOCKHOLMS LÄN</t>
        </is>
      </c>
      <c r="E1661" t="inlineStr">
        <is>
          <t>NYNÄSHAMN</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11062-2024</t>
        </is>
      </c>
      <c r="B1662" s="1" t="n">
        <v>45370</v>
      </c>
      <c r="C1662" s="1" t="n">
        <v>46033</v>
      </c>
      <c r="D1662" t="inlineStr">
        <is>
          <t>STOCKHOLMS LÄN</t>
        </is>
      </c>
      <c r="E1662" t="inlineStr">
        <is>
          <t>NORRTÄLJE</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33569-2023</t>
        </is>
      </c>
      <c r="B1663" s="1" t="n">
        <v>45131.666875</v>
      </c>
      <c r="C1663" s="1" t="n">
        <v>46033</v>
      </c>
      <c r="D1663" t="inlineStr">
        <is>
          <t>STOCKHOLMS LÄN</t>
        </is>
      </c>
      <c r="E1663" t="inlineStr">
        <is>
          <t>NORRTÄLJE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15692-2023</t>
        </is>
      </c>
      <c r="B1664" s="1" t="n">
        <v>45020</v>
      </c>
      <c r="C1664" s="1" t="n">
        <v>46033</v>
      </c>
      <c r="D1664" t="inlineStr">
        <is>
          <t>STOCKHOLMS LÄN</t>
        </is>
      </c>
      <c r="E1664" t="inlineStr">
        <is>
          <t>BOTKYRKA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15905-2023</t>
        </is>
      </c>
      <c r="B1665" s="1" t="n">
        <v>45022</v>
      </c>
      <c r="C1665" s="1" t="n">
        <v>46033</v>
      </c>
      <c r="D1665" t="inlineStr">
        <is>
          <t>STOCKHOLMS LÄN</t>
        </is>
      </c>
      <c r="E1665" t="inlineStr">
        <is>
          <t>NORRTÄLJE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60795-2023</t>
        </is>
      </c>
      <c r="B1666" s="1" t="n">
        <v>45260</v>
      </c>
      <c r="C1666" s="1" t="n">
        <v>46033</v>
      </c>
      <c r="D1666" t="inlineStr">
        <is>
          <t>STOCKHOLMS LÄN</t>
        </is>
      </c>
      <c r="E1666" t="inlineStr">
        <is>
          <t>VALLENTUNA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39394-2023</t>
        </is>
      </c>
      <c r="B1667" s="1" t="n">
        <v>45166</v>
      </c>
      <c r="C1667" s="1" t="n">
        <v>46033</v>
      </c>
      <c r="D1667" t="inlineStr">
        <is>
          <t>STOCKHOLMS LÄN</t>
        </is>
      </c>
      <c r="E1667" t="inlineStr">
        <is>
          <t>ÖSTERÅKER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60997-2022</t>
        </is>
      </c>
      <c r="B1668" s="1" t="n">
        <v>44914.70746527778</v>
      </c>
      <c r="C1668" s="1" t="n">
        <v>46033</v>
      </c>
      <c r="D1668" t="inlineStr">
        <is>
          <t>STOCKHOLMS LÄN</t>
        </is>
      </c>
      <c r="E1668" t="inlineStr">
        <is>
          <t>VALLENTUNA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17624-2024</t>
        </is>
      </c>
      <c r="B1669" s="1" t="n">
        <v>45417.84</v>
      </c>
      <c r="C1669" s="1" t="n">
        <v>46033</v>
      </c>
      <c r="D1669" t="inlineStr">
        <is>
          <t>STOCKHOLMS LÄN</t>
        </is>
      </c>
      <c r="E1669" t="inlineStr">
        <is>
          <t>VÄRMDÖ</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15956-2023</t>
        </is>
      </c>
      <c r="B1670" s="1" t="n">
        <v>45022.61003472222</v>
      </c>
      <c r="C1670" s="1" t="n">
        <v>46033</v>
      </c>
      <c r="D1670" t="inlineStr">
        <is>
          <t>STOCKHOLMS LÄN</t>
        </is>
      </c>
      <c r="E1670" t="inlineStr">
        <is>
          <t>NORRTÄLJE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56917-2025</t>
        </is>
      </c>
      <c r="B1671" s="1" t="n">
        <v>45978.58453703704</v>
      </c>
      <c r="C1671" s="1" t="n">
        <v>46033</v>
      </c>
      <c r="D1671" t="inlineStr">
        <is>
          <t>STOCKHOLMS LÄN</t>
        </is>
      </c>
      <c r="E1671" t="inlineStr">
        <is>
          <t>UPPLANDS VÄSBY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64411-2023</t>
        </is>
      </c>
      <c r="B1672" s="1" t="n">
        <v>45280.63304398148</v>
      </c>
      <c r="C1672" s="1" t="n">
        <v>46033</v>
      </c>
      <c r="D1672" t="inlineStr">
        <is>
          <t>STOCKHOLMS LÄN</t>
        </is>
      </c>
      <c r="E1672" t="inlineStr">
        <is>
          <t>NYNÄSHAMN</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47626-2022</t>
        </is>
      </c>
      <c r="B1673" s="1" t="n">
        <v>44854</v>
      </c>
      <c r="C1673" s="1" t="n">
        <v>46033</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62206-2022</t>
        </is>
      </c>
      <c r="B1674" s="1" t="n">
        <v>44922</v>
      </c>
      <c r="C1674" s="1" t="n">
        <v>46033</v>
      </c>
      <c r="D1674" t="inlineStr">
        <is>
          <t>STOCKHOLMS LÄN</t>
        </is>
      </c>
      <c r="E1674" t="inlineStr">
        <is>
          <t>NORRTÄLJE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31695-2022</t>
        </is>
      </c>
      <c r="B1675" s="1" t="n">
        <v>44776</v>
      </c>
      <c r="C1675" s="1" t="n">
        <v>46033</v>
      </c>
      <c r="D1675" t="inlineStr">
        <is>
          <t>STOCKHOLMS LÄN</t>
        </is>
      </c>
      <c r="E1675" t="inlineStr">
        <is>
          <t>SIGTUNA</t>
        </is>
      </c>
      <c r="F1675" t="inlineStr">
        <is>
          <t>Kommuner</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20618-2022</t>
        </is>
      </c>
      <c r="B1676" s="1" t="n">
        <v>44700.50659722222</v>
      </c>
      <c r="C1676" s="1" t="n">
        <v>46033</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40168-2023</t>
        </is>
      </c>
      <c r="B1677" s="1" t="n">
        <v>45169.38591435185</v>
      </c>
      <c r="C1677" s="1" t="n">
        <v>46033</v>
      </c>
      <c r="D1677" t="inlineStr">
        <is>
          <t>STOCKHOLMS LÄN</t>
        </is>
      </c>
      <c r="E1677" t="inlineStr">
        <is>
          <t>NYKVARN</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40192-2023</t>
        </is>
      </c>
      <c r="B1678" s="1" t="n">
        <v>45169</v>
      </c>
      <c r="C1678" s="1" t="n">
        <v>46033</v>
      </c>
      <c r="D1678" t="inlineStr">
        <is>
          <t>STOCKHOLMS LÄN</t>
        </is>
      </c>
      <c r="E1678" t="inlineStr">
        <is>
          <t>NORRTÄLJE</t>
        </is>
      </c>
      <c r="F1678" t="inlineStr">
        <is>
          <t>Kyrkan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17320-2023</t>
        </is>
      </c>
      <c r="B1679" s="1" t="n">
        <v>45035.54853009259</v>
      </c>
      <c r="C1679" s="1" t="n">
        <v>46033</v>
      </c>
      <c r="D1679" t="inlineStr">
        <is>
          <t>STOCKHOLMS LÄN</t>
        </is>
      </c>
      <c r="E1679" t="inlineStr">
        <is>
          <t>SIGTUNA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11900-2022</t>
        </is>
      </c>
      <c r="B1680" s="1" t="n">
        <v>44635</v>
      </c>
      <c r="C1680" s="1" t="n">
        <v>46033</v>
      </c>
      <c r="D1680" t="inlineStr">
        <is>
          <t>STOCKHOLMS LÄN</t>
        </is>
      </c>
      <c r="E1680" t="inlineStr">
        <is>
          <t>NORRTÄLJE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10973-2025</t>
        </is>
      </c>
      <c r="B1681" s="1" t="n">
        <v>45723</v>
      </c>
      <c r="C1681" s="1" t="n">
        <v>46033</v>
      </c>
      <c r="D1681" t="inlineStr">
        <is>
          <t>STOCKHOLMS LÄN</t>
        </is>
      </c>
      <c r="E1681" t="inlineStr">
        <is>
          <t>NORRTÄLJE</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27885-2022</t>
        </is>
      </c>
      <c r="B1682" s="1" t="n">
        <v>44743.67418981482</v>
      </c>
      <c r="C1682" s="1" t="n">
        <v>46033</v>
      </c>
      <c r="D1682" t="inlineStr">
        <is>
          <t>STOCKHOLMS LÄN</t>
        </is>
      </c>
      <c r="E1682" t="inlineStr">
        <is>
          <t>NORRTÄLJE</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41681-2023</t>
        </is>
      </c>
      <c r="B1683" s="1" t="n">
        <v>45173</v>
      </c>
      <c r="C1683" s="1" t="n">
        <v>46033</v>
      </c>
      <c r="D1683" t="inlineStr">
        <is>
          <t>STOCKHOLMS LÄN</t>
        </is>
      </c>
      <c r="E1683" t="inlineStr">
        <is>
          <t>NYKVARN</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57871-2025</t>
        </is>
      </c>
      <c r="B1684" s="1" t="n">
        <v>45981.6530787037</v>
      </c>
      <c r="C1684" s="1" t="n">
        <v>46033</v>
      </c>
      <c r="D1684" t="inlineStr">
        <is>
          <t>STOCKHOLMS LÄN</t>
        </is>
      </c>
      <c r="E1684" t="inlineStr">
        <is>
          <t>SIGTUNA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16803-2022</t>
        </is>
      </c>
      <c r="B1685" s="1" t="n">
        <v>44673</v>
      </c>
      <c r="C1685" s="1" t="n">
        <v>46033</v>
      </c>
      <c r="D1685" t="inlineStr">
        <is>
          <t>STOCKHOLMS LÄN</t>
        </is>
      </c>
      <c r="E1685" t="inlineStr">
        <is>
          <t>ÖSTERÅKER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954-2023</t>
        </is>
      </c>
      <c r="B1686" s="1" t="n">
        <v>44934.7921875</v>
      </c>
      <c r="C1686" s="1" t="n">
        <v>46033</v>
      </c>
      <c r="D1686" t="inlineStr">
        <is>
          <t>STOCKHOLMS LÄN</t>
        </is>
      </c>
      <c r="E1686" t="inlineStr">
        <is>
          <t>SÖDERTÄLJE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35200-2023</t>
        </is>
      </c>
      <c r="B1687" s="1" t="n">
        <v>45145</v>
      </c>
      <c r="C1687" s="1" t="n">
        <v>46033</v>
      </c>
      <c r="D1687" t="inlineStr">
        <is>
          <t>STOCKHOLMS LÄN</t>
        </is>
      </c>
      <c r="E1687" t="inlineStr">
        <is>
          <t>SÖDERTÄLJE</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57788-2025</t>
        </is>
      </c>
      <c r="B1688" s="1" t="n">
        <v>45981.5778125</v>
      </c>
      <c r="C1688" s="1" t="n">
        <v>46033</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57879-2025</t>
        </is>
      </c>
      <c r="B1689" s="1" t="n">
        <v>45981.66293981481</v>
      </c>
      <c r="C1689" s="1" t="n">
        <v>46033</v>
      </c>
      <c r="D1689" t="inlineStr">
        <is>
          <t>STOCKHOLMS LÄN</t>
        </is>
      </c>
      <c r="E1689" t="inlineStr">
        <is>
          <t>SIGTUNA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57881-2025</t>
        </is>
      </c>
      <c r="B1690" s="1" t="n">
        <v>45981.66450231482</v>
      </c>
      <c r="C1690" s="1" t="n">
        <v>46033</v>
      </c>
      <c r="D1690" t="inlineStr">
        <is>
          <t>STOCKHOLMS LÄN</t>
        </is>
      </c>
      <c r="E1690" t="inlineStr">
        <is>
          <t>SIGTUNA</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470-2022</t>
        </is>
      </c>
      <c r="B1691" s="1" t="n">
        <v>44565</v>
      </c>
      <c r="C1691" s="1" t="n">
        <v>46033</v>
      </c>
      <c r="D1691" t="inlineStr">
        <is>
          <t>STOCKHOLMS LÄN</t>
        </is>
      </c>
      <c r="E1691" t="inlineStr">
        <is>
          <t>ÖSTERÅKER</t>
        </is>
      </c>
      <c r="F1691" t="inlineStr">
        <is>
          <t>Övriga Aktiebolag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73151-2021</t>
        </is>
      </c>
      <c r="B1692" s="1" t="n">
        <v>44550.5162037037</v>
      </c>
      <c r="C1692" s="1" t="n">
        <v>46033</v>
      </c>
      <c r="D1692" t="inlineStr">
        <is>
          <t>STOCKHOLMS LÄN</t>
        </is>
      </c>
      <c r="E1692" t="inlineStr">
        <is>
          <t>BOTKYRKA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3341-2025</t>
        </is>
      </c>
      <c r="B1693" s="1" t="n">
        <v>45679</v>
      </c>
      <c r="C1693" s="1" t="n">
        <v>46033</v>
      </c>
      <c r="D1693" t="inlineStr">
        <is>
          <t>STOCKHOLMS LÄN</t>
        </is>
      </c>
      <c r="E1693" t="inlineStr">
        <is>
          <t>NYNÄSHAMN</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24363-2023</t>
        </is>
      </c>
      <c r="B1694" s="1" t="n">
        <v>45076</v>
      </c>
      <c r="C1694" s="1" t="n">
        <v>46033</v>
      </c>
      <c r="D1694" t="inlineStr">
        <is>
          <t>STOCKHOLMS LÄN</t>
        </is>
      </c>
      <c r="E1694" t="inlineStr">
        <is>
          <t>HUDDINGE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231-2026</t>
        </is>
      </c>
      <c r="B1695" s="1" t="n">
        <v>46027.34201388889</v>
      </c>
      <c r="C1695" s="1" t="n">
        <v>46033</v>
      </c>
      <c r="D1695" t="inlineStr">
        <is>
          <t>STOCKHOLMS LÄN</t>
        </is>
      </c>
      <c r="E1695" t="inlineStr">
        <is>
          <t>SÖDERTÄLJE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58403-2025</t>
        </is>
      </c>
      <c r="B1696" s="1" t="n">
        <v>45985.56777777777</v>
      </c>
      <c r="C1696" s="1" t="n">
        <v>46033</v>
      </c>
      <c r="D1696" t="inlineStr">
        <is>
          <t>STOCKHOLMS LÄN</t>
        </is>
      </c>
      <c r="E1696" t="inlineStr">
        <is>
          <t>NORRTÄLJE</t>
        </is>
      </c>
      <c r="F1696" t="inlineStr">
        <is>
          <t>Naturvårdsverket</t>
        </is>
      </c>
      <c r="G1696" t="n">
        <v>13.5</v>
      </c>
      <c r="H1696" t="n">
        <v>0</v>
      </c>
      <c r="I1696" t="n">
        <v>0</v>
      </c>
      <c r="J1696" t="n">
        <v>0</v>
      </c>
      <c r="K1696" t="n">
        <v>0</v>
      </c>
      <c r="L1696" t="n">
        <v>0</v>
      </c>
      <c r="M1696" t="n">
        <v>0</v>
      </c>
      <c r="N1696" t="n">
        <v>0</v>
      </c>
      <c r="O1696" t="n">
        <v>0</v>
      </c>
      <c r="P1696" t="n">
        <v>0</v>
      </c>
      <c r="Q1696" t="n">
        <v>0</v>
      </c>
      <c r="R1696" s="2" t="inlineStr"/>
    </row>
    <row r="1697" ht="15" customHeight="1">
      <c r="A1697" t="inlineStr">
        <is>
          <t>A 18528-2024</t>
        </is>
      </c>
      <c r="B1697" s="1" t="n">
        <v>45425.61965277778</v>
      </c>
      <c r="C1697" s="1" t="n">
        <v>46033</v>
      </c>
      <c r="D1697" t="inlineStr">
        <is>
          <t>STOCKHOLMS LÄN</t>
        </is>
      </c>
      <c r="E1697" t="inlineStr">
        <is>
          <t>HANINGE</t>
        </is>
      </c>
      <c r="F1697" t="inlineStr">
        <is>
          <t>Kommuner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233-2026</t>
        </is>
      </c>
      <c r="B1698" s="1" t="n">
        <v>46027.34767361111</v>
      </c>
      <c r="C1698" s="1" t="n">
        <v>46033</v>
      </c>
      <c r="D1698" t="inlineStr">
        <is>
          <t>STOCKHOLMS LÄN</t>
        </is>
      </c>
      <c r="E1698" t="inlineStr">
        <is>
          <t>SÖDERTÄLJE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60224-2023</t>
        </is>
      </c>
      <c r="B1699" s="1" t="n">
        <v>45257</v>
      </c>
      <c r="C1699" s="1" t="n">
        <v>46033</v>
      </c>
      <c r="D1699" t="inlineStr">
        <is>
          <t>STOCKHOLMS LÄN</t>
        </is>
      </c>
      <c r="E1699" t="inlineStr">
        <is>
          <t>NORRTÄLJE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234-2026</t>
        </is>
      </c>
      <c r="B1700" s="1" t="n">
        <v>46027.36018518519</v>
      </c>
      <c r="C1700" s="1" t="n">
        <v>46033</v>
      </c>
      <c r="D1700" t="inlineStr">
        <is>
          <t>STOCKHOLMS LÄN</t>
        </is>
      </c>
      <c r="E1700" t="inlineStr">
        <is>
          <t>SÖDERTÄLJE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5142-2024</t>
        </is>
      </c>
      <c r="B1701" s="1" t="n">
        <v>45330</v>
      </c>
      <c r="C1701" s="1" t="n">
        <v>46033</v>
      </c>
      <c r="D1701" t="inlineStr">
        <is>
          <t>STOCKHOLMS LÄN</t>
        </is>
      </c>
      <c r="E1701" t="inlineStr">
        <is>
          <t>SIGTUNA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5158-2024</t>
        </is>
      </c>
      <c r="B1702" s="1" t="n">
        <v>45330.50098379629</v>
      </c>
      <c r="C1702" s="1" t="n">
        <v>46033</v>
      </c>
      <c r="D1702" t="inlineStr">
        <is>
          <t>STOCKHOLMS LÄN</t>
        </is>
      </c>
      <c r="E1702" t="inlineStr">
        <is>
          <t>NORRTÄLJE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20957-2023</t>
        </is>
      </c>
      <c r="B1703" s="1" t="n">
        <v>45061</v>
      </c>
      <c r="C1703" s="1" t="n">
        <v>46033</v>
      </c>
      <c r="D1703" t="inlineStr">
        <is>
          <t>STOCKHOLMS LÄN</t>
        </is>
      </c>
      <c r="E1703" t="inlineStr">
        <is>
          <t>SIGTUNA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58142-2025</t>
        </is>
      </c>
      <c r="B1704" s="1" t="n">
        <v>45982.63791666667</v>
      </c>
      <c r="C1704" s="1" t="n">
        <v>46033</v>
      </c>
      <c r="D1704" t="inlineStr">
        <is>
          <t>STOCKHOLMS LÄN</t>
        </is>
      </c>
      <c r="E1704" t="inlineStr">
        <is>
          <t>NORRTÄLJE</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57953-2025</t>
        </is>
      </c>
      <c r="B1705" s="1" t="n">
        <v>45982.35016203704</v>
      </c>
      <c r="C1705" s="1" t="n">
        <v>46033</v>
      </c>
      <c r="D1705" t="inlineStr">
        <is>
          <t>STOCKHOLMS LÄN</t>
        </is>
      </c>
      <c r="E1705" t="inlineStr">
        <is>
          <t>NORRTÄLJE</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14775-2024</t>
        </is>
      </c>
      <c r="B1706" s="1" t="n">
        <v>45397.73675925926</v>
      </c>
      <c r="C1706" s="1" t="n">
        <v>46033</v>
      </c>
      <c r="D1706" t="inlineStr">
        <is>
          <t>STOCKHOLMS LÄN</t>
        </is>
      </c>
      <c r="E1706" t="inlineStr">
        <is>
          <t>VALLENTUNA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197-2026</t>
        </is>
      </c>
      <c r="B1707" s="1" t="n">
        <v>46026</v>
      </c>
      <c r="C1707" s="1" t="n">
        <v>46033</v>
      </c>
      <c r="D1707" t="inlineStr">
        <is>
          <t>STOCKHOLMS LÄN</t>
        </is>
      </c>
      <c r="E1707" t="inlineStr">
        <is>
          <t>NORRTÄLJE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243-2026</t>
        </is>
      </c>
      <c r="B1708" s="1" t="n">
        <v>46027.39109953704</v>
      </c>
      <c r="C1708" s="1" t="n">
        <v>46033</v>
      </c>
      <c r="D1708" t="inlineStr">
        <is>
          <t>STOCKHOLMS LÄN</t>
        </is>
      </c>
      <c r="E1708" t="inlineStr">
        <is>
          <t>SÖDERTÄLJE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9130-2025</t>
        </is>
      </c>
      <c r="B1709" s="1" t="n">
        <v>45713.92623842593</v>
      </c>
      <c r="C1709" s="1" t="n">
        <v>46033</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17551-2025</t>
        </is>
      </c>
      <c r="B1710" s="1" t="n">
        <v>45757.61421296297</v>
      </c>
      <c r="C1710" s="1" t="n">
        <v>46033</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39082-2021</t>
        </is>
      </c>
      <c r="B1711" s="1" t="n">
        <v>44412</v>
      </c>
      <c r="C1711" s="1" t="n">
        <v>46033</v>
      </c>
      <c r="D1711" t="inlineStr">
        <is>
          <t>STOCKHOLMS LÄN</t>
        </is>
      </c>
      <c r="E1711" t="inlineStr">
        <is>
          <t>VÄRMDÖ</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1703-2023</t>
        </is>
      </c>
      <c r="B1712" s="1" t="n">
        <v>44938.44412037037</v>
      </c>
      <c r="C1712" s="1" t="n">
        <v>46033</v>
      </c>
      <c r="D1712" t="inlineStr">
        <is>
          <t>STOCKHOLMS LÄN</t>
        </is>
      </c>
      <c r="E1712" t="inlineStr">
        <is>
          <t>HANINGE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55010-2024</t>
        </is>
      </c>
      <c r="B1713" s="1" t="n">
        <v>45621.34425925926</v>
      </c>
      <c r="C1713" s="1" t="n">
        <v>46033</v>
      </c>
      <c r="D1713" t="inlineStr">
        <is>
          <t>STOCKHOLMS LÄN</t>
        </is>
      </c>
      <c r="E1713" t="inlineStr">
        <is>
          <t>NORRTÄLJE</t>
        </is>
      </c>
      <c r="F1713" t="inlineStr">
        <is>
          <t>Sveaskog</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8673-2025</t>
        </is>
      </c>
      <c r="B1714" s="1" t="n">
        <v>45712.4272337963</v>
      </c>
      <c r="C1714" s="1" t="n">
        <v>46033</v>
      </c>
      <c r="D1714" t="inlineStr">
        <is>
          <t>STOCKHOLMS LÄN</t>
        </is>
      </c>
      <c r="E1714" t="inlineStr">
        <is>
          <t>SIGTUNA</t>
        </is>
      </c>
      <c r="F1714" t="inlineStr">
        <is>
          <t>Allmännings- och besparingsskogar</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31105-2022</t>
        </is>
      </c>
      <c r="B1715" s="1" t="n">
        <v>44769.66039351852</v>
      </c>
      <c r="C1715" s="1" t="n">
        <v>46033</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8565-2025</t>
        </is>
      </c>
      <c r="B1716" s="1" t="n">
        <v>45709</v>
      </c>
      <c r="C1716" s="1" t="n">
        <v>46033</v>
      </c>
      <c r="D1716" t="inlineStr">
        <is>
          <t>STOCKHOLMS LÄN</t>
        </is>
      </c>
      <c r="E1716" t="inlineStr">
        <is>
          <t>VALLENTUNA</t>
        </is>
      </c>
      <c r="F1716" t="inlineStr">
        <is>
          <t>Kommuner</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64110-2023</t>
        </is>
      </c>
      <c r="B1717" s="1" t="n">
        <v>45279</v>
      </c>
      <c r="C1717" s="1" t="n">
        <v>46033</v>
      </c>
      <c r="D1717" t="inlineStr">
        <is>
          <t>STOCKHOLMS LÄN</t>
        </is>
      </c>
      <c r="E1717" t="inlineStr">
        <is>
          <t>UPPLANDS-BRO</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41677-2023</t>
        </is>
      </c>
      <c r="B1718" s="1" t="n">
        <v>45173</v>
      </c>
      <c r="C1718" s="1" t="n">
        <v>46033</v>
      </c>
      <c r="D1718" t="inlineStr">
        <is>
          <t>STOCKHOLMS LÄN</t>
        </is>
      </c>
      <c r="E1718" t="inlineStr">
        <is>
          <t>NYNÄSHAMN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41680-2023</t>
        </is>
      </c>
      <c r="B1719" s="1" t="n">
        <v>45173</v>
      </c>
      <c r="C1719" s="1" t="n">
        <v>46033</v>
      </c>
      <c r="D1719" t="inlineStr">
        <is>
          <t>STOCKHOLMS LÄN</t>
        </is>
      </c>
      <c r="E1719" t="inlineStr">
        <is>
          <t>NYNÄSHAMN</t>
        </is>
      </c>
      <c r="G1719" t="n">
        <v>12.3</v>
      </c>
      <c r="H1719" t="n">
        <v>0</v>
      </c>
      <c r="I1719" t="n">
        <v>0</v>
      </c>
      <c r="J1719" t="n">
        <v>0</v>
      </c>
      <c r="K1719" t="n">
        <v>0</v>
      </c>
      <c r="L1719" t="n">
        <v>0</v>
      </c>
      <c r="M1719" t="n">
        <v>0</v>
      </c>
      <c r="N1719" t="n">
        <v>0</v>
      </c>
      <c r="O1719" t="n">
        <v>0</v>
      </c>
      <c r="P1719" t="n">
        <v>0</v>
      </c>
      <c r="Q1719" t="n">
        <v>0</v>
      </c>
      <c r="R1719" s="2" t="inlineStr"/>
    </row>
    <row r="1720" ht="15" customHeight="1">
      <c r="A1720" t="inlineStr">
        <is>
          <t>A 124-2026</t>
        </is>
      </c>
      <c r="B1720" s="1" t="n">
        <v>46024.58378472222</v>
      </c>
      <c r="C1720" s="1" t="n">
        <v>46033</v>
      </c>
      <c r="D1720" t="inlineStr">
        <is>
          <t>STOCKHOLMS LÄN</t>
        </is>
      </c>
      <c r="E1720" t="inlineStr">
        <is>
          <t>NORRTÄLJE</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23098-2024</t>
        </is>
      </c>
      <c r="B1721" s="1" t="n">
        <v>45450</v>
      </c>
      <c r="C1721" s="1" t="n">
        <v>46033</v>
      </c>
      <c r="D1721" t="inlineStr">
        <is>
          <t>STOCKHOLMS LÄN</t>
        </is>
      </c>
      <c r="E1721" t="inlineStr">
        <is>
          <t>UPPLANDS-BRO</t>
        </is>
      </c>
      <c r="F1721" t="inlineStr">
        <is>
          <t>Övriga statliga verk och myndigheter</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8787-2024</t>
        </is>
      </c>
      <c r="B1722" s="1" t="n">
        <v>45356</v>
      </c>
      <c r="C1722" s="1" t="n">
        <v>46033</v>
      </c>
      <c r="D1722" t="inlineStr">
        <is>
          <t>STOCKHOLMS LÄN</t>
        </is>
      </c>
      <c r="E1722" t="inlineStr">
        <is>
          <t>VALLENTUNA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24283-2022</t>
        </is>
      </c>
      <c r="B1723" s="1" t="n">
        <v>44725.79453703704</v>
      </c>
      <c r="C1723" s="1" t="n">
        <v>46033</v>
      </c>
      <c r="D1723" t="inlineStr">
        <is>
          <t>STOCKHOLMS LÄN</t>
        </is>
      </c>
      <c r="E1723" t="inlineStr">
        <is>
          <t>NYKVARN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58939-2025</t>
        </is>
      </c>
      <c r="B1724" s="1" t="n">
        <v>45987.5681712963</v>
      </c>
      <c r="C1724" s="1" t="n">
        <v>46033</v>
      </c>
      <c r="D1724" t="inlineStr">
        <is>
          <t>STOCKHOLMS LÄN</t>
        </is>
      </c>
      <c r="E1724" t="inlineStr">
        <is>
          <t>NORRTÄLJE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59165-2022</t>
        </is>
      </c>
      <c r="B1725" s="1" t="n">
        <v>44904.4783912037</v>
      </c>
      <c r="C1725" s="1" t="n">
        <v>46033</v>
      </c>
      <c r="D1725" t="inlineStr">
        <is>
          <t>STOCKHOLMS LÄN</t>
        </is>
      </c>
      <c r="E1725" t="inlineStr">
        <is>
          <t>SIGTUNA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30620-2022</t>
        </is>
      </c>
      <c r="B1726" s="1" t="n">
        <v>44763.40914351852</v>
      </c>
      <c r="C1726" s="1" t="n">
        <v>46033</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50113-2024</t>
        </is>
      </c>
      <c r="B1727" s="1" t="n">
        <v>45600.411875</v>
      </c>
      <c r="C1727" s="1" t="n">
        <v>46033</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55724-2024</t>
        </is>
      </c>
      <c r="B1728" s="1" t="n">
        <v>45622.81020833334</v>
      </c>
      <c r="C1728" s="1" t="n">
        <v>46033</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28365-2022</t>
        </is>
      </c>
      <c r="B1729" s="1" t="n">
        <v>44747</v>
      </c>
      <c r="C1729" s="1" t="n">
        <v>46033</v>
      </c>
      <c r="D1729" t="inlineStr">
        <is>
          <t>STOCKHOLMS LÄN</t>
        </is>
      </c>
      <c r="E1729" t="inlineStr">
        <is>
          <t>NORRTÄLJE</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42955-2022</t>
        </is>
      </c>
      <c r="B1730" s="1" t="n">
        <v>44833.40876157407</v>
      </c>
      <c r="C1730" s="1" t="n">
        <v>46033</v>
      </c>
      <c r="D1730" t="inlineStr">
        <is>
          <t>STOCKHOLMS LÄN</t>
        </is>
      </c>
      <c r="E1730" t="inlineStr">
        <is>
          <t>NORRTÄLJE</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64431-2023</t>
        </is>
      </c>
      <c r="B1731" s="1" t="n">
        <v>45280</v>
      </c>
      <c r="C1731" s="1" t="n">
        <v>46033</v>
      </c>
      <c r="D1731" t="inlineStr">
        <is>
          <t>STOCKHOLMS LÄN</t>
        </is>
      </c>
      <c r="E1731" t="inlineStr">
        <is>
          <t>UPPLANDS VÄSBY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28851-2022</t>
        </is>
      </c>
      <c r="B1732" s="1" t="n">
        <v>44749.47957175926</v>
      </c>
      <c r="C1732" s="1" t="n">
        <v>46033</v>
      </c>
      <c r="D1732" t="inlineStr">
        <is>
          <t>STOCKHOLMS LÄN</t>
        </is>
      </c>
      <c r="E1732" t="inlineStr">
        <is>
          <t>SIGTUNA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1283-2025</t>
        </is>
      </c>
      <c r="B1733" s="1" t="n">
        <v>45667.49878472222</v>
      </c>
      <c r="C1733" s="1" t="n">
        <v>46033</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414-2026</t>
        </is>
      </c>
      <c r="B1734" s="1" t="n">
        <v>46028.76050925926</v>
      </c>
      <c r="C1734" s="1" t="n">
        <v>46033</v>
      </c>
      <c r="D1734" t="inlineStr">
        <is>
          <t>STOCKHOLMS LÄN</t>
        </is>
      </c>
      <c r="E1734" t="inlineStr">
        <is>
          <t>VALLENTUNA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49568-2024</t>
        </is>
      </c>
      <c r="B1735" s="1" t="n">
        <v>45596.49587962963</v>
      </c>
      <c r="C1735" s="1" t="n">
        <v>46033</v>
      </c>
      <c r="D1735" t="inlineStr">
        <is>
          <t>STOCKHOLMS LÄN</t>
        </is>
      </c>
      <c r="E1735" t="inlineStr">
        <is>
          <t>VÄRMDÖ</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9703-2021</t>
        </is>
      </c>
      <c r="B1736" s="1" t="n">
        <v>44252</v>
      </c>
      <c r="C1736" s="1" t="n">
        <v>46033</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60897-2025</t>
        </is>
      </c>
      <c r="B1737" s="1" t="n">
        <v>45999.58038194444</v>
      </c>
      <c r="C1737" s="1" t="n">
        <v>46033</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9120-2025</t>
        </is>
      </c>
      <c r="B1738" s="1" t="n">
        <v>45713.82875</v>
      </c>
      <c r="C1738" s="1" t="n">
        <v>46033</v>
      </c>
      <c r="D1738" t="inlineStr">
        <is>
          <t>STOCKHOLMS LÄN</t>
        </is>
      </c>
      <c r="E1738" t="inlineStr">
        <is>
          <t>SIGTUNA</t>
        </is>
      </c>
      <c r="F1738" t="inlineStr">
        <is>
          <t>Allmännings- och besparingsskogar</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693-2026</t>
        </is>
      </c>
      <c r="B1739" s="1" t="n">
        <v>46029.6133449074</v>
      </c>
      <c r="C1739" s="1" t="n">
        <v>46033</v>
      </c>
      <c r="D1739" t="inlineStr">
        <is>
          <t>STOCKHOLMS LÄN</t>
        </is>
      </c>
      <c r="E1739" t="inlineStr">
        <is>
          <t>NORRTÄLJE</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18490-2025</t>
        </is>
      </c>
      <c r="B1740" s="1" t="n">
        <v>45763</v>
      </c>
      <c r="C1740" s="1" t="n">
        <v>46033</v>
      </c>
      <c r="D1740" t="inlineStr">
        <is>
          <t>STOCKHOLMS LÄN</t>
        </is>
      </c>
      <c r="E1740" t="inlineStr">
        <is>
          <t>HANINGE</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718-2026</t>
        </is>
      </c>
      <c r="B1741" s="1" t="n">
        <v>46029.63174768518</v>
      </c>
      <c r="C1741" s="1" t="n">
        <v>46033</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61937-2021</t>
        </is>
      </c>
      <c r="B1742" s="1" t="n">
        <v>44502</v>
      </c>
      <c r="C1742" s="1" t="n">
        <v>46033</v>
      </c>
      <c r="D1742" t="inlineStr">
        <is>
          <t>STOCKHOLMS LÄN</t>
        </is>
      </c>
      <c r="E1742" t="inlineStr">
        <is>
          <t>SIGTUNA</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13767-2025</t>
        </is>
      </c>
      <c r="B1743" s="1" t="n">
        <v>45737.43347222222</v>
      </c>
      <c r="C1743" s="1" t="n">
        <v>46033</v>
      </c>
      <c r="D1743" t="inlineStr">
        <is>
          <t>STOCKHOLMS LÄN</t>
        </is>
      </c>
      <c r="E1743" t="inlineStr">
        <is>
          <t>NORRTÄLJE</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31212-2024</t>
        </is>
      </c>
      <c r="B1744" s="1" t="n">
        <v>45503</v>
      </c>
      <c r="C1744" s="1" t="n">
        <v>46033</v>
      </c>
      <c r="D1744" t="inlineStr">
        <is>
          <t>STOCKHOLMS LÄN</t>
        </is>
      </c>
      <c r="E1744" t="inlineStr">
        <is>
          <t>SÖDERTÄLJE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20013-2025</t>
        </is>
      </c>
      <c r="B1745" s="1" t="n">
        <v>45772.30436342592</v>
      </c>
      <c r="C1745" s="1" t="n">
        <v>46033</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14782-2024</t>
        </is>
      </c>
      <c r="B1746" s="1" t="n">
        <v>45397.74266203704</v>
      </c>
      <c r="C1746" s="1" t="n">
        <v>46033</v>
      </c>
      <c r="D1746" t="inlineStr">
        <is>
          <t>STOCKHOLMS LÄN</t>
        </is>
      </c>
      <c r="E1746" t="inlineStr">
        <is>
          <t>VALLENTUNA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53362-2023</t>
        </is>
      </c>
      <c r="B1747" s="1" t="n">
        <v>45223</v>
      </c>
      <c r="C1747" s="1" t="n">
        <v>46033</v>
      </c>
      <c r="D1747" t="inlineStr">
        <is>
          <t>STOCKHOLMS LÄN</t>
        </is>
      </c>
      <c r="E1747" t="inlineStr">
        <is>
          <t>NORRTÄLJE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15422-2024</t>
        </is>
      </c>
      <c r="B1748" s="1" t="n">
        <v>45401.3653125</v>
      </c>
      <c r="C1748" s="1" t="n">
        <v>46033</v>
      </c>
      <c r="D1748" t="inlineStr">
        <is>
          <t>STOCKHOLMS LÄN</t>
        </is>
      </c>
      <c r="E1748" t="inlineStr">
        <is>
          <t>NORRTÄLJE</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52562-2023</t>
        </is>
      </c>
      <c r="B1749" s="1" t="n">
        <v>45225</v>
      </c>
      <c r="C1749" s="1" t="n">
        <v>46033</v>
      </c>
      <c r="D1749" t="inlineStr">
        <is>
          <t>STOCKHOLMS LÄN</t>
        </is>
      </c>
      <c r="E1749" t="inlineStr">
        <is>
          <t>VALLENTUNA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58140-2023</t>
        </is>
      </c>
      <c r="B1750" s="1" t="n">
        <v>45250</v>
      </c>
      <c r="C1750" s="1" t="n">
        <v>46033</v>
      </c>
      <c r="D1750" t="inlineStr">
        <is>
          <t>STOCKHOLMS LÄN</t>
        </is>
      </c>
      <c r="E1750" t="inlineStr">
        <is>
          <t>SÖDERTÄLJE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59377-2024</t>
        </is>
      </c>
      <c r="B1751" s="1" t="n">
        <v>45638.35164351852</v>
      </c>
      <c r="C1751" s="1" t="n">
        <v>46033</v>
      </c>
      <c r="D1751" t="inlineStr">
        <is>
          <t>STOCKHOLMS LÄN</t>
        </is>
      </c>
      <c r="E1751" t="inlineStr">
        <is>
          <t>UPPLANDS-BRO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30508-2023</t>
        </is>
      </c>
      <c r="B1752" s="1" t="n">
        <v>45111</v>
      </c>
      <c r="C1752" s="1" t="n">
        <v>46033</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58598-2025</t>
        </is>
      </c>
      <c r="B1753" s="1" t="n">
        <v>45986</v>
      </c>
      <c r="C1753" s="1" t="n">
        <v>46033</v>
      </c>
      <c r="D1753" t="inlineStr">
        <is>
          <t>STOCKHOLMS LÄN</t>
        </is>
      </c>
      <c r="E1753" t="inlineStr">
        <is>
          <t>UPPLANDS-BRO</t>
        </is>
      </c>
      <c r="F1753" t="inlineStr">
        <is>
          <t>Övriga statliga verk och myndigheter</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694-2026</t>
        </is>
      </c>
      <c r="B1754" s="1" t="n">
        <v>46029.61375</v>
      </c>
      <c r="C1754" s="1" t="n">
        <v>46033</v>
      </c>
      <c r="D1754" t="inlineStr">
        <is>
          <t>STOCKHOLMS LÄN</t>
        </is>
      </c>
      <c r="E1754" t="inlineStr">
        <is>
          <t>NORRTÄLJE</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19288-2025</t>
        </is>
      </c>
      <c r="B1755" s="1" t="n">
        <v>45769</v>
      </c>
      <c r="C1755" s="1" t="n">
        <v>46033</v>
      </c>
      <c r="D1755" t="inlineStr">
        <is>
          <t>STOCKHOLMS LÄN</t>
        </is>
      </c>
      <c r="E1755" t="inlineStr">
        <is>
          <t>SIGTUNA</t>
        </is>
      </c>
      <c r="G1755" t="n">
        <v>14.5</v>
      </c>
      <c r="H1755" t="n">
        <v>0</v>
      </c>
      <c r="I1755" t="n">
        <v>0</v>
      </c>
      <c r="J1755" t="n">
        <v>0</v>
      </c>
      <c r="K1755" t="n">
        <v>0</v>
      </c>
      <c r="L1755" t="n">
        <v>0</v>
      </c>
      <c r="M1755" t="n">
        <v>0</v>
      </c>
      <c r="N1755" t="n">
        <v>0</v>
      </c>
      <c r="O1755" t="n">
        <v>0</v>
      </c>
      <c r="P1755" t="n">
        <v>0</v>
      </c>
      <c r="Q1755" t="n">
        <v>0</v>
      </c>
      <c r="R1755" s="2" t="inlineStr"/>
    </row>
    <row r="1756" ht="15" customHeight="1">
      <c r="A1756" t="inlineStr">
        <is>
          <t>A 46438-2023</t>
        </is>
      </c>
      <c r="B1756" s="1" t="n">
        <v>45197</v>
      </c>
      <c r="C1756" s="1" t="n">
        <v>46033</v>
      </c>
      <c r="D1756" t="inlineStr">
        <is>
          <t>STOCKHOLMS LÄN</t>
        </is>
      </c>
      <c r="E1756" t="inlineStr">
        <is>
          <t>UPPLANDS-BRO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8096-2023</t>
        </is>
      </c>
      <c r="B1757" s="1" t="n">
        <v>44974.389375</v>
      </c>
      <c r="C1757" s="1" t="n">
        <v>46033</v>
      </c>
      <c r="D1757" t="inlineStr">
        <is>
          <t>STOCKHOLMS LÄN</t>
        </is>
      </c>
      <c r="E1757" t="inlineStr">
        <is>
          <t>NYKVARN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49530-2023</t>
        </is>
      </c>
      <c r="B1758" s="1" t="n">
        <v>45205</v>
      </c>
      <c r="C1758" s="1" t="n">
        <v>46033</v>
      </c>
      <c r="D1758" t="inlineStr">
        <is>
          <t>STOCKHOLMS LÄN</t>
        </is>
      </c>
      <c r="E1758" t="inlineStr">
        <is>
          <t>VALLENTUNA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51087-2023</t>
        </is>
      </c>
      <c r="B1759" s="1" t="n">
        <v>45218.73296296296</v>
      </c>
      <c r="C1759" s="1" t="n">
        <v>46033</v>
      </c>
      <c r="D1759" t="inlineStr">
        <is>
          <t>STOCKHOLMS LÄN</t>
        </is>
      </c>
      <c r="E1759" t="inlineStr">
        <is>
          <t>SÖDERTÄLJE</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9032-2023</t>
        </is>
      </c>
      <c r="B1760" s="1" t="n">
        <v>44979</v>
      </c>
      <c r="C1760" s="1" t="n">
        <v>46033</v>
      </c>
      <c r="D1760" t="inlineStr">
        <is>
          <t>STOCKHOLMS LÄN</t>
        </is>
      </c>
      <c r="E1760" t="inlineStr">
        <is>
          <t>BOTKYRKA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18548-2024</t>
        </is>
      </c>
      <c r="B1761" s="1" t="n">
        <v>45425.64708333334</v>
      </c>
      <c r="C1761" s="1" t="n">
        <v>46033</v>
      </c>
      <c r="D1761" t="inlineStr">
        <is>
          <t>STOCKHOLMS LÄN</t>
        </is>
      </c>
      <c r="E1761" t="inlineStr">
        <is>
          <t>HANINGE</t>
        </is>
      </c>
      <c r="F1761" t="inlineStr">
        <is>
          <t>Kommuner</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475-2026</t>
        </is>
      </c>
      <c r="B1762" s="1" t="n">
        <v>46029.39351851852</v>
      </c>
      <c r="C1762" s="1" t="n">
        <v>46033</v>
      </c>
      <c r="D1762" t="inlineStr">
        <is>
          <t>STOCKHOLMS LÄN</t>
        </is>
      </c>
      <c r="E1762" t="inlineStr">
        <is>
          <t>NORRTÄLJE</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16008-2025</t>
        </is>
      </c>
      <c r="B1763" s="1" t="n">
        <v>45749</v>
      </c>
      <c r="C1763" s="1" t="n">
        <v>46033</v>
      </c>
      <c r="D1763" t="inlineStr">
        <is>
          <t>STOCKHOLMS LÄN</t>
        </is>
      </c>
      <c r="E1763" t="inlineStr">
        <is>
          <t>NORRTÄLJE</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717-2026</t>
        </is>
      </c>
      <c r="B1764" s="1" t="n">
        <v>46029.63028935185</v>
      </c>
      <c r="C1764" s="1" t="n">
        <v>46033</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59342-2025</t>
        </is>
      </c>
      <c r="B1765" s="1" t="n">
        <v>45989.38784722222</v>
      </c>
      <c r="C1765" s="1" t="n">
        <v>46033</v>
      </c>
      <c r="D1765" t="inlineStr">
        <is>
          <t>STOCKHOLMS LÄN</t>
        </is>
      </c>
      <c r="E1765" t="inlineStr">
        <is>
          <t>NYKVARN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59348-2025</t>
        </is>
      </c>
      <c r="B1766" s="1" t="n">
        <v>45989.40099537037</v>
      </c>
      <c r="C1766" s="1" t="n">
        <v>46033</v>
      </c>
      <c r="D1766" t="inlineStr">
        <is>
          <t>STOCKHOLMS LÄN</t>
        </is>
      </c>
      <c r="E1766" t="inlineStr">
        <is>
          <t>NYKVARN</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28590-2024</t>
        </is>
      </c>
      <c r="B1767" s="1" t="n">
        <v>45478.41633101852</v>
      </c>
      <c r="C1767" s="1" t="n">
        <v>46033</v>
      </c>
      <c r="D1767" t="inlineStr">
        <is>
          <t>STOCKHOLMS LÄN</t>
        </is>
      </c>
      <c r="E1767" t="inlineStr">
        <is>
          <t>VÄRMDÖ</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21158-2022</t>
        </is>
      </c>
      <c r="B1768" s="1" t="n">
        <v>44704</v>
      </c>
      <c r="C1768" s="1" t="n">
        <v>46033</v>
      </c>
      <c r="D1768" t="inlineStr">
        <is>
          <t>STOCKHOLMS LÄN</t>
        </is>
      </c>
      <c r="E1768" t="inlineStr">
        <is>
          <t>NORRTÄLJE</t>
        </is>
      </c>
      <c r="G1768" t="n">
        <v>17.8</v>
      </c>
      <c r="H1768" t="n">
        <v>0</v>
      </c>
      <c r="I1768" t="n">
        <v>0</v>
      </c>
      <c r="J1768" t="n">
        <v>0</v>
      </c>
      <c r="K1768" t="n">
        <v>0</v>
      </c>
      <c r="L1768" t="n">
        <v>0</v>
      </c>
      <c r="M1768" t="n">
        <v>0</v>
      </c>
      <c r="N1768" t="n">
        <v>0</v>
      </c>
      <c r="O1768" t="n">
        <v>0</v>
      </c>
      <c r="P1768" t="n">
        <v>0</v>
      </c>
      <c r="Q1768" t="n">
        <v>0</v>
      </c>
      <c r="R1768" s="2" t="inlineStr"/>
    </row>
    <row r="1769" ht="15" customHeight="1">
      <c r="A1769" t="inlineStr">
        <is>
          <t>A 52542-2023</t>
        </is>
      </c>
      <c r="B1769" s="1" t="n">
        <v>45225</v>
      </c>
      <c r="C1769" s="1" t="n">
        <v>46033</v>
      </c>
      <c r="D1769" t="inlineStr">
        <is>
          <t>STOCKHOLMS LÄN</t>
        </is>
      </c>
      <c r="E1769" t="inlineStr">
        <is>
          <t>VALLENTUNA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32101-2022</t>
        </is>
      </c>
      <c r="B1770" s="1" t="n">
        <v>44778.69210648148</v>
      </c>
      <c r="C1770" s="1" t="n">
        <v>46033</v>
      </c>
      <c r="D1770" t="inlineStr">
        <is>
          <t>STOCKHOLMS LÄN</t>
        </is>
      </c>
      <c r="E1770" t="inlineStr">
        <is>
          <t>NORRTÄLJE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23144-2024</t>
        </is>
      </c>
      <c r="B1771" s="1" t="n">
        <v>45450.63202546296</v>
      </c>
      <c r="C1771" s="1" t="n">
        <v>46033</v>
      </c>
      <c r="D1771" t="inlineStr">
        <is>
          <t>STOCKHOLMS LÄN</t>
        </is>
      </c>
      <c r="E1771" t="inlineStr">
        <is>
          <t>ÖSTERÅKER</t>
        </is>
      </c>
      <c r="F1771" t="inlineStr">
        <is>
          <t>Övriga Aktiebolag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23150-2024</t>
        </is>
      </c>
      <c r="B1772" s="1" t="n">
        <v>45450.64643518518</v>
      </c>
      <c r="C1772" s="1" t="n">
        <v>46033</v>
      </c>
      <c r="D1772" t="inlineStr">
        <is>
          <t>STOCKHOLMS LÄN</t>
        </is>
      </c>
      <c r="E1772" t="inlineStr">
        <is>
          <t>NORRTÄLJE</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2318-2024</t>
        </is>
      </c>
      <c r="B1773" s="1" t="n">
        <v>45310</v>
      </c>
      <c r="C1773" s="1" t="n">
        <v>46033</v>
      </c>
      <c r="D1773" t="inlineStr">
        <is>
          <t>STOCKHOLMS LÄN</t>
        </is>
      </c>
      <c r="E1773" t="inlineStr">
        <is>
          <t>VALLENTUNA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24933-2023</t>
        </is>
      </c>
      <c r="B1774" s="1" t="n">
        <v>45085.5309375</v>
      </c>
      <c r="C1774" s="1" t="n">
        <v>46033</v>
      </c>
      <c r="D1774" t="inlineStr">
        <is>
          <t>STOCKHOLMS LÄN</t>
        </is>
      </c>
      <c r="E1774" t="inlineStr">
        <is>
          <t>NORRTÄLJE</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314-2022</t>
        </is>
      </c>
      <c r="B1775" s="1" t="n">
        <v>44564</v>
      </c>
      <c r="C1775" s="1" t="n">
        <v>46033</v>
      </c>
      <c r="D1775" t="inlineStr">
        <is>
          <t>STOCKHOLMS LÄN</t>
        </is>
      </c>
      <c r="E1775" t="inlineStr">
        <is>
          <t>SÖDERTÄLJE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20839-2024</t>
        </is>
      </c>
      <c r="B1776" s="1" t="n">
        <v>45439.39953703704</v>
      </c>
      <c r="C1776" s="1" t="n">
        <v>46033</v>
      </c>
      <c r="D1776" t="inlineStr">
        <is>
          <t>STOCKHOLMS LÄN</t>
        </is>
      </c>
      <c r="E1776" t="inlineStr">
        <is>
          <t>HANINGE</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62839-2025</t>
        </is>
      </c>
      <c r="B1777" s="1" t="n">
        <v>46008</v>
      </c>
      <c r="C1777" s="1" t="n">
        <v>46033</v>
      </c>
      <c r="D1777" t="inlineStr">
        <is>
          <t>STOCKHOLMS LÄN</t>
        </is>
      </c>
      <c r="E1777" t="inlineStr">
        <is>
          <t>ÖSTERÅKER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56631-2024</t>
        </is>
      </c>
      <c r="B1778" s="1" t="n">
        <v>45625</v>
      </c>
      <c r="C1778" s="1" t="n">
        <v>46033</v>
      </c>
      <c r="D1778" t="inlineStr">
        <is>
          <t>STOCKHOLMS LÄN</t>
        </is>
      </c>
      <c r="E1778" t="inlineStr">
        <is>
          <t>NORRTÄLJE</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652-2025</t>
        </is>
      </c>
      <c r="B1779" s="1" t="n">
        <v>45664</v>
      </c>
      <c r="C1779" s="1" t="n">
        <v>46033</v>
      </c>
      <c r="D1779" t="inlineStr">
        <is>
          <t>STOCKHOLMS LÄN</t>
        </is>
      </c>
      <c r="E1779" t="inlineStr">
        <is>
          <t>NORRTÄLJE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487-2024</t>
        </is>
      </c>
      <c r="B1780" s="1" t="n">
        <v>45298.85216435185</v>
      </c>
      <c r="C1780" s="1" t="n">
        <v>46033</v>
      </c>
      <c r="D1780" t="inlineStr">
        <is>
          <t>STOCKHOLMS LÄN</t>
        </is>
      </c>
      <c r="E1780" t="inlineStr">
        <is>
          <t>SÖDERTÄLJE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9063-2024</t>
        </is>
      </c>
      <c r="B1781" s="1" t="n">
        <v>45357.72652777778</v>
      </c>
      <c r="C1781" s="1" t="n">
        <v>46033</v>
      </c>
      <c r="D1781" t="inlineStr">
        <is>
          <t>STOCKHOLMS LÄN</t>
        </is>
      </c>
      <c r="E1781" t="inlineStr">
        <is>
          <t>VALLENTUNA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53499-2025</t>
        </is>
      </c>
      <c r="B1782" s="1" t="n">
        <v>45960</v>
      </c>
      <c r="C1782" s="1" t="n">
        <v>46033</v>
      </c>
      <c r="D1782" t="inlineStr">
        <is>
          <t>STOCKHOLMS LÄN</t>
        </is>
      </c>
      <c r="E1782" t="inlineStr">
        <is>
          <t>NORRTÄLJE</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5389-2025</t>
        </is>
      </c>
      <c r="B1783" s="1" t="n">
        <v>45692</v>
      </c>
      <c r="C1783" s="1" t="n">
        <v>46033</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13051-2021</t>
        </is>
      </c>
      <c r="B1784" s="1" t="n">
        <v>44272</v>
      </c>
      <c r="C1784" s="1" t="n">
        <v>46033</v>
      </c>
      <c r="D1784" t="inlineStr">
        <is>
          <t>STOCKHOLMS LÄN</t>
        </is>
      </c>
      <c r="E1784" t="inlineStr">
        <is>
          <t>NORRTÄLJE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13118-2021</t>
        </is>
      </c>
      <c r="B1785" s="1" t="n">
        <v>44272</v>
      </c>
      <c r="C1785" s="1" t="n">
        <v>46033</v>
      </c>
      <c r="D1785" t="inlineStr">
        <is>
          <t>STOCKHOLMS LÄN</t>
        </is>
      </c>
      <c r="E1785" t="inlineStr">
        <is>
          <t>ÖSTERÅKER</t>
        </is>
      </c>
      <c r="F1785" t="inlineStr">
        <is>
          <t>Kyrkan</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1150-2026</t>
        </is>
      </c>
      <c r="B1786" s="1" t="n">
        <v>46030.98674768519</v>
      </c>
      <c r="C1786" s="1" t="n">
        <v>46033</v>
      </c>
      <c r="D1786" t="inlineStr">
        <is>
          <t>STOCKHOLMS LÄN</t>
        </is>
      </c>
      <c r="E1786" t="inlineStr">
        <is>
          <t>SÖDERTÄLJE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10912-2025</t>
        </is>
      </c>
      <c r="B1787" s="1" t="n">
        <v>45722</v>
      </c>
      <c r="C1787" s="1" t="n">
        <v>46033</v>
      </c>
      <c r="D1787" t="inlineStr">
        <is>
          <t>STOCKHOLMS LÄN</t>
        </is>
      </c>
      <c r="E1787" t="inlineStr">
        <is>
          <t>UPPLANDS-BRO</t>
        </is>
      </c>
      <c r="F1787" t="inlineStr">
        <is>
          <t>Allmännings- och besparingsskogar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21445-2023</t>
        </is>
      </c>
      <c r="B1788" s="1" t="n">
        <v>45063</v>
      </c>
      <c r="C1788" s="1" t="n">
        <v>46033</v>
      </c>
      <c r="D1788" t="inlineStr">
        <is>
          <t>STOCKHOLMS LÄN</t>
        </is>
      </c>
      <c r="E1788" t="inlineStr">
        <is>
          <t>VALLENTUNA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812-2026</t>
        </is>
      </c>
      <c r="B1789" s="1" t="n">
        <v>46030.33358796296</v>
      </c>
      <c r="C1789" s="1" t="n">
        <v>46033</v>
      </c>
      <c r="D1789" t="inlineStr">
        <is>
          <t>STOCKHOLMS LÄN</t>
        </is>
      </c>
      <c r="E1789" t="inlineStr">
        <is>
          <t>NORRTÄLJE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11499-2023</t>
        </is>
      </c>
      <c r="B1790" s="1" t="n">
        <v>44993.66707175926</v>
      </c>
      <c r="C1790" s="1" t="n">
        <v>46033</v>
      </c>
      <c r="D1790" t="inlineStr">
        <is>
          <t>STOCKHOLMS LÄN</t>
        </is>
      </c>
      <c r="E1790" t="inlineStr">
        <is>
          <t>NORRTÄLJE</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37097-2021</t>
        </is>
      </c>
      <c r="B1791" s="1" t="n">
        <v>44395</v>
      </c>
      <c r="C1791" s="1" t="n">
        <v>46033</v>
      </c>
      <c r="D1791" t="inlineStr">
        <is>
          <t>STOCKHOLMS LÄN</t>
        </is>
      </c>
      <c r="E1791" t="inlineStr">
        <is>
          <t>NYNÄSHAMN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45319-2023</t>
        </is>
      </c>
      <c r="B1792" s="1" t="n">
        <v>45191</v>
      </c>
      <c r="C1792" s="1" t="n">
        <v>46033</v>
      </c>
      <c r="D1792" t="inlineStr">
        <is>
          <t>STOCKHOLMS LÄN</t>
        </is>
      </c>
      <c r="E1792" t="inlineStr">
        <is>
          <t>SIGTUNA</t>
        </is>
      </c>
      <c r="F1792" t="inlineStr">
        <is>
          <t>Allmännings- och besparingsskogar</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576-2023</t>
        </is>
      </c>
      <c r="B1793" s="1" t="n">
        <v>44925</v>
      </c>
      <c r="C1793" s="1" t="n">
        <v>46033</v>
      </c>
      <c r="D1793" t="inlineStr">
        <is>
          <t>STOCKHOLMS LÄN</t>
        </is>
      </c>
      <c r="E1793" t="inlineStr">
        <is>
          <t>NORRTÄLJE</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59402-2022</t>
        </is>
      </c>
      <c r="B1794" s="1" t="n">
        <v>44906</v>
      </c>
      <c r="C1794" s="1" t="n">
        <v>46033</v>
      </c>
      <c r="D1794" t="inlineStr">
        <is>
          <t>STOCKHOLMS LÄN</t>
        </is>
      </c>
      <c r="E1794" t="inlineStr">
        <is>
          <t>UPPLANDS-BRO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10678-2025</t>
        </is>
      </c>
      <c r="B1795" s="1" t="n">
        <v>45721.89123842592</v>
      </c>
      <c r="C1795" s="1" t="n">
        <v>46033</v>
      </c>
      <c r="D1795" t="inlineStr">
        <is>
          <t>STOCKHOLMS LÄN</t>
        </is>
      </c>
      <c r="E1795" t="inlineStr">
        <is>
          <t>NORRTÄLJE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31936-2022</t>
        </is>
      </c>
      <c r="B1796" s="1" t="n">
        <v>44777</v>
      </c>
      <c r="C1796" s="1" t="n">
        <v>46033</v>
      </c>
      <c r="D1796" t="inlineStr">
        <is>
          <t>STOCKHOLMS LÄN</t>
        </is>
      </c>
      <c r="E1796" t="inlineStr">
        <is>
          <t>NORRTÄLJE</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5474-2024</t>
        </is>
      </c>
      <c r="B1797" s="1" t="n">
        <v>45333.51131944444</v>
      </c>
      <c r="C1797" s="1" t="n">
        <v>46033</v>
      </c>
      <c r="D1797" t="inlineStr">
        <is>
          <t>STOCKHOLMS LÄN</t>
        </is>
      </c>
      <c r="E1797" t="inlineStr">
        <is>
          <t>HANINGE</t>
        </is>
      </c>
      <c r="F1797" t="inlineStr">
        <is>
          <t>Kommuner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59873-2024</t>
        </is>
      </c>
      <c r="B1798" s="1" t="n">
        <v>45640.57305555556</v>
      </c>
      <c r="C1798" s="1" t="n">
        <v>46033</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2240-2023</t>
        </is>
      </c>
      <c r="B1799" s="1" t="n">
        <v>44938</v>
      </c>
      <c r="C1799" s="1" t="n">
        <v>46033</v>
      </c>
      <c r="D1799" t="inlineStr">
        <is>
          <t>STOCKHOLMS LÄN</t>
        </is>
      </c>
      <c r="E1799" t="inlineStr">
        <is>
          <t>VÄRMDÖ</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35916-2024</t>
        </is>
      </c>
      <c r="B1800" s="1" t="n">
        <v>45533</v>
      </c>
      <c r="C1800" s="1" t="n">
        <v>46033</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10098-2022</t>
        </is>
      </c>
      <c r="B1801" s="1" t="n">
        <v>44621</v>
      </c>
      <c r="C1801" s="1" t="n">
        <v>46033</v>
      </c>
      <c r="D1801" t="inlineStr">
        <is>
          <t>STOCKHOLMS LÄN</t>
        </is>
      </c>
      <c r="E1801" t="inlineStr">
        <is>
          <t>NORRTÄLJE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63161-2023</t>
        </is>
      </c>
      <c r="B1802" s="1" t="n">
        <v>45273</v>
      </c>
      <c r="C1802" s="1" t="n">
        <v>46033</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35955-2023</t>
        </is>
      </c>
      <c r="B1803" s="1" t="n">
        <v>45148</v>
      </c>
      <c r="C1803" s="1" t="n">
        <v>46033</v>
      </c>
      <c r="D1803" t="inlineStr">
        <is>
          <t>STOCKHOLMS LÄN</t>
        </is>
      </c>
      <c r="E1803" t="inlineStr">
        <is>
          <t>EKERÖ</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7796-2025</t>
        </is>
      </c>
      <c r="B1804" s="1" t="n">
        <v>45706.60130787037</v>
      </c>
      <c r="C1804" s="1" t="n">
        <v>46033</v>
      </c>
      <c r="D1804" t="inlineStr">
        <is>
          <t>STOCKHOLMS LÄN</t>
        </is>
      </c>
      <c r="E1804" t="inlineStr">
        <is>
          <t>NORRTÄLJE</t>
        </is>
      </c>
      <c r="F1804" t="inlineStr">
        <is>
          <t>Holmen skog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15552-2021</t>
        </is>
      </c>
      <c r="B1805" s="1" t="n">
        <v>44285</v>
      </c>
      <c r="C1805" s="1" t="n">
        <v>46033</v>
      </c>
      <c r="D1805" t="inlineStr">
        <is>
          <t>STOCKHOLMS LÄN</t>
        </is>
      </c>
      <c r="E1805" t="inlineStr">
        <is>
          <t>NORRTÄLJE</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58040-2024</t>
        </is>
      </c>
      <c r="B1806" s="1" t="n">
        <v>45631.73952546297</v>
      </c>
      <c r="C1806" s="1" t="n">
        <v>46033</v>
      </c>
      <c r="D1806" t="inlineStr">
        <is>
          <t>STOCKHOLMS LÄN</t>
        </is>
      </c>
      <c r="E1806" t="inlineStr">
        <is>
          <t>NORRTÄLJE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58041-2024</t>
        </is>
      </c>
      <c r="B1807" s="1" t="n">
        <v>45631.74673611111</v>
      </c>
      <c r="C1807" s="1" t="n">
        <v>46033</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30268-2024</t>
        </is>
      </c>
      <c r="B1808" s="1" t="n">
        <v>45490.60572916667</v>
      </c>
      <c r="C1808" s="1" t="n">
        <v>46033</v>
      </c>
      <c r="D1808" t="inlineStr">
        <is>
          <t>STOCKHOLMS LÄN</t>
        </is>
      </c>
      <c r="E1808" t="inlineStr">
        <is>
          <t>NORRTÄLJE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12407-2025</t>
        </is>
      </c>
      <c r="B1809" s="1" t="n">
        <v>45730.42851851852</v>
      </c>
      <c r="C1809" s="1" t="n">
        <v>46033</v>
      </c>
      <c r="D1809" t="inlineStr">
        <is>
          <t>STOCKHOLMS LÄN</t>
        </is>
      </c>
      <c r="E1809" t="inlineStr">
        <is>
          <t>NORRTÄLJE</t>
        </is>
      </c>
      <c r="F1809" t="inlineStr">
        <is>
          <t>Holmen skog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73155-2021</t>
        </is>
      </c>
      <c r="B1810" s="1" t="n">
        <v>44550</v>
      </c>
      <c r="C1810" s="1" t="n">
        <v>46033</v>
      </c>
      <c r="D1810" t="inlineStr">
        <is>
          <t>STOCKHOLMS LÄN</t>
        </is>
      </c>
      <c r="E1810" t="inlineStr">
        <is>
          <t>BOTKYRKA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19025-2025</t>
        </is>
      </c>
      <c r="B1811" s="1" t="n">
        <v>45764.6359837963</v>
      </c>
      <c r="C1811" s="1" t="n">
        <v>46033</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54276-2021</t>
        </is>
      </c>
      <c r="B1812" s="1" t="n">
        <v>44470</v>
      </c>
      <c r="C1812" s="1" t="n">
        <v>46033</v>
      </c>
      <c r="D1812" t="inlineStr">
        <is>
          <t>STOCKHOLMS LÄN</t>
        </is>
      </c>
      <c r="E1812" t="inlineStr">
        <is>
          <t>NORRTÄLJE</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4316-2023</t>
        </is>
      </c>
      <c r="B1813" s="1" t="n">
        <v>44953.67443287037</v>
      </c>
      <c r="C1813" s="1" t="n">
        <v>46033</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23666-2024</t>
        </is>
      </c>
      <c r="B1814" s="1" t="n">
        <v>45454.57909722222</v>
      </c>
      <c r="C1814" s="1" t="n">
        <v>46033</v>
      </c>
      <c r="D1814" t="inlineStr">
        <is>
          <t>STOCKHOLMS LÄN</t>
        </is>
      </c>
      <c r="E1814" t="inlineStr">
        <is>
          <t>HANINGE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41587-2023</t>
        </is>
      </c>
      <c r="B1815" s="1" t="n">
        <v>45175</v>
      </c>
      <c r="C1815" s="1" t="n">
        <v>46033</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19404-2024</t>
        </is>
      </c>
      <c r="B1816" s="1" t="n">
        <v>45428</v>
      </c>
      <c r="C1816" s="1" t="n">
        <v>46033</v>
      </c>
      <c r="D1816" t="inlineStr">
        <is>
          <t>STOCKHOLMS LÄN</t>
        </is>
      </c>
      <c r="E1816" t="inlineStr">
        <is>
          <t>ÖSTERÅKER</t>
        </is>
      </c>
      <c r="F1816" t="inlineStr">
        <is>
          <t>Övriga Aktiebolag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47576-2023</t>
        </is>
      </c>
      <c r="B1817" s="1" t="n">
        <v>45197</v>
      </c>
      <c r="C1817" s="1" t="n">
        <v>46033</v>
      </c>
      <c r="D1817" t="inlineStr">
        <is>
          <t>STOCKHOLMS LÄN</t>
        </is>
      </c>
      <c r="E1817" t="inlineStr">
        <is>
          <t>SÖDERTÄLJE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34441-2023</t>
        </is>
      </c>
      <c r="B1818" s="1" t="n">
        <v>45139</v>
      </c>
      <c r="C1818" s="1" t="n">
        <v>46033</v>
      </c>
      <c r="D1818" t="inlineStr">
        <is>
          <t>STOCKHOLMS LÄN</t>
        </is>
      </c>
      <c r="E1818" t="inlineStr">
        <is>
          <t>VALLENTUNA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34445-2023</t>
        </is>
      </c>
      <c r="B1819" s="1" t="n">
        <v>45139</v>
      </c>
      <c r="C1819" s="1" t="n">
        <v>46033</v>
      </c>
      <c r="D1819" t="inlineStr">
        <is>
          <t>STOCKHOLMS LÄN</t>
        </is>
      </c>
      <c r="E1819" t="inlineStr">
        <is>
          <t>VALLENTUNA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34449-2021</t>
        </is>
      </c>
      <c r="B1820" s="1" t="n">
        <v>44381.63587962963</v>
      </c>
      <c r="C1820" s="1" t="n">
        <v>46033</v>
      </c>
      <c r="D1820" t="inlineStr">
        <is>
          <t>STOCKHOLMS LÄN</t>
        </is>
      </c>
      <c r="E1820" t="inlineStr">
        <is>
          <t>SÖDERTÄLJE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17304-2024</t>
        </is>
      </c>
      <c r="B1821" s="1" t="n">
        <v>45414</v>
      </c>
      <c r="C1821" s="1" t="n">
        <v>46033</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11280-2023</t>
        </is>
      </c>
      <c r="B1822" s="1" t="n">
        <v>44992</v>
      </c>
      <c r="C1822" s="1" t="n">
        <v>46033</v>
      </c>
      <c r="D1822" t="inlineStr">
        <is>
          <t>STOCKHOLMS LÄN</t>
        </is>
      </c>
      <c r="E1822" t="inlineStr">
        <is>
          <t>NORRTÄLJE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57375-2024</t>
        </is>
      </c>
      <c r="B1823" s="1" t="n">
        <v>45629.67396990741</v>
      </c>
      <c r="C1823" s="1" t="n">
        <v>46033</v>
      </c>
      <c r="D1823" t="inlineStr">
        <is>
          <t>STOCKHOLMS LÄN</t>
        </is>
      </c>
      <c r="E1823" t="inlineStr">
        <is>
          <t>NYNÄSHAMN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68896-2021</t>
        </is>
      </c>
      <c r="B1824" s="1" t="n">
        <v>44526</v>
      </c>
      <c r="C1824" s="1" t="n">
        <v>46033</v>
      </c>
      <c r="D1824" t="inlineStr">
        <is>
          <t>STOCKHOLMS LÄN</t>
        </is>
      </c>
      <c r="E1824" t="inlineStr">
        <is>
          <t>HANINGE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26668-2024</t>
        </is>
      </c>
      <c r="B1825" s="1" t="n">
        <v>45469</v>
      </c>
      <c r="C1825" s="1" t="n">
        <v>46033</v>
      </c>
      <c r="D1825" t="inlineStr">
        <is>
          <t>STOCKHOLMS LÄN</t>
        </is>
      </c>
      <c r="E1825" t="inlineStr">
        <is>
          <t>NORRTÄLJE</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54583-2023</t>
        </is>
      </c>
      <c r="B1826" s="1" t="n">
        <v>45233</v>
      </c>
      <c r="C1826" s="1" t="n">
        <v>46033</v>
      </c>
      <c r="D1826" t="inlineStr">
        <is>
          <t>STOCKHOLMS LÄN</t>
        </is>
      </c>
      <c r="E1826" t="inlineStr">
        <is>
          <t>NYKVARN</t>
        </is>
      </c>
      <c r="F1826" t="inlineStr">
        <is>
          <t>Kommuner</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54670-2023</t>
        </is>
      </c>
      <c r="B1827" s="1" t="n">
        <v>45235</v>
      </c>
      <c r="C1827" s="1" t="n">
        <v>46033</v>
      </c>
      <c r="D1827" t="inlineStr">
        <is>
          <t>STOCKHOLMS LÄN</t>
        </is>
      </c>
      <c r="E1827" t="inlineStr">
        <is>
          <t>NYKVARN</t>
        </is>
      </c>
      <c r="F1827" t="inlineStr">
        <is>
          <t>Kommuner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35906-2022</t>
        </is>
      </c>
      <c r="B1828" s="1" t="n">
        <v>44802</v>
      </c>
      <c r="C1828" s="1" t="n">
        <v>46033</v>
      </c>
      <c r="D1828" t="inlineStr">
        <is>
          <t>STOCKHOLMS LÄN</t>
        </is>
      </c>
      <c r="E1828" t="inlineStr">
        <is>
          <t>SÖDERTÄLJE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31926-2022</t>
        </is>
      </c>
      <c r="B1829" s="1" t="n">
        <v>44777</v>
      </c>
      <c r="C1829" s="1" t="n">
        <v>46033</v>
      </c>
      <c r="D1829" t="inlineStr">
        <is>
          <t>STOCKHOLMS LÄN</t>
        </is>
      </c>
      <c r="E1829" t="inlineStr">
        <is>
          <t>NORRTÄLJE</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34450-2021</t>
        </is>
      </c>
      <c r="B1830" s="1" t="n">
        <v>44381</v>
      </c>
      <c r="C1830" s="1" t="n">
        <v>46033</v>
      </c>
      <c r="D1830" t="inlineStr">
        <is>
          <t>STOCKHOLMS LÄN</t>
        </is>
      </c>
      <c r="E1830" t="inlineStr">
        <is>
          <t>SÖDERTÄLJE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47173-2022</t>
        </is>
      </c>
      <c r="B1831" s="1" t="n">
        <v>44852</v>
      </c>
      <c r="C1831" s="1" t="n">
        <v>46033</v>
      </c>
      <c r="D1831" t="inlineStr">
        <is>
          <t>STOCKHOLMS LÄN</t>
        </is>
      </c>
      <c r="E1831" t="inlineStr">
        <is>
          <t>HUDDINGE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6655-2023</t>
        </is>
      </c>
      <c r="B1832" s="1" t="n">
        <v>44966.60668981481</v>
      </c>
      <c r="C1832" s="1" t="n">
        <v>46033</v>
      </c>
      <c r="D1832" t="inlineStr">
        <is>
          <t>STOCKHOLMS LÄN</t>
        </is>
      </c>
      <c r="E1832" t="inlineStr">
        <is>
          <t>ÖSTERÅKER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52815-2023</t>
        </is>
      </c>
      <c r="B1833" s="1" t="n">
        <v>45226</v>
      </c>
      <c r="C1833" s="1" t="n">
        <v>46033</v>
      </c>
      <c r="D1833" t="inlineStr">
        <is>
          <t>STOCKHOLMS LÄN</t>
        </is>
      </c>
      <c r="E1833" t="inlineStr">
        <is>
          <t>SÖDERTÄLJE</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21480-2022</t>
        </is>
      </c>
      <c r="B1834" s="1" t="n">
        <v>44704</v>
      </c>
      <c r="C1834" s="1" t="n">
        <v>46033</v>
      </c>
      <c r="D1834" t="inlineStr">
        <is>
          <t>STOCKHOLMS LÄN</t>
        </is>
      </c>
      <c r="E1834" t="inlineStr">
        <is>
          <t>NORRTÄLJE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11041-2025</t>
        </is>
      </c>
      <c r="B1835" s="1" t="n">
        <v>45723</v>
      </c>
      <c r="C1835" s="1" t="n">
        <v>46033</v>
      </c>
      <c r="D1835" t="inlineStr">
        <is>
          <t>STOCKHOLMS LÄN</t>
        </is>
      </c>
      <c r="E1835" t="inlineStr">
        <is>
          <t>NORRTÄLJE</t>
        </is>
      </c>
      <c r="F1835" t="inlineStr">
        <is>
          <t>Övriga Aktiebolag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9469-2021</t>
        </is>
      </c>
      <c r="B1836" s="1" t="n">
        <v>44251</v>
      </c>
      <c r="C1836" s="1" t="n">
        <v>46033</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24024-2024</t>
        </is>
      </c>
      <c r="B1837" s="1" t="n">
        <v>45456</v>
      </c>
      <c r="C1837" s="1" t="n">
        <v>46033</v>
      </c>
      <c r="D1837" t="inlineStr">
        <is>
          <t>STOCKHOLMS LÄN</t>
        </is>
      </c>
      <c r="E1837" t="inlineStr">
        <is>
          <t>NORRTÄLJE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28809-2023</t>
        </is>
      </c>
      <c r="B1838" s="1" t="n">
        <v>45104</v>
      </c>
      <c r="C1838" s="1" t="n">
        <v>46033</v>
      </c>
      <c r="D1838" t="inlineStr">
        <is>
          <t>STOCKHOLMS LÄN</t>
        </is>
      </c>
      <c r="E1838" t="inlineStr">
        <is>
          <t>NORRTÄLJE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28813-2023</t>
        </is>
      </c>
      <c r="B1839" s="1" t="n">
        <v>45104</v>
      </c>
      <c r="C1839" s="1" t="n">
        <v>46033</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40656-2022</t>
        </is>
      </c>
      <c r="B1840" s="1" t="n">
        <v>44824.36069444445</v>
      </c>
      <c r="C1840" s="1" t="n">
        <v>46033</v>
      </c>
      <c r="D1840" t="inlineStr">
        <is>
          <t>STOCKHOLMS LÄN</t>
        </is>
      </c>
      <c r="E1840" t="inlineStr">
        <is>
          <t>NORRTÄLJE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735-2024</t>
        </is>
      </c>
      <c r="B1841" s="1" t="n">
        <v>45300</v>
      </c>
      <c r="C1841" s="1" t="n">
        <v>46033</v>
      </c>
      <c r="D1841" t="inlineStr">
        <is>
          <t>STOCKHOLMS LÄN</t>
        </is>
      </c>
      <c r="E1841" t="inlineStr">
        <is>
          <t>VALLENTUNA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19294-2025</t>
        </is>
      </c>
      <c r="B1842" s="1" t="n">
        <v>45769.56142361111</v>
      </c>
      <c r="C1842" s="1" t="n">
        <v>46033</v>
      </c>
      <c r="D1842" t="inlineStr">
        <is>
          <t>STOCKHOLMS LÄN</t>
        </is>
      </c>
      <c r="E1842" t="inlineStr">
        <is>
          <t>SIGTUNA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60694-2024</t>
        </is>
      </c>
      <c r="B1843" s="1" t="n">
        <v>45644.47878472223</v>
      </c>
      <c r="C1843" s="1" t="n">
        <v>46033</v>
      </c>
      <c r="D1843" t="inlineStr">
        <is>
          <t>STOCKHOLMS LÄN</t>
        </is>
      </c>
      <c r="E1843" t="inlineStr">
        <is>
          <t>NORRTÄLJE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12585-2023</t>
        </is>
      </c>
      <c r="B1844" s="1" t="n">
        <v>45000.41373842592</v>
      </c>
      <c r="C1844" s="1" t="n">
        <v>46033</v>
      </c>
      <c r="D1844" t="inlineStr">
        <is>
          <t>STOCKHOLMS LÄN</t>
        </is>
      </c>
      <c r="E1844" t="inlineStr">
        <is>
          <t>VALLENTUNA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34818-2021</t>
        </is>
      </c>
      <c r="B1845" s="1" t="n">
        <v>44383.35518518519</v>
      </c>
      <c r="C1845" s="1" t="n">
        <v>46033</v>
      </c>
      <c r="D1845" t="inlineStr">
        <is>
          <t>STOCKHOLMS LÄN</t>
        </is>
      </c>
      <c r="E1845" t="inlineStr">
        <is>
          <t>NYNÄSHAMN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19311-2025</t>
        </is>
      </c>
      <c r="B1846" s="1" t="n">
        <v>45769.57142361111</v>
      </c>
      <c r="C1846" s="1" t="n">
        <v>46033</v>
      </c>
      <c r="D1846" t="inlineStr">
        <is>
          <t>STOCKHOLMS LÄN</t>
        </is>
      </c>
      <c r="E1846" t="inlineStr">
        <is>
          <t>SIGTUNA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19450-2025</t>
        </is>
      </c>
      <c r="B1847" s="1" t="n">
        <v>45770</v>
      </c>
      <c r="C1847" s="1" t="n">
        <v>46033</v>
      </c>
      <c r="D1847" t="inlineStr">
        <is>
          <t>STOCKHOLMS LÄN</t>
        </is>
      </c>
      <c r="E1847" t="inlineStr">
        <is>
          <t>NORRTÄLJE</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40895-2024</t>
        </is>
      </c>
      <c r="B1848" s="1" t="n">
        <v>45558.61607638889</v>
      </c>
      <c r="C1848" s="1" t="n">
        <v>46033</v>
      </c>
      <c r="D1848" t="inlineStr">
        <is>
          <t>STOCKHOLMS LÄN</t>
        </is>
      </c>
      <c r="E1848" t="inlineStr">
        <is>
          <t>NYNÄSHAMN</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61217-2024</t>
        </is>
      </c>
      <c r="B1849" s="1" t="n">
        <v>45645.65825231482</v>
      </c>
      <c r="C1849" s="1" t="n">
        <v>46033</v>
      </c>
      <c r="D1849" t="inlineStr">
        <is>
          <t>STOCKHOLMS LÄN</t>
        </is>
      </c>
      <c r="E1849" t="inlineStr">
        <is>
          <t>EKERÖ</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17328-2025</t>
        </is>
      </c>
      <c r="B1850" s="1" t="n">
        <v>45756.64081018518</v>
      </c>
      <c r="C1850" s="1" t="n">
        <v>46033</v>
      </c>
      <c r="D1850" t="inlineStr">
        <is>
          <t>STOCKHOLMS LÄN</t>
        </is>
      </c>
      <c r="E1850" t="inlineStr">
        <is>
          <t>NYKVARN</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56002-2024</t>
        </is>
      </c>
      <c r="B1851" s="1" t="n">
        <v>45623.7328587963</v>
      </c>
      <c r="C1851" s="1" t="n">
        <v>46033</v>
      </c>
      <c r="D1851" t="inlineStr">
        <is>
          <t>STOCKHOLMS LÄN</t>
        </is>
      </c>
      <c r="E1851" t="inlineStr">
        <is>
          <t>EKERÖ</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9842-2025</t>
        </is>
      </c>
      <c r="B1852" s="1" t="n">
        <v>45716</v>
      </c>
      <c r="C1852" s="1" t="n">
        <v>46033</v>
      </c>
      <c r="D1852" t="inlineStr">
        <is>
          <t>STOCKHOLMS LÄN</t>
        </is>
      </c>
      <c r="E1852" t="inlineStr">
        <is>
          <t>ÖSTERÅKER</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33353-2023</t>
        </is>
      </c>
      <c r="B1853" s="1" t="n">
        <v>45128</v>
      </c>
      <c r="C1853" s="1" t="n">
        <v>46033</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60728-2022</t>
        </is>
      </c>
      <c r="B1854" s="1" t="n">
        <v>44913</v>
      </c>
      <c r="C1854" s="1" t="n">
        <v>46033</v>
      </c>
      <c r="D1854" t="inlineStr">
        <is>
          <t>STOCKHOLMS LÄN</t>
        </is>
      </c>
      <c r="E1854" t="inlineStr">
        <is>
          <t>EKERÖ</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2170-2023</t>
        </is>
      </c>
      <c r="B1855" s="1" t="n">
        <v>44941</v>
      </c>
      <c r="C1855" s="1" t="n">
        <v>46033</v>
      </c>
      <c r="D1855" t="inlineStr">
        <is>
          <t>STOCKHOLMS LÄN</t>
        </is>
      </c>
      <c r="E1855" t="inlineStr">
        <is>
          <t>NYNÄSHAMN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21192-2023</t>
        </is>
      </c>
      <c r="B1856" s="1" t="n">
        <v>45062</v>
      </c>
      <c r="C1856" s="1" t="n">
        <v>46033</v>
      </c>
      <c r="D1856" t="inlineStr">
        <is>
          <t>STOCKHOLMS LÄN</t>
        </is>
      </c>
      <c r="E1856" t="inlineStr">
        <is>
          <t>NYNÄSHAMN</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9062-2023</t>
        </is>
      </c>
      <c r="B1857" s="1" t="n">
        <v>44979.72369212963</v>
      </c>
      <c r="C1857" s="1" t="n">
        <v>46033</v>
      </c>
      <c r="D1857" t="inlineStr">
        <is>
          <t>STOCKHOLMS LÄN</t>
        </is>
      </c>
      <c r="E1857" t="inlineStr">
        <is>
          <t>NYNÄSHAMN</t>
        </is>
      </c>
      <c r="F1857" t="inlineStr">
        <is>
          <t>Kommuner</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3966-2024</t>
        </is>
      </c>
      <c r="B1858" s="1" t="n">
        <v>45322</v>
      </c>
      <c r="C1858" s="1" t="n">
        <v>46033</v>
      </c>
      <c r="D1858" t="inlineStr">
        <is>
          <t>STOCKHOLMS LÄN</t>
        </is>
      </c>
      <c r="E1858" t="inlineStr">
        <is>
          <t>NORRTÄLJE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23262-2023</t>
        </is>
      </c>
      <c r="B1859" s="1" t="n">
        <v>45075.90270833333</v>
      </c>
      <c r="C1859" s="1" t="n">
        <v>46033</v>
      </c>
      <c r="D1859" t="inlineStr">
        <is>
          <t>STOCKHOLMS LÄN</t>
        </is>
      </c>
      <c r="E1859" t="inlineStr">
        <is>
          <t>NORRTÄLJE</t>
        </is>
      </c>
      <c r="F1859" t="inlineStr">
        <is>
          <t>Kommuner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23268-2023</t>
        </is>
      </c>
      <c r="B1860" s="1" t="n">
        <v>45075.91042824074</v>
      </c>
      <c r="C1860" s="1" t="n">
        <v>46033</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23270-2023</t>
        </is>
      </c>
      <c r="B1861" s="1" t="n">
        <v>45075.91265046296</v>
      </c>
      <c r="C1861" s="1" t="n">
        <v>46033</v>
      </c>
      <c r="D1861" t="inlineStr">
        <is>
          <t>STOCKHOLMS LÄN</t>
        </is>
      </c>
      <c r="E1861" t="inlineStr">
        <is>
          <t>NORRTÄLJE</t>
        </is>
      </c>
      <c r="G1861" t="n">
        <v>12.3</v>
      </c>
      <c r="H1861" t="n">
        <v>0</v>
      </c>
      <c r="I1861" t="n">
        <v>0</v>
      </c>
      <c r="J1861" t="n">
        <v>0</v>
      </c>
      <c r="K1861" t="n">
        <v>0</v>
      </c>
      <c r="L1861" t="n">
        <v>0</v>
      </c>
      <c r="M1861" t="n">
        <v>0</v>
      </c>
      <c r="N1861" t="n">
        <v>0</v>
      </c>
      <c r="O1861" t="n">
        <v>0</v>
      </c>
      <c r="P1861" t="n">
        <v>0</v>
      </c>
      <c r="Q1861" t="n">
        <v>0</v>
      </c>
      <c r="R1861" s="2" t="inlineStr"/>
    </row>
    <row r="1862" ht="15" customHeight="1">
      <c r="A1862" t="inlineStr">
        <is>
          <t>A 23274-2023</t>
        </is>
      </c>
      <c r="B1862" s="1" t="n">
        <v>45075.92153935185</v>
      </c>
      <c r="C1862" s="1" t="n">
        <v>46033</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17843-2024</t>
        </is>
      </c>
      <c r="B1863" s="1" t="n">
        <v>45418</v>
      </c>
      <c r="C1863" s="1" t="n">
        <v>46033</v>
      </c>
      <c r="D1863" t="inlineStr">
        <is>
          <t>STOCKHOLMS LÄN</t>
        </is>
      </c>
      <c r="E1863" t="inlineStr">
        <is>
          <t>NORRTÄLJE</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25175-2023</t>
        </is>
      </c>
      <c r="B1864" s="1" t="n">
        <v>45086</v>
      </c>
      <c r="C1864" s="1" t="n">
        <v>46033</v>
      </c>
      <c r="D1864" t="inlineStr">
        <is>
          <t>STOCKHOLMS LÄN</t>
        </is>
      </c>
      <c r="E1864" t="inlineStr">
        <is>
          <t>NYNÄSHAMN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26636-2023</t>
        </is>
      </c>
      <c r="B1865" s="1" t="n">
        <v>45092</v>
      </c>
      <c r="C1865" s="1" t="n">
        <v>46033</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26637-2023</t>
        </is>
      </c>
      <c r="B1866" s="1" t="n">
        <v>45092</v>
      </c>
      <c r="C1866" s="1" t="n">
        <v>46033</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56639-2023</t>
        </is>
      </c>
      <c r="B1867" s="1" t="n">
        <v>45243.72300925926</v>
      </c>
      <c r="C1867" s="1" t="n">
        <v>46033</v>
      </c>
      <c r="D1867" t="inlineStr">
        <is>
          <t>STOCKHOLMS LÄN</t>
        </is>
      </c>
      <c r="E1867" t="inlineStr">
        <is>
          <t>NYKVARN</t>
        </is>
      </c>
      <c r="F1867" t="inlineStr">
        <is>
          <t>Kommuner</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60635-2024</t>
        </is>
      </c>
      <c r="B1868" s="1" t="n">
        <v>45644.41744212963</v>
      </c>
      <c r="C1868" s="1" t="n">
        <v>46033</v>
      </c>
      <c r="D1868" t="inlineStr">
        <is>
          <t>STOCKHOLMS LÄN</t>
        </is>
      </c>
      <c r="E1868" t="inlineStr">
        <is>
          <t>SÖDERTÄLJE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8077-2022</t>
        </is>
      </c>
      <c r="B1869" s="1" t="n">
        <v>44609</v>
      </c>
      <c r="C1869" s="1" t="n">
        <v>46033</v>
      </c>
      <c r="D1869" t="inlineStr">
        <is>
          <t>STOCKHOLMS LÄN</t>
        </is>
      </c>
      <c r="E1869" t="inlineStr">
        <is>
          <t>VALLENTUNA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72704-2021</t>
        </is>
      </c>
      <c r="B1870" s="1" t="n">
        <v>44546</v>
      </c>
      <c r="C1870" s="1" t="n">
        <v>46033</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52743-2024</t>
        </is>
      </c>
      <c r="B1871" s="1" t="n">
        <v>45610.47414351852</v>
      </c>
      <c r="C1871" s="1" t="n">
        <v>46033</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16852-2024</t>
        </is>
      </c>
      <c r="B1872" s="1" t="n">
        <v>45411.54768518519</v>
      </c>
      <c r="C1872" s="1" t="n">
        <v>46033</v>
      </c>
      <c r="D1872" t="inlineStr">
        <is>
          <t>STOCKHOLMS LÄN</t>
        </is>
      </c>
      <c r="E1872" t="inlineStr">
        <is>
          <t>NORRTÄLJE</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44206-2024</t>
        </is>
      </c>
      <c r="B1873" s="1" t="n">
        <v>45573</v>
      </c>
      <c r="C1873" s="1" t="n">
        <v>46033</v>
      </c>
      <c r="D1873" t="inlineStr">
        <is>
          <t>STOCKHOLMS LÄN</t>
        </is>
      </c>
      <c r="E1873" t="inlineStr">
        <is>
          <t>NYNÄSHAMN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56909-2024</t>
        </is>
      </c>
      <c r="B1874" s="1" t="n">
        <v>45628.59060185185</v>
      </c>
      <c r="C1874" s="1" t="n">
        <v>46033</v>
      </c>
      <c r="D1874" t="inlineStr">
        <is>
          <t>STOCKHOLMS LÄN</t>
        </is>
      </c>
      <c r="E1874" t="inlineStr">
        <is>
          <t>ÖSTERÅKER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10935-2025</t>
        </is>
      </c>
      <c r="B1875" s="1" t="n">
        <v>45722</v>
      </c>
      <c r="C1875" s="1" t="n">
        <v>46033</v>
      </c>
      <c r="D1875" t="inlineStr">
        <is>
          <t>STOCKHOLMS LÄN</t>
        </is>
      </c>
      <c r="E1875" t="inlineStr">
        <is>
          <t>UPPLANDS-BRO</t>
        </is>
      </c>
      <c r="F1875" t="inlineStr">
        <is>
          <t>Allmännings- och besparingsskogar</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33246-2021</t>
        </is>
      </c>
      <c r="B1876" s="1" t="n">
        <v>44377</v>
      </c>
      <c r="C1876" s="1" t="n">
        <v>46033</v>
      </c>
      <c r="D1876" t="inlineStr">
        <is>
          <t>STOCKHOLMS LÄN</t>
        </is>
      </c>
      <c r="E1876" t="inlineStr">
        <is>
          <t>SALEM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60935-2023</t>
        </is>
      </c>
      <c r="B1877" s="1" t="n">
        <v>45261</v>
      </c>
      <c r="C1877" s="1" t="n">
        <v>46033</v>
      </c>
      <c r="D1877" t="inlineStr">
        <is>
          <t>STOCKHOLMS LÄN</t>
        </is>
      </c>
      <c r="E1877" t="inlineStr">
        <is>
          <t>SIGTUNA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55755-2023</t>
        </is>
      </c>
      <c r="B1878" s="1" t="n">
        <v>45239</v>
      </c>
      <c r="C1878" s="1" t="n">
        <v>46033</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47140-2024</t>
        </is>
      </c>
      <c r="B1879" s="1" t="n">
        <v>45586.58753472222</v>
      </c>
      <c r="C1879" s="1" t="n">
        <v>46033</v>
      </c>
      <c r="D1879" t="inlineStr">
        <is>
          <t>STOCKHOLMS LÄN</t>
        </is>
      </c>
      <c r="E1879" t="inlineStr">
        <is>
          <t>VALLENTUNA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17348-2024</t>
        </is>
      </c>
      <c r="B1880" s="1" t="n">
        <v>45414.58650462963</v>
      </c>
      <c r="C1880" s="1" t="n">
        <v>46033</v>
      </c>
      <c r="D1880" t="inlineStr">
        <is>
          <t>STOCKHOLMS LÄN</t>
        </is>
      </c>
      <c r="E1880" t="inlineStr">
        <is>
          <t>NORRTÄLJE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32011-2023</t>
        </is>
      </c>
      <c r="B1881" s="1" t="n">
        <v>45119</v>
      </c>
      <c r="C1881" s="1" t="n">
        <v>46033</v>
      </c>
      <c r="D1881" t="inlineStr">
        <is>
          <t>STOCKHOLMS LÄN</t>
        </is>
      </c>
      <c r="E1881" t="inlineStr">
        <is>
          <t>NYNÄSHAMN</t>
        </is>
      </c>
      <c r="F1881" t="inlineStr">
        <is>
          <t>Kommuner</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5264-2023</t>
        </is>
      </c>
      <c r="B1882" s="1" t="n">
        <v>44959</v>
      </c>
      <c r="C1882" s="1" t="n">
        <v>46033</v>
      </c>
      <c r="D1882" t="inlineStr">
        <is>
          <t>STOCKHOLMS LÄN</t>
        </is>
      </c>
      <c r="E1882" t="inlineStr">
        <is>
          <t>UPPLANDS-BRO</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63400-2023</t>
        </is>
      </c>
      <c r="B1883" s="1" t="n">
        <v>45274</v>
      </c>
      <c r="C1883" s="1" t="n">
        <v>46033</v>
      </c>
      <c r="D1883" t="inlineStr">
        <is>
          <t>STOCKHOLMS LÄN</t>
        </is>
      </c>
      <c r="E1883" t="inlineStr">
        <is>
          <t>NYKVARN</t>
        </is>
      </c>
      <c r="F1883" t="inlineStr">
        <is>
          <t>Kommuner</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63463-2023</t>
        </is>
      </c>
      <c r="B1884" s="1" t="n">
        <v>45274</v>
      </c>
      <c r="C1884" s="1" t="n">
        <v>46033</v>
      </c>
      <c r="D1884" t="inlineStr">
        <is>
          <t>STOCKHOLMS LÄN</t>
        </is>
      </c>
      <c r="E1884" t="inlineStr">
        <is>
          <t>NYNÄSHAMN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13089-2022</t>
        </is>
      </c>
      <c r="B1885" s="1" t="n">
        <v>44643</v>
      </c>
      <c r="C1885" s="1" t="n">
        <v>46033</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48145-2024</t>
        </is>
      </c>
      <c r="B1886" s="1" t="n">
        <v>45589.6756712963</v>
      </c>
      <c r="C1886" s="1" t="n">
        <v>46033</v>
      </c>
      <c r="D1886" t="inlineStr">
        <is>
          <t>STOCKHOLMS LÄN</t>
        </is>
      </c>
      <c r="E1886" t="inlineStr">
        <is>
          <t>NORRTÄLJE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32420-2023</t>
        </is>
      </c>
      <c r="B1887" s="1" t="n">
        <v>45110</v>
      </c>
      <c r="C1887" s="1" t="n">
        <v>46033</v>
      </c>
      <c r="D1887" t="inlineStr">
        <is>
          <t>STOCKHOLMS LÄN</t>
        </is>
      </c>
      <c r="E1887" t="inlineStr">
        <is>
          <t>SIGTUNA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32426-2023</t>
        </is>
      </c>
      <c r="B1888" s="1" t="n">
        <v>45110</v>
      </c>
      <c r="C1888" s="1" t="n">
        <v>46033</v>
      </c>
      <c r="D1888" t="inlineStr">
        <is>
          <t>STOCKHOLMS LÄN</t>
        </is>
      </c>
      <c r="E1888" t="inlineStr">
        <is>
          <t>SIGTUNA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23998-2024</t>
        </is>
      </c>
      <c r="B1889" s="1" t="n">
        <v>45456</v>
      </c>
      <c r="C1889" s="1" t="n">
        <v>46033</v>
      </c>
      <c r="D1889" t="inlineStr">
        <is>
          <t>STOCKHOLMS LÄN</t>
        </is>
      </c>
      <c r="E1889" t="inlineStr">
        <is>
          <t>NORRTÄLJE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15460-2025</t>
        </is>
      </c>
      <c r="B1890" s="1" t="n">
        <v>45747.51049768519</v>
      </c>
      <c r="C1890" s="1" t="n">
        <v>46033</v>
      </c>
      <c r="D1890" t="inlineStr">
        <is>
          <t>STOCKHOLMS LÄN</t>
        </is>
      </c>
      <c r="E1890" t="inlineStr">
        <is>
          <t>NYNÄSHAMN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6648-2023</t>
        </is>
      </c>
      <c r="B1891" s="1" t="n">
        <v>44966</v>
      </c>
      <c r="C1891" s="1" t="n">
        <v>46033</v>
      </c>
      <c r="D1891" t="inlineStr">
        <is>
          <t>STOCKHOLMS LÄN</t>
        </is>
      </c>
      <c r="E1891" t="inlineStr">
        <is>
          <t>HANINGE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15447-2023</t>
        </is>
      </c>
      <c r="B1892" s="1" t="n">
        <v>45020</v>
      </c>
      <c r="C1892" s="1" t="n">
        <v>46033</v>
      </c>
      <c r="D1892" t="inlineStr">
        <is>
          <t>STOCKHOLMS LÄN</t>
        </is>
      </c>
      <c r="E1892" t="inlineStr">
        <is>
          <t>NORRTÄLJE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15428-2021</t>
        </is>
      </c>
      <c r="B1893" s="1" t="n">
        <v>44285</v>
      </c>
      <c r="C1893" s="1" t="n">
        <v>46033</v>
      </c>
      <c r="D1893" t="inlineStr">
        <is>
          <t>STOCKHOLMS LÄN</t>
        </is>
      </c>
      <c r="E1893" t="inlineStr">
        <is>
          <t>SIGTUNA</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48656-2022</t>
        </is>
      </c>
      <c r="B1894" s="1" t="n">
        <v>44859.43993055556</v>
      </c>
      <c r="C1894" s="1" t="n">
        <v>46033</v>
      </c>
      <c r="D1894" t="inlineStr">
        <is>
          <t>STOCKHOLMS LÄN</t>
        </is>
      </c>
      <c r="E1894" t="inlineStr">
        <is>
          <t>BOTKYRKA</t>
        </is>
      </c>
      <c r="F1894" t="inlineStr">
        <is>
          <t>Övriga Aktiebolag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2229-2023</t>
        </is>
      </c>
      <c r="B1895" s="1" t="n">
        <v>44939</v>
      </c>
      <c r="C1895" s="1" t="n">
        <v>46033</v>
      </c>
      <c r="D1895" t="inlineStr">
        <is>
          <t>STOCKHOLMS LÄN</t>
        </is>
      </c>
      <c r="E1895" t="inlineStr">
        <is>
          <t>VAXHOLM</t>
        </is>
      </c>
      <c r="F1895" t="inlineStr">
        <is>
          <t>Övriga statliga verk och myndigheter</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20346-2025</t>
        </is>
      </c>
      <c r="B1896" s="1" t="n">
        <v>45775.38138888889</v>
      </c>
      <c r="C1896" s="1" t="n">
        <v>46033</v>
      </c>
      <c r="D1896" t="inlineStr">
        <is>
          <t>STOCKHOLMS LÄN</t>
        </is>
      </c>
      <c r="E1896" t="inlineStr">
        <is>
          <t>VÄRMDÖ</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38194-2022</t>
        </is>
      </c>
      <c r="B1897" s="1" t="n">
        <v>44812</v>
      </c>
      <c r="C1897" s="1" t="n">
        <v>46033</v>
      </c>
      <c r="D1897" t="inlineStr">
        <is>
          <t>STOCKHOLMS LÄN</t>
        </is>
      </c>
      <c r="E1897" t="inlineStr">
        <is>
          <t>BOTKYRKA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54358-2022</t>
        </is>
      </c>
      <c r="B1898" s="1" t="n">
        <v>44882</v>
      </c>
      <c r="C1898" s="1" t="n">
        <v>46033</v>
      </c>
      <c r="D1898" t="inlineStr">
        <is>
          <t>STOCKHOLMS LÄN</t>
        </is>
      </c>
      <c r="E1898" t="inlineStr">
        <is>
          <t>NORRTÄLJE</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33667-2022</t>
        </is>
      </c>
      <c r="B1899" s="1" t="n">
        <v>44789</v>
      </c>
      <c r="C1899" s="1" t="n">
        <v>46033</v>
      </c>
      <c r="D1899" t="inlineStr">
        <is>
          <t>STOCKHOLMS LÄN</t>
        </is>
      </c>
      <c r="E1899" t="inlineStr">
        <is>
          <t>NYNÄSHAMN</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23263-2023</t>
        </is>
      </c>
      <c r="B1900" s="1" t="n">
        <v>45075</v>
      </c>
      <c r="C1900" s="1" t="n">
        <v>46033</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23264-2023</t>
        </is>
      </c>
      <c r="B1901" s="1" t="n">
        <v>45075</v>
      </c>
      <c r="C1901" s="1" t="n">
        <v>46033</v>
      </c>
      <c r="D1901" t="inlineStr">
        <is>
          <t>STOCKHOLMS LÄN</t>
        </is>
      </c>
      <c r="E1901" t="inlineStr">
        <is>
          <t>NORRTÄLJE</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23267-2023</t>
        </is>
      </c>
      <c r="B1902" s="1" t="n">
        <v>45075.90934027778</v>
      </c>
      <c r="C1902" s="1" t="n">
        <v>46033</v>
      </c>
      <c r="D1902" t="inlineStr">
        <is>
          <t>STOCKHOLMS LÄN</t>
        </is>
      </c>
      <c r="E1902" t="inlineStr">
        <is>
          <t>NORRTÄLJE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23269-2023</t>
        </is>
      </c>
      <c r="B1903" s="1" t="n">
        <v>45075.91148148148</v>
      </c>
      <c r="C1903" s="1" t="n">
        <v>46033</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19911-2025</t>
        </is>
      </c>
      <c r="B1904" s="1" t="n">
        <v>45771</v>
      </c>
      <c r="C1904" s="1" t="n">
        <v>46033</v>
      </c>
      <c r="D1904" t="inlineStr">
        <is>
          <t>STOCKHOLMS LÄN</t>
        </is>
      </c>
      <c r="E1904" t="inlineStr">
        <is>
          <t>NORRTÄLJE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5831-2022</t>
        </is>
      </c>
      <c r="B1905" s="1" t="n">
        <v>44596</v>
      </c>
      <c r="C1905" s="1" t="n">
        <v>46033</v>
      </c>
      <c r="D1905" t="inlineStr">
        <is>
          <t>STOCKHOLMS LÄN</t>
        </is>
      </c>
      <c r="E1905" t="inlineStr">
        <is>
          <t>NORRTÄLJE</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5867-2022</t>
        </is>
      </c>
      <c r="B1906" s="1" t="n">
        <v>44596.66335648148</v>
      </c>
      <c r="C1906" s="1" t="n">
        <v>46033</v>
      </c>
      <c r="D1906" t="inlineStr">
        <is>
          <t>STOCKHOLMS LÄN</t>
        </is>
      </c>
      <c r="E1906" t="inlineStr">
        <is>
          <t>NORRTÄLJE</t>
        </is>
      </c>
      <c r="F1906" t="inlineStr">
        <is>
          <t>Naturvårdsverket</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62878-2023</t>
        </is>
      </c>
      <c r="B1907" s="1" t="n">
        <v>45272</v>
      </c>
      <c r="C1907" s="1" t="n">
        <v>46033</v>
      </c>
      <c r="D1907" t="inlineStr">
        <is>
          <t>STOCKHOLMS LÄN</t>
        </is>
      </c>
      <c r="E1907" t="inlineStr">
        <is>
          <t>NYNÄSHAMN</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20244-2025</t>
        </is>
      </c>
      <c r="B1908" s="1" t="n">
        <v>45772.71221064815</v>
      </c>
      <c r="C1908" s="1" t="n">
        <v>46033</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48633-2023</t>
        </is>
      </c>
      <c r="B1909" s="1" t="n">
        <v>45208.58004629629</v>
      </c>
      <c r="C1909" s="1" t="n">
        <v>46033</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33792-2023</t>
        </is>
      </c>
      <c r="B1910" s="1" t="n">
        <v>45121</v>
      </c>
      <c r="C1910" s="1" t="n">
        <v>46033</v>
      </c>
      <c r="D1910" t="inlineStr">
        <is>
          <t>STOCKHOLMS LÄN</t>
        </is>
      </c>
      <c r="E1910" t="inlineStr">
        <is>
          <t>HANINGE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39669-2024</t>
        </is>
      </c>
      <c r="B1911" s="1" t="n">
        <v>45552.52827546297</v>
      </c>
      <c r="C1911" s="1" t="n">
        <v>46033</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10263-2025</t>
        </is>
      </c>
      <c r="B1912" s="1" t="n">
        <v>45720.38165509259</v>
      </c>
      <c r="C1912" s="1" t="n">
        <v>46033</v>
      </c>
      <c r="D1912" t="inlineStr">
        <is>
          <t>STOCKHOLMS LÄN</t>
        </is>
      </c>
      <c r="E1912" t="inlineStr">
        <is>
          <t>SÖDERTÄLJE</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10277-2025</t>
        </is>
      </c>
      <c r="B1913" s="1" t="n">
        <v>45720.39836805555</v>
      </c>
      <c r="C1913" s="1" t="n">
        <v>46033</v>
      </c>
      <c r="D1913" t="inlineStr">
        <is>
          <t>STOCKHOLMS LÄN</t>
        </is>
      </c>
      <c r="E1913" t="inlineStr">
        <is>
          <t>SÖDERTÄLJE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30949-2024</t>
        </is>
      </c>
      <c r="B1914" s="1" t="n">
        <v>45499</v>
      </c>
      <c r="C1914" s="1" t="n">
        <v>46033</v>
      </c>
      <c r="D1914" t="inlineStr">
        <is>
          <t>STOCKHOLMS LÄN</t>
        </is>
      </c>
      <c r="E1914" t="inlineStr">
        <is>
          <t>ÖSTERÅKER</t>
        </is>
      </c>
      <c r="F1914" t="inlineStr">
        <is>
          <t>Övriga Aktiebolag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62311-2023</t>
        </is>
      </c>
      <c r="B1915" s="1" t="n">
        <v>45266</v>
      </c>
      <c r="C1915" s="1" t="n">
        <v>46033</v>
      </c>
      <c r="D1915" t="inlineStr">
        <is>
          <t>STOCKHOLMS LÄN</t>
        </is>
      </c>
      <c r="E1915" t="inlineStr">
        <is>
          <t>SÖDERTÄLJE</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14900-2025</t>
        </is>
      </c>
      <c r="B1916" s="1" t="n">
        <v>45743.48729166666</v>
      </c>
      <c r="C1916" s="1" t="n">
        <v>46033</v>
      </c>
      <c r="D1916" t="inlineStr">
        <is>
          <t>STOCKHOLMS LÄN</t>
        </is>
      </c>
      <c r="E1916" t="inlineStr">
        <is>
          <t>HANINGE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25706-2023</t>
        </is>
      </c>
      <c r="B1917" s="1" t="n">
        <v>45090</v>
      </c>
      <c r="C1917" s="1" t="n">
        <v>46033</v>
      </c>
      <c r="D1917" t="inlineStr">
        <is>
          <t>STOCKHOLMS LÄN</t>
        </is>
      </c>
      <c r="E1917" t="inlineStr">
        <is>
          <t>SÖDERTÄLJE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19935-2025</t>
        </is>
      </c>
      <c r="B1918" s="1" t="n">
        <v>45771</v>
      </c>
      <c r="C1918" s="1" t="n">
        <v>46033</v>
      </c>
      <c r="D1918" t="inlineStr">
        <is>
          <t>STOCKHOLMS LÄN</t>
        </is>
      </c>
      <c r="E1918" t="inlineStr">
        <is>
          <t>EKERÖ</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62634-2022</t>
        </is>
      </c>
      <c r="B1919" s="1" t="n">
        <v>44917</v>
      </c>
      <c r="C1919" s="1" t="n">
        <v>46033</v>
      </c>
      <c r="D1919" t="inlineStr">
        <is>
          <t>STOCKHOLMS LÄN</t>
        </is>
      </c>
      <c r="E1919" t="inlineStr">
        <is>
          <t>NYNÄSHAMN</t>
        </is>
      </c>
      <c r="G1919" t="n">
        <v>15.8</v>
      </c>
      <c r="H1919" t="n">
        <v>0</v>
      </c>
      <c r="I1919" t="n">
        <v>0</v>
      </c>
      <c r="J1919" t="n">
        <v>0</v>
      </c>
      <c r="K1919" t="n">
        <v>0</v>
      </c>
      <c r="L1919" t="n">
        <v>0</v>
      </c>
      <c r="M1919" t="n">
        <v>0</v>
      </c>
      <c r="N1919" t="n">
        <v>0</v>
      </c>
      <c r="O1919" t="n">
        <v>0</v>
      </c>
      <c r="P1919" t="n">
        <v>0</v>
      </c>
      <c r="Q1919" t="n">
        <v>0</v>
      </c>
      <c r="R1919" s="2" t="inlineStr"/>
    </row>
    <row r="1920" ht="15" customHeight="1">
      <c r="A1920" t="inlineStr">
        <is>
          <t>A 43170-2023</t>
        </is>
      </c>
      <c r="B1920" s="1" t="n">
        <v>45183</v>
      </c>
      <c r="C1920" s="1" t="n">
        <v>46033</v>
      </c>
      <c r="D1920" t="inlineStr">
        <is>
          <t>STOCKHOLMS LÄN</t>
        </is>
      </c>
      <c r="E1920" t="inlineStr">
        <is>
          <t>NORRTÄLJE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9-2024</t>
        </is>
      </c>
      <c r="B1921" s="1" t="n">
        <v>45293</v>
      </c>
      <c r="C1921" s="1" t="n">
        <v>46033</v>
      </c>
      <c r="D1921" t="inlineStr">
        <is>
          <t>STOCKHOLMS LÄN</t>
        </is>
      </c>
      <c r="E1921" t="inlineStr">
        <is>
          <t>NORRTÄLJE</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11867-2024</t>
        </is>
      </c>
      <c r="B1922" s="1" t="n">
        <v>45376.45421296296</v>
      </c>
      <c r="C1922" s="1" t="n">
        <v>46033</v>
      </c>
      <c r="D1922" t="inlineStr">
        <is>
          <t>STOCKHOLMS LÄN</t>
        </is>
      </c>
      <c r="E1922" t="inlineStr">
        <is>
          <t>BOTKYRKA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22832-2021</t>
        </is>
      </c>
      <c r="B1923" s="1" t="n">
        <v>44325</v>
      </c>
      <c r="C1923" s="1" t="n">
        <v>46033</v>
      </c>
      <c r="D1923" t="inlineStr">
        <is>
          <t>STOCKHOLMS LÄN</t>
        </is>
      </c>
      <c r="E1923" t="inlineStr">
        <is>
          <t>NORRTÄLJE</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16913-2025</t>
        </is>
      </c>
      <c r="B1924" s="1" t="n">
        <v>45755.36583333334</v>
      </c>
      <c r="C1924" s="1" t="n">
        <v>46033</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4035-2023</t>
        </is>
      </c>
      <c r="B1925" s="1" t="n">
        <v>44952.57989583333</v>
      </c>
      <c r="C1925" s="1" t="n">
        <v>46033</v>
      </c>
      <c r="D1925" t="inlineStr">
        <is>
          <t>STOCKHOLMS LÄN</t>
        </is>
      </c>
      <c r="E1925" t="inlineStr">
        <is>
          <t>NORRTÄLJE</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33793-2022</t>
        </is>
      </c>
      <c r="B1926" s="1" t="n">
        <v>44790</v>
      </c>
      <c r="C1926" s="1" t="n">
        <v>46033</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53600-2022</t>
        </is>
      </c>
      <c r="B1927" s="1" t="n">
        <v>44879.70518518519</v>
      </c>
      <c r="C1927" s="1" t="n">
        <v>46033</v>
      </c>
      <c r="D1927" t="inlineStr">
        <is>
          <t>STOCKHOLMS LÄN</t>
        </is>
      </c>
      <c r="E1927" t="inlineStr">
        <is>
          <t>NORRTÄLJE</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51587-2023</t>
        </is>
      </c>
      <c r="B1928" s="1" t="n">
        <v>45215</v>
      </c>
      <c r="C1928" s="1" t="n">
        <v>46033</v>
      </c>
      <c r="D1928" t="inlineStr">
        <is>
          <t>STOCKHOLMS LÄN</t>
        </is>
      </c>
      <c r="E1928" t="inlineStr">
        <is>
          <t>UPPLANDS-BRO</t>
        </is>
      </c>
      <c r="F1928" t="inlineStr">
        <is>
          <t>Allmännings- och besparingsskogar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7697-2025</t>
        </is>
      </c>
      <c r="B1929" s="1" t="n">
        <v>45706.40086805556</v>
      </c>
      <c r="C1929" s="1" t="n">
        <v>46033</v>
      </c>
      <c r="D1929" t="inlineStr">
        <is>
          <t>STOCKHOLMS LÄN</t>
        </is>
      </c>
      <c r="E1929" t="inlineStr">
        <is>
          <t>NORRTÄLJE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37103-2021</t>
        </is>
      </c>
      <c r="B1930" s="1" t="n">
        <v>44396</v>
      </c>
      <c r="C1930" s="1" t="n">
        <v>46033</v>
      </c>
      <c r="D1930" t="inlineStr">
        <is>
          <t>STOCKHOLMS LÄN</t>
        </is>
      </c>
      <c r="E1930" t="inlineStr">
        <is>
          <t>NYNÄSHAMN</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37104-2021</t>
        </is>
      </c>
      <c r="B1931" s="1" t="n">
        <v>44396</v>
      </c>
      <c r="C1931" s="1" t="n">
        <v>46033</v>
      </c>
      <c r="D1931" t="inlineStr">
        <is>
          <t>STOCKHOLMS LÄN</t>
        </is>
      </c>
      <c r="E1931" t="inlineStr">
        <is>
          <t>NYNÄSHAMN</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30221-2024</t>
        </is>
      </c>
      <c r="B1932" s="1" t="n">
        <v>45490.45342592592</v>
      </c>
      <c r="C1932" s="1" t="n">
        <v>46033</v>
      </c>
      <c r="D1932" t="inlineStr">
        <is>
          <t>STOCKHOLMS LÄN</t>
        </is>
      </c>
      <c r="E1932" t="inlineStr">
        <is>
          <t>NORRTÄLJE</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16149-2024</t>
        </is>
      </c>
      <c r="B1933" s="1" t="n">
        <v>45406.56984953704</v>
      </c>
      <c r="C1933" s="1" t="n">
        <v>46033</v>
      </c>
      <c r="D1933" t="inlineStr">
        <is>
          <t>STOCKHOLMS LÄN</t>
        </is>
      </c>
      <c r="E1933" t="inlineStr">
        <is>
          <t>BOTKYRKA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20527-2025</t>
        </is>
      </c>
      <c r="B1934" s="1" t="n">
        <v>45775.60663194444</v>
      </c>
      <c r="C1934" s="1" t="n">
        <v>46033</v>
      </c>
      <c r="D1934" t="inlineStr">
        <is>
          <t>STOCKHOLMS LÄN</t>
        </is>
      </c>
      <c r="E1934" t="inlineStr">
        <is>
          <t>HANINGE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64568-2023</t>
        </is>
      </c>
      <c r="B1935" s="1" t="n">
        <v>45281.43164351852</v>
      </c>
      <c r="C1935" s="1" t="n">
        <v>46033</v>
      </c>
      <c r="D1935" t="inlineStr">
        <is>
          <t>STOCKHOLMS LÄN</t>
        </is>
      </c>
      <c r="E1935" t="inlineStr">
        <is>
          <t>HANINGE</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19487-2023</t>
        </is>
      </c>
      <c r="B1936" s="1" t="n">
        <v>45050</v>
      </c>
      <c r="C1936" s="1" t="n">
        <v>46033</v>
      </c>
      <c r="D1936" t="inlineStr">
        <is>
          <t>STOCKHOLMS LÄN</t>
        </is>
      </c>
      <c r="E1936" t="inlineStr">
        <is>
          <t>NYKVARN</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13-2024</t>
        </is>
      </c>
      <c r="B1937" s="1" t="n">
        <v>45293.37263888889</v>
      </c>
      <c r="C1937" s="1" t="n">
        <v>46033</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19-2024</t>
        </is>
      </c>
      <c r="B1938" s="1" t="n">
        <v>45293</v>
      </c>
      <c r="C1938" s="1" t="n">
        <v>46033</v>
      </c>
      <c r="D1938" t="inlineStr">
        <is>
          <t>STOCKHOLMS LÄN</t>
        </is>
      </c>
      <c r="E1938" t="inlineStr">
        <is>
          <t>NORRTÄLJE</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22-2024</t>
        </is>
      </c>
      <c r="B1939" s="1" t="n">
        <v>45293.40865740741</v>
      </c>
      <c r="C1939" s="1" t="n">
        <v>46033</v>
      </c>
      <c r="D1939" t="inlineStr">
        <is>
          <t>STOCKHOLMS LÄN</t>
        </is>
      </c>
      <c r="E1939" t="inlineStr">
        <is>
          <t>SÖDERTÄLJE</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46919-2023</t>
        </is>
      </c>
      <c r="B1940" s="1" t="n">
        <v>45201</v>
      </c>
      <c r="C1940" s="1" t="n">
        <v>46033</v>
      </c>
      <c r="D1940" t="inlineStr">
        <is>
          <t>STOCKHOLMS LÄN</t>
        </is>
      </c>
      <c r="E1940" t="inlineStr">
        <is>
          <t>SALEM</t>
        </is>
      </c>
      <c r="F1940" t="inlineStr">
        <is>
          <t>Kommuner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31559-2022</t>
        </is>
      </c>
      <c r="B1941" s="1" t="n">
        <v>44775</v>
      </c>
      <c r="C1941" s="1" t="n">
        <v>46033</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95-2024</t>
        </is>
      </c>
      <c r="B1942" s="1" t="n">
        <v>45293</v>
      </c>
      <c r="C1942" s="1" t="n">
        <v>46033</v>
      </c>
      <c r="D1942" t="inlineStr">
        <is>
          <t>STOCKHOLMS LÄN</t>
        </is>
      </c>
      <c r="E1942" t="inlineStr">
        <is>
          <t>SÖDERTÄLJE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45709.40231481481</v>
      </c>
      <c r="C1943" s="1" t="n">
        <v>46033</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20375-2023</t>
        </is>
      </c>
      <c r="B1944" s="1" t="n">
        <v>45054</v>
      </c>
      <c r="C1944" s="1" t="n">
        <v>46033</v>
      </c>
      <c r="D1944" t="inlineStr">
        <is>
          <t>STOCKHOLMS LÄN</t>
        </is>
      </c>
      <c r="E1944" t="inlineStr">
        <is>
          <t>SIGTUNA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504-2023</t>
        </is>
      </c>
      <c r="B1945" s="1" t="n">
        <v>44930</v>
      </c>
      <c r="C1945" s="1" t="n">
        <v>46033</v>
      </c>
      <c r="D1945" t="inlineStr">
        <is>
          <t>STOCKHOLMS LÄN</t>
        </is>
      </c>
      <c r="E1945" t="inlineStr">
        <is>
          <t>SALEM</t>
        </is>
      </c>
      <c r="F1945" t="inlineStr">
        <is>
          <t>Kommuner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35161-2022</t>
        </is>
      </c>
      <c r="B1946" s="1" t="n">
        <v>44797</v>
      </c>
      <c r="C1946" s="1" t="n">
        <v>46033</v>
      </c>
      <c r="D1946" t="inlineStr">
        <is>
          <t>STOCKHOLMS LÄN</t>
        </is>
      </c>
      <c r="E1946" t="inlineStr">
        <is>
          <t>NORRTÄLJE</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18793-2023</t>
        </is>
      </c>
      <c r="B1947" s="1" t="n">
        <v>45044</v>
      </c>
      <c r="C1947" s="1" t="n">
        <v>46033</v>
      </c>
      <c r="D1947" t="inlineStr">
        <is>
          <t>STOCKHOLMS LÄN</t>
        </is>
      </c>
      <c r="E1947" t="inlineStr">
        <is>
          <t>NYKVARN</t>
        </is>
      </c>
      <c r="F1947" t="inlineStr">
        <is>
          <t>Kyrkan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50020-2023</t>
        </is>
      </c>
      <c r="B1948" s="1" t="n">
        <v>45215.46996527778</v>
      </c>
      <c r="C1948" s="1" t="n">
        <v>46033</v>
      </c>
      <c r="D1948" t="inlineStr">
        <is>
          <t>STOCKHOLMS LÄN</t>
        </is>
      </c>
      <c r="E1948" t="inlineStr">
        <is>
          <t>NYKVARN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58989-2021</t>
        </is>
      </c>
      <c r="B1949" s="1" t="n">
        <v>44490.02482638889</v>
      </c>
      <c r="C1949" s="1" t="n">
        <v>46033</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845-2024</t>
        </is>
      </c>
      <c r="B1950" s="1" t="n">
        <v>45300.91423611111</v>
      </c>
      <c r="C1950" s="1" t="n">
        <v>46033</v>
      </c>
      <c r="D1950" t="inlineStr">
        <is>
          <t>STOCKHOLMS LÄN</t>
        </is>
      </c>
      <c r="E1950" t="inlineStr">
        <is>
          <t>ÖSTERÅKER</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46988-2024</t>
        </is>
      </c>
      <c r="B1951" s="1" t="n">
        <v>45586</v>
      </c>
      <c r="C1951" s="1" t="n">
        <v>46033</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21529-2021</t>
        </is>
      </c>
      <c r="B1952" s="1" t="n">
        <v>44321</v>
      </c>
      <c r="C1952" s="1" t="n">
        <v>46033</v>
      </c>
      <c r="D1952" t="inlineStr">
        <is>
          <t>STOCKHOLMS LÄN</t>
        </is>
      </c>
      <c r="E1952" t="inlineStr">
        <is>
          <t>NORRTÄLJE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13701-2022</t>
        </is>
      </c>
      <c r="B1953" s="1" t="n">
        <v>44648</v>
      </c>
      <c r="C1953" s="1" t="n">
        <v>46033</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1180-2024</t>
        </is>
      </c>
      <c r="B1954" s="1" t="n">
        <v>45302</v>
      </c>
      <c r="C1954" s="1" t="n">
        <v>46033</v>
      </c>
      <c r="D1954" t="inlineStr">
        <is>
          <t>STOCKHOLMS LÄN</t>
        </is>
      </c>
      <c r="E1954" t="inlineStr">
        <is>
          <t>HANINGE</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49956-2022</t>
        </is>
      </c>
      <c r="B1955" s="1" t="n">
        <v>44865.37130787037</v>
      </c>
      <c r="C1955" s="1" t="n">
        <v>46033</v>
      </c>
      <c r="D1955" t="inlineStr">
        <is>
          <t>STOCKHOLMS LÄN</t>
        </is>
      </c>
      <c r="E1955" t="inlineStr">
        <is>
          <t>SÖDERTÄLJE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14132-2025</t>
        </is>
      </c>
      <c r="B1956" s="1" t="n">
        <v>45740.47550925926</v>
      </c>
      <c r="C1956" s="1" t="n">
        <v>46033</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14133-2025</t>
        </is>
      </c>
      <c r="B1957" s="1" t="n">
        <v>45740.47724537037</v>
      </c>
      <c r="C1957" s="1" t="n">
        <v>46033</v>
      </c>
      <c r="D1957" t="inlineStr">
        <is>
          <t>STOCKHOLMS LÄN</t>
        </is>
      </c>
      <c r="E1957" t="inlineStr">
        <is>
          <t>NORRTÄLJE</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6157-2025</t>
        </is>
      </c>
      <c r="B1958" s="1" t="n">
        <v>45698.40923611111</v>
      </c>
      <c r="C1958" s="1" t="n">
        <v>46033</v>
      </c>
      <c r="D1958" t="inlineStr">
        <is>
          <t>STOCKHOLMS LÄN</t>
        </is>
      </c>
      <c r="E1958" t="inlineStr">
        <is>
          <t>SÖDERTÄLJE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8792-2025</t>
        </is>
      </c>
      <c r="B1959" s="1" t="n">
        <v>45712</v>
      </c>
      <c r="C1959" s="1" t="n">
        <v>46033</v>
      </c>
      <c r="D1959" t="inlineStr">
        <is>
          <t>STOCKHOLMS LÄN</t>
        </is>
      </c>
      <c r="E1959" t="inlineStr">
        <is>
          <t>NORRTÄLJE</t>
        </is>
      </c>
      <c r="F1959" t="inlineStr">
        <is>
          <t>Övriga Aktiebolag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24873-2023</t>
        </is>
      </c>
      <c r="B1960" s="1" t="n">
        <v>45085</v>
      </c>
      <c r="C1960" s="1" t="n">
        <v>46033</v>
      </c>
      <c r="D1960" t="inlineStr">
        <is>
          <t>STOCKHOLMS LÄN</t>
        </is>
      </c>
      <c r="E1960" t="inlineStr">
        <is>
          <t>HANINGE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24887-2023</t>
        </is>
      </c>
      <c r="B1961" s="1" t="n">
        <v>45085</v>
      </c>
      <c r="C1961" s="1" t="n">
        <v>46033</v>
      </c>
      <c r="D1961" t="inlineStr">
        <is>
          <t>STOCKHOLMS LÄN</t>
        </is>
      </c>
      <c r="E1961" t="inlineStr">
        <is>
          <t>NORRTÄLJE</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38612-2022</t>
        </is>
      </c>
      <c r="B1962" s="1" t="n">
        <v>44813</v>
      </c>
      <c r="C1962" s="1" t="n">
        <v>46033</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4326-2023</t>
        </is>
      </c>
      <c r="B1963" s="1" t="n">
        <v>44953.70481481482</v>
      </c>
      <c r="C1963" s="1" t="n">
        <v>46033</v>
      </c>
      <c r="D1963" t="inlineStr">
        <is>
          <t>STOCKHOLMS LÄN</t>
        </is>
      </c>
      <c r="E1963" t="inlineStr">
        <is>
          <t>NORRTÄLJE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54504-2024</t>
        </is>
      </c>
      <c r="B1964" s="1" t="n">
        <v>45617.58453703704</v>
      </c>
      <c r="C1964" s="1" t="n">
        <v>46033</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63586-2023</t>
        </is>
      </c>
      <c r="B1965" s="1" t="n">
        <v>45275</v>
      </c>
      <c r="C1965" s="1" t="n">
        <v>46033</v>
      </c>
      <c r="D1965" t="inlineStr">
        <is>
          <t>STOCKHOLMS LÄN</t>
        </is>
      </c>
      <c r="E1965" t="inlineStr">
        <is>
          <t>NYKVARN</t>
        </is>
      </c>
      <c r="F1965" t="inlineStr">
        <is>
          <t>Kommuner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55871-2023</t>
        </is>
      </c>
      <c r="B1966" s="1" t="n">
        <v>45239.73435185185</v>
      </c>
      <c r="C1966" s="1" t="n">
        <v>46033</v>
      </c>
      <c r="D1966" t="inlineStr">
        <is>
          <t>STOCKHOLMS LÄN</t>
        </is>
      </c>
      <c r="E1966" t="inlineStr">
        <is>
          <t>NYNÄSHAMN</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38276-2023</t>
        </is>
      </c>
      <c r="B1967" s="1" t="n">
        <v>45160</v>
      </c>
      <c r="C1967" s="1" t="n">
        <v>46033</v>
      </c>
      <c r="D1967" t="inlineStr">
        <is>
          <t>STOCKHOLMS LÄN</t>
        </is>
      </c>
      <c r="E1967" t="inlineStr">
        <is>
          <t>SIGTUNA</t>
        </is>
      </c>
      <c r="G1967" t="n">
        <v>18.1</v>
      </c>
      <c r="H1967" t="n">
        <v>0</v>
      </c>
      <c r="I1967" t="n">
        <v>0</v>
      </c>
      <c r="J1967" t="n">
        <v>0</v>
      </c>
      <c r="K1967" t="n">
        <v>0</v>
      </c>
      <c r="L1967" t="n">
        <v>0</v>
      </c>
      <c r="M1967" t="n">
        <v>0</v>
      </c>
      <c r="N1967" t="n">
        <v>0</v>
      </c>
      <c r="O1967" t="n">
        <v>0</v>
      </c>
      <c r="P1967" t="n">
        <v>0</v>
      </c>
      <c r="Q1967" t="n">
        <v>0</v>
      </c>
      <c r="R1967" s="2" t="inlineStr"/>
    </row>
    <row r="1968" ht="15" customHeight="1">
      <c r="A1968" t="inlineStr">
        <is>
          <t>A 21745-2023</t>
        </is>
      </c>
      <c r="B1968" s="1" t="n">
        <v>45065.55917824074</v>
      </c>
      <c r="C1968" s="1" t="n">
        <v>46033</v>
      </c>
      <c r="D1968" t="inlineStr">
        <is>
          <t>STOCKHOLMS LÄN</t>
        </is>
      </c>
      <c r="E1968" t="inlineStr">
        <is>
          <t>NORRTÄLJE</t>
        </is>
      </c>
      <c r="F1968" t="inlineStr">
        <is>
          <t>Holmen skog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21765-2023</t>
        </is>
      </c>
      <c r="B1969" s="1" t="n">
        <v>45064</v>
      </c>
      <c r="C1969" s="1" t="n">
        <v>46033</v>
      </c>
      <c r="D1969" t="inlineStr">
        <is>
          <t>STOCKHOLMS LÄN</t>
        </is>
      </c>
      <c r="E1969" t="inlineStr">
        <is>
          <t>VALLENTUNA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21894-2023</t>
        </is>
      </c>
      <c r="B1970" s="1" t="n">
        <v>45068.51783564815</v>
      </c>
      <c r="C1970" s="1" t="n">
        <v>46033</v>
      </c>
      <c r="D1970" t="inlineStr">
        <is>
          <t>STOCKHOLMS LÄN</t>
        </is>
      </c>
      <c r="E1970" t="inlineStr">
        <is>
          <t>NORRTÄLJE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21614-2022</t>
        </is>
      </c>
      <c r="B1971" s="1" t="n">
        <v>44706</v>
      </c>
      <c r="C1971" s="1" t="n">
        <v>46033</v>
      </c>
      <c r="D1971" t="inlineStr">
        <is>
          <t>STOCKHOLMS LÄN</t>
        </is>
      </c>
      <c r="E1971" t="inlineStr">
        <is>
          <t>VALLENTUNA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13276-2022</t>
        </is>
      </c>
      <c r="B1972" s="1" t="n">
        <v>44644</v>
      </c>
      <c r="C1972" s="1" t="n">
        <v>46033</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9024-2021</t>
        </is>
      </c>
      <c r="B1973" s="1" t="n">
        <v>44249.55199074074</v>
      </c>
      <c r="C1973" s="1" t="n">
        <v>46033</v>
      </c>
      <c r="D1973" t="inlineStr">
        <is>
          <t>STOCKHOLMS LÄN</t>
        </is>
      </c>
      <c r="E1973" t="inlineStr">
        <is>
          <t>VÄRMDÖ</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11343-2025</t>
        </is>
      </c>
      <c r="B1974" s="1" t="n">
        <v>45726.49932870371</v>
      </c>
      <c r="C1974" s="1" t="n">
        <v>46033</v>
      </c>
      <c r="D1974" t="inlineStr">
        <is>
          <t>STOCKHOLMS LÄN</t>
        </is>
      </c>
      <c r="E1974" t="inlineStr">
        <is>
          <t>SÖDERTÄLJE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26505-2024</t>
        </is>
      </c>
      <c r="B1975" s="1" t="n">
        <v>45469</v>
      </c>
      <c r="C1975" s="1" t="n">
        <v>46033</v>
      </c>
      <c r="D1975" t="inlineStr">
        <is>
          <t>STOCKHOLMS LÄN</t>
        </is>
      </c>
      <c r="E1975" t="inlineStr">
        <is>
          <t>NYNÄSHAMN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54596-2024</t>
        </is>
      </c>
      <c r="B1976" s="1" t="n">
        <v>45617.6762037037</v>
      </c>
      <c r="C1976" s="1" t="n">
        <v>46033</v>
      </c>
      <c r="D1976" t="inlineStr">
        <is>
          <t>STOCKHOLMS LÄN</t>
        </is>
      </c>
      <c r="E1976" t="inlineStr">
        <is>
          <t>SÖDERTÄLJE</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2496-2024</t>
        </is>
      </c>
      <c r="B1977" s="1" t="n">
        <v>45313</v>
      </c>
      <c r="C1977" s="1" t="n">
        <v>46033</v>
      </c>
      <c r="D1977" t="inlineStr">
        <is>
          <t>STOCKHOLMS LÄN</t>
        </is>
      </c>
      <c r="E1977" t="inlineStr">
        <is>
          <t>SIGTUNA</t>
        </is>
      </c>
      <c r="F1977" t="inlineStr">
        <is>
          <t>Kommuner</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58592-2023</t>
        </is>
      </c>
      <c r="B1978" s="1" t="n">
        <v>45251</v>
      </c>
      <c r="C1978" s="1" t="n">
        <v>46033</v>
      </c>
      <c r="D1978" t="inlineStr">
        <is>
          <t>STOCKHOLMS LÄN</t>
        </is>
      </c>
      <c r="E1978" t="inlineStr">
        <is>
          <t>SALEM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58599-2023</t>
        </is>
      </c>
      <c r="B1979" s="1" t="n">
        <v>45251.47721064815</v>
      </c>
      <c r="C1979" s="1" t="n">
        <v>46033</v>
      </c>
      <c r="D1979" t="inlineStr">
        <is>
          <t>STOCKHOLMS LÄN</t>
        </is>
      </c>
      <c r="E1979" t="inlineStr">
        <is>
          <t>HANINGE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28182-2022</t>
        </is>
      </c>
      <c r="B1980" s="1" t="n">
        <v>44746.58530092592</v>
      </c>
      <c r="C1980" s="1" t="n">
        <v>46033</v>
      </c>
      <c r="D1980" t="inlineStr">
        <is>
          <t>STOCKHOLMS LÄN</t>
        </is>
      </c>
      <c r="E1980" t="inlineStr">
        <is>
          <t>NORRTÄLJE</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34461-2023</t>
        </is>
      </c>
      <c r="B1981" s="1" t="n">
        <v>45139</v>
      </c>
      <c r="C1981" s="1" t="n">
        <v>46033</v>
      </c>
      <c r="D1981" t="inlineStr">
        <is>
          <t>STOCKHOLMS LÄN</t>
        </is>
      </c>
      <c r="E1981" t="inlineStr">
        <is>
          <t>NORRTÄLJE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59168-2022</t>
        </is>
      </c>
      <c r="B1982" s="1" t="n">
        <v>44904.48028935185</v>
      </c>
      <c r="C1982" s="1" t="n">
        <v>46033</v>
      </c>
      <c r="D1982" t="inlineStr">
        <is>
          <t>STOCKHOLMS LÄN</t>
        </is>
      </c>
      <c r="E1982" t="inlineStr">
        <is>
          <t>SIGTUNA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8756-2023</t>
        </is>
      </c>
      <c r="B1983" s="1" t="n">
        <v>44972</v>
      </c>
      <c r="C1983" s="1" t="n">
        <v>46033</v>
      </c>
      <c r="D1983" t="inlineStr">
        <is>
          <t>STOCKHOLMS LÄN</t>
        </is>
      </c>
      <c r="E1983" t="inlineStr">
        <is>
          <t>VÄRMDÖ</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51046-2023</t>
        </is>
      </c>
      <c r="B1984" s="1" t="n">
        <v>45218</v>
      </c>
      <c r="C1984" s="1" t="n">
        <v>46033</v>
      </c>
      <c r="D1984" t="inlineStr">
        <is>
          <t>STOCKHOLMS LÄN</t>
        </is>
      </c>
      <c r="E1984" t="inlineStr">
        <is>
          <t>NORRTÄLJE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28983-2024</t>
        </is>
      </c>
      <c r="B1985" s="1" t="n">
        <v>45481.47731481482</v>
      </c>
      <c r="C1985" s="1" t="n">
        <v>46033</v>
      </c>
      <c r="D1985" t="inlineStr">
        <is>
          <t>STOCKHOLMS LÄN</t>
        </is>
      </c>
      <c r="E1985" t="inlineStr">
        <is>
          <t>BOTKYRKA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3222-2022</t>
        </is>
      </c>
      <c r="B1986" s="1" t="n">
        <v>44582</v>
      </c>
      <c r="C1986" s="1" t="n">
        <v>46033</v>
      </c>
      <c r="D1986" t="inlineStr">
        <is>
          <t>STOCKHOLMS LÄN</t>
        </is>
      </c>
      <c r="E1986" t="inlineStr">
        <is>
          <t>EKERÖ</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23986-2023</t>
        </is>
      </c>
      <c r="B1987" s="1" t="n">
        <v>45078</v>
      </c>
      <c r="C1987" s="1" t="n">
        <v>46033</v>
      </c>
      <c r="D1987" t="inlineStr">
        <is>
          <t>STOCKHOLMS LÄN</t>
        </is>
      </c>
      <c r="E1987" t="inlineStr">
        <is>
          <t>VALLENTUNA</t>
        </is>
      </c>
      <c r="F1987" t="inlineStr">
        <is>
          <t>Kyrkan</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50031-2023</t>
        </is>
      </c>
      <c r="B1988" s="1" t="n">
        <v>45215.48474537037</v>
      </c>
      <c r="C1988" s="1" t="n">
        <v>46033</v>
      </c>
      <c r="D1988" t="inlineStr">
        <is>
          <t>STOCKHOLMS LÄN</t>
        </is>
      </c>
      <c r="E1988" t="inlineStr">
        <is>
          <t>NYKVARN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30002-2023</t>
        </is>
      </c>
      <c r="B1989" s="1" t="n">
        <v>45109</v>
      </c>
      <c r="C1989" s="1" t="n">
        <v>46033</v>
      </c>
      <c r="D1989" t="inlineStr">
        <is>
          <t>STOCKHOLMS LÄN</t>
        </is>
      </c>
      <c r="E1989" t="inlineStr">
        <is>
          <t>VÄRMDÖ</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31134-2023</t>
        </is>
      </c>
      <c r="B1990" s="1" t="n">
        <v>45113</v>
      </c>
      <c r="C1990" s="1" t="n">
        <v>46033</v>
      </c>
      <c r="D1990" t="inlineStr">
        <is>
          <t>STOCKHOLMS LÄN</t>
        </is>
      </c>
      <c r="E1990" t="inlineStr">
        <is>
          <t>ÖSTERÅKER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16724-2022</t>
        </is>
      </c>
      <c r="B1991" s="1" t="n">
        <v>44673</v>
      </c>
      <c r="C1991" s="1" t="n">
        <v>46033</v>
      </c>
      <c r="D1991" t="inlineStr">
        <is>
          <t>STOCKHOLMS LÄN</t>
        </is>
      </c>
      <c r="E1991" t="inlineStr">
        <is>
          <t>SÖDERTÄLJE</t>
        </is>
      </c>
      <c r="F1991" t="inlineStr">
        <is>
          <t>Övriga statliga verk och myndigheter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17382-2024</t>
        </is>
      </c>
      <c r="B1992" s="1" t="n">
        <v>45414.65855324074</v>
      </c>
      <c r="C1992" s="1" t="n">
        <v>46033</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6070-2022</t>
        </is>
      </c>
      <c r="B1993" s="1" t="n">
        <v>44599.58428240741</v>
      </c>
      <c r="C1993" s="1" t="n">
        <v>46033</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25278-2022</t>
        </is>
      </c>
      <c r="B1994" s="1" t="n">
        <v>44730</v>
      </c>
      <c r="C1994" s="1" t="n">
        <v>46033</v>
      </c>
      <c r="D1994" t="inlineStr">
        <is>
          <t>STOCKHOLMS LÄN</t>
        </is>
      </c>
      <c r="E1994" t="inlineStr">
        <is>
          <t>NYKVARN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17039-2024</t>
        </is>
      </c>
      <c r="B1995" s="1" t="n">
        <v>45412.4104050926</v>
      </c>
      <c r="C1995" s="1" t="n">
        <v>46033</v>
      </c>
      <c r="D1995" t="inlineStr">
        <is>
          <t>STOCKHOLMS LÄN</t>
        </is>
      </c>
      <c r="E1995" t="inlineStr">
        <is>
          <t>NORRTÄLJE</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72524-2021</t>
        </is>
      </c>
      <c r="B1996" s="1" t="n">
        <v>44546</v>
      </c>
      <c r="C1996" s="1" t="n">
        <v>46033</v>
      </c>
      <c r="D1996" t="inlineStr">
        <is>
          <t>STOCKHOLMS LÄN</t>
        </is>
      </c>
      <c r="E1996" t="inlineStr">
        <is>
          <t>UPPLANDS-BRO</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72530-2021</t>
        </is>
      </c>
      <c r="B1997" s="1" t="n">
        <v>44546</v>
      </c>
      <c r="C1997" s="1" t="n">
        <v>46033</v>
      </c>
      <c r="D1997" t="inlineStr">
        <is>
          <t>STOCKHOLMS LÄN</t>
        </is>
      </c>
      <c r="E1997" t="inlineStr">
        <is>
          <t>SIGTUNA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48180-2023</t>
        </is>
      </c>
      <c r="B1998" s="1" t="n">
        <v>45205</v>
      </c>
      <c r="C1998" s="1" t="n">
        <v>46033</v>
      </c>
      <c r="D1998" t="inlineStr">
        <is>
          <t>STOCKHOLMS LÄN</t>
        </is>
      </c>
      <c r="E1998" t="inlineStr">
        <is>
          <t>NORRTÄLJE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31575-2022</t>
        </is>
      </c>
      <c r="B1999" s="1" t="n">
        <v>44775.45063657407</v>
      </c>
      <c r="C1999" s="1" t="n">
        <v>46033</v>
      </c>
      <c r="D1999" t="inlineStr">
        <is>
          <t>STOCKHOLMS LÄN</t>
        </is>
      </c>
      <c r="E1999" t="inlineStr">
        <is>
          <t>ÖSTERÅKER</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35695-2023</t>
        </is>
      </c>
      <c r="B2000" s="1" t="n">
        <v>45147.65407407407</v>
      </c>
      <c r="C2000" s="1" t="n">
        <v>46033</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45173-2023</t>
        </is>
      </c>
      <c r="B2001" s="1" t="n">
        <v>45191</v>
      </c>
      <c r="C2001" s="1" t="n">
        <v>46033</v>
      </c>
      <c r="D2001" t="inlineStr">
        <is>
          <t>STOCKHOLMS LÄN</t>
        </is>
      </c>
      <c r="E2001" t="inlineStr">
        <is>
          <t>NORRTÄLJE</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45145-2022</t>
        </is>
      </c>
      <c r="B2002" s="1" t="n">
        <v>44844</v>
      </c>
      <c r="C2002" s="1" t="n">
        <v>46033</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46033</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24705-2023</t>
        </is>
      </c>
      <c r="B2004" s="1" t="n">
        <v>45084.54459490741</v>
      </c>
      <c r="C2004" s="1" t="n">
        <v>46033</v>
      </c>
      <c r="D2004" t="inlineStr">
        <is>
          <t>STOCKHOLMS LÄN</t>
        </is>
      </c>
      <c r="E2004" t="inlineStr">
        <is>
          <t>NORRTÄLJE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51082-2024</t>
        </is>
      </c>
      <c r="B2005" s="1" t="n">
        <v>45603.46126157408</v>
      </c>
      <c r="C2005" s="1" t="n">
        <v>46033</v>
      </c>
      <c r="D2005" t="inlineStr">
        <is>
          <t>STOCKHOLMS LÄN</t>
        </is>
      </c>
      <c r="E2005" t="inlineStr">
        <is>
          <t>SÖDERTÄLJE</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21696-2024</t>
        </is>
      </c>
      <c r="B2006" s="1" t="n">
        <v>45442.45686342593</v>
      </c>
      <c r="C2006" s="1" t="n">
        <v>46033</v>
      </c>
      <c r="D2006" t="inlineStr">
        <is>
          <t>STOCKHOLMS LÄN</t>
        </is>
      </c>
      <c r="E2006" t="inlineStr">
        <is>
          <t>NORRTÄLJE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61225-2022</t>
        </is>
      </c>
      <c r="B2007" s="1" t="n">
        <v>44915</v>
      </c>
      <c r="C2007" s="1" t="n">
        <v>46033</v>
      </c>
      <c r="D2007" t="inlineStr">
        <is>
          <t>STOCKHOLMS LÄN</t>
        </is>
      </c>
      <c r="E2007" t="inlineStr">
        <is>
          <t>BOTKYRKA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52836-2024</t>
        </is>
      </c>
      <c r="B2008" s="1" t="n">
        <v>45610.59637731482</v>
      </c>
      <c r="C2008" s="1" t="n">
        <v>46033</v>
      </c>
      <c r="D2008" t="inlineStr">
        <is>
          <t>STOCKHOLMS LÄN</t>
        </is>
      </c>
      <c r="E2008" t="inlineStr">
        <is>
          <t>HANINGE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52859-2024</t>
        </is>
      </c>
      <c r="B2009" s="1" t="n">
        <v>45610.61542824074</v>
      </c>
      <c r="C2009" s="1" t="n">
        <v>46033</v>
      </c>
      <c r="D2009" t="inlineStr">
        <is>
          <t>STOCKHOLMS LÄN</t>
        </is>
      </c>
      <c r="E2009" t="inlineStr">
        <is>
          <t>NYNÄSHAMN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67990-2021</t>
        </is>
      </c>
      <c r="B2010" s="1" t="n">
        <v>44525</v>
      </c>
      <c r="C2010" s="1" t="n">
        <v>46033</v>
      </c>
      <c r="D2010" t="inlineStr">
        <is>
          <t>STOCKHOLMS LÄN</t>
        </is>
      </c>
      <c r="E2010" t="inlineStr">
        <is>
          <t>NORRTÄLJE</t>
        </is>
      </c>
      <c r="F2010" t="inlineStr">
        <is>
          <t>Sveaskog</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71540-2021</t>
        </is>
      </c>
      <c r="B2011" s="1" t="n">
        <v>44540</v>
      </c>
      <c r="C2011" s="1" t="n">
        <v>46033</v>
      </c>
      <c r="D2011" t="inlineStr">
        <is>
          <t>STOCKHOLMS LÄN</t>
        </is>
      </c>
      <c r="E2011" t="inlineStr">
        <is>
          <t>NYKVARN</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71552-2021</t>
        </is>
      </c>
      <c r="B2012" s="1" t="n">
        <v>44540</v>
      </c>
      <c r="C2012" s="1" t="n">
        <v>46033</v>
      </c>
      <c r="D2012" t="inlineStr">
        <is>
          <t>STOCKHOLMS LÄN</t>
        </is>
      </c>
      <c r="E2012" t="inlineStr">
        <is>
          <t>NORRTÄLJE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73992-2021</t>
        </is>
      </c>
      <c r="B2013" s="1" t="n">
        <v>44556</v>
      </c>
      <c r="C2013" s="1" t="n">
        <v>46033</v>
      </c>
      <c r="D2013" t="inlineStr">
        <is>
          <t>STOCKHOLMS LÄN</t>
        </is>
      </c>
      <c r="E2013" t="inlineStr">
        <is>
          <t>NORRTÄLJE</t>
        </is>
      </c>
      <c r="G2013" t="n">
        <v>12.5</v>
      </c>
      <c r="H2013" t="n">
        <v>0</v>
      </c>
      <c r="I2013" t="n">
        <v>0</v>
      </c>
      <c r="J2013" t="n">
        <v>0</v>
      </c>
      <c r="K2013" t="n">
        <v>0</v>
      </c>
      <c r="L2013" t="n">
        <v>0</v>
      </c>
      <c r="M2013" t="n">
        <v>0</v>
      </c>
      <c r="N2013" t="n">
        <v>0</v>
      </c>
      <c r="O2013" t="n">
        <v>0</v>
      </c>
      <c r="P2013" t="n">
        <v>0</v>
      </c>
      <c r="Q2013" t="n">
        <v>0</v>
      </c>
      <c r="R2013" s="2" t="inlineStr"/>
    </row>
    <row r="2014" ht="15" customHeight="1">
      <c r="A2014" t="inlineStr">
        <is>
          <t>A 7926-2023</t>
        </is>
      </c>
      <c r="B2014" s="1" t="n">
        <v>44973.6502662037</v>
      </c>
      <c r="C2014" s="1" t="n">
        <v>46033</v>
      </c>
      <c r="D2014" t="inlineStr">
        <is>
          <t>STOCKHOLMS LÄN</t>
        </is>
      </c>
      <c r="E2014" t="inlineStr">
        <is>
          <t>NYKVARN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26113-2024</t>
        </is>
      </c>
      <c r="B2015" s="1" t="n">
        <v>45468.45541666666</v>
      </c>
      <c r="C2015" s="1" t="n">
        <v>46033</v>
      </c>
      <c r="D2015" t="inlineStr">
        <is>
          <t>STOCKHOLMS LÄN</t>
        </is>
      </c>
      <c r="E2015" t="inlineStr">
        <is>
          <t>NORRTÄLJE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26116-2024</t>
        </is>
      </c>
      <c r="B2016" s="1" t="n">
        <v>45468.45747685185</v>
      </c>
      <c r="C2016" s="1" t="n">
        <v>46033</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15978-2024</t>
        </is>
      </c>
      <c r="B2017" s="1" t="n">
        <v>45405.57927083333</v>
      </c>
      <c r="C2017" s="1" t="n">
        <v>46033</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11333-2025</t>
        </is>
      </c>
      <c r="B2018" s="1" t="n">
        <v>45726.48377314815</v>
      </c>
      <c r="C2018" s="1" t="n">
        <v>46033</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22529-2022</t>
        </is>
      </c>
      <c r="B2019" s="1" t="n">
        <v>44713</v>
      </c>
      <c r="C2019" s="1" t="n">
        <v>46033</v>
      </c>
      <c r="D2019" t="inlineStr">
        <is>
          <t>STOCKHOLMS LÄN</t>
        </is>
      </c>
      <c r="E2019" t="inlineStr">
        <is>
          <t>NYKVARN</t>
        </is>
      </c>
      <c r="F2019" t="inlineStr">
        <is>
          <t>Allmännings- och besparingsskogar</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34385-2023</t>
        </is>
      </c>
      <c r="B2020" s="1" t="n">
        <v>45139</v>
      </c>
      <c r="C2020" s="1" t="n">
        <v>46033</v>
      </c>
      <c r="D2020" t="inlineStr">
        <is>
          <t>STOCKHOLMS LÄN</t>
        </is>
      </c>
      <c r="E2020" t="inlineStr">
        <is>
          <t>NYNÄSHAMN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34391-2023</t>
        </is>
      </c>
      <c r="B2021" s="1" t="n">
        <v>45139.51457175926</v>
      </c>
      <c r="C2021" s="1" t="n">
        <v>46033</v>
      </c>
      <c r="D2021" t="inlineStr">
        <is>
          <t>STOCKHOLMS LÄN</t>
        </is>
      </c>
      <c r="E2021" t="inlineStr">
        <is>
          <t>NORRTÄLJE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42339-2024</t>
        </is>
      </c>
      <c r="B2022" s="1" t="n">
        <v>45562</v>
      </c>
      <c r="C2022" s="1" t="n">
        <v>46033</v>
      </c>
      <c r="D2022" t="inlineStr">
        <is>
          <t>STOCKHOLMS LÄN</t>
        </is>
      </c>
      <c r="E2022" t="inlineStr">
        <is>
          <t>SÖDERTÄLJE</t>
        </is>
      </c>
      <c r="F2022" t="inlineStr">
        <is>
          <t>Övriga statliga verk och myndigheter</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24068-2024</t>
        </is>
      </c>
      <c r="B2023" s="1" t="n">
        <v>45456</v>
      </c>
      <c r="C2023" s="1" t="n">
        <v>46033</v>
      </c>
      <c r="D2023" t="inlineStr">
        <is>
          <t>STOCKHOLMS LÄN</t>
        </is>
      </c>
      <c r="E2023" t="inlineStr">
        <is>
          <t>VALLENTUNA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4338-2023</t>
        </is>
      </c>
      <c r="B2024" s="1" t="n">
        <v>44953</v>
      </c>
      <c r="C2024" s="1" t="n">
        <v>46033</v>
      </c>
      <c r="D2024" t="inlineStr">
        <is>
          <t>STOCKHOLMS LÄN</t>
        </is>
      </c>
      <c r="E2024" t="inlineStr">
        <is>
          <t>UPPLANDS-BRO</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10185-2025</t>
        </is>
      </c>
      <c r="B2025" s="1" t="n">
        <v>45719</v>
      </c>
      <c r="C2025" s="1" t="n">
        <v>46033</v>
      </c>
      <c r="D2025" t="inlineStr">
        <is>
          <t>STOCKHOLMS LÄN</t>
        </is>
      </c>
      <c r="E2025" t="inlineStr">
        <is>
          <t>ÖSTERÅKER</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67921-2021</t>
        </is>
      </c>
      <c r="B2026" s="1" t="n">
        <v>44525</v>
      </c>
      <c r="C2026" s="1" t="n">
        <v>46033</v>
      </c>
      <c r="D2026" t="inlineStr">
        <is>
          <t>STOCKHOLMS LÄN</t>
        </is>
      </c>
      <c r="E2026" t="inlineStr">
        <is>
          <t>NORRTÄLJE</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61336-2022</t>
        </is>
      </c>
      <c r="B2027" s="1" t="n">
        <v>44915</v>
      </c>
      <c r="C2027" s="1" t="n">
        <v>46033</v>
      </c>
      <c r="D2027" t="inlineStr">
        <is>
          <t>STOCKHOLMS LÄN</t>
        </is>
      </c>
      <c r="E2027" t="inlineStr">
        <is>
          <t>SALEM</t>
        </is>
      </c>
      <c r="F2027" t="inlineStr">
        <is>
          <t>Kommuner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25681-2024</t>
        </is>
      </c>
      <c r="B2028" s="1" t="n">
        <v>45463.80486111111</v>
      </c>
      <c r="C2028" s="1" t="n">
        <v>46033</v>
      </c>
      <c r="D2028" t="inlineStr">
        <is>
          <t>STOCKHOLMS LÄN</t>
        </is>
      </c>
      <c r="E2028" t="inlineStr">
        <is>
          <t>NORRTÄLJE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58853-2024</t>
        </is>
      </c>
      <c r="B2029" s="1" t="n">
        <v>45636.38974537037</v>
      </c>
      <c r="C2029" s="1" t="n">
        <v>46033</v>
      </c>
      <c r="D2029" t="inlineStr">
        <is>
          <t>STOCKHOLMS LÄN</t>
        </is>
      </c>
      <c r="E2029" t="inlineStr">
        <is>
          <t>NORRTÄLJE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51026-2024</t>
        </is>
      </c>
      <c r="B2030" s="1" t="n">
        <v>45603.4181712963</v>
      </c>
      <c r="C2030" s="1" t="n">
        <v>46033</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27724-2022</t>
        </is>
      </c>
      <c r="B2031" s="1" t="n">
        <v>44743.48386574074</v>
      </c>
      <c r="C2031" s="1" t="n">
        <v>46033</v>
      </c>
      <c r="D2031" t="inlineStr">
        <is>
          <t>STOCKHOLMS LÄN</t>
        </is>
      </c>
      <c r="E2031" t="inlineStr">
        <is>
          <t>UPPLANDS VÄSBY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35438-2023</t>
        </is>
      </c>
      <c r="B2032" s="1" t="n">
        <v>45146</v>
      </c>
      <c r="C2032" s="1" t="n">
        <v>46033</v>
      </c>
      <c r="D2032" t="inlineStr">
        <is>
          <t>STOCKHOLMS LÄN</t>
        </is>
      </c>
      <c r="E2032" t="inlineStr">
        <is>
          <t>NORRTÄLJE</t>
        </is>
      </c>
      <c r="F2032" t="inlineStr">
        <is>
          <t>Kommuner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20291-2022</t>
        </is>
      </c>
      <c r="B2033" s="1" t="n">
        <v>44698</v>
      </c>
      <c r="C2033" s="1" t="n">
        <v>46033</v>
      </c>
      <c r="D2033" t="inlineStr">
        <is>
          <t>STOCKHOLMS LÄN</t>
        </is>
      </c>
      <c r="E2033" t="inlineStr">
        <is>
          <t>NORRTÄLJE</t>
        </is>
      </c>
      <c r="F2033" t="inlineStr">
        <is>
          <t>Naturvårdsverket</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26115-2024</t>
        </is>
      </c>
      <c r="B2034" s="1" t="n">
        <v>45468.45628472222</v>
      </c>
      <c r="C2034" s="1" t="n">
        <v>46033</v>
      </c>
      <c r="D2034" t="inlineStr">
        <is>
          <t>STOCKHOLMS LÄN</t>
        </is>
      </c>
      <c r="E2034" t="inlineStr">
        <is>
          <t>NORRTÄLJE</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34660-2023</t>
        </is>
      </c>
      <c r="B2035" s="1" t="n">
        <v>45140</v>
      </c>
      <c r="C2035" s="1" t="n">
        <v>46033</v>
      </c>
      <c r="D2035" t="inlineStr">
        <is>
          <t>STOCKHOLMS LÄN</t>
        </is>
      </c>
      <c r="E2035" t="inlineStr">
        <is>
          <t>NYNÄSHAMN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28816-2023</t>
        </is>
      </c>
      <c r="B2036" s="1" t="n">
        <v>45104</v>
      </c>
      <c r="C2036" s="1" t="n">
        <v>46033</v>
      </c>
      <c r="D2036" t="inlineStr">
        <is>
          <t>STOCKHOLMS LÄN</t>
        </is>
      </c>
      <c r="E2036" t="inlineStr">
        <is>
          <t>NORRTÄLJE</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5528-2023</t>
        </is>
      </c>
      <c r="B2037" s="1" t="n">
        <v>44957</v>
      </c>
      <c r="C2037" s="1" t="n">
        <v>46033</v>
      </c>
      <c r="D2037" t="inlineStr">
        <is>
          <t>STOCKHOLMS LÄN</t>
        </is>
      </c>
      <c r="E2037" t="inlineStr">
        <is>
          <t>VAXHOLM</t>
        </is>
      </c>
      <c r="F2037" t="inlineStr">
        <is>
          <t>Övriga statliga verk och myndigheter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25217-2024</t>
        </is>
      </c>
      <c r="B2038" s="1" t="n">
        <v>45462</v>
      </c>
      <c r="C2038" s="1" t="n">
        <v>46033</v>
      </c>
      <c r="D2038" t="inlineStr">
        <is>
          <t>STOCKHOLMS LÄN</t>
        </is>
      </c>
      <c r="E2038" t="inlineStr">
        <is>
          <t>BOTKYRKA</t>
        </is>
      </c>
      <c r="F2038" t="inlineStr">
        <is>
          <t>Övriga Aktiebolag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19118-2022</t>
        </is>
      </c>
      <c r="B2039" s="1" t="n">
        <v>44691.5652662037</v>
      </c>
      <c r="C2039" s="1" t="n">
        <v>46033</v>
      </c>
      <c r="D2039" t="inlineStr">
        <is>
          <t>STOCKHOLMS LÄN</t>
        </is>
      </c>
      <c r="E2039" t="inlineStr">
        <is>
          <t>NORRTÄLJE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3937-2022</t>
        </is>
      </c>
      <c r="B2040" s="1" t="n">
        <v>44587</v>
      </c>
      <c r="C2040" s="1" t="n">
        <v>46033</v>
      </c>
      <c r="D2040" t="inlineStr">
        <is>
          <t>STOCKHOLMS LÄN</t>
        </is>
      </c>
      <c r="E2040" t="inlineStr">
        <is>
          <t>VALLENTUNA</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48820-2022</t>
        </is>
      </c>
      <c r="B2041" s="1" t="n">
        <v>44859</v>
      </c>
      <c r="C2041" s="1" t="n">
        <v>46033</v>
      </c>
      <c r="D2041" t="inlineStr">
        <is>
          <t>STOCKHOLMS LÄN</t>
        </is>
      </c>
      <c r="E2041" t="inlineStr">
        <is>
          <t>SÖDERTÄLJE</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23013-2024</t>
        </is>
      </c>
      <c r="B2042" s="1" t="n">
        <v>45450.35116898148</v>
      </c>
      <c r="C2042" s="1" t="n">
        <v>46033</v>
      </c>
      <c r="D2042" t="inlineStr">
        <is>
          <t>STOCKHOLMS LÄN</t>
        </is>
      </c>
      <c r="E2042" t="inlineStr">
        <is>
          <t>VALLENTUNA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34193-2024</t>
        </is>
      </c>
      <c r="B2043" s="1" t="n">
        <v>45524.46203703704</v>
      </c>
      <c r="C2043" s="1" t="n">
        <v>46033</v>
      </c>
      <c r="D2043" t="inlineStr">
        <is>
          <t>STOCKHOLMS LÄN</t>
        </is>
      </c>
      <c r="E2043" t="inlineStr">
        <is>
          <t>SÖDERTÄLJE</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59848-2022</t>
        </is>
      </c>
      <c r="B2044" s="1" t="n">
        <v>44901</v>
      </c>
      <c r="C2044" s="1" t="n">
        <v>46033</v>
      </c>
      <c r="D2044" t="inlineStr">
        <is>
          <t>STOCKHOLMS LÄN</t>
        </is>
      </c>
      <c r="E2044" t="inlineStr">
        <is>
          <t>UPPLANDS-BRO</t>
        </is>
      </c>
      <c r="F2044" t="inlineStr">
        <is>
          <t>Övriga statliga verk och myndigheter</t>
        </is>
      </c>
      <c r="G2044" t="n">
        <v>10.7</v>
      </c>
      <c r="H2044" t="n">
        <v>0</v>
      </c>
      <c r="I2044" t="n">
        <v>0</v>
      </c>
      <c r="J2044" t="n">
        <v>0</v>
      </c>
      <c r="K2044" t="n">
        <v>0</v>
      </c>
      <c r="L2044" t="n">
        <v>0</v>
      </c>
      <c r="M2044" t="n">
        <v>0</v>
      </c>
      <c r="N2044" t="n">
        <v>0</v>
      </c>
      <c r="O2044" t="n">
        <v>0</v>
      </c>
      <c r="P2044" t="n">
        <v>0</v>
      </c>
      <c r="Q2044" t="n">
        <v>0</v>
      </c>
      <c r="R2044" s="2" t="inlineStr"/>
    </row>
    <row r="2045" ht="15" customHeight="1">
      <c r="A2045" t="inlineStr">
        <is>
          <t>A 3078-2023</t>
        </is>
      </c>
      <c r="B2045" s="1" t="n">
        <v>44946.41527777778</v>
      </c>
      <c r="C2045" s="1" t="n">
        <v>46033</v>
      </c>
      <c r="D2045" t="inlineStr">
        <is>
          <t>STOCKHOLMS LÄN</t>
        </is>
      </c>
      <c r="E2045" t="inlineStr">
        <is>
          <t>VALLENTUNA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8739-2024</t>
        </is>
      </c>
      <c r="B2046" s="1" t="n">
        <v>45356.47784722222</v>
      </c>
      <c r="C2046" s="1" t="n">
        <v>46033</v>
      </c>
      <c r="D2046" t="inlineStr">
        <is>
          <t>STOCKHOLMS LÄN</t>
        </is>
      </c>
      <c r="E2046" t="inlineStr">
        <is>
          <t>NORRTÄLJE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46033</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32857-2021</t>
        </is>
      </c>
      <c r="B2048" s="1" t="n">
        <v>44375</v>
      </c>
      <c r="C2048" s="1" t="n">
        <v>46033</v>
      </c>
      <c r="D2048" t="inlineStr">
        <is>
          <t>STOCKHOLMS LÄN</t>
        </is>
      </c>
      <c r="E2048" t="inlineStr">
        <is>
          <t>NORRTÄLJE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29714-2023</t>
        </is>
      </c>
      <c r="B2049" s="1" t="n">
        <v>45107.42538194444</v>
      </c>
      <c r="C2049" s="1" t="n">
        <v>46033</v>
      </c>
      <c r="D2049" t="inlineStr">
        <is>
          <t>STOCKHOLMS LÄN</t>
        </is>
      </c>
      <c r="E2049" t="inlineStr">
        <is>
          <t>NORRTÄLJE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23271-2023</t>
        </is>
      </c>
      <c r="B2050" s="1" t="n">
        <v>45075.91362268518</v>
      </c>
      <c r="C2050" s="1" t="n">
        <v>46033</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23273-2023</t>
        </is>
      </c>
      <c r="B2051" s="1" t="n">
        <v>45075.91971064815</v>
      </c>
      <c r="C2051" s="1" t="n">
        <v>46033</v>
      </c>
      <c r="D2051" t="inlineStr">
        <is>
          <t>STOCKHOLMS LÄN</t>
        </is>
      </c>
      <c r="E2051" t="inlineStr">
        <is>
          <t>NORRTÄLJE</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17623-2024</t>
        </is>
      </c>
      <c r="B2052" s="1" t="n">
        <v>45417.83097222223</v>
      </c>
      <c r="C2052" s="1" t="n">
        <v>46033</v>
      </c>
      <c r="D2052" t="inlineStr">
        <is>
          <t>STOCKHOLMS LÄN</t>
        </is>
      </c>
      <c r="E2052" t="inlineStr">
        <is>
          <t>VÄRMDÖ</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23992-2023</t>
        </is>
      </c>
      <c r="B2053" s="1" t="n">
        <v>45078</v>
      </c>
      <c r="C2053" s="1" t="n">
        <v>46033</v>
      </c>
      <c r="D2053" t="inlineStr">
        <is>
          <t>STOCKHOLMS LÄN</t>
        </is>
      </c>
      <c r="E2053" t="inlineStr">
        <is>
          <t>SALEM</t>
        </is>
      </c>
      <c r="F2053" t="inlineStr">
        <is>
          <t>Kommuner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6593-2021</t>
        </is>
      </c>
      <c r="B2054" s="1" t="n">
        <v>44236</v>
      </c>
      <c r="C2054" s="1" t="n">
        <v>46033</v>
      </c>
      <c r="D2054" t="inlineStr">
        <is>
          <t>STOCKHOLMS LÄN</t>
        </is>
      </c>
      <c r="E2054" t="inlineStr">
        <is>
          <t>VALLENTUNA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7694-2023</t>
        </is>
      </c>
      <c r="B2055" s="1" t="n">
        <v>44967</v>
      </c>
      <c r="C2055" s="1" t="n">
        <v>46033</v>
      </c>
      <c r="D2055" t="inlineStr">
        <is>
          <t>STOCKHOLMS LÄN</t>
        </is>
      </c>
      <c r="E2055" t="inlineStr">
        <is>
          <t>VAXHOLM</t>
        </is>
      </c>
      <c r="F2055" t="inlineStr">
        <is>
          <t>Övriga statliga verk och myndigheter</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26812-2022</t>
        </is>
      </c>
      <c r="B2056" s="1" t="n">
        <v>44740</v>
      </c>
      <c r="C2056" s="1" t="n">
        <v>46033</v>
      </c>
      <c r="D2056" t="inlineStr">
        <is>
          <t>STOCKHOLMS LÄN</t>
        </is>
      </c>
      <c r="E2056" t="inlineStr">
        <is>
          <t>SÖDERTÄLJE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62320-2023</t>
        </is>
      </c>
      <c r="B2057" s="1" t="n">
        <v>45267</v>
      </c>
      <c r="C2057" s="1" t="n">
        <v>46033</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33061-2024</t>
        </is>
      </c>
      <c r="B2058" s="1" t="n">
        <v>45517.64091435185</v>
      </c>
      <c r="C2058" s="1" t="n">
        <v>46033</v>
      </c>
      <c r="D2058" t="inlineStr">
        <is>
          <t>STOCKHOLMS LÄN</t>
        </is>
      </c>
      <c r="E2058" t="inlineStr">
        <is>
          <t>VÄRMDÖ</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2727-2024</t>
        </is>
      </c>
      <c r="B2059" s="1" t="n">
        <v>45314</v>
      </c>
      <c r="C2059" s="1" t="n">
        <v>46033</v>
      </c>
      <c r="D2059" t="inlineStr">
        <is>
          <t>STOCKHOLMS LÄN</t>
        </is>
      </c>
      <c r="E2059" t="inlineStr">
        <is>
          <t>VAXHOLM</t>
        </is>
      </c>
      <c r="F2059" t="inlineStr">
        <is>
          <t>Övriga statliga verk och myndigheter</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67265-2021</t>
        </is>
      </c>
      <c r="B2060" s="1" t="n">
        <v>44523.59277777778</v>
      </c>
      <c r="C2060" s="1" t="n">
        <v>46033</v>
      </c>
      <c r="D2060" t="inlineStr">
        <is>
          <t>STOCKHOLMS LÄN</t>
        </is>
      </c>
      <c r="E2060" t="inlineStr">
        <is>
          <t>ÖSTERÅKER</t>
        </is>
      </c>
      <c r="F2060" t="inlineStr">
        <is>
          <t>Kommuner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8078-2024</t>
        </is>
      </c>
      <c r="B2061" s="1" t="n">
        <v>45351.43737268518</v>
      </c>
      <c r="C2061" s="1" t="n">
        <v>46033</v>
      </c>
      <c r="D2061" t="inlineStr">
        <is>
          <t>STOCKHOLMS LÄN</t>
        </is>
      </c>
      <c r="E2061" t="inlineStr">
        <is>
          <t>HANINGE</t>
        </is>
      </c>
      <c r="F2061" t="inlineStr">
        <is>
          <t>Kommuner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39539-2023</t>
        </is>
      </c>
      <c r="B2062" s="1" t="n">
        <v>45167</v>
      </c>
      <c r="C2062" s="1" t="n">
        <v>46033</v>
      </c>
      <c r="D2062" t="inlineStr">
        <is>
          <t>STOCKHOLMS LÄN</t>
        </is>
      </c>
      <c r="E2062" t="inlineStr">
        <is>
          <t>NYKVARN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7603-2025</t>
        </is>
      </c>
      <c r="B2063" s="1" t="n">
        <v>45705.66126157407</v>
      </c>
      <c r="C2063" s="1" t="n">
        <v>46033</v>
      </c>
      <c r="D2063" t="inlineStr">
        <is>
          <t>STOCKHOLMS LÄN</t>
        </is>
      </c>
      <c r="E2063" t="inlineStr">
        <is>
          <t>NORRTÄLJE</t>
        </is>
      </c>
      <c r="F2063" t="inlineStr">
        <is>
          <t>Holmen skog AB</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30802-2022</t>
        </is>
      </c>
      <c r="B2064" s="1" t="n">
        <v>44764</v>
      </c>
      <c r="C2064" s="1" t="n">
        <v>46033</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44624-2023</t>
        </is>
      </c>
      <c r="B2065" s="1" t="n">
        <v>45184</v>
      </c>
      <c r="C2065" s="1" t="n">
        <v>46033</v>
      </c>
      <c r="D2065" t="inlineStr">
        <is>
          <t>STOCKHOLMS LÄN</t>
        </is>
      </c>
      <c r="E2065" t="inlineStr">
        <is>
          <t>NYNÄSHAMN</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55369-2023</t>
        </is>
      </c>
      <c r="B2066" s="1" t="n">
        <v>45238</v>
      </c>
      <c r="C2066" s="1" t="n">
        <v>46033</v>
      </c>
      <c r="D2066" t="inlineStr">
        <is>
          <t>STOCKHOLMS LÄN</t>
        </is>
      </c>
      <c r="E2066" t="inlineStr">
        <is>
          <t>NORRTÄLJE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61113-2023</t>
        </is>
      </c>
      <c r="B2067" s="1" t="n">
        <v>45261</v>
      </c>
      <c r="C2067" s="1" t="n">
        <v>46033</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3283-2025</t>
        </is>
      </c>
      <c r="B2068" s="1" t="n">
        <v>45679</v>
      </c>
      <c r="C2068" s="1" t="n">
        <v>46033</v>
      </c>
      <c r="D2068" t="inlineStr">
        <is>
          <t>STOCKHOLMS LÄN</t>
        </is>
      </c>
      <c r="E2068" t="inlineStr">
        <is>
          <t>NORRTÄLJE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34295-2024</t>
        </is>
      </c>
      <c r="B2069" s="1" t="n">
        <v>45524</v>
      </c>
      <c r="C2069" s="1" t="n">
        <v>46033</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58311-2023</t>
        </is>
      </c>
      <c r="B2070" s="1" t="n">
        <v>45245</v>
      </c>
      <c r="C2070" s="1" t="n">
        <v>46033</v>
      </c>
      <c r="D2070" t="inlineStr">
        <is>
          <t>STOCKHOLMS LÄN</t>
        </is>
      </c>
      <c r="E2070" t="inlineStr">
        <is>
          <t>NORRTÄLJE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20960-2023</t>
        </is>
      </c>
      <c r="B2071" s="1" t="n">
        <v>45061</v>
      </c>
      <c r="C2071" s="1" t="n">
        <v>46033</v>
      </c>
      <c r="D2071" t="inlineStr">
        <is>
          <t>STOCKHOLMS LÄN</t>
        </is>
      </c>
      <c r="E2071" t="inlineStr">
        <is>
          <t>SIGTUNA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23692-2024</t>
        </is>
      </c>
      <c r="B2072" s="1" t="n">
        <v>45454.65774305556</v>
      </c>
      <c r="C2072" s="1" t="n">
        <v>46033</v>
      </c>
      <c r="D2072" t="inlineStr">
        <is>
          <t>STOCKHOLMS LÄN</t>
        </is>
      </c>
      <c r="E2072" t="inlineStr">
        <is>
          <t>NORRTÄLJE</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6876-2022</t>
        </is>
      </c>
      <c r="B2073" s="1" t="n">
        <v>44602</v>
      </c>
      <c r="C2073" s="1" t="n">
        <v>46033</v>
      </c>
      <c r="D2073" t="inlineStr">
        <is>
          <t>STOCKHOLMS LÄN</t>
        </is>
      </c>
      <c r="E2073" t="inlineStr">
        <is>
          <t>NYKVARN</t>
        </is>
      </c>
      <c r="F2073" t="inlineStr">
        <is>
          <t>Kommuner</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20473-2021</t>
        </is>
      </c>
      <c r="B2074" s="1" t="n">
        <v>44315</v>
      </c>
      <c r="C2074" s="1" t="n">
        <v>46033</v>
      </c>
      <c r="D2074" t="inlineStr">
        <is>
          <t>STOCKHOLMS LÄN</t>
        </is>
      </c>
      <c r="E2074" t="inlineStr">
        <is>
          <t>NORRTÄLJE</t>
        </is>
      </c>
      <c r="F2074" t="inlineStr">
        <is>
          <t>Övriga Aktiebolag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59700-2021</t>
        </is>
      </c>
      <c r="B2075" s="1" t="n">
        <v>44494</v>
      </c>
      <c r="C2075" s="1" t="n">
        <v>46033</v>
      </c>
      <c r="D2075" t="inlineStr">
        <is>
          <t>STOCKHOLMS LÄN</t>
        </is>
      </c>
      <c r="E2075" t="inlineStr">
        <is>
          <t>UPPLANDS-BRO</t>
        </is>
      </c>
      <c r="F2075" t="inlineStr">
        <is>
          <t>Övriga statliga verk och myndigheter</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19503-2023</t>
        </is>
      </c>
      <c r="B2076" s="1" t="n">
        <v>45050.47333333334</v>
      </c>
      <c r="C2076" s="1" t="n">
        <v>46033</v>
      </c>
      <c r="D2076" t="inlineStr">
        <is>
          <t>STOCKHOLMS LÄN</t>
        </is>
      </c>
      <c r="E2076" t="inlineStr">
        <is>
          <t>VALLENTUNA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54273-2021</t>
        </is>
      </c>
      <c r="B2077" s="1" t="n">
        <v>44470.72987268519</v>
      </c>
      <c r="C2077" s="1" t="n">
        <v>46033</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30910-2023</t>
        </is>
      </c>
      <c r="B2078" s="1" t="n">
        <v>45113</v>
      </c>
      <c r="C2078" s="1" t="n">
        <v>46033</v>
      </c>
      <c r="D2078" t="inlineStr">
        <is>
          <t>STOCKHOLMS LÄN</t>
        </is>
      </c>
      <c r="E2078" t="inlineStr">
        <is>
          <t>NYNÄSHAMN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57884-2021</t>
        </is>
      </c>
      <c r="B2079" s="1" t="n">
        <v>44485</v>
      </c>
      <c r="C2079" s="1" t="n">
        <v>46033</v>
      </c>
      <c r="D2079" t="inlineStr">
        <is>
          <t>STOCKHOLMS LÄN</t>
        </is>
      </c>
      <c r="E2079" t="inlineStr">
        <is>
          <t>SÖDERTÄLJE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8323-2025</t>
        </is>
      </c>
      <c r="B2080" s="1" t="n">
        <v>45708.6322337963</v>
      </c>
      <c r="C2080" s="1" t="n">
        <v>46033</v>
      </c>
      <c r="D2080" t="inlineStr">
        <is>
          <t>STOCKHOLMS LÄN</t>
        </is>
      </c>
      <c r="E2080" t="inlineStr">
        <is>
          <t>SÖDERTÄLJE</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15839-2025</t>
        </is>
      </c>
      <c r="B2081" s="1" t="n">
        <v>45748.868125</v>
      </c>
      <c r="C2081" s="1" t="n">
        <v>46033</v>
      </c>
      <c r="D2081" t="inlineStr">
        <is>
          <t>STOCKHOLMS LÄN</t>
        </is>
      </c>
      <c r="E2081" t="inlineStr">
        <is>
          <t>NYNÄSHAMN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7806-2025</t>
        </is>
      </c>
      <c r="B2082" s="1" t="n">
        <v>45706.61178240741</v>
      </c>
      <c r="C2082" s="1" t="n">
        <v>46033</v>
      </c>
      <c r="D2082" t="inlineStr">
        <is>
          <t>STOCKHOLMS LÄN</t>
        </is>
      </c>
      <c r="E2082" t="inlineStr">
        <is>
          <t>NORRTÄLJE</t>
        </is>
      </c>
      <c r="F2082" t="inlineStr">
        <is>
          <t>Holmen skog AB</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53792-2023</t>
        </is>
      </c>
      <c r="B2083" s="1" t="n">
        <v>45231.34144675926</v>
      </c>
      <c r="C2083" s="1" t="n">
        <v>46033</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18711-2023</t>
        </is>
      </c>
      <c r="B2084" s="1" t="n">
        <v>45043.6433912037</v>
      </c>
      <c r="C2084" s="1" t="n">
        <v>46033</v>
      </c>
      <c r="D2084" t="inlineStr">
        <is>
          <t>STOCKHOLMS LÄN</t>
        </is>
      </c>
      <c r="E2084" t="inlineStr">
        <is>
          <t>ÖSTERÅKER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21329-2022</t>
        </is>
      </c>
      <c r="B2085" s="1" t="n">
        <v>44705.60626157407</v>
      </c>
      <c r="C2085" s="1" t="n">
        <v>46033</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6886-2022</t>
        </is>
      </c>
      <c r="B2086" s="1" t="n">
        <v>44602</v>
      </c>
      <c r="C2086" s="1" t="n">
        <v>46033</v>
      </c>
      <c r="D2086" t="inlineStr">
        <is>
          <t>STOCKHOLMS LÄN</t>
        </is>
      </c>
      <c r="E2086" t="inlineStr">
        <is>
          <t>SÖDERTÄLJE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50569-2022</t>
        </is>
      </c>
      <c r="B2087" s="1" t="n">
        <v>44866.63775462963</v>
      </c>
      <c r="C2087" s="1" t="n">
        <v>46033</v>
      </c>
      <c r="D2087" t="inlineStr">
        <is>
          <t>STOCKHOLMS LÄN</t>
        </is>
      </c>
      <c r="E2087" t="inlineStr">
        <is>
          <t>NORRTÄLJE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24499-2023</t>
        </is>
      </c>
      <c r="B2088" s="1" t="n">
        <v>45082</v>
      </c>
      <c r="C2088" s="1" t="n">
        <v>46033</v>
      </c>
      <c r="D2088" t="inlineStr">
        <is>
          <t>STOCKHOLMS LÄN</t>
        </is>
      </c>
      <c r="E2088" t="inlineStr">
        <is>
          <t>ÖSTERÅKER</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24501-2023</t>
        </is>
      </c>
      <c r="B2089" s="1" t="n">
        <v>45082</v>
      </c>
      <c r="C2089" s="1" t="n">
        <v>46033</v>
      </c>
      <c r="D2089" t="inlineStr">
        <is>
          <t>STOCKHOLMS LÄN</t>
        </is>
      </c>
      <c r="E2089" t="inlineStr">
        <is>
          <t>NORRTÄLJE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24520-2023</t>
        </is>
      </c>
      <c r="B2090" s="1" t="n">
        <v>45082.68922453704</v>
      </c>
      <c r="C2090" s="1" t="n">
        <v>46033</v>
      </c>
      <c r="D2090" t="inlineStr">
        <is>
          <t>STOCKHOLMS LÄN</t>
        </is>
      </c>
      <c r="E2090" t="inlineStr">
        <is>
          <t>NORRTÄLJE</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60654-2023</t>
        </is>
      </c>
      <c r="B2091" s="1" t="n">
        <v>45260.43225694444</v>
      </c>
      <c r="C2091" s="1" t="n">
        <v>46033</v>
      </c>
      <c r="D2091" t="inlineStr">
        <is>
          <t>STOCKHOLMS LÄN</t>
        </is>
      </c>
      <c r="E2091" t="inlineStr">
        <is>
          <t>NORRTÄLJE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60656-2023</t>
        </is>
      </c>
      <c r="B2092" s="1" t="n">
        <v>45260.4333449074</v>
      </c>
      <c r="C2092" s="1" t="n">
        <v>46033</v>
      </c>
      <c r="D2092" t="inlineStr">
        <is>
          <t>STOCKHOLMS LÄN</t>
        </is>
      </c>
      <c r="E2092" t="inlineStr">
        <is>
          <t>NORRTÄLJE</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27805-2021</t>
        </is>
      </c>
      <c r="B2093" s="1" t="n">
        <v>44354</v>
      </c>
      <c r="C2093" s="1" t="n">
        <v>46033</v>
      </c>
      <c r="D2093" t="inlineStr">
        <is>
          <t>STOCKHOLMS LÄN</t>
        </is>
      </c>
      <c r="E2093" t="inlineStr">
        <is>
          <t>UPPLANDS-BRO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54496-2024</t>
        </is>
      </c>
      <c r="B2094" s="1" t="n">
        <v>45617.57439814815</v>
      </c>
      <c r="C2094" s="1" t="n">
        <v>46033</v>
      </c>
      <c r="D2094" t="inlineStr">
        <is>
          <t>STOCKHOLMS LÄN</t>
        </is>
      </c>
      <c r="E2094" t="inlineStr">
        <is>
          <t>NORRTÄLJE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35197-2024</t>
        </is>
      </c>
      <c r="B2095" s="1" t="n">
        <v>45530</v>
      </c>
      <c r="C2095" s="1" t="n">
        <v>46033</v>
      </c>
      <c r="D2095" t="inlineStr">
        <is>
          <t>STOCKHOLMS LÄN</t>
        </is>
      </c>
      <c r="E2095" t="inlineStr">
        <is>
          <t>BOTKYRKA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21386-2023</t>
        </is>
      </c>
      <c r="B2096" s="1" t="n">
        <v>45063.35880787037</v>
      </c>
      <c r="C2096" s="1" t="n">
        <v>46033</v>
      </c>
      <c r="D2096" t="inlineStr">
        <is>
          <t>STOCKHOLMS LÄN</t>
        </is>
      </c>
      <c r="E2096" t="inlineStr">
        <is>
          <t>NORRTÄLJE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10642-2025</t>
        </is>
      </c>
      <c r="B2097" s="1" t="n">
        <v>45721.65858796296</v>
      </c>
      <c r="C2097" s="1" t="n">
        <v>46033</v>
      </c>
      <c r="D2097" t="inlineStr">
        <is>
          <t>STOCKHOLMS LÄN</t>
        </is>
      </c>
      <c r="E2097" t="inlineStr">
        <is>
          <t>NORRTÄLJE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30622-2024</t>
        </is>
      </c>
      <c r="B2098" s="1" t="n">
        <v>45495</v>
      </c>
      <c r="C2098" s="1" t="n">
        <v>46033</v>
      </c>
      <c r="D2098" t="inlineStr">
        <is>
          <t>STOCKHOLMS LÄN</t>
        </is>
      </c>
      <c r="E2098" t="inlineStr">
        <is>
          <t>BOTKYRKA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20053-2023</t>
        </is>
      </c>
      <c r="B2099" s="1" t="n">
        <v>45054</v>
      </c>
      <c r="C2099" s="1" t="n">
        <v>46033</v>
      </c>
      <c r="D2099" t="inlineStr">
        <is>
          <t>STOCKHOLMS LÄN</t>
        </is>
      </c>
      <c r="E2099" t="inlineStr">
        <is>
          <t>VÄRMDÖ</t>
        </is>
      </c>
      <c r="F2099" t="inlineStr">
        <is>
          <t>Övriga Aktiebolag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20144-2023</t>
        </is>
      </c>
      <c r="B2100" s="1" t="n">
        <v>45055.43509259259</v>
      </c>
      <c r="C2100" s="1" t="n">
        <v>46033</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53312-2024</t>
        </is>
      </c>
      <c r="B2101" s="1" t="n">
        <v>45614.39627314815</v>
      </c>
      <c r="C2101" s="1" t="n">
        <v>46033</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39202-2024</t>
        </is>
      </c>
      <c r="B2102" s="1" t="n">
        <v>45548.72306712963</v>
      </c>
      <c r="C2102" s="1" t="n">
        <v>46033</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22756-2022</t>
        </is>
      </c>
      <c r="B2103" s="1" t="n">
        <v>44714.92253472222</v>
      </c>
      <c r="C2103" s="1" t="n">
        <v>46033</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4581-2025</t>
        </is>
      </c>
      <c r="B2104" s="1" t="n">
        <v>45687</v>
      </c>
      <c r="C2104" s="1" t="n">
        <v>46033</v>
      </c>
      <c r="D2104" t="inlineStr">
        <is>
          <t>STOCKHOLMS LÄN</t>
        </is>
      </c>
      <c r="E2104" t="inlineStr">
        <is>
          <t>NORRTÄLJE</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31246-2022</t>
        </is>
      </c>
      <c r="B2105" s="1" t="n">
        <v>44771</v>
      </c>
      <c r="C2105" s="1" t="n">
        <v>46033</v>
      </c>
      <c r="D2105" t="inlineStr">
        <is>
          <t>STOCKHOLMS LÄN</t>
        </is>
      </c>
      <c r="E2105" t="inlineStr">
        <is>
          <t>HUDDINGE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41767-2024</t>
        </is>
      </c>
      <c r="B2106" s="1" t="n">
        <v>45561.34616898148</v>
      </c>
      <c r="C2106" s="1" t="n">
        <v>46033</v>
      </c>
      <c r="D2106" t="inlineStr">
        <is>
          <t>STOCKHOLMS LÄN</t>
        </is>
      </c>
      <c r="E2106" t="inlineStr">
        <is>
          <t>NYNÄSHAMN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4803-2024</t>
        </is>
      </c>
      <c r="B2107" s="1" t="n">
        <v>45328</v>
      </c>
      <c r="C2107" s="1" t="n">
        <v>46033</v>
      </c>
      <c r="D2107" t="inlineStr">
        <is>
          <t>STOCKHOLMS LÄN</t>
        </is>
      </c>
      <c r="E2107" t="inlineStr">
        <is>
          <t>VALLENTUNA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28146-2024</t>
        </is>
      </c>
      <c r="B2108" s="1" t="n">
        <v>45476</v>
      </c>
      <c r="C2108" s="1" t="n">
        <v>46033</v>
      </c>
      <c r="D2108" t="inlineStr">
        <is>
          <t>STOCKHOLMS LÄN</t>
        </is>
      </c>
      <c r="E2108" t="inlineStr">
        <is>
          <t>ÖSTERÅKER</t>
        </is>
      </c>
      <c r="F2108" t="inlineStr">
        <is>
          <t>Övriga Aktiebolag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60765-2023</t>
        </is>
      </c>
      <c r="B2109" s="1" t="n">
        <v>45260</v>
      </c>
      <c r="C2109" s="1" t="n">
        <v>46033</v>
      </c>
      <c r="D2109" t="inlineStr">
        <is>
          <t>STOCKHOLMS LÄN</t>
        </is>
      </c>
      <c r="E2109" t="inlineStr">
        <is>
          <t>NORRTÄLJE</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45572-2021</t>
        </is>
      </c>
      <c r="B2110" s="1" t="n">
        <v>44440</v>
      </c>
      <c r="C2110" s="1" t="n">
        <v>46033</v>
      </c>
      <c r="D2110" t="inlineStr">
        <is>
          <t>STOCKHOLMS LÄN</t>
        </is>
      </c>
      <c r="E2110" t="inlineStr">
        <is>
          <t>VÄRMDÖ</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23801-2022</t>
        </is>
      </c>
      <c r="B2111" s="1" t="n">
        <v>44722</v>
      </c>
      <c r="C2111" s="1" t="n">
        <v>46033</v>
      </c>
      <c r="D2111" t="inlineStr">
        <is>
          <t>STOCKHOLMS LÄN</t>
        </is>
      </c>
      <c r="E2111" t="inlineStr">
        <is>
          <t>NORRTÄLJE</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59276-2023</t>
        </is>
      </c>
      <c r="B2112" s="1" t="n">
        <v>45253.55641203704</v>
      </c>
      <c r="C2112" s="1" t="n">
        <v>46033</v>
      </c>
      <c r="D2112" t="inlineStr">
        <is>
          <t>STOCKHOLMS LÄN</t>
        </is>
      </c>
      <c r="E2112" t="inlineStr">
        <is>
          <t>NORRTÄLJE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46914-2022</t>
        </is>
      </c>
      <c r="B2113" s="1" t="n">
        <v>44851</v>
      </c>
      <c r="C2113" s="1" t="n">
        <v>46033</v>
      </c>
      <c r="D2113" t="inlineStr">
        <is>
          <t>STOCKHOLMS LÄN</t>
        </is>
      </c>
      <c r="E2113" t="inlineStr">
        <is>
          <t>NORRTÄLJE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18541-2023</t>
        </is>
      </c>
      <c r="B2114" s="1" t="n">
        <v>45042.74291666667</v>
      </c>
      <c r="C2114" s="1" t="n">
        <v>46033</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3509-2022</t>
        </is>
      </c>
      <c r="B2115" s="1" t="n">
        <v>44585</v>
      </c>
      <c r="C2115" s="1" t="n">
        <v>46033</v>
      </c>
      <c r="D2115" t="inlineStr">
        <is>
          <t>STOCKHOLMS LÄN</t>
        </is>
      </c>
      <c r="E2115" t="inlineStr">
        <is>
          <t>NORRTÄLJE</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3698-2022</t>
        </is>
      </c>
      <c r="B2116" s="1" t="n">
        <v>44586</v>
      </c>
      <c r="C2116" s="1" t="n">
        <v>46033</v>
      </c>
      <c r="D2116" t="inlineStr">
        <is>
          <t>STOCKHOLMS LÄN</t>
        </is>
      </c>
      <c r="E2116" t="inlineStr">
        <is>
          <t>VALLENTUNA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26407-2024</t>
        </is>
      </c>
      <c r="B2117" s="1" t="n">
        <v>45469</v>
      </c>
      <c r="C2117" s="1" t="n">
        <v>46033</v>
      </c>
      <c r="D2117" t="inlineStr">
        <is>
          <t>STOCKHOLMS LÄN</t>
        </is>
      </c>
      <c r="E2117" t="inlineStr">
        <is>
          <t>NORRTÄLJE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12890-2024</t>
        </is>
      </c>
      <c r="B2118" s="1" t="n">
        <v>45385.36243055556</v>
      </c>
      <c r="C2118" s="1" t="n">
        <v>46033</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38102-2024</t>
        </is>
      </c>
      <c r="B2119" s="1" t="n">
        <v>45545.36349537037</v>
      </c>
      <c r="C2119" s="1" t="n">
        <v>46033</v>
      </c>
      <c r="D2119" t="inlineStr">
        <is>
          <t>STOCKHOLMS LÄN</t>
        </is>
      </c>
      <c r="E2119" t="inlineStr">
        <is>
          <t>VALLENTUNA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8748-2022</t>
        </is>
      </c>
      <c r="B2120" s="1" t="n">
        <v>44613</v>
      </c>
      <c r="C2120" s="1" t="n">
        <v>46033</v>
      </c>
      <c r="D2120" t="inlineStr">
        <is>
          <t>STOCKHOLMS LÄN</t>
        </is>
      </c>
      <c r="E2120" t="inlineStr">
        <is>
          <t>UPPLANDS VÄSBY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64494-2023</t>
        </is>
      </c>
      <c r="B2121" s="1" t="n">
        <v>45280.93269675926</v>
      </c>
      <c r="C2121" s="1" t="n">
        <v>46033</v>
      </c>
      <c r="D2121" t="inlineStr">
        <is>
          <t>STOCKHOLMS LÄN</t>
        </is>
      </c>
      <c r="E2121" t="inlineStr">
        <is>
          <t>NYNÄSHAMN</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47419-2023</t>
        </is>
      </c>
      <c r="B2122" s="1" t="n">
        <v>45202.65660879629</v>
      </c>
      <c r="C2122" s="1" t="n">
        <v>46033</v>
      </c>
      <c r="D2122" t="inlineStr">
        <is>
          <t>STOCKHOLMS LÄN</t>
        </is>
      </c>
      <c r="E2122" t="inlineStr">
        <is>
          <t>NORRTÄLJE</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23070-2023</t>
        </is>
      </c>
      <c r="B2123" s="1" t="n">
        <v>45075</v>
      </c>
      <c r="C2123" s="1" t="n">
        <v>46033</v>
      </c>
      <c r="D2123" t="inlineStr">
        <is>
          <t>STOCKHOLMS LÄN</t>
        </is>
      </c>
      <c r="E2123" t="inlineStr">
        <is>
          <t>NORRTÄLJE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27824-2022</t>
        </is>
      </c>
      <c r="B2124" s="1" t="n">
        <v>44743.59331018518</v>
      </c>
      <c r="C2124" s="1" t="n">
        <v>46033</v>
      </c>
      <c r="D2124" t="inlineStr">
        <is>
          <t>STOCKHOLMS LÄN</t>
        </is>
      </c>
      <c r="E2124" t="inlineStr">
        <is>
          <t>NORRTÄLJE</t>
        </is>
      </c>
      <c r="F2124" t="inlineStr">
        <is>
          <t>Kommuner</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19903-2023</t>
        </is>
      </c>
      <c r="B2125" s="1" t="n">
        <v>45054</v>
      </c>
      <c r="C2125" s="1" t="n">
        <v>46033</v>
      </c>
      <c r="D2125" t="inlineStr">
        <is>
          <t>STOCKHOLMS LÄN</t>
        </is>
      </c>
      <c r="E2125" t="inlineStr">
        <is>
          <t>NYKVARN</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57048-2024</t>
        </is>
      </c>
      <c r="B2126" s="1" t="n">
        <v>45629.33938657407</v>
      </c>
      <c r="C2126" s="1" t="n">
        <v>46033</v>
      </c>
      <c r="D2126" t="inlineStr">
        <is>
          <t>STOCKHOLMS LÄN</t>
        </is>
      </c>
      <c r="E2126" t="inlineStr">
        <is>
          <t>ÖSTERÅKER</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53337-2023</t>
        </is>
      </c>
      <c r="B2127" s="1" t="n">
        <v>45229.63960648148</v>
      </c>
      <c r="C2127" s="1" t="n">
        <v>46033</v>
      </c>
      <c r="D2127" t="inlineStr">
        <is>
          <t>STOCKHOLMS LÄN</t>
        </is>
      </c>
      <c r="E2127" t="inlineStr">
        <is>
          <t>NYKVARN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25619-2022</t>
        </is>
      </c>
      <c r="B2128" s="1" t="n">
        <v>44732</v>
      </c>
      <c r="C2128" s="1" t="n">
        <v>46033</v>
      </c>
      <c r="D2128" t="inlineStr">
        <is>
          <t>STOCKHOLMS LÄN</t>
        </is>
      </c>
      <c r="E2128" t="inlineStr">
        <is>
          <t>NORRTÄLJE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27771-2021</t>
        </is>
      </c>
      <c r="B2129" s="1" t="n">
        <v>44354</v>
      </c>
      <c r="C2129" s="1" t="n">
        <v>46033</v>
      </c>
      <c r="D2129" t="inlineStr">
        <is>
          <t>STOCKHOLMS LÄN</t>
        </is>
      </c>
      <c r="E2129" t="inlineStr">
        <is>
          <t>SÖDERTÄLJE</t>
        </is>
      </c>
      <c r="F2129" t="inlineStr">
        <is>
          <t>Sveaskog</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32424-2023</t>
        </is>
      </c>
      <c r="B2130" s="1" t="n">
        <v>45110</v>
      </c>
      <c r="C2130" s="1" t="n">
        <v>46033</v>
      </c>
      <c r="D2130" t="inlineStr">
        <is>
          <t>STOCKHOLMS LÄN</t>
        </is>
      </c>
      <c r="E2130" t="inlineStr">
        <is>
          <t>SIGTUNA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36246-2021</t>
        </is>
      </c>
      <c r="B2131" s="1" t="n">
        <v>44390</v>
      </c>
      <c r="C2131" s="1" t="n">
        <v>46033</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19220-2023</t>
        </is>
      </c>
      <c r="B2132" s="1" t="n">
        <v>45048</v>
      </c>
      <c r="C2132" s="1" t="n">
        <v>46033</v>
      </c>
      <c r="D2132" t="inlineStr">
        <is>
          <t>STOCKHOLMS LÄN</t>
        </is>
      </c>
      <c r="E2132" t="inlineStr">
        <is>
          <t>HANINGE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19952-2023</t>
        </is>
      </c>
      <c r="B2133" s="1" t="n">
        <v>45054.54091435186</v>
      </c>
      <c r="C2133" s="1" t="n">
        <v>46033</v>
      </c>
      <c r="D2133" t="inlineStr">
        <is>
          <t>STOCKHOLMS LÄN</t>
        </is>
      </c>
      <c r="E2133" t="inlineStr">
        <is>
          <t>NORRTÄLJE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19994-2023</t>
        </is>
      </c>
      <c r="B2134" s="1" t="n">
        <v>45054</v>
      </c>
      <c r="C2134" s="1" t="n">
        <v>46033</v>
      </c>
      <c r="D2134" t="inlineStr">
        <is>
          <t>STOCKHOLMS LÄN</t>
        </is>
      </c>
      <c r="E2134" t="inlineStr">
        <is>
          <t>NORRTÄLJE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1016-2022</t>
        </is>
      </c>
      <c r="B2135" s="1" t="n">
        <v>44571</v>
      </c>
      <c r="C2135" s="1" t="n">
        <v>46033</v>
      </c>
      <c r="D2135" t="inlineStr">
        <is>
          <t>STOCKHOLMS LÄN</t>
        </is>
      </c>
      <c r="E2135" t="inlineStr">
        <is>
          <t>SÖDERTÄLJE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8320-2025</t>
        </is>
      </c>
      <c r="B2136" s="1" t="n">
        <v>45708.62876157407</v>
      </c>
      <c r="C2136" s="1" t="n">
        <v>46033</v>
      </c>
      <c r="D2136" t="inlineStr">
        <is>
          <t>STOCKHOLMS LÄN</t>
        </is>
      </c>
      <c r="E2136" t="inlineStr">
        <is>
          <t>SÖDERTÄLJE</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14130-2025</t>
        </is>
      </c>
      <c r="B2137" s="1" t="n">
        <v>45740.47288194444</v>
      </c>
      <c r="C2137" s="1" t="n">
        <v>46033</v>
      </c>
      <c r="D2137" t="inlineStr">
        <is>
          <t>STOCKHOLMS LÄN</t>
        </is>
      </c>
      <c r="E2137" t="inlineStr">
        <is>
          <t>NORRTÄLJE</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39876-2024</t>
        </is>
      </c>
      <c r="B2138" s="1" t="n">
        <v>45553</v>
      </c>
      <c r="C2138" s="1" t="n">
        <v>46033</v>
      </c>
      <c r="D2138" t="inlineStr">
        <is>
          <t>STOCKHOLMS LÄN</t>
        </is>
      </c>
      <c r="E2138" t="inlineStr">
        <is>
          <t>VAXHOLM</t>
        </is>
      </c>
      <c r="F2138" t="inlineStr">
        <is>
          <t>Övriga statliga verk och myndigheter</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5286-2025</t>
        </is>
      </c>
      <c r="B2139" s="1" t="n">
        <v>45692.44144675926</v>
      </c>
      <c r="C2139" s="1" t="n">
        <v>46033</v>
      </c>
      <c r="D2139" t="inlineStr">
        <is>
          <t>STOCKHOLMS LÄN</t>
        </is>
      </c>
      <c r="E2139" t="inlineStr">
        <is>
          <t>ÖSTERÅKER</t>
        </is>
      </c>
      <c r="G2139" t="n">
        <v>11.2</v>
      </c>
      <c r="H2139" t="n">
        <v>0</v>
      </c>
      <c r="I2139" t="n">
        <v>0</v>
      </c>
      <c r="J2139" t="n">
        <v>0</v>
      </c>
      <c r="K2139" t="n">
        <v>0</v>
      </c>
      <c r="L2139" t="n">
        <v>0</v>
      </c>
      <c r="M2139" t="n">
        <v>0</v>
      </c>
      <c r="N2139" t="n">
        <v>0</v>
      </c>
      <c r="O2139" t="n">
        <v>0</v>
      </c>
      <c r="P2139" t="n">
        <v>0</v>
      </c>
      <c r="Q2139" t="n">
        <v>0</v>
      </c>
      <c r="R2139" s="2" t="inlineStr"/>
    </row>
    <row r="2140" ht="15" customHeight="1">
      <c r="A2140" t="inlineStr">
        <is>
          <t>A 35942-2022</t>
        </is>
      </c>
      <c r="B2140" s="1" t="n">
        <v>44802</v>
      </c>
      <c r="C2140" s="1" t="n">
        <v>46033</v>
      </c>
      <c r="D2140" t="inlineStr">
        <is>
          <t>STOCKHOLMS LÄN</t>
        </is>
      </c>
      <c r="E2140" t="inlineStr">
        <is>
          <t>SÖDERTÄLJE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574-2023</t>
        </is>
      </c>
      <c r="B2141" s="1" t="n">
        <v>44925</v>
      </c>
      <c r="C2141" s="1" t="n">
        <v>46033</v>
      </c>
      <c r="D2141" t="inlineStr">
        <is>
          <t>STOCKHOLMS LÄN</t>
        </is>
      </c>
      <c r="E2141" t="inlineStr">
        <is>
          <t>NORRTÄLJE</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3383-2024</t>
        </is>
      </c>
      <c r="B2142" s="1" t="n">
        <v>45317</v>
      </c>
      <c r="C2142" s="1" t="n">
        <v>46033</v>
      </c>
      <c r="D2142" t="inlineStr">
        <is>
          <t>STOCKHOLMS LÄN</t>
        </is>
      </c>
      <c r="E2142" t="inlineStr">
        <is>
          <t>SÖDERTÄLJE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24034-2022</t>
        </is>
      </c>
      <c r="B2143" s="1" t="n">
        <v>44724</v>
      </c>
      <c r="C2143" s="1" t="n">
        <v>46033</v>
      </c>
      <c r="D2143" t="inlineStr">
        <is>
          <t>STOCKHOLMS LÄN</t>
        </is>
      </c>
      <c r="E2143" t="inlineStr">
        <is>
          <t>SÖDERTÄLJE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30283-2022</t>
        </is>
      </c>
      <c r="B2144" s="1" t="n">
        <v>44760</v>
      </c>
      <c r="C2144" s="1" t="n">
        <v>46033</v>
      </c>
      <c r="D2144" t="inlineStr">
        <is>
          <t>STOCKHOLMS LÄN</t>
        </is>
      </c>
      <c r="E2144" t="inlineStr">
        <is>
          <t>NORRTÄLJE</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30290-2022</t>
        </is>
      </c>
      <c r="B2145" s="1" t="n">
        <v>44760</v>
      </c>
      <c r="C2145" s="1" t="n">
        <v>46033</v>
      </c>
      <c r="D2145" t="inlineStr">
        <is>
          <t>STOCKHOLMS LÄN</t>
        </is>
      </c>
      <c r="E2145" t="inlineStr">
        <is>
          <t>NORRTÄLJE</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3143-2021</t>
        </is>
      </c>
      <c r="B2146" s="1" t="n">
        <v>44217.40149305556</v>
      </c>
      <c r="C2146" s="1" t="n">
        <v>46033</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29684-2021</t>
        </is>
      </c>
      <c r="B2147" s="1" t="n">
        <v>44362.37172453704</v>
      </c>
      <c r="C2147" s="1" t="n">
        <v>46033</v>
      </c>
      <c r="D2147" t="inlineStr">
        <is>
          <t>STOCKHOLMS LÄN</t>
        </is>
      </c>
      <c r="E2147" t="inlineStr">
        <is>
          <t>NORRTÄLJE</t>
        </is>
      </c>
      <c r="F2147" t="inlineStr">
        <is>
          <t>Holmen skog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3817-2023</t>
        </is>
      </c>
      <c r="B2148" s="1" t="n">
        <v>44951</v>
      </c>
      <c r="C2148" s="1" t="n">
        <v>46033</v>
      </c>
      <c r="D2148" t="inlineStr">
        <is>
          <t>STOCKHOLMS LÄN</t>
        </is>
      </c>
      <c r="E2148" t="inlineStr">
        <is>
          <t>ÖSTERÅKER</t>
        </is>
      </c>
      <c r="F2148" t="inlineStr">
        <is>
          <t>Kommuner</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544-2023</t>
        </is>
      </c>
      <c r="B2149" s="1" t="n">
        <v>44924</v>
      </c>
      <c r="C2149" s="1" t="n">
        <v>46033</v>
      </c>
      <c r="D2149" t="inlineStr">
        <is>
          <t>STOCKHOLMS LÄN</t>
        </is>
      </c>
      <c r="E2149" t="inlineStr">
        <is>
          <t>ÖSTERÅKER</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61576-2024</t>
        </is>
      </c>
      <c r="B2150" s="1" t="n">
        <v>45646.6218287037</v>
      </c>
      <c r="C2150" s="1" t="n">
        <v>46033</v>
      </c>
      <c r="D2150" t="inlineStr">
        <is>
          <t>STOCKHOLMS LÄN</t>
        </is>
      </c>
      <c r="E2150" t="inlineStr">
        <is>
          <t>SIGTUNA</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60884-2024</t>
        </is>
      </c>
      <c r="B2151" s="1" t="n">
        <v>45644.90815972222</v>
      </c>
      <c r="C2151" s="1" t="n">
        <v>46033</v>
      </c>
      <c r="D2151" t="inlineStr">
        <is>
          <t>STOCKHOLMS LÄN</t>
        </is>
      </c>
      <c r="E2151" t="inlineStr">
        <is>
          <t>NORRTÄLJE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47089-2023</t>
        </is>
      </c>
      <c r="B2152" s="1" t="n">
        <v>45196</v>
      </c>
      <c r="C2152" s="1" t="n">
        <v>46033</v>
      </c>
      <c r="D2152" t="inlineStr">
        <is>
          <t>STOCKHOLMS LÄN</t>
        </is>
      </c>
      <c r="E2152" t="inlineStr">
        <is>
          <t>NYNÄSHAMN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47093-2023</t>
        </is>
      </c>
      <c r="B2153" s="1" t="n">
        <v>45196</v>
      </c>
      <c r="C2153" s="1" t="n">
        <v>46033</v>
      </c>
      <c r="D2153" t="inlineStr">
        <is>
          <t>STOCKHOLMS LÄN</t>
        </is>
      </c>
      <c r="E2153" t="inlineStr">
        <is>
          <t>NYNÄSHAMN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38610-2022</t>
        </is>
      </c>
      <c r="B2154" s="1" t="n">
        <v>44813.59915509259</v>
      </c>
      <c r="C2154" s="1" t="n">
        <v>46033</v>
      </c>
      <c r="D2154" t="inlineStr">
        <is>
          <t>STOCKHOLMS LÄN</t>
        </is>
      </c>
      <c r="E2154" t="inlineStr">
        <is>
          <t>NORRTÄLJE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37842-2022</t>
        </is>
      </c>
      <c r="B2155" s="1" t="n">
        <v>44810</v>
      </c>
      <c r="C2155" s="1" t="n">
        <v>46033</v>
      </c>
      <c r="D2155" t="inlineStr">
        <is>
          <t>STOCKHOLMS LÄN</t>
        </is>
      </c>
      <c r="E2155" t="inlineStr">
        <is>
          <t>SÖDERTÄLJE</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72218-2021</t>
        </is>
      </c>
      <c r="B2156" s="1" t="n">
        <v>44544.76424768518</v>
      </c>
      <c r="C2156" s="1" t="n">
        <v>46033</v>
      </c>
      <c r="D2156" t="inlineStr">
        <is>
          <t>STOCKHOLMS LÄN</t>
        </is>
      </c>
      <c r="E2156" t="inlineStr">
        <is>
          <t>SÖDERTÄLJE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3326-2022</t>
        </is>
      </c>
      <c r="B2157" s="1" t="n">
        <v>44583</v>
      </c>
      <c r="C2157" s="1" t="n">
        <v>46033</v>
      </c>
      <c r="D2157" t="inlineStr">
        <is>
          <t>STOCKHOLMS LÄN</t>
        </is>
      </c>
      <c r="E2157" t="inlineStr">
        <is>
          <t>ÖSTERÅKER</t>
        </is>
      </c>
      <c r="F2157" t="inlineStr">
        <is>
          <t>Övriga Aktiebolag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49136-2021</t>
        </is>
      </c>
      <c r="B2158" s="1" t="n">
        <v>44453.91797453703</v>
      </c>
      <c r="C2158" s="1" t="n">
        <v>46033</v>
      </c>
      <c r="D2158" t="inlineStr">
        <is>
          <t>STOCKHOLMS LÄN</t>
        </is>
      </c>
      <c r="E2158" t="inlineStr">
        <is>
          <t>SÖDERTÄLJE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10090-2022</t>
        </is>
      </c>
      <c r="B2159" s="1" t="n">
        <v>44621</v>
      </c>
      <c r="C2159" s="1" t="n">
        <v>46033</v>
      </c>
      <c r="D2159" t="inlineStr">
        <is>
          <t>STOCKHOLMS LÄN</t>
        </is>
      </c>
      <c r="E2159" t="inlineStr">
        <is>
          <t>NORRTÄLJE</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14724-2022</t>
        </is>
      </c>
      <c r="B2160" s="1" t="n">
        <v>44656</v>
      </c>
      <c r="C2160" s="1" t="n">
        <v>46033</v>
      </c>
      <c r="D2160" t="inlineStr">
        <is>
          <t>STOCKHOLMS LÄN</t>
        </is>
      </c>
      <c r="E2160" t="inlineStr">
        <is>
          <t>NORRTÄLJE</t>
        </is>
      </c>
      <c r="F2160" t="inlineStr">
        <is>
          <t>Sveaskog</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18846-2022</t>
        </is>
      </c>
      <c r="B2161" s="1" t="n">
        <v>44690</v>
      </c>
      <c r="C2161" s="1" t="n">
        <v>46033</v>
      </c>
      <c r="D2161" t="inlineStr">
        <is>
          <t>STOCKHOLMS LÄN</t>
        </is>
      </c>
      <c r="E2161" t="inlineStr">
        <is>
          <t>NORRTÄLJE</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43300-2023</t>
        </is>
      </c>
      <c r="B2162" s="1" t="n">
        <v>45183</v>
      </c>
      <c r="C2162" s="1" t="n">
        <v>46033</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25584-2023</t>
        </is>
      </c>
      <c r="B2163" s="1" t="n">
        <v>45089</v>
      </c>
      <c r="C2163" s="1" t="n">
        <v>46033</v>
      </c>
      <c r="D2163" t="inlineStr">
        <is>
          <t>STOCKHOLMS LÄN</t>
        </is>
      </c>
      <c r="E2163" t="inlineStr">
        <is>
          <t>HANINGE</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25654-2023</t>
        </is>
      </c>
      <c r="B2164" s="1" t="n">
        <v>45089</v>
      </c>
      <c r="C2164" s="1" t="n">
        <v>46033</v>
      </c>
      <c r="D2164" t="inlineStr">
        <is>
          <t>STOCKHOLMS LÄN</t>
        </is>
      </c>
      <c r="E2164" t="inlineStr">
        <is>
          <t>NORRTÄLJE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12234-2022</t>
        </is>
      </c>
      <c r="B2165" s="1" t="n">
        <v>44637</v>
      </c>
      <c r="C2165" s="1" t="n">
        <v>46033</v>
      </c>
      <c r="D2165" t="inlineStr">
        <is>
          <t>STOCKHOLMS LÄN</t>
        </is>
      </c>
      <c r="E2165" t="inlineStr">
        <is>
          <t>VALLENTUNA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8939-2023</t>
        </is>
      </c>
      <c r="B2166" s="1" t="n">
        <v>44979</v>
      </c>
      <c r="C2166" s="1" t="n">
        <v>46033</v>
      </c>
      <c r="D2166" t="inlineStr">
        <is>
          <t>STOCKHOLMS LÄN</t>
        </is>
      </c>
      <c r="E2166" t="inlineStr">
        <is>
          <t>NYNÄSHAMN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45674-2021</t>
        </is>
      </c>
      <c r="B2167" s="1" t="n">
        <v>44441</v>
      </c>
      <c r="C2167" s="1" t="n">
        <v>46033</v>
      </c>
      <c r="D2167" t="inlineStr">
        <is>
          <t>STOCKHOLMS LÄN</t>
        </is>
      </c>
      <c r="E2167" t="inlineStr">
        <is>
          <t>SÖDERTÄLJE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23125-2022</t>
        </is>
      </c>
      <c r="B2168" s="1" t="n">
        <v>44719</v>
      </c>
      <c r="C2168" s="1" t="n">
        <v>46033</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20121-2022</t>
        </is>
      </c>
      <c r="B2169" s="1" t="n">
        <v>44698</v>
      </c>
      <c r="C2169" s="1" t="n">
        <v>46033</v>
      </c>
      <c r="D2169" t="inlineStr">
        <is>
          <t>STOCKHOLMS LÄN</t>
        </is>
      </c>
      <c r="E2169" t="inlineStr">
        <is>
          <t>NORRTÄLJE</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33385-2024</t>
        </is>
      </c>
      <c r="B2170" s="1" t="n">
        <v>45519</v>
      </c>
      <c r="C2170" s="1" t="n">
        <v>46033</v>
      </c>
      <c r="D2170" t="inlineStr">
        <is>
          <t>STOCKHOLMS LÄN</t>
        </is>
      </c>
      <c r="E2170" t="inlineStr">
        <is>
          <t>NORRTÄLJE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41172-2023</t>
        </is>
      </c>
      <c r="B2171" s="1" t="n">
        <v>45170</v>
      </c>
      <c r="C2171" s="1" t="n">
        <v>46033</v>
      </c>
      <c r="D2171" t="inlineStr">
        <is>
          <t>STOCKHOLMS LÄN</t>
        </is>
      </c>
      <c r="E2171" t="inlineStr">
        <is>
          <t>NORRTÄLJE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20530-2024</t>
        </is>
      </c>
      <c r="B2172" s="1" t="n">
        <v>45435</v>
      </c>
      <c r="C2172" s="1" t="n">
        <v>46033</v>
      </c>
      <c r="D2172" t="inlineStr">
        <is>
          <t>STOCKHOLMS LÄN</t>
        </is>
      </c>
      <c r="E2172" t="inlineStr">
        <is>
          <t>SÖDERTÄLJE</t>
        </is>
      </c>
      <c r="F2172" t="inlineStr">
        <is>
          <t>Övriga Aktiebolag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73307-2021</t>
        </is>
      </c>
      <c r="B2173" s="1" t="n">
        <v>44549</v>
      </c>
      <c r="C2173" s="1" t="n">
        <v>46033</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50534-2024</t>
        </is>
      </c>
      <c r="B2174" s="1" t="n">
        <v>45601.56726851852</v>
      </c>
      <c r="C2174" s="1" t="n">
        <v>46033</v>
      </c>
      <c r="D2174" t="inlineStr">
        <is>
          <t>STOCKHOLMS LÄN</t>
        </is>
      </c>
      <c r="E2174" t="inlineStr">
        <is>
          <t>NORRTÄLJE</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3156-2025</t>
        </is>
      </c>
      <c r="B2175" s="1" t="n">
        <v>45679.32142361111</v>
      </c>
      <c r="C2175" s="1" t="n">
        <v>46033</v>
      </c>
      <c r="D2175" t="inlineStr">
        <is>
          <t>STOCKHOLMS LÄN</t>
        </is>
      </c>
      <c r="E2175" t="inlineStr">
        <is>
          <t>HANINGE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11988-2021</t>
        </is>
      </c>
      <c r="B2176" s="1" t="n">
        <v>44266</v>
      </c>
      <c r="C2176" s="1" t="n">
        <v>46033</v>
      </c>
      <c r="D2176" t="inlineStr">
        <is>
          <t>STOCKHOLMS LÄN</t>
        </is>
      </c>
      <c r="E2176" t="inlineStr">
        <is>
          <t>NORRTÄLJE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12132-2021</t>
        </is>
      </c>
      <c r="B2177" s="1" t="n">
        <v>44266</v>
      </c>
      <c r="C2177" s="1" t="n">
        <v>46033</v>
      </c>
      <c r="D2177" t="inlineStr">
        <is>
          <t>STOCKHOLMS LÄN</t>
        </is>
      </c>
      <c r="E2177" t="inlineStr">
        <is>
          <t>NORRTÄLJE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24943-2024</t>
        </is>
      </c>
      <c r="B2178" s="1" t="n">
        <v>45461.62585648148</v>
      </c>
      <c r="C2178" s="1" t="n">
        <v>46033</v>
      </c>
      <c r="D2178" t="inlineStr">
        <is>
          <t>STOCKHOLMS LÄN</t>
        </is>
      </c>
      <c r="E2178" t="inlineStr">
        <is>
          <t>VALLENTUNA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48978-2023</t>
        </is>
      </c>
      <c r="B2179" s="1" t="n">
        <v>45209</v>
      </c>
      <c r="C2179" s="1" t="n">
        <v>46033</v>
      </c>
      <c r="D2179" t="inlineStr">
        <is>
          <t>STOCKHOLMS LÄN</t>
        </is>
      </c>
      <c r="E2179" t="inlineStr">
        <is>
          <t>NYNÄSHAMN</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65499-2021</t>
        </is>
      </c>
      <c r="B2180" s="1" t="n">
        <v>44516</v>
      </c>
      <c r="C2180" s="1" t="n">
        <v>46033</v>
      </c>
      <c r="D2180" t="inlineStr">
        <is>
          <t>STOCKHOLMS LÄN</t>
        </is>
      </c>
      <c r="E2180" t="inlineStr">
        <is>
          <t>NORRTÄLJE</t>
        </is>
      </c>
      <c r="F2180" t="inlineStr">
        <is>
          <t>Kommuner</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65511-2021</t>
        </is>
      </c>
      <c r="B2181" s="1" t="n">
        <v>44516.40674768519</v>
      </c>
      <c r="C2181" s="1" t="n">
        <v>46033</v>
      </c>
      <c r="D2181" t="inlineStr">
        <is>
          <t>STOCKHOLMS LÄN</t>
        </is>
      </c>
      <c r="E2181" t="inlineStr">
        <is>
          <t>NORRTÄLJE</t>
        </is>
      </c>
      <c r="F2181" t="inlineStr">
        <is>
          <t>Kommuner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58619-2023</t>
        </is>
      </c>
      <c r="B2182" s="1" t="n">
        <v>45251.54119212963</v>
      </c>
      <c r="C2182" s="1" t="n">
        <v>46033</v>
      </c>
      <c r="D2182" t="inlineStr">
        <is>
          <t>STOCKHOLMS LÄN</t>
        </is>
      </c>
      <c r="E2182" t="inlineStr">
        <is>
          <t>SIGTUNA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22833-2024</t>
        </is>
      </c>
      <c r="B2183" s="1" t="n">
        <v>45448.56746527777</v>
      </c>
      <c r="C2183" s="1" t="n">
        <v>46033</v>
      </c>
      <c r="D2183" t="inlineStr">
        <is>
          <t>STOCKHOLMS LÄN</t>
        </is>
      </c>
      <c r="E2183" t="inlineStr">
        <is>
          <t>NORRTÄLJE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35918-2022</t>
        </is>
      </c>
      <c r="B2184" s="1" t="n">
        <v>44802</v>
      </c>
      <c r="C2184" s="1" t="n">
        <v>46033</v>
      </c>
      <c r="D2184" t="inlineStr">
        <is>
          <t>STOCKHOLMS LÄN</t>
        </is>
      </c>
      <c r="E2184" t="inlineStr">
        <is>
          <t>SÖDERTÄLJE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32514-2022</t>
        </is>
      </c>
      <c r="B2185" s="1" t="n">
        <v>44782</v>
      </c>
      <c r="C2185" s="1" t="n">
        <v>46033</v>
      </c>
      <c r="D2185" t="inlineStr">
        <is>
          <t>STOCKHOLMS LÄN</t>
        </is>
      </c>
      <c r="E2185" t="inlineStr">
        <is>
          <t>NORRTÄLJE</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29362-2022</t>
        </is>
      </c>
      <c r="B2186" s="1" t="n">
        <v>44753</v>
      </c>
      <c r="C2186" s="1" t="n">
        <v>46033</v>
      </c>
      <c r="D2186" t="inlineStr">
        <is>
          <t>STOCKHOLMS LÄN</t>
        </is>
      </c>
      <c r="E2186" t="inlineStr">
        <is>
          <t>NORRTÄLJE</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13366-2024</t>
        </is>
      </c>
      <c r="B2187" s="1" t="n">
        <v>45387</v>
      </c>
      <c r="C2187" s="1" t="n">
        <v>46033</v>
      </c>
      <c r="D2187" t="inlineStr">
        <is>
          <t>STOCKHOLMS LÄN</t>
        </is>
      </c>
      <c r="E2187" t="inlineStr">
        <is>
          <t>ÖSTERÅKER</t>
        </is>
      </c>
      <c r="G2187" t="n">
        <v>13.7</v>
      </c>
      <c r="H2187" t="n">
        <v>0</v>
      </c>
      <c r="I2187" t="n">
        <v>0</v>
      </c>
      <c r="J2187" t="n">
        <v>0</v>
      </c>
      <c r="K2187" t="n">
        <v>0</v>
      </c>
      <c r="L2187" t="n">
        <v>0</v>
      </c>
      <c r="M2187" t="n">
        <v>0</v>
      </c>
      <c r="N2187" t="n">
        <v>0</v>
      </c>
      <c r="O2187" t="n">
        <v>0</v>
      </c>
      <c r="P2187" t="n">
        <v>0</v>
      </c>
      <c r="Q2187" t="n">
        <v>0</v>
      </c>
      <c r="R2187" s="2" t="inlineStr"/>
    </row>
    <row r="2188" ht="15" customHeight="1">
      <c r="A2188" t="inlineStr">
        <is>
          <t>A 36097-2021</t>
        </is>
      </c>
      <c r="B2188" s="1" t="n">
        <v>44389</v>
      </c>
      <c r="C2188" s="1" t="n">
        <v>46033</v>
      </c>
      <c r="D2188" t="inlineStr">
        <is>
          <t>STOCKHOLMS LÄN</t>
        </is>
      </c>
      <c r="E2188" t="inlineStr">
        <is>
          <t>BOTKYRKA</t>
        </is>
      </c>
      <c r="F2188" t="inlineStr">
        <is>
          <t>Övriga Aktiebolag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58492-2022</t>
        </is>
      </c>
      <c r="B2189" s="1" t="n">
        <v>44902</v>
      </c>
      <c r="C2189" s="1" t="n">
        <v>46033</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51315-2021</t>
        </is>
      </c>
      <c r="B2190" s="1" t="n">
        <v>44461</v>
      </c>
      <c r="C2190" s="1" t="n">
        <v>46033</v>
      </c>
      <c r="D2190" t="inlineStr">
        <is>
          <t>STOCKHOLMS LÄN</t>
        </is>
      </c>
      <c r="E2190" t="inlineStr">
        <is>
          <t>NORRTÄLJE</t>
        </is>
      </c>
      <c r="F2190" t="inlineStr">
        <is>
          <t>Holmen skog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14873-2025</t>
        </is>
      </c>
      <c r="B2191" s="1" t="n">
        <v>45743.44953703704</v>
      </c>
      <c r="C2191" s="1" t="n">
        <v>46033</v>
      </c>
      <c r="D2191" t="inlineStr">
        <is>
          <t>STOCKHOLMS LÄN</t>
        </is>
      </c>
      <c r="E2191" t="inlineStr">
        <is>
          <t>NORRTÄLJE</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34773-2022</t>
        </is>
      </c>
      <c r="B2192" s="1" t="n">
        <v>44795</v>
      </c>
      <c r="C2192" s="1" t="n">
        <v>46033</v>
      </c>
      <c r="D2192" t="inlineStr">
        <is>
          <t>STOCKHOLMS LÄN</t>
        </is>
      </c>
      <c r="E2192" t="inlineStr">
        <is>
          <t>NORRTÄLJE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17765-2024</t>
        </is>
      </c>
      <c r="B2193" s="1" t="n">
        <v>45418.63149305555</v>
      </c>
      <c r="C2193" s="1" t="n">
        <v>46033</v>
      </c>
      <c r="D2193" t="inlineStr">
        <is>
          <t>STOCKHOLMS LÄN</t>
        </is>
      </c>
      <c r="E2193" t="inlineStr">
        <is>
          <t>HANINGE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33173-2024</t>
        </is>
      </c>
      <c r="B2194" s="1" t="n">
        <v>45518</v>
      </c>
      <c r="C2194" s="1" t="n">
        <v>46033</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8316-2025</t>
        </is>
      </c>
      <c r="B2195" s="1" t="n">
        <v>45708.6225462963</v>
      </c>
      <c r="C2195" s="1" t="n">
        <v>46033</v>
      </c>
      <c r="D2195" t="inlineStr">
        <is>
          <t>STOCKHOLMS LÄN</t>
        </is>
      </c>
      <c r="E2195" t="inlineStr">
        <is>
          <t>SÖDERTÄLJE</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16145-2024</t>
        </is>
      </c>
      <c r="B2196" s="1" t="n">
        <v>45406.56561342593</v>
      </c>
      <c r="C2196" s="1" t="n">
        <v>46033</v>
      </c>
      <c r="D2196" t="inlineStr">
        <is>
          <t>STOCKHOLMS LÄN</t>
        </is>
      </c>
      <c r="E2196" t="inlineStr">
        <is>
          <t>BOTKYRKA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60977-2022</t>
        </is>
      </c>
      <c r="B2197" s="1" t="n">
        <v>44908</v>
      </c>
      <c r="C2197" s="1" t="n">
        <v>46033</v>
      </c>
      <c r="D2197" t="inlineStr">
        <is>
          <t>STOCKHOLMS LÄN</t>
        </is>
      </c>
      <c r="E2197" t="inlineStr">
        <is>
          <t>NYNÄSHAMN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55940-2023</t>
        </is>
      </c>
      <c r="B2198" s="1" t="n">
        <v>45240.30215277777</v>
      </c>
      <c r="C2198" s="1" t="n">
        <v>46033</v>
      </c>
      <c r="D2198" t="inlineStr">
        <is>
          <t>STOCKHOLMS LÄN</t>
        </is>
      </c>
      <c r="E2198" t="inlineStr">
        <is>
          <t>SÖDERTÄLJE</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17991-2024</t>
        </is>
      </c>
      <c r="B2199" s="1" t="n">
        <v>45419</v>
      </c>
      <c r="C2199" s="1" t="n">
        <v>46033</v>
      </c>
      <c r="D2199" t="inlineStr">
        <is>
          <t>STOCKHOLMS LÄN</t>
        </is>
      </c>
      <c r="E2199" t="inlineStr">
        <is>
          <t>NYNÄSHAMN</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4484-2025</t>
        </is>
      </c>
      <c r="B2200" s="1" t="n">
        <v>45686.65545138889</v>
      </c>
      <c r="C2200" s="1" t="n">
        <v>46033</v>
      </c>
      <c r="D2200" t="inlineStr">
        <is>
          <t>STOCKHOLMS LÄN</t>
        </is>
      </c>
      <c r="E2200" t="inlineStr">
        <is>
          <t>NORRTÄLJE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51813-2024</t>
        </is>
      </c>
      <c r="B2201" s="1" t="n">
        <v>45607.48734953703</v>
      </c>
      <c r="C2201" s="1" t="n">
        <v>46033</v>
      </c>
      <c r="D2201" t="inlineStr">
        <is>
          <t>STOCKHOLMS LÄN</t>
        </is>
      </c>
      <c r="E2201" t="inlineStr">
        <is>
          <t>NYKVARN</t>
        </is>
      </c>
      <c r="F2201" t="inlineStr">
        <is>
          <t>Sveaskog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33878-2024</t>
        </is>
      </c>
      <c r="B2202" s="1" t="n">
        <v>45522.44414351852</v>
      </c>
      <c r="C2202" s="1" t="n">
        <v>46033</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9246-2024</t>
        </is>
      </c>
      <c r="B2203" s="1" t="n">
        <v>45357</v>
      </c>
      <c r="C2203" s="1" t="n">
        <v>46033</v>
      </c>
      <c r="D2203" t="inlineStr">
        <is>
          <t>STOCKHOLMS LÄN</t>
        </is>
      </c>
      <c r="E2203" t="inlineStr">
        <is>
          <t>NORRTÄLJE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35698-2023</t>
        </is>
      </c>
      <c r="B2204" s="1" t="n">
        <v>45147</v>
      </c>
      <c r="C2204" s="1" t="n">
        <v>46033</v>
      </c>
      <c r="D2204" t="inlineStr">
        <is>
          <t>STOCKHOLMS LÄN</t>
        </is>
      </c>
      <c r="E2204" t="inlineStr">
        <is>
          <t>NORRTÄLJE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62398-2022</t>
        </is>
      </c>
      <c r="B2205" s="1" t="n">
        <v>44923.90159722222</v>
      </c>
      <c r="C2205" s="1" t="n">
        <v>46033</v>
      </c>
      <c r="D2205" t="inlineStr">
        <is>
          <t>STOCKHOLMS LÄN</t>
        </is>
      </c>
      <c r="E2205" t="inlineStr">
        <is>
          <t>NORRTÄLJE</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64445-2023</t>
        </is>
      </c>
      <c r="B2206" s="1" t="n">
        <v>45280</v>
      </c>
      <c r="C2206" s="1" t="n">
        <v>46033</v>
      </c>
      <c r="D2206" t="inlineStr">
        <is>
          <t>STOCKHOLMS LÄN</t>
        </is>
      </c>
      <c r="E2206" t="inlineStr">
        <is>
          <t>UPPLANDS VÄSBY</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49700-2023</t>
        </is>
      </c>
      <c r="B2207" s="1" t="n">
        <v>45212</v>
      </c>
      <c r="C2207" s="1" t="n">
        <v>46033</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57055-2024</t>
        </is>
      </c>
      <c r="B2208" s="1" t="n">
        <v>45629.34627314815</v>
      </c>
      <c r="C2208" s="1" t="n">
        <v>46033</v>
      </c>
      <c r="D2208" t="inlineStr">
        <is>
          <t>STOCKHOLMS LÄN</t>
        </is>
      </c>
      <c r="E2208" t="inlineStr">
        <is>
          <t>ÖSTERÅKER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59379-2022</t>
        </is>
      </c>
      <c r="B2209" s="1" t="n">
        <v>44905</v>
      </c>
      <c r="C2209" s="1" t="n">
        <v>46033</v>
      </c>
      <c r="D2209" t="inlineStr">
        <is>
          <t>STOCKHOLMS LÄN</t>
        </is>
      </c>
      <c r="E2209" t="inlineStr">
        <is>
          <t>ÖSTERÅKER</t>
        </is>
      </c>
      <c r="F2209" t="inlineStr">
        <is>
          <t>Kommuner</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32071-2023</t>
        </is>
      </c>
      <c r="B2210" s="1" t="n">
        <v>45119.57728009259</v>
      </c>
      <c r="C2210" s="1" t="n">
        <v>46033</v>
      </c>
      <c r="D2210" t="inlineStr">
        <is>
          <t>STOCKHOLMS LÄN</t>
        </is>
      </c>
      <c r="E2210" t="inlineStr">
        <is>
          <t>NORRTÄLJE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1425-2025</t>
        </is>
      </c>
      <c r="B2211" s="1" t="n">
        <v>45668.67446759259</v>
      </c>
      <c r="C2211" s="1" t="n">
        <v>46033</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17775-2022</t>
        </is>
      </c>
      <c r="B2212" s="1" t="n">
        <v>44682.78430555556</v>
      </c>
      <c r="C2212" s="1" t="n">
        <v>46033</v>
      </c>
      <c r="D2212" t="inlineStr">
        <is>
          <t>STOCKHOLMS LÄN</t>
        </is>
      </c>
      <c r="E2212" t="inlineStr">
        <is>
          <t>NORRTÄLJE</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23720-2023</t>
        </is>
      </c>
      <c r="B2213" s="1" t="n">
        <v>45077.6678125</v>
      </c>
      <c r="C2213" s="1" t="n">
        <v>46033</v>
      </c>
      <c r="D2213" t="inlineStr">
        <is>
          <t>STOCKHOLMS LÄN</t>
        </is>
      </c>
      <c r="E2213" t="inlineStr">
        <is>
          <t>VÄRMDÖ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46688-2022</t>
        </is>
      </c>
      <c r="B2214" s="1" t="n">
        <v>44851</v>
      </c>
      <c r="C2214" s="1" t="n">
        <v>46033</v>
      </c>
      <c r="D2214" t="inlineStr">
        <is>
          <t>STOCKHOLMS LÄN</t>
        </is>
      </c>
      <c r="E2214" t="inlineStr">
        <is>
          <t>ÖSTERÅKER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40514-2021</t>
        </is>
      </c>
      <c r="B2215" s="1" t="n">
        <v>44420</v>
      </c>
      <c r="C2215" s="1" t="n">
        <v>46033</v>
      </c>
      <c r="D2215" t="inlineStr">
        <is>
          <t>STOCKHOLMS LÄN</t>
        </is>
      </c>
      <c r="E2215" t="inlineStr">
        <is>
          <t>UPPLANDS-BRO</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38720-2022</t>
        </is>
      </c>
      <c r="B2216" s="1" t="n">
        <v>44815.74539351852</v>
      </c>
      <c r="C2216" s="1" t="n">
        <v>46033</v>
      </c>
      <c r="D2216" t="inlineStr">
        <is>
          <t>STOCKHOLMS LÄN</t>
        </is>
      </c>
      <c r="E2216" t="inlineStr">
        <is>
          <t>NORRTÄLJE</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10215-2023</t>
        </is>
      </c>
      <c r="B2217" s="1" t="n">
        <v>44986.5887962963</v>
      </c>
      <c r="C2217" s="1" t="n">
        <v>46033</v>
      </c>
      <c r="D2217" t="inlineStr">
        <is>
          <t>STOCKHOLMS LÄN</t>
        </is>
      </c>
      <c r="E2217" t="inlineStr">
        <is>
          <t>NORRTÄLJE</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43700-2023</t>
        </is>
      </c>
      <c r="B2218" s="1" t="n">
        <v>45187</v>
      </c>
      <c r="C2218" s="1" t="n">
        <v>46033</v>
      </c>
      <c r="D2218" t="inlineStr">
        <is>
          <t>STOCKHOLMS LÄN</t>
        </is>
      </c>
      <c r="E2218" t="inlineStr">
        <is>
          <t>SIGTUNA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25609-2023</t>
        </is>
      </c>
      <c r="B2219" s="1" t="n">
        <v>45089</v>
      </c>
      <c r="C2219" s="1" t="n">
        <v>46033</v>
      </c>
      <c r="D2219" t="inlineStr">
        <is>
          <t>STOCKHOLMS LÄN</t>
        </is>
      </c>
      <c r="E2219" t="inlineStr">
        <is>
          <t>NORRTÄLJE</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20014-2025</t>
        </is>
      </c>
      <c r="B2220" s="1" t="n">
        <v>45772.3078125</v>
      </c>
      <c r="C2220" s="1" t="n">
        <v>46033</v>
      </c>
      <c r="D2220" t="inlineStr">
        <is>
          <t>STOCKHOLMS LÄN</t>
        </is>
      </c>
      <c r="E2220" t="inlineStr">
        <is>
          <t>NORRTÄLJE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20136-2025</t>
        </is>
      </c>
      <c r="B2221" s="1" t="n">
        <v>45772.51127314815</v>
      </c>
      <c r="C2221" s="1" t="n">
        <v>46033</v>
      </c>
      <c r="D2221" t="inlineStr">
        <is>
          <t>STOCKHOLMS LÄN</t>
        </is>
      </c>
      <c r="E2221" t="inlineStr">
        <is>
          <t>NORRTÄLJE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2287-2024</t>
        </is>
      </c>
      <c r="B2222" s="1" t="n">
        <v>45310</v>
      </c>
      <c r="C2222" s="1" t="n">
        <v>46033</v>
      </c>
      <c r="D2222" t="inlineStr">
        <is>
          <t>STOCKHOLMS LÄN</t>
        </is>
      </c>
      <c r="E2222" t="inlineStr">
        <is>
          <t>NORRTÄLJE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13785-2024</t>
        </is>
      </c>
      <c r="B2223" s="1" t="n">
        <v>45391.3395949074</v>
      </c>
      <c r="C2223" s="1" t="n">
        <v>46033</v>
      </c>
      <c r="D2223" t="inlineStr">
        <is>
          <t>STOCKHOLMS LÄN</t>
        </is>
      </c>
      <c r="E2223" t="inlineStr">
        <is>
          <t>NORRTÄLJE</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50469-2022</t>
        </is>
      </c>
      <c r="B2224" s="1" t="n">
        <v>44866.49827546296</v>
      </c>
      <c r="C2224" s="1" t="n">
        <v>46033</v>
      </c>
      <c r="D2224" t="inlineStr">
        <is>
          <t>STOCKHOLMS LÄN</t>
        </is>
      </c>
      <c r="E2224" t="inlineStr">
        <is>
          <t>NORRTÄLJE</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51116-2022</t>
        </is>
      </c>
      <c r="B2225" s="1" t="n">
        <v>44868.45741898148</v>
      </c>
      <c r="C2225" s="1" t="n">
        <v>46033</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56596-2023</t>
        </is>
      </c>
      <c r="B2226" s="1" t="n">
        <v>45243</v>
      </c>
      <c r="C2226" s="1" t="n">
        <v>46033</v>
      </c>
      <c r="D2226" t="inlineStr">
        <is>
          <t>STOCKHOLMS LÄN</t>
        </is>
      </c>
      <c r="E2226" t="inlineStr">
        <is>
          <t>SÖDERTÄLJE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16793-2023</t>
        </is>
      </c>
      <c r="B2227" s="1" t="n">
        <v>45028</v>
      </c>
      <c r="C2227" s="1" t="n">
        <v>46033</v>
      </c>
      <c r="D2227" t="inlineStr">
        <is>
          <t>STOCKHOLMS LÄN</t>
        </is>
      </c>
      <c r="E2227" t="inlineStr">
        <is>
          <t>NYNÄSHAMN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61514-2022</t>
        </is>
      </c>
      <c r="B2228" s="1" t="n">
        <v>44916</v>
      </c>
      <c r="C2228" s="1" t="n">
        <v>46033</v>
      </c>
      <c r="D2228" t="inlineStr">
        <is>
          <t>STOCKHOLMS LÄN</t>
        </is>
      </c>
      <c r="E2228" t="inlineStr">
        <is>
          <t>BOTKYRKA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60217-2021</t>
        </is>
      </c>
      <c r="B2229" s="1" t="n">
        <v>44495.5893287037</v>
      </c>
      <c r="C2229" s="1" t="n">
        <v>46033</v>
      </c>
      <c r="D2229" t="inlineStr">
        <is>
          <t>STOCKHOLMS LÄN</t>
        </is>
      </c>
      <c r="E2229" t="inlineStr">
        <is>
          <t>NORRTÄLJE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5839-2023</t>
        </is>
      </c>
      <c r="B2230" s="1" t="n">
        <v>44963</v>
      </c>
      <c r="C2230" s="1" t="n">
        <v>46033</v>
      </c>
      <c r="D2230" t="inlineStr">
        <is>
          <t>STOCKHOLMS LÄN</t>
        </is>
      </c>
      <c r="E2230" t="inlineStr">
        <is>
          <t>NORRTÄLJE</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51931-2023</t>
        </is>
      </c>
      <c r="B2231" s="1" t="n">
        <v>45216</v>
      </c>
      <c r="C2231" s="1" t="n">
        <v>46033</v>
      </c>
      <c r="D2231" t="inlineStr">
        <is>
          <t>STOCKHOLMS LÄN</t>
        </is>
      </c>
      <c r="E2231" t="inlineStr">
        <is>
          <t>SÖDERTÄLJE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34194-2024</t>
        </is>
      </c>
      <c r="B2232" s="1" t="n">
        <v>45524</v>
      </c>
      <c r="C2232" s="1" t="n">
        <v>46033</v>
      </c>
      <c r="D2232" t="inlineStr">
        <is>
          <t>STOCKHOLMS LÄN</t>
        </is>
      </c>
      <c r="E2232" t="inlineStr">
        <is>
          <t>SÖDERTÄLJE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9533-2024</t>
        </is>
      </c>
      <c r="B2233" s="1" t="n">
        <v>45359.69105324074</v>
      </c>
      <c r="C2233" s="1" t="n">
        <v>46033</v>
      </c>
      <c r="D2233" t="inlineStr">
        <is>
          <t>STOCKHOLMS LÄN</t>
        </is>
      </c>
      <c r="E2233" t="inlineStr">
        <is>
          <t>SALEM</t>
        </is>
      </c>
      <c r="F2233" t="inlineStr">
        <is>
          <t>Kommuner</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16738-2022</t>
        </is>
      </c>
      <c r="B2234" s="1" t="n">
        <v>44673</v>
      </c>
      <c r="C2234" s="1" t="n">
        <v>46033</v>
      </c>
      <c r="D2234" t="inlineStr">
        <is>
          <t>STOCKHOLMS LÄN</t>
        </is>
      </c>
      <c r="E2234" t="inlineStr">
        <is>
          <t>ÖSTERÅKER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56796-2022</t>
        </is>
      </c>
      <c r="B2235" s="1" t="n">
        <v>44894.42490740741</v>
      </c>
      <c r="C2235" s="1" t="n">
        <v>46033</v>
      </c>
      <c r="D2235" t="inlineStr">
        <is>
          <t>STOCKHOLMS LÄN</t>
        </is>
      </c>
      <c r="E2235" t="inlineStr">
        <is>
          <t>SIGTUNA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36181-2022</t>
        </is>
      </c>
      <c r="B2236" s="1" t="n">
        <v>44803</v>
      </c>
      <c r="C2236" s="1" t="n">
        <v>46033</v>
      </c>
      <c r="D2236" t="inlineStr">
        <is>
          <t>STOCKHOLMS LÄN</t>
        </is>
      </c>
      <c r="E2236" t="inlineStr">
        <is>
          <t>SIGTUNA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38985-2022</t>
        </is>
      </c>
      <c r="B2237" s="1" t="n">
        <v>44816</v>
      </c>
      <c r="C2237" s="1" t="n">
        <v>46033</v>
      </c>
      <c r="D2237" t="inlineStr">
        <is>
          <t>STOCKHOLMS LÄN</t>
        </is>
      </c>
      <c r="E2237" t="inlineStr">
        <is>
          <t>NORRTÄLJE</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4440-2023</t>
        </is>
      </c>
      <c r="B2238" s="1" t="n">
        <v>44956</v>
      </c>
      <c r="C2238" s="1" t="n">
        <v>46033</v>
      </c>
      <c r="D2238" t="inlineStr">
        <is>
          <t>STOCKHOLMS LÄN</t>
        </is>
      </c>
      <c r="E2238" t="inlineStr">
        <is>
          <t>SÖDERTÄLJE</t>
        </is>
      </c>
      <c r="G2238" t="n">
        <v>18.4</v>
      </c>
      <c r="H2238" t="n">
        <v>0</v>
      </c>
      <c r="I2238" t="n">
        <v>0</v>
      </c>
      <c r="J2238" t="n">
        <v>0</v>
      </c>
      <c r="K2238" t="n">
        <v>0</v>
      </c>
      <c r="L2238" t="n">
        <v>0</v>
      </c>
      <c r="M2238" t="n">
        <v>0</v>
      </c>
      <c r="N2238" t="n">
        <v>0</v>
      </c>
      <c r="O2238" t="n">
        <v>0</v>
      </c>
      <c r="P2238" t="n">
        <v>0</v>
      </c>
      <c r="Q2238" t="n">
        <v>0</v>
      </c>
      <c r="R2238" s="2" t="inlineStr"/>
    </row>
    <row r="2239" ht="15" customHeight="1">
      <c r="A2239" t="inlineStr">
        <is>
          <t>A 8932-2023</t>
        </is>
      </c>
      <c r="B2239" s="1" t="n">
        <v>44979</v>
      </c>
      <c r="C2239" s="1" t="n">
        <v>46033</v>
      </c>
      <c r="D2239" t="inlineStr">
        <is>
          <t>STOCKHOLMS LÄN</t>
        </is>
      </c>
      <c r="E2239" t="inlineStr">
        <is>
          <t>NYNÄSHAMN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5665-2025</t>
        </is>
      </c>
      <c r="B2240" s="1" t="n">
        <v>45693</v>
      </c>
      <c r="C2240" s="1" t="n">
        <v>46033</v>
      </c>
      <c r="D2240" t="inlineStr">
        <is>
          <t>STOCKHOLMS LÄN</t>
        </is>
      </c>
      <c r="E2240" t="inlineStr">
        <is>
          <t>NORRTÄLJE</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3426-2025</t>
        </is>
      </c>
      <c r="B2241" s="1" t="n">
        <v>45680.42665509259</v>
      </c>
      <c r="C2241" s="1" t="n">
        <v>46033</v>
      </c>
      <c r="D2241" t="inlineStr">
        <is>
          <t>STOCKHOLMS LÄN</t>
        </is>
      </c>
      <c r="E2241" t="inlineStr">
        <is>
          <t>NORRTÄLJE</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28843-2021</t>
        </is>
      </c>
      <c r="B2242" s="1" t="n">
        <v>44357</v>
      </c>
      <c r="C2242" s="1" t="n">
        <v>46033</v>
      </c>
      <c r="D2242" t="inlineStr">
        <is>
          <t>STOCKHOLMS LÄN</t>
        </is>
      </c>
      <c r="E2242" t="inlineStr">
        <is>
          <t>SALEM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6854-2022</t>
        </is>
      </c>
      <c r="B2243" s="1" t="n">
        <v>44602</v>
      </c>
      <c r="C2243" s="1" t="n">
        <v>46033</v>
      </c>
      <c r="D2243" t="inlineStr">
        <is>
          <t>STOCKHOLMS LÄN</t>
        </is>
      </c>
      <c r="E2243" t="inlineStr">
        <is>
          <t>NYKVARN</t>
        </is>
      </c>
      <c r="F2243" t="inlineStr">
        <is>
          <t>Kommuner</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58530-2024</t>
        </is>
      </c>
      <c r="B2244" s="1" t="n">
        <v>45635.44788194444</v>
      </c>
      <c r="C2244" s="1" t="n">
        <v>46033</v>
      </c>
      <c r="D2244" t="inlineStr">
        <is>
          <t>STOCKHOLMS LÄN</t>
        </is>
      </c>
      <c r="E2244" t="inlineStr">
        <is>
          <t>NORRTÄLJE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22421-2021</t>
        </is>
      </c>
      <c r="B2245" s="1" t="n">
        <v>44326</v>
      </c>
      <c r="C2245" s="1" t="n">
        <v>46033</v>
      </c>
      <c r="D2245" t="inlineStr">
        <is>
          <t>STOCKHOLMS LÄN</t>
        </is>
      </c>
      <c r="E2245" t="inlineStr">
        <is>
          <t>NORRTÄLJE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22683-2023</t>
        </is>
      </c>
      <c r="B2246" s="1" t="n">
        <v>45071</v>
      </c>
      <c r="C2246" s="1" t="n">
        <v>46033</v>
      </c>
      <c r="D2246" t="inlineStr">
        <is>
          <t>STOCKHOLMS LÄN</t>
        </is>
      </c>
      <c r="E2246" t="inlineStr">
        <is>
          <t>VALLENTUNA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40761-2024</t>
        </is>
      </c>
      <c r="B2247" s="1" t="n">
        <v>45558.46283564815</v>
      </c>
      <c r="C2247" s="1" t="n">
        <v>46033</v>
      </c>
      <c r="D2247" t="inlineStr">
        <is>
          <t>STOCKHOLMS LÄN</t>
        </is>
      </c>
      <c r="E2247" t="inlineStr">
        <is>
          <t>NORRTÄLJE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1759-2025</t>
        </is>
      </c>
      <c r="B2248" s="1" t="n">
        <v>45671.42385416666</v>
      </c>
      <c r="C2248" s="1" t="n">
        <v>46033</v>
      </c>
      <c r="D2248" t="inlineStr">
        <is>
          <t>STOCKHOLMS LÄN</t>
        </is>
      </c>
      <c r="E2248" t="inlineStr">
        <is>
          <t>SÖDERTÄLJE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4553-2023</t>
        </is>
      </c>
      <c r="B2249" s="1" t="n">
        <v>44956.65920138889</v>
      </c>
      <c r="C2249" s="1" t="n">
        <v>46033</v>
      </c>
      <c r="D2249" t="inlineStr">
        <is>
          <t>STOCKHOLMS LÄN</t>
        </is>
      </c>
      <c r="E2249" t="inlineStr">
        <is>
          <t>NORRTÄLJE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4593-2023</t>
        </is>
      </c>
      <c r="B2250" s="1" t="n">
        <v>44956</v>
      </c>
      <c r="C2250" s="1" t="n">
        <v>46033</v>
      </c>
      <c r="D2250" t="inlineStr">
        <is>
          <t>STOCKHOLMS LÄN</t>
        </is>
      </c>
      <c r="E2250" t="inlineStr">
        <is>
          <t>NORRTÄLJE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13171-2025</t>
        </is>
      </c>
      <c r="B2251" s="1" t="n">
        <v>45735.36594907408</v>
      </c>
      <c r="C2251" s="1" t="n">
        <v>46033</v>
      </c>
      <c r="D2251" t="inlineStr">
        <is>
          <t>STOCKHOLMS LÄN</t>
        </is>
      </c>
      <c r="E2251" t="inlineStr">
        <is>
          <t>NORRTÄLJE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10224-2023</t>
        </is>
      </c>
      <c r="B2252" s="1" t="n">
        <v>44986.61554398148</v>
      </c>
      <c r="C2252" s="1" t="n">
        <v>46033</v>
      </c>
      <c r="D2252" t="inlineStr">
        <is>
          <t>STOCKHOLMS LÄN</t>
        </is>
      </c>
      <c r="E2252" t="inlineStr">
        <is>
          <t>NYNÄSHAMN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51978-2023</t>
        </is>
      </c>
      <c r="B2253" s="1" t="n">
        <v>45223</v>
      </c>
      <c r="C2253" s="1" t="n">
        <v>46033</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34926-2022</t>
        </is>
      </c>
      <c r="B2254" s="1" t="n">
        <v>44796</v>
      </c>
      <c r="C2254" s="1" t="n">
        <v>46033</v>
      </c>
      <c r="D2254" t="inlineStr">
        <is>
          <t>STOCKHOLMS LÄN</t>
        </is>
      </c>
      <c r="E2254" t="inlineStr">
        <is>
          <t>VAXHOLM</t>
        </is>
      </c>
      <c r="F2254" t="inlineStr">
        <is>
          <t>Övriga statliga verk och myndigheter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18092-2022</t>
        </is>
      </c>
      <c r="B2255" s="1" t="n">
        <v>44684</v>
      </c>
      <c r="C2255" s="1" t="n">
        <v>46033</v>
      </c>
      <c r="D2255" t="inlineStr">
        <is>
          <t>STOCKHOLMS LÄN</t>
        </is>
      </c>
      <c r="E2255" t="inlineStr">
        <is>
          <t>NORRTÄLJE</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59310-2023</t>
        </is>
      </c>
      <c r="B2256" s="1" t="n">
        <v>45253.61146990741</v>
      </c>
      <c r="C2256" s="1" t="n">
        <v>46033</v>
      </c>
      <c r="D2256" t="inlineStr">
        <is>
          <t>STOCKHOLMS LÄN</t>
        </is>
      </c>
      <c r="E2256" t="inlineStr">
        <is>
          <t>NORRTÄLJE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9329-2023</t>
        </is>
      </c>
      <c r="B2257" s="1" t="n">
        <v>44980</v>
      </c>
      <c r="C2257" s="1" t="n">
        <v>46033</v>
      </c>
      <c r="D2257" t="inlineStr">
        <is>
          <t>STOCKHOLMS LÄN</t>
        </is>
      </c>
      <c r="E2257" t="inlineStr">
        <is>
          <t>NORRTÄLJE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59878-2024</t>
        </is>
      </c>
      <c r="B2258" s="1" t="n">
        <v>45640.60240740741</v>
      </c>
      <c r="C2258" s="1" t="n">
        <v>46033</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41335-2023</t>
        </is>
      </c>
      <c r="B2259" s="1" t="n">
        <v>45174.68702546296</v>
      </c>
      <c r="C2259" s="1" t="n">
        <v>46033</v>
      </c>
      <c r="D2259" t="inlineStr">
        <is>
          <t>STOCKHOLMS LÄN</t>
        </is>
      </c>
      <c r="E2259" t="inlineStr">
        <is>
          <t>NORRTÄLJE</t>
        </is>
      </c>
      <c r="F2259" t="inlineStr">
        <is>
          <t>Holmen skog AB</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17196-2022</t>
        </is>
      </c>
      <c r="B2260" s="1" t="n">
        <v>44677</v>
      </c>
      <c r="C2260" s="1" t="n">
        <v>46033</v>
      </c>
      <c r="D2260" t="inlineStr">
        <is>
          <t>STOCKHOLMS LÄN</t>
        </is>
      </c>
      <c r="E2260" t="inlineStr">
        <is>
          <t>ÖSTERÅKER</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33040-2021</t>
        </is>
      </c>
      <c r="B2261" s="1" t="n">
        <v>44376.50728009259</v>
      </c>
      <c r="C2261" s="1" t="n">
        <v>46033</v>
      </c>
      <c r="D2261" t="inlineStr">
        <is>
          <t>STOCKHOLMS LÄN</t>
        </is>
      </c>
      <c r="E2261" t="inlineStr">
        <is>
          <t>NORRTÄLJE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33053-2021</t>
        </is>
      </c>
      <c r="B2262" s="1" t="n">
        <v>44376</v>
      </c>
      <c r="C2262" s="1" t="n">
        <v>46033</v>
      </c>
      <c r="D2262" t="inlineStr">
        <is>
          <t>STOCKHOLMS LÄN</t>
        </is>
      </c>
      <c r="E2262" t="inlineStr">
        <is>
          <t>NORRTÄLJE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17411-2023</t>
        </is>
      </c>
      <c r="B2263" s="1" t="n">
        <v>45035.82512731481</v>
      </c>
      <c r="C2263" s="1" t="n">
        <v>46033</v>
      </c>
      <c r="D2263" t="inlineStr">
        <is>
          <t>STOCKHOLMS LÄN</t>
        </is>
      </c>
      <c r="E2263" t="inlineStr">
        <is>
          <t>VALLENTUNA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43150-2023</t>
        </is>
      </c>
      <c r="B2264" s="1" t="n">
        <v>45183</v>
      </c>
      <c r="C2264" s="1" t="n">
        <v>46033</v>
      </c>
      <c r="D2264" t="inlineStr">
        <is>
          <t>STOCKHOLMS LÄN</t>
        </is>
      </c>
      <c r="E2264" t="inlineStr">
        <is>
          <t>NORRTÄLJE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5950-2021</t>
        </is>
      </c>
      <c r="B2265" s="1" t="n">
        <v>44231</v>
      </c>
      <c r="C2265" s="1" t="n">
        <v>46033</v>
      </c>
      <c r="D2265" t="inlineStr">
        <is>
          <t>STOCKHOLMS LÄN</t>
        </is>
      </c>
      <c r="E2265" t="inlineStr">
        <is>
          <t>NORRTÄLJE</t>
        </is>
      </c>
      <c r="F2265" t="inlineStr">
        <is>
          <t>Holmen skog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54259-2023</t>
        </is>
      </c>
      <c r="B2266" s="1" t="n">
        <v>45232</v>
      </c>
      <c r="C2266" s="1" t="n">
        <v>46033</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17634-2022</t>
        </is>
      </c>
      <c r="B2267" s="1" t="n">
        <v>44680</v>
      </c>
      <c r="C2267" s="1" t="n">
        <v>46033</v>
      </c>
      <c r="D2267" t="inlineStr">
        <is>
          <t>STOCKHOLMS LÄN</t>
        </is>
      </c>
      <c r="E2267" t="inlineStr">
        <is>
          <t>NYNÄSHAMN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60822-2023</t>
        </is>
      </c>
      <c r="B2268" s="1" t="n">
        <v>45259</v>
      </c>
      <c r="C2268" s="1" t="n">
        <v>46033</v>
      </c>
      <c r="D2268" t="inlineStr">
        <is>
          <t>STOCKHOLMS LÄN</t>
        </is>
      </c>
      <c r="E2268" t="inlineStr">
        <is>
          <t>NORRTÄLJE</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60922-2023</t>
        </is>
      </c>
      <c r="B2269" s="1" t="n">
        <v>45261.40866898148</v>
      </c>
      <c r="C2269" s="1" t="n">
        <v>46033</v>
      </c>
      <c r="D2269" t="inlineStr">
        <is>
          <t>STOCKHOLMS LÄN</t>
        </is>
      </c>
      <c r="E2269" t="inlineStr">
        <is>
          <t>SIGTUNA</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12031-2021</t>
        </is>
      </c>
      <c r="B2270" s="1" t="n">
        <v>44266</v>
      </c>
      <c r="C2270" s="1" t="n">
        <v>46033</v>
      </c>
      <c r="D2270" t="inlineStr">
        <is>
          <t>STOCKHOLMS LÄN</t>
        </is>
      </c>
      <c r="E2270" t="inlineStr">
        <is>
          <t>NORRTÄLJE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27381-2024</t>
        </is>
      </c>
      <c r="B2271" s="1" t="n">
        <v>45473.94501157408</v>
      </c>
      <c r="C2271" s="1" t="n">
        <v>46033</v>
      </c>
      <c r="D2271" t="inlineStr">
        <is>
          <t>STOCKHOLMS LÄN</t>
        </is>
      </c>
      <c r="E2271" t="inlineStr">
        <is>
          <t>NORRTÄLJE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273-2025</t>
        </is>
      </c>
      <c r="B2272" s="1" t="n">
        <v>45653</v>
      </c>
      <c r="C2272" s="1" t="n">
        <v>46033</v>
      </c>
      <c r="D2272" t="inlineStr">
        <is>
          <t>STOCKHOLMS LÄN</t>
        </is>
      </c>
      <c r="E2272" t="inlineStr">
        <is>
          <t>SIGTUNA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33787-2024</t>
        </is>
      </c>
      <c r="B2273" s="1" t="n">
        <v>45520</v>
      </c>
      <c r="C2273" s="1" t="n">
        <v>46033</v>
      </c>
      <c r="D2273" t="inlineStr">
        <is>
          <t>STOCKHOLMS LÄN</t>
        </is>
      </c>
      <c r="E2273" t="inlineStr">
        <is>
          <t>NYNÄSHAMN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63592-2023</t>
        </is>
      </c>
      <c r="B2274" s="1" t="n">
        <v>45275</v>
      </c>
      <c r="C2274" s="1" t="n">
        <v>46033</v>
      </c>
      <c r="D2274" t="inlineStr">
        <is>
          <t>STOCKHOLMS LÄN</t>
        </is>
      </c>
      <c r="E2274" t="inlineStr">
        <is>
          <t>NYKVARN</t>
        </is>
      </c>
      <c r="F2274" t="inlineStr">
        <is>
          <t>Kommuner</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45184-2022</t>
        </is>
      </c>
      <c r="B2275" s="1" t="n">
        <v>44844.39888888889</v>
      </c>
      <c r="C2275" s="1" t="n">
        <v>46033</v>
      </c>
      <c r="D2275" t="inlineStr">
        <is>
          <t>STOCKHOLMS LÄN</t>
        </is>
      </c>
      <c r="E2275" t="inlineStr">
        <is>
          <t>SÖDERTÄLJE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68894-2021</t>
        </is>
      </c>
      <c r="B2276" s="1" t="n">
        <v>44526</v>
      </c>
      <c r="C2276" s="1" t="n">
        <v>46033</v>
      </c>
      <c r="D2276" t="inlineStr">
        <is>
          <t>STOCKHOLMS LÄN</t>
        </is>
      </c>
      <c r="E2276" t="inlineStr">
        <is>
          <t>HANINGE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23265-2023</t>
        </is>
      </c>
      <c r="B2277" s="1" t="n">
        <v>45075.90703703704</v>
      </c>
      <c r="C2277" s="1" t="n">
        <v>46033</v>
      </c>
      <c r="D2277" t="inlineStr">
        <is>
          <t>STOCKHOLMS LÄN</t>
        </is>
      </c>
      <c r="E2277" t="inlineStr">
        <is>
          <t>NORRTÄLJE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26117-2024</t>
        </is>
      </c>
      <c r="B2278" s="1" t="n">
        <v>45468.45877314815</v>
      </c>
      <c r="C2278" s="1" t="n">
        <v>46033</v>
      </c>
      <c r="D2278" t="inlineStr">
        <is>
          <t>STOCKHOLMS LÄN</t>
        </is>
      </c>
      <c r="E2278" t="inlineStr">
        <is>
          <t>NORRTÄLJE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18491-2025</t>
        </is>
      </c>
      <c r="B2279" s="1" t="n">
        <v>45763.34135416667</v>
      </c>
      <c r="C2279" s="1" t="n">
        <v>46033</v>
      </c>
      <c r="D2279" t="inlineStr">
        <is>
          <t>STOCKHOLMS LÄN</t>
        </is>
      </c>
      <c r="E2279" t="inlineStr">
        <is>
          <t>HANINGE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3021-2025</t>
        </is>
      </c>
      <c r="B2280" s="1" t="n">
        <v>45678.57962962963</v>
      </c>
      <c r="C2280" s="1" t="n">
        <v>46033</v>
      </c>
      <c r="D2280" t="inlineStr">
        <is>
          <t>STOCKHOLMS LÄN</t>
        </is>
      </c>
      <c r="E2280" t="inlineStr">
        <is>
          <t>BOTKYRKA</t>
        </is>
      </c>
      <c r="F2280" t="inlineStr">
        <is>
          <t>Övriga Aktiebolag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38465-2023</t>
        </is>
      </c>
      <c r="B2281" s="1" t="n">
        <v>45162</v>
      </c>
      <c r="C2281" s="1" t="n">
        <v>46033</v>
      </c>
      <c r="D2281" t="inlineStr">
        <is>
          <t>STOCKHOLMS LÄN</t>
        </is>
      </c>
      <c r="E2281" t="inlineStr">
        <is>
          <t>SIGTUNA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3917-2023</t>
        </is>
      </c>
      <c r="B2282" s="1" t="n">
        <v>44952</v>
      </c>
      <c r="C2282" s="1" t="n">
        <v>46033</v>
      </c>
      <c r="D2282" t="inlineStr">
        <is>
          <t>STOCKHOLMS LÄN</t>
        </is>
      </c>
      <c r="E2282" t="inlineStr">
        <is>
          <t>ÖSTERÅKER</t>
        </is>
      </c>
      <c r="F2282" t="inlineStr">
        <is>
          <t>Kommuner</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20336-2024</t>
        </is>
      </c>
      <c r="B2283" s="1" t="n">
        <v>45435.43123842592</v>
      </c>
      <c r="C2283" s="1" t="n">
        <v>46033</v>
      </c>
      <c r="D2283" t="inlineStr">
        <is>
          <t>STOCKHOLMS LÄN</t>
        </is>
      </c>
      <c r="E2283" t="inlineStr">
        <is>
          <t>NORRTÄLJE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1385-2024</t>
        </is>
      </c>
      <c r="B2284" s="1" t="n">
        <v>45303</v>
      </c>
      <c r="C2284" s="1" t="n">
        <v>46033</v>
      </c>
      <c r="D2284" t="inlineStr">
        <is>
          <t>STOCKHOLMS LÄN</t>
        </is>
      </c>
      <c r="E2284" t="inlineStr">
        <is>
          <t>VALLENTUNA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2529-2023</t>
        </is>
      </c>
      <c r="B2285" s="1" t="n">
        <v>44943.60554398148</v>
      </c>
      <c r="C2285" s="1" t="n">
        <v>46033</v>
      </c>
      <c r="D2285" t="inlineStr">
        <is>
          <t>STOCKHOLMS LÄN</t>
        </is>
      </c>
      <c r="E2285" t="inlineStr">
        <is>
          <t>SÖDERTÄLJE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1847-2023</t>
        </is>
      </c>
      <c r="B2286" s="1" t="n">
        <v>44938</v>
      </c>
      <c r="C2286" s="1" t="n">
        <v>46033</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7275-2022</t>
        </is>
      </c>
      <c r="B2287" s="1" t="n">
        <v>44606</v>
      </c>
      <c r="C2287" s="1" t="n">
        <v>46033</v>
      </c>
      <c r="D2287" t="inlineStr">
        <is>
          <t>STOCKHOLMS LÄN</t>
        </is>
      </c>
      <c r="E2287" t="inlineStr">
        <is>
          <t>UPPLANDS-BRO</t>
        </is>
      </c>
      <c r="F2287" t="inlineStr">
        <is>
          <t>Övriga statliga verk och myndigheter</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7214-2022</t>
        </is>
      </c>
      <c r="B2288" s="1" t="n">
        <v>44606.33935185185</v>
      </c>
      <c r="C2288" s="1" t="n">
        <v>46033</v>
      </c>
      <c r="D2288" t="inlineStr">
        <is>
          <t>STOCKHOLMS LÄN</t>
        </is>
      </c>
      <c r="E2288" t="inlineStr">
        <is>
          <t>SIGTUNA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11285-2023</t>
        </is>
      </c>
      <c r="B2289" s="1" t="n">
        <v>44992</v>
      </c>
      <c r="C2289" s="1" t="n">
        <v>46033</v>
      </c>
      <c r="D2289" t="inlineStr">
        <is>
          <t>STOCKHOLMS LÄN</t>
        </is>
      </c>
      <c r="E2289" t="inlineStr">
        <is>
          <t>SIGTUNA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25452-2023</t>
        </is>
      </c>
      <c r="B2290" s="1" t="n">
        <v>45089</v>
      </c>
      <c r="C2290" s="1" t="n">
        <v>46033</v>
      </c>
      <c r="D2290" t="inlineStr">
        <is>
          <t>STOCKHOLMS LÄN</t>
        </is>
      </c>
      <c r="E2290" t="inlineStr">
        <is>
          <t>SIGTUNA</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59721-2024</t>
        </is>
      </c>
      <c r="B2291" s="1" t="n">
        <v>45639.47385416667</v>
      </c>
      <c r="C2291" s="1" t="n">
        <v>46033</v>
      </c>
      <c r="D2291" t="inlineStr">
        <is>
          <t>STOCKHOLMS LÄN</t>
        </is>
      </c>
      <c r="E2291" t="inlineStr">
        <is>
          <t>NORRTÄLJE</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10910-2025</t>
        </is>
      </c>
      <c r="B2292" s="1" t="n">
        <v>45722</v>
      </c>
      <c r="C2292" s="1" t="n">
        <v>46033</v>
      </c>
      <c r="D2292" t="inlineStr">
        <is>
          <t>STOCKHOLMS LÄN</t>
        </is>
      </c>
      <c r="E2292" t="inlineStr">
        <is>
          <t>UPPLANDS-BRO</t>
        </is>
      </c>
      <c r="F2292" t="inlineStr">
        <is>
          <t>Allmännings- och besparingsskogar</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37010-2022</t>
        </is>
      </c>
      <c r="B2293" s="1" t="n">
        <v>44806.41576388889</v>
      </c>
      <c r="C2293" s="1" t="n">
        <v>46033</v>
      </c>
      <c r="D2293" t="inlineStr">
        <is>
          <t>STOCKHOLMS LÄN</t>
        </is>
      </c>
      <c r="E2293" t="inlineStr">
        <is>
          <t>NORRTÄLJE</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44619-2023</t>
        </is>
      </c>
      <c r="B2294" s="1" t="n">
        <v>45189</v>
      </c>
      <c r="C2294" s="1" t="n">
        <v>46033</v>
      </c>
      <c r="D2294" t="inlineStr">
        <is>
          <t>STOCKHOLMS LÄN</t>
        </is>
      </c>
      <c r="E2294" t="inlineStr">
        <is>
          <t>NYNÄSHAMN</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636-2025</t>
        </is>
      </c>
      <c r="B2295" s="1" t="n">
        <v>45664.63822916667</v>
      </c>
      <c r="C2295" s="1" t="n">
        <v>46033</v>
      </c>
      <c r="D2295" t="inlineStr">
        <is>
          <t>STOCKHOLMS LÄN</t>
        </is>
      </c>
      <c r="E2295" t="inlineStr">
        <is>
          <t>NYNÄSHAMN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951-2023</t>
        </is>
      </c>
      <c r="B2296" s="1" t="n">
        <v>44934</v>
      </c>
      <c r="C2296" s="1" t="n">
        <v>46033</v>
      </c>
      <c r="D2296" t="inlineStr">
        <is>
          <t>STOCKHOLMS LÄN</t>
        </is>
      </c>
      <c r="E2296" t="inlineStr">
        <is>
          <t>NORRTÄLJE</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36112-2022</t>
        </is>
      </c>
      <c r="B2297" s="1" t="n">
        <v>44802</v>
      </c>
      <c r="C2297" s="1" t="n">
        <v>46033</v>
      </c>
      <c r="D2297" t="inlineStr">
        <is>
          <t>STOCKHOLMS LÄN</t>
        </is>
      </c>
      <c r="E2297" t="inlineStr">
        <is>
          <t>SÖDERTÄLJE</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60818-2023</t>
        </is>
      </c>
      <c r="B2298" s="1" t="n">
        <v>45259</v>
      </c>
      <c r="C2298" s="1" t="n">
        <v>46033</v>
      </c>
      <c r="D2298" t="inlineStr">
        <is>
          <t>STOCKHOLMS LÄN</t>
        </is>
      </c>
      <c r="E2298" t="inlineStr">
        <is>
          <t>VALLENTUNA</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6059-2022</t>
        </is>
      </c>
      <c r="B2299" s="1" t="n">
        <v>44599</v>
      </c>
      <c r="C2299" s="1" t="n">
        <v>46033</v>
      </c>
      <c r="D2299" t="inlineStr">
        <is>
          <t>STOCKHOLMS LÄN</t>
        </is>
      </c>
      <c r="E2299" t="inlineStr">
        <is>
          <t>BOTKYRKA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60865-2024</t>
        </is>
      </c>
      <c r="B2300" s="1" t="n">
        <v>45644.69387731481</v>
      </c>
      <c r="C2300" s="1" t="n">
        <v>46033</v>
      </c>
      <c r="D2300" t="inlineStr">
        <is>
          <t>STOCKHOLMS LÄN</t>
        </is>
      </c>
      <c r="E2300" t="inlineStr">
        <is>
          <t>SIGTUNA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37536-2024</t>
        </is>
      </c>
      <c r="B2301" s="1" t="n">
        <v>45541</v>
      </c>
      <c r="C2301" s="1" t="n">
        <v>46033</v>
      </c>
      <c r="D2301" t="inlineStr">
        <is>
          <t>STOCKHOLMS LÄN</t>
        </is>
      </c>
      <c r="E2301" t="inlineStr">
        <is>
          <t>SÖDERTÄLJE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5423-2023</t>
        </is>
      </c>
      <c r="B2302" s="1" t="n">
        <v>44959.74533564815</v>
      </c>
      <c r="C2302" s="1" t="n">
        <v>46033</v>
      </c>
      <c r="D2302" t="inlineStr">
        <is>
          <t>STOCKHOLMS LÄN</t>
        </is>
      </c>
      <c r="E2302" t="inlineStr">
        <is>
          <t>NORRTÄLJE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50182-2024</t>
        </is>
      </c>
      <c r="B2303" s="1" t="n">
        <v>45600.47275462963</v>
      </c>
      <c r="C2303" s="1" t="n">
        <v>46033</v>
      </c>
      <c r="D2303" t="inlineStr">
        <is>
          <t>STOCKHOLMS LÄN</t>
        </is>
      </c>
      <c r="E2303" t="inlineStr">
        <is>
          <t>NORRTÄLJE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62108-2022</t>
        </is>
      </c>
      <c r="B2304" s="1" t="n">
        <v>44920</v>
      </c>
      <c r="C2304" s="1" t="n">
        <v>46033</v>
      </c>
      <c r="D2304" t="inlineStr">
        <is>
          <t>STOCKHOLMS LÄN</t>
        </is>
      </c>
      <c r="E2304" t="inlineStr">
        <is>
          <t>ÖSTERÅKER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12629-2024</t>
        </is>
      </c>
      <c r="B2305" s="1" t="n">
        <v>45383</v>
      </c>
      <c r="C2305" s="1" t="n">
        <v>46033</v>
      </c>
      <c r="D2305" t="inlineStr">
        <is>
          <t>STOCKHOLMS LÄN</t>
        </is>
      </c>
      <c r="E2305" t="inlineStr">
        <is>
          <t>NORRTÄLJE</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114-2023</t>
        </is>
      </c>
      <c r="B2306" s="1" t="n">
        <v>44918</v>
      </c>
      <c r="C2306" s="1" t="n">
        <v>46033</v>
      </c>
      <c r="D2306" t="inlineStr">
        <is>
          <t>STOCKHOLMS LÄN</t>
        </is>
      </c>
      <c r="E2306" t="inlineStr">
        <is>
          <t>VÄRMDÖ</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35708-2022</t>
        </is>
      </c>
      <c r="B2307" s="1" t="n">
        <v>44799.65013888889</v>
      </c>
      <c r="C2307" s="1" t="n">
        <v>46033</v>
      </c>
      <c r="D2307" t="inlineStr">
        <is>
          <t>STOCKHOLMS LÄN</t>
        </is>
      </c>
      <c r="E2307" t="inlineStr">
        <is>
          <t>NORRTÄLJE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37095-2021</t>
        </is>
      </c>
      <c r="B2308" s="1" t="n">
        <v>44395</v>
      </c>
      <c r="C2308" s="1" t="n">
        <v>46033</v>
      </c>
      <c r="D2308" t="inlineStr">
        <is>
          <t>STOCKHOLMS LÄN</t>
        </is>
      </c>
      <c r="E2308" t="inlineStr">
        <is>
          <t>BOTKYRKA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45220-2024</t>
        </is>
      </c>
      <c r="B2309" s="1" t="n">
        <v>45575</v>
      </c>
      <c r="C2309" s="1" t="n">
        <v>46033</v>
      </c>
      <c r="D2309" t="inlineStr">
        <is>
          <t>STOCKHOLMS LÄN</t>
        </is>
      </c>
      <c r="E2309" t="inlineStr">
        <is>
          <t>NORRTÄLJE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21731-2023</t>
        </is>
      </c>
      <c r="B2310" s="1" t="n">
        <v>45063</v>
      </c>
      <c r="C2310" s="1" t="n">
        <v>46033</v>
      </c>
      <c r="D2310" t="inlineStr">
        <is>
          <t>STOCKHOLMS LÄN</t>
        </is>
      </c>
      <c r="E2310" t="inlineStr">
        <is>
          <t>NORRTÄLJE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23266-2023</t>
        </is>
      </c>
      <c r="B2311" s="1" t="n">
        <v>45075.90817129629</v>
      </c>
      <c r="C2311" s="1" t="n">
        <v>46033</v>
      </c>
      <c r="D2311" t="inlineStr">
        <is>
          <t>STOCKHOLMS LÄN</t>
        </is>
      </c>
      <c r="E2311" t="inlineStr">
        <is>
          <t>NORRTÄLJE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47521-2024</t>
        </is>
      </c>
      <c r="B2312" s="1" t="n">
        <v>45587.62565972222</v>
      </c>
      <c r="C2312" s="1" t="n">
        <v>46033</v>
      </c>
      <c r="D2312" t="inlineStr">
        <is>
          <t>STOCKHOLMS LÄN</t>
        </is>
      </c>
      <c r="E2312" t="inlineStr">
        <is>
          <t>NORRTÄLJE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58260-2023</t>
        </is>
      </c>
      <c r="B2313" s="1" t="n">
        <v>45245</v>
      </c>
      <c r="C2313" s="1" t="n">
        <v>46033</v>
      </c>
      <c r="D2313" t="inlineStr">
        <is>
          <t>STOCKHOLMS LÄN</t>
        </is>
      </c>
      <c r="E2313" t="inlineStr">
        <is>
          <t>NORRTÄLJE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58261-2023</t>
        </is>
      </c>
      <c r="B2314" s="1" t="n">
        <v>45245</v>
      </c>
      <c r="C2314" s="1" t="n">
        <v>46033</v>
      </c>
      <c r="D2314" t="inlineStr">
        <is>
          <t>STOCKHOLMS LÄN</t>
        </is>
      </c>
      <c r="E2314" t="inlineStr">
        <is>
          <t>NORRTÄLJE</t>
        </is>
      </c>
      <c r="G2314" t="n">
        <v>53.5</v>
      </c>
      <c r="H2314" t="n">
        <v>0</v>
      </c>
      <c r="I2314" t="n">
        <v>0</v>
      </c>
      <c r="J2314" t="n">
        <v>0</v>
      </c>
      <c r="K2314" t="n">
        <v>0</v>
      </c>
      <c r="L2314" t="n">
        <v>0</v>
      </c>
      <c r="M2314" t="n">
        <v>0</v>
      </c>
      <c r="N2314" t="n">
        <v>0</v>
      </c>
      <c r="O2314" t="n">
        <v>0</v>
      </c>
      <c r="P2314" t="n">
        <v>0</v>
      </c>
      <c r="Q2314" t="n">
        <v>0</v>
      </c>
      <c r="R2314" s="2" t="inlineStr"/>
    </row>
    <row r="2315" ht="15" customHeight="1">
      <c r="A2315" t="inlineStr">
        <is>
          <t>A 35113-2023</t>
        </is>
      </c>
      <c r="B2315" s="1" t="n">
        <v>45145</v>
      </c>
      <c r="C2315" s="1" t="n">
        <v>46033</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51720-2023</t>
        </is>
      </c>
      <c r="B2316" s="1" t="n">
        <v>45222</v>
      </c>
      <c r="C2316" s="1" t="n">
        <v>46033</v>
      </c>
      <c r="D2316" t="inlineStr">
        <is>
          <t>STOCKHOLMS LÄN</t>
        </is>
      </c>
      <c r="E2316" t="inlineStr">
        <is>
          <t>SALEM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10815-2021</t>
        </is>
      </c>
      <c r="B2317" s="1" t="n">
        <v>44259</v>
      </c>
      <c r="C2317" s="1" t="n">
        <v>46033</v>
      </c>
      <c r="D2317" t="inlineStr">
        <is>
          <t>STOCKHOLMS LÄN</t>
        </is>
      </c>
      <c r="E2317" t="inlineStr">
        <is>
          <t>BOTKYRKA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16734-2025</t>
        </is>
      </c>
      <c r="B2318" s="1" t="n">
        <v>45754.53179398148</v>
      </c>
      <c r="C2318" s="1" t="n">
        <v>46033</v>
      </c>
      <c r="D2318" t="inlineStr">
        <is>
          <t>STOCKHOLMS LÄN</t>
        </is>
      </c>
      <c r="E2318" t="inlineStr">
        <is>
          <t>SIGTUNA</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14008-2021</t>
        </is>
      </c>
      <c r="B2319" s="1" t="n">
        <v>44277</v>
      </c>
      <c r="C2319" s="1" t="n">
        <v>46033</v>
      </c>
      <c r="D2319" t="inlineStr">
        <is>
          <t>STOCKHOLMS LÄN</t>
        </is>
      </c>
      <c r="E2319" t="inlineStr">
        <is>
          <t>VÄRMDÖ</t>
        </is>
      </c>
      <c r="F2319" t="inlineStr">
        <is>
          <t>Övriga statliga verk och myndigheter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52910-2024</t>
        </is>
      </c>
      <c r="B2320" s="1" t="n">
        <v>45610.69866898148</v>
      </c>
      <c r="C2320" s="1" t="n">
        <v>46033</v>
      </c>
      <c r="D2320" t="inlineStr">
        <is>
          <t>STOCKHOLMS LÄN</t>
        </is>
      </c>
      <c r="E2320" t="inlineStr">
        <is>
          <t>NYNÄSHAMN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48839-2023</t>
        </is>
      </c>
      <c r="B2321" s="1" t="n">
        <v>45209</v>
      </c>
      <c r="C2321" s="1" t="n">
        <v>46033</v>
      </c>
      <c r="D2321" t="inlineStr">
        <is>
          <t>STOCKHOLMS LÄN</t>
        </is>
      </c>
      <c r="E2321" t="inlineStr">
        <is>
          <t>EKERÖ</t>
        </is>
      </c>
      <c r="F2321" t="inlineStr">
        <is>
          <t>Kyrkan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29266-2022</t>
        </is>
      </c>
      <c r="B2322" s="1" t="n">
        <v>44750.66068287037</v>
      </c>
      <c r="C2322" s="1" t="n">
        <v>46033</v>
      </c>
      <c r="D2322" t="inlineStr">
        <is>
          <t>STOCKHOLMS LÄN</t>
        </is>
      </c>
      <c r="E2322" t="inlineStr">
        <is>
          <t>NORRTÄLJE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29278-2022</t>
        </is>
      </c>
      <c r="B2323" s="1" t="n">
        <v>44750</v>
      </c>
      <c r="C2323" s="1" t="n">
        <v>46033</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18222-2025</t>
        </is>
      </c>
      <c r="B2324" s="1" t="n">
        <v>45761.7321875</v>
      </c>
      <c r="C2324" s="1" t="n">
        <v>46033</v>
      </c>
      <c r="D2324" t="inlineStr">
        <is>
          <t>STOCKHOLMS LÄN</t>
        </is>
      </c>
      <c r="E2324" t="inlineStr">
        <is>
          <t>NYKVARN</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37273-2024</t>
        </is>
      </c>
      <c r="B2325" s="1" t="n">
        <v>45540</v>
      </c>
      <c r="C2325" s="1" t="n">
        <v>46033</v>
      </c>
      <c r="D2325" t="inlineStr">
        <is>
          <t>STOCKHOLMS LÄN</t>
        </is>
      </c>
      <c r="E2325" t="inlineStr">
        <is>
          <t>NORRTÄLJE</t>
        </is>
      </c>
      <c r="F2325" t="inlineStr">
        <is>
          <t>Sveaskog</t>
        </is>
      </c>
      <c r="G2325" t="n">
        <v>12.5</v>
      </c>
      <c r="H2325" t="n">
        <v>0</v>
      </c>
      <c r="I2325" t="n">
        <v>0</v>
      </c>
      <c r="J2325" t="n">
        <v>0</v>
      </c>
      <c r="K2325" t="n">
        <v>0</v>
      </c>
      <c r="L2325" t="n">
        <v>0</v>
      </c>
      <c r="M2325" t="n">
        <v>0</v>
      </c>
      <c r="N2325" t="n">
        <v>0</v>
      </c>
      <c r="O2325" t="n">
        <v>0</v>
      </c>
      <c r="P2325" t="n">
        <v>0</v>
      </c>
      <c r="Q2325" t="n">
        <v>0</v>
      </c>
      <c r="R2325" s="2" t="inlineStr"/>
    </row>
    <row r="2326" ht="15" customHeight="1">
      <c r="A2326" t="inlineStr">
        <is>
          <t>A 12908-2025</t>
        </is>
      </c>
      <c r="B2326" s="1" t="n">
        <v>45733.82105324074</v>
      </c>
      <c r="C2326" s="1" t="n">
        <v>46033</v>
      </c>
      <c r="D2326" t="inlineStr">
        <is>
          <t>STOCKHOLMS LÄN</t>
        </is>
      </c>
      <c r="E2326" t="inlineStr">
        <is>
          <t>NORRTÄLJE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7264-2022</t>
        </is>
      </c>
      <c r="B2327" s="1" t="n">
        <v>44606</v>
      </c>
      <c r="C2327" s="1" t="n">
        <v>46033</v>
      </c>
      <c r="D2327" t="inlineStr">
        <is>
          <t>STOCKHOLMS LÄN</t>
        </is>
      </c>
      <c r="E2327" t="inlineStr">
        <is>
          <t>VALLENTUNA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23060-2023</t>
        </is>
      </c>
      <c r="B2328" s="1" t="n">
        <v>45075</v>
      </c>
      <c r="C2328" s="1" t="n">
        <v>46033</v>
      </c>
      <c r="D2328" t="inlineStr">
        <is>
          <t>STOCKHOLMS LÄN</t>
        </is>
      </c>
      <c r="E2328" t="inlineStr">
        <is>
          <t>NORRTÄLJE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38771-2021</t>
        </is>
      </c>
      <c r="B2329" s="1" t="n">
        <v>44410</v>
      </c>
      <c r="C2329" s="1" t="n">
        <v>46033</v>
      </c>
      <c r="D2329" t="inlineStr">
        <is>
          <t>STOCKHOLMS LÄN</t>
        </is>
      </c>
      <c r="E2329" t="inlineStr">
        <is>
          <t>NYNÄSHAMN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1187-2024</t>
        </is>
      </c>
      <c r="B2330" s="1" t="n">
        <v>45302.58045138889</v>
      </c>
      <c r="C2330" s="1" t="n">
        <v>46033</v>
      </c>
      <c r="D2330" t="inlineStr">
        <is>
          <t>STOCKHOLMS LÄN</t>
        </is>
      </c>
      <c r="E2330" t="inlineStr">
        <is>
          <t>HANINGE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52773-2024</t>
        </is>
      </c>
      <c r="B2331" s="1" t="n">
        <v>45610.53207175926</v>
      </c>
      <c r="C2331" s="1" t="n">
        <v>46033</v>
      </c>
      <c r="D2331" t="inlineStr">
        <is>
          <t>STOCKHOLMS LÄN</t>
        </is>
      </c>
      <c r="E2331" t="inlineStr">
        <is>
          <t>HANINGE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32103-2022</t>
        </is>
      </c>
      <c r="B2332" s="1" t="n">
        <v>44778</v>
      </c>
      <c r="C2332" s="1" t="n">
        <v>46033</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6401-2024</t>
        </is>
      </c>
      <c r="B2333" s="1" t="n">
        <v>45338</v>
      </c>
      <c r="C2333" s="1" t="n">
        <v>46033</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59504-2023</t>
        </is>
      </c>
      <c r="B2334" s="1" t="n">
        <v>45254</v>
      </c>
      <c r="C2334" s="1" t="n">
        <v>46033</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3827-2022</t>
        </is>
      </c>
      <c r="B2335" s="1" t="n">
        <v>44587</v>
      </c>
      <c r="C2335" s="1" t="n">
        <v>46033</v>
      </c>
      <c r="D2335" t="inlineStr">
        <is>
          <t>STOCKHOLMS LÄN</t>
        </is>
      </c>
      <c r="E2335" t="inlineStr">
        <is>
          <t>VÄRMDÖ</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51770-2023</t>
        </is>
      </c>
      <c r="B2336" s="1" t="n">
        <v>45222.71855324074</v>
      </c>
      <c r="C2336" s="1" t="n">
        <v>46033</v>
      </c>
      <c r="D2336" t="inlineStr">
        <is>
          <t>STOCKHOLMS LÄN</t>
        </is>
      </c>
      <c r="E2336" t="inlineStr">
        <is>
          <t>SIGTUNA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52321-2024</t>
        </is>
      </c>
      <c r="B2337" s="1" t="n">
        <v>45608</v>
      </c>
      <c r="C2337" s="1" t="n">
        <v>46033</v>
      </c>
      <c r="D2337" t="inlineStr">
        <is>
          <t>STOCKHOLMS LÄN</t>
        </is>
      </c>
      <c r="E2337" t="inlineStr">
        <is>
          <t>NORRTÄLJE</t>
        </is>
      </c>
      <c r="G2337" t="n">
        <v>18.1</v>
      </c>
      <c r="H2337" t="n">
        <v>0</v>
      </c>
      <c r="I2337" t="n">
        <v>0</v>
      </c>
      <c r="J2337" t="n">
        <v>0</v>
      </c>
      <c r="K2337" t="n">
        <v>0</v>
      </c>
      <c r="L2337" t="n">
        <v>0</v>
      </c>
      <c r="M2337" t="n">
        <v>0</v>
      </c>
      <c r="N2337" t="n">
        <v>0</v>
      </c>
      <c r="O2337" t="n">
        <v>0</v>
      </c>
      <c r="P2337" t="n">
        <v>0</v>
      </c>
      <c r="Q2337" t="n">
        <v>0</v>
      </c>
      <c r="R2337" s="2" t="inlineStr"/>
    </row>
    <row r="2338" ht="15" customHeight="1">
      <c r="A2338" t="inlineStr">
        <is>
          <t>A 48151-2024</t>
        </is>
      </c>
      <c r="B2338" s="1" t="n">
        <v>45589.68289351852</v>
      </c>
      <c r="C2338" s="1" t="n">
        <v>46033</v>
      </c>
      <c r="D2338" t="inlineStr">
        <is>
          <t>STOCKHOLMS LÄN</t>
        </is>
      </c>
      <c r="E2338" t="inlineStr">
        <is>
          <t>NORRTÄLJE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52963-2022</t>
        </is>
      </c>
      <c r="B2339" s="1" t="n">
        <v>44875</v>
      </c>
      <c r="C2339" s="1" t="n">
        <v>46033</v>
      </c>
      <c r="D2339" t="inlineStr">
        <is>
          <t>STOCKHOLMS LÄN</t>
        </is>
      </c>
      <c r="E2339" t="inlineStr">
        <is>
          <t>NYKVARN</t>
        </is>
      </c>
      <c r="F2339" t="inlineStr">
        <is>
          <t>Allmännings- och besparingsskogar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20370-2025</t>
        </is>
      </c>
      <c r="B2340" s="1" t="n">
        <v>45775.41451388889</v>
      </c>
      <c r="C2340" s="1" t="n">
        <v>46033</v>
      </c>
      <c r="D2340" t="inlineStr">
        <is>
          <t>STOCKHOLMS LÄN</t>
        </is>
      </c>
      <c r="E2340" t="inlineStr">
        <is>
          <t>NORRTÄLJE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19580-2022</t>
        </is>
      </c>
      <c r="B2341" s="1" t="n">
        <v>44693</v>
      </c>
      <c r="C2341" s="1" t="n">
        <v>46033</v>
      </c>
      <c r="D2341" t="inlineStr">
        <is>
          <t>STOCKHOLMS LÄN</t>
        </is>
      </c>
      <c r="E2341" t="inlineStr">
        <is>
          <t>NORRTÄLJE</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35356-2023</t>
        </is>
      </c>
      <c r="B2342" s="1" t="n">
        <v>45146.51179398148</v>
      </c>
      <c r="C2342" s="1" t="n">
        <v>46033</v>
      </c>
      <c r="D2342" t="inlineStr">
        <is>
          <t>STOCKHOLMS LÄN</t>
        </is>
      </c>
      <c r="E2342" t="inlineStr">
        <is>
          <t>NYNÄSHAMN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19356-2025</t>
        </is>
      </c>
      <c r="B2343" s="1" t="n">
        <v>45769.62061342593</v>
      </c>
      <c r="C2343" s="1" t="n">
        <v>46033</v>
      </c>
      <c r="D2343" t="inlineStr">
        <is>
          <t>STOCKHOLMS LÄN</t>
        </is>
      </c>
      <c r="E2343" t="inlineStr">
        <is>
          <t>VALLENTUNA</t>
        </is>
      </c>
      <c r="F2343" t="inlineStr">
        <is>
          <t>Övriga Aktiebolag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30731-2023</t>
        </is>
      </c>
      <c r="B2344" s="1" t="n">
        <v>45112</v>
      </c>
      <c r="C2344" s="1" t="n">
        <v>46033</v>
      </c>
      <c r="D2344" t="inlineStr">
        <is>
          <t>STOCKHOLMS LÄN</t>
        </is>
      </c>
      <c r="E2344" t="inlineStr">
        <is>
          <t>NORRTÄLJE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60755-2024</t>
        </is>
      </c>
      <c r="B2345" s="1" t="n">
        <v>45644.56945601852</v>
      </c>
      <c r="C2345" s="1" t="n">
        <v>46033</v>
      </c>
      <c r="D2345" t="inlineStr">
        <is>
          <t>STOCKHOLMS LÄN</t>
        </is>
      </c>
      <c r="E2345" t="inlineStr">
        <is>
          <t>EKERÖ</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18411-2025</t>
        </is>
      </c>
      <c r="B2346" s="1" t="n">
        <v>45762.61413194444</v>
      </c>
      <c r="C2346" s="1" t="n">
        <v>46033</v>
      </c>
      <c r="D2346" t="inlineStr">
        <is>
          <t>STOCKHOLMS LÄN</t>
        </is>
      </c>
      <c r="E2346" t="inlineStr">
        <is>
          <t>NYNÄSHAMN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4580-2025</t>
        </is>
      </c>
      <c r="B2347" s="1" t="n">
        <v>45687.5038425926</v>
      </c>
      <c r="C2347" s="1" t="n">
        <v>46033</v>
      </c>
      <c r="D2347" t="inlineStr">
        <is>
          <t>STOCKHOLMS LÄN</t>
        </is>
      </c>
      <c r="E2347" t="inlineStr">
        <is>
          <t>NORRTÄLJE</t>
        </is>
      </c>
      <c r="F2347" t="inlineStr">
        <is>
          <t>Holmen skog AB</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31057-2022</t>
        </is>
      </c>
      <c r="B2348" s="1" t="n">
        <v>44769</v>
      </c>
      <c r="C2348" s="1" t="n">
        <v>46033</v>
      </c>
      <c r="D2348" t="inlineStr">
        <is>
          <t>STOCKHOLMS LÄN</t>
        </is>
      </c>
      <c r="E2348" t="inlineStr">
        <is>
          <t>NORRTÄLJE</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64107-2023</t>
        </is>
      </c>
      <c r="B2349" s="1" t="n">
        <v>45279</v>
      </c>
      <c r="C2349" s="1" t="n">
        <v>46033</v>
      </c>
      <c r="D2349" t="inlineStr">
        <is>
          <t>STOCKHOLMS LÄN</t>
        </is>
      </c>
      <c r="E2349" t="inlineStr">
        <is>
          <t>UPPLANDS-BRO</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11950-2025</t>
        </is>
      </c>
      <c r="B2350" s="1" t="n">
        <v>45728.55622685186</v>
      </c>
      <c r="C2350" s="1" t="n">
        <v>46033</v>
      </c>
      <c r="D2350" t="inlineStr">
        <is>
          <t>STOCKHOLMS LÄN</t>
        </is>
      </c>
      <c r="E2350" t="inlineStr">
        <is>
          <t>VALLENTUNA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31684-2022</t>
        </is>
      </c>
      <c r="B2351" s="1" t="n">
        <v>44776</v>
      </c>
      <c r="C2351" s="1" t="n">
        <v>46033</v>
      </c>
      <c r="D2351" t="inlineStr">
        <is>
          <t>STOCKHOLMS LÄN</t>
        </is>
      </c>
      <c r="E2351" t="inlineStr">
        <is>
          <t>SIGTUNA</t>
        </is>
      </c>
      <c r="F2351" t="inlineStr">
        <is>
          <t>Kommuner</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31140-2023</t>
        </is>
      </c>
      <c r="B2352" s="1" t="n">
        <v>45113</v>
      </c>
      <c r="C2352" s="1" t="n">
        <v>46033</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31149-2023</t>
        </is>
      </c>
      <c r="B2353" s="1" t="n">
        <v>45113</v>
      </c>
      <c r="C2353" s="1" t="n">
        <v>46033</v>
      </c>
      <c r="D2353" t="inlineStr">
        <is>
          <t>STOCKHOLMS LÄN</t>
        </is>
      </c>
      <c r="E2353" t="inlineStr">
        <is>
          <t>NORRTÄLJE</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4658-2024</t>
        </is>
      </c>
      <c r="B2354" s="1" t="n">
        <v>45328.46336805556</v>
      </c>
      <c r="C2354" s="1" t="n">
        <v>46033</v>
      </c>
      <c r="D2354" t="inlineStr">
        <is>
          <t>STOCKHOLMS LÄN</t>
        </is>
      </c>
      <c r="E2354" t="inlineStr">
        <is>
          <t>NORRTÄLJE</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19131-2025</t>
        </is>
      </c>
      <c r="B2355" s="1" t="n">
        <v>45769</v>
      </c>
      <c r="C2355" s="1" t="n">
        <v>46033</v>
      </c>
      <c r="D2355" t="inlineStr">
        <is>
          <t>STOCKHOLMS LÄN</t>
        </is>
      </c>
      <c r="E2355" t="inlineStr">
        <is>
          <t>NORRTÄLJE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35966-2024</t>
        </is>
      </c>
      <c r="B2356" s="1" t="n">
        <v>45533</v>
      </c>
      <c r="C2356" s="1" t="n">
        <v>46033</v>
      </c>
      <c r="D2356" t="inlineStr">
        <is>
          <t>STOCKHOLMS LÄN</t>
        </is>
      </c>
      <c r="E2356" t="inlineStr">
        <is>
          <t>SIGTUNA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28815-2024</t>
        </is>
      </c>
      <c r="B2357" s="1" t="n">
        <v>45478</v>
      </c>
      <c r="C2357" s="1" t="n">
        <v>46033</v>
      </c>
      <c r="D2357" t="inlineStr">
        <is>
          <t>STOCKHOLMS LÄN</t>
        </is>
      </c>
      <c r="E2357" t="inlineStr">
        <is>
          <t>VAXHOLM</t>
        </is>
      </c>
      <c r="F2357" t="inlineStr">
        <is>
          <t>Övriga statliga verk och myndigheter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7112-2025</t>
        </is>
      </c>
      <c r="B2358" s="1" t="n">
        <v>45701</v>
      </c>
      <c r="C2358" s="1" t="n">
        <v>46033</v>
      </c>
      <c r="D2358" t="inlineStr">
        <is>
          <t>STOCKHOLMS LÄN</t>
        </is>
      </c>
      <c r="E2358" t="inlineStr">
        <is>
          <t>UPPLANDS-BRO</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14489-2024</t>
        </is>
      </c>
      <c r="B2359" s="1" t="n">
        <v>45394.58053240741</v>
      </c>
      <c r="C2359" s="1" t="n">
        <v>46033</v>
      </c>
      <c r="D2359" t="inlineStr">
        <is>
          <t>STOCKHOLMS LÄN</t>
        </is>
      </c>
      <c r="E2359" t="inlineStr">
        <is>
          <t>VALLENTUNA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7571-2024</t>
        </is>
      </c>
      <c r="B2360" s="1" t="n">
        <v>45348.46300925926</v>
      </c>
      <c r="C2360" s="1" t="n">
        <v>46033</v>
      </c>
      <c r="D2360" t="inlineStr">
        <is>
          <t>STOCKHOLMS LÄN</t>
        </is>
      </c>
      <c r="E2360" t="inlineStr">
        <is>
          <t>NORRTÄLJE</t>
        </is>
      </c>
      <c r="F2360" t="inlineStr">
        <is>
          <t>Holmen skog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47258-2024</t>
        </is>
      </c>
      <c r="B2361" s="1" t="n">
        <v>45586.76025462963</v>
      </c>
      <c r="C2361" s="1" t="n">
        <v>46033</v>
      </c>
      <c r="D2361" t="inlineStr">
        <is>
          <t>STOCKHOLMS LÄN</t>
        </is>
      </c>
      <c r="E2361" t="inlineStr">
        <is>
          <t>NYNÄSHAMN</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15268-2023</t>
        </is>
      </c>
      <c r="B2362" s="1" t="n">
        <v>45019.41045138889</v>
      </c>
      <c r="C2362" s="1" t="n">
        <v>46033</v>
      </c>
      <c r="D2362" t="inlineStr">
        <is>
          <t>STOCKHOLMS LÄN</t>
        </is>
      </c>
      <c r="E2362" t="inlineStr">
        <is>
          <t>VALLENTUNA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61442-2024</t>
        </is>
      </c>
      <c r="B2363" s="1" t="n">
        <v>45646.47003472222</v>
      </c>
      <c r="C2363" s="1" t="n">
        <v>46033</v>
      </c>
      <c r="D2363" t="inlineStr">
        <is>
          <t>STOCKHOLMS LÄN</t>
        </is>
      </c>
      <c r="E2363" t="inlineStr">
        <is>
          <t>VALLENTUNA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48068-2021</t>
        </is>
      </c>
      <c r="B2364" s="1" t="n">
        <v>44449.42270833333</v>
      </c>
      <c r="C2364" s="1" t="n">
        <v>46033</v>
      </c>
      <c r="D2364" t="inlineStr">
        <is>
          <t>STOCKHOLMS LÄN</t>
        </is>
      </c>
      <c r="E2364" t="inlineStr">
        <is>
          <t>VALLENTUNA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61589-2024</t>
        </is>
      </c>
      <c r="B2365" s="1" t="n">
        <v>45646.62961805556</v>
      </c>
      <c r="C2365" s="1" t="n">
        <v>46033</v>
      </c>
      <c r="D2365" t="inlineStr">
        <is>
          <t>STOCKHOLMS LÄN</t>
        </is>
      </c>
      <c r="E2365" t="inlineStr">
        <is>
          <t>SIGTUNA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11849-2025</t>
        </is>
      </c>
      <c r="B2366" s="1" t="n">
        <v>45728.38409722222</v>
      </c>
      <c r="C2366" s="1" t="n">
        <v>46033</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46757-2023</t>
        </is>
      </c>
      <c r="B2367" s="1" t="n">
        <v>45198</v>
      </c>
      <c r="C2367" s="1" t="n">
        <v>46033</v>
      </c>
      <c r="D2367" t="inlineStr">
        <is>
          <t>STOCKHOLMS LÄN</t>
        </is>
      </c>
      <c r="E2367" t="inlineStr">
        <is>
          <t>SIGTUNA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40425-2021</t>
        </is>
      </c>
      <c r="B2368" s="1" t="n">
        <v>44419</v>
      </c>
      <c r="C2368" s="1" t="n">
        <v>46033</v>
      </c>
      <c r="D2368" t="inlineStr">
        <is>
          <t>STOCKHOLMS LÄN</t>
        </is>
      </c>
      <c r="E2368" t="inlineStr">
        <is>
          <t>NORRTÄLJE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13947-2025</t>
        </is>
      </c>
      <c r="B2369" s="1" t="n">
        <v>45737</v>
      </c>
      <c r="C2369" s="1" t="n">
        <v>46033</v>
      </c>
      <c r="D2369" t="inlineStr">
        <is>
          <t>STOCKHOLMS LÄN</t>
        </is>
      </c>
      <c r="E2369" t="inlineStr">
        <is>
          <t>NYNÄSHAMN</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38902-2024</t>
        </is>
      </c>
      <c r="B2370" s="1" t="n">
        <v>45547</v>
      </c>
      <c r="C2370" s="1" t="n">
        <v>46033</v>
      </c>
      <c r="D2370" t="inlineStr">
        <is>
          <t>STOCKHOLMS LÄN</t>
        </is>
      </c>
      <c r="E2370" t="inlineStr">
        <is>
          <t>UPPLANDS-BRO</t>
        </is>
      </c>
      <c r="F2370" t="inlineStr">
        <is>
          <t>Övriga statliga verk och myndigheter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58990-2021</t>
        </is>
      </c>
      <c r="B2371" s="1" t="n">
        <v>44490.03621527777</v>
      </c>
      <c r="C2371" s="1" t="n">
        <v>46033</v>
      </c>
      <c r="D2371" t="inlineStr">
        <is>
          <t>STOCKHOLMS LÄN</t>
        </is>
      </c>
      <c r="E2371" t="inlineStr">
        <is>
          <t>NORRTÄLJE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45499-2023</t>
        </is>
      </c>
      <c r="B2372" s="1" t="n">
        <v>45194</v>
      </c>
      <c r="C2372" s="1" t="n">
        <v>46033</v>
      </c>
      <c r="D2372" t="inlineStr">
        <is>
          <t>STOCKHOLMS LÄN</t>
        </is>
      </c>
      <c r="E2372" t="inlineStr">
        <is>
          <t>VALLENTUNA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23367-2024</t>
        </is>
      </c>
      <c r="B2373" s="1" t="n">
        <v>45453</v>
      </c>
      <c r="C2373" s="1" t="n">
        <v>46033</v>
      </c>
      <c r="D2373" t="inlineStr">
        <is>
          <t>STOCKHOLMS LÄN</t>
        </is>
      </c>
      <c r="E2373" t="inlineStr">
        <is>
          <t>SÖDERTÄLJE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37244-2024</t>
        </is>
      </c>
      <c r="B2374" s="1" t="n">
        <v>45540</v>
      </c>
      <c r="C2374" s="1" t="n">
        <v>46033</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3890-2025</t>
        </is>
      </c>
      <c r="B2375" s="1" t="n">
        <v>45684.36896990741</v>
      </c>
      <c r="C2375" s="1" t="n">
        <v>46033</v>
      </c>
      <c r="D2375" t="inlineStr">
        <is>
          <t>STOCKHOLMS LÄN</t>
        </is>
      </c>
      <c r="E2375" t="inlineStr">
        <is>
          <t>SIGTUNA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9891-2025</t>
        </is>
      </c>
      <c r="B2376" s="1" t="n">
        <v>45716.70479166666</v>
      </c>
      <c r="C2376" s="1" t="n">
        <v>46033</v>
      </c>
      <c r="D2376" t="inlineStr">
        <is>
          <t>STOCKHOLMS LÄN</t>
        </is>
      </c>
      <c r="E2376" t="inlineStr">
        <is>
          <t>SÖDERTÄLJE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1658-2022</t>
        </is>
      </c>
      <c r="B2377" s="1" t="n">
        <v>44574</v>
      </c>
      <c r="C2377" s="1" t="n">
        <v>46033</v>
      </c>
      <c r="D2377" t="inlineStr">
        <is>
          <t>STOCKHOLMS LÄN</t>
        </is>
      </c>
      <c r="E2377" t="inlineStr">
        <is>
          <t>NYNÄSHAMN</t>
        </is>
      </c>
      <c r="F2377" t="inlineStr">
        <is>
          <t>Kommuner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34452-2021</t>
        </is>
      </c>
      <c r="B2378" s="1" t="n">
        <v>44381</v>
      </c>
      <c r="C2378" s="1" t="n">
        <v>46033</v>
      </c>
      <c r="D2378" t="inlineStr">
        <is>
          <t>STOCKHOLMS LÄN</t>
        </is>
      </c>
      <c r="E2378" t="inlineStr">
        <is>
          <t>VALLENTUNA</t>
        </is>
      </c>
      <c r="G2378" t="n">
        <v>14.7</v>
      </c>
      <c r="H2378" t="n">
        <v>0</v>
      </c>
      <c r="I2378" t="n">
        <v>0</v>
      </c>
      <c r="J2378" t="n">
        <v>0</v>
      </c>
      <c r="K2378" t="n">
        <v>0</v>
      </c>
      <c r="L2378" t="n">
        <v>0</v>
      </c>
      <c r="M2378" t="n">
        <v>0</v>
      </c>
      <c r="N2378" t="n">
        <v>0</v>
      </c>
      <c r="O2378" t="n">
        <v>0</v>
      </c>
      <c r="P2378" t="n">
        <v>0</v>
      </c>
      <c r="Q2378" t="n">
        <v>0</v>
      </c>
      <c r="R2378" s="2" t="inlineStr"/>
    </row>
    <row r="2379" ht="15" customHeight="1">
      <c r="A2379" t="inlineStr">
        <is>
          <t>A 20790-2025</t>
        </is>
      </c>
      <c r="B2379" s="1" t="n">
        <v>45776.62563657408</v>
      </c>
      <c r="C2379" s="1" t="n">
        <v>46033</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20791-2025</t>
        </is>
      </c>
      <c r="B2380" s="1" t="n">
        <v>45776.62738425926</v>
      </c>
      <c r="C2380" s="1" t="n">
        <v>46033</v>
      </c>
      <c r="D2380" t="inlineStr">
        <is>
          <t>STOCKHOLMS LÄN</t>
        </is>
      </c>
      <c r="E2380" t="inlineStr">
        <is>
          <t>VALLENTUNA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20699-2025</t>
        </is>
      </c>
      <c r="B2381" s="1" t="n">
        <v>45776.47346064815</v>
      </c>
      <c r="C2381" s="1" t="n">
        <v>46033</v>
      </c>
      <c r="D2381" t="inlineStr">
        <is>
          <t>STOCKHOLMS LÄN</t>
        </is>
      </c>
      <c r="E2381" t="inlineStr">
        <is>
          <t>NORRTÄLJE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10073-2024</t>
        </is>
      </c>
      <c r="B2382" s="1" t="n">
        <v>45364.40821759259</v>
      </c>
      <c r="C2382" s="1" t="n">
        <v>46033</v>
      </c>
      <c r="D2382" t="inlineStr">
        <is>
          <t>STOCKHOLMS LÄN</t>
        </is>
      </c>
      <c r="E2382" t="inlineStr">
        <is>
          <t>VALLENTUNA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43158-2024</t>
        </is>
      </c>
      <c r="B2383" s="1" t="n">
        <v>45567</v>
      </c>
      <c r="C2383" s="1" t="n">
        <v>46033</v>
      </c>
      <c r="D2383" t="inlineStr">
        <is>
          <t>STOCKHOLMS LÄN</t>
        </is>
      </c>
      <c r="E2383" t="inlineStr">
        <is>
          <t>SIGTUNA</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3152-2024</t>
        </is>
      </c>
      <c r="B2384" s="1" t="n">
        <v>45316.60306712963</v>
      </c>
      <c r="C2384" s="1" t="n">
        <v>46033</v>
      </c>
      <c r="D2384" t="inlineStr">
        <is>
          <t>STOCKHOLMS LÄN</t>
        </is>
      </c>
      <c r="E2384" t="inlineStr">
        <is>
          <t>NORRTÄLJE</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59326-2023</t>
        </is>
      </c>
      <c r="B2385" s="1" t="n">
        <v>45253.63089120371</v>
      </c>
      <c r="C2385" s="1" t="n">
        <v>46033</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44836-2023</t>
        </is>
      </c>
      <c r="B2386" s="1" t="n">
        <v>45190.55609953704</v>
      </c>
      <c r="C2386" s="1" t="n">
        <v>46033</v>
      </c>
      <c r="D2386" t="inlineStr">
        <is>
          <t>STOCKHOLMS LÄN</t>
        </is>
      </c>
      <c r="E2386" t="inlineStr">
        <is>
          <t>NORRTÄLJE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24946-2024</t>
        </is>
      </c>
      <c r="B2387" s="1" t="n">
        <v>45461</v>
      </c>
      <c r="C2387" s="1" t="n">
        <v>46033</v>
      </c>
      <c r="D2387" t="inlineStr">
        <is>
          <t>STOCKHOLMS LÄN</t>
        </is>
      </c>
      <c r="E2387" t="inlineStr">
        <is>
          <t>SIGTUNA</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20779-2025</t>
        </is>
      </c>
      <c r="B2388" s="1" t="n">
        <v>45776.59871527777</v>
      </c>
      <c r="C2388" s="1" t="n">
        <v>46033</v>
      </c>
      <c r="D2388" t="inlineStr">
        <is>
          <t>STOCKHOLMS LÄN</t>
        </is>
      </c>
      <c r="E2388" t="inlineStr">
        <is>
          <t>NORRTÄLJE</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12621-2024</t>
        </is>
      </c>
      <c r="B2389" s="1" t="n">
        <v>45383.6325</v>
      </c>
      <c r="C2389" s="1" t="n">
        <v>46033</v>
      </c>
      <c r="D2389" t="inlineStr">
        <is>
          <t>STOCKHOLMS LÄN</t>
        </is>
      </c>
      <c r="E2389" t="inlineStr">
        <is>
          <t>VALLENTUNA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21202-2025</t>
        </is>
      </c>
      <c r="B2390" s="1" t="n">
        <v>45779.47872685185</v>
      </c>
      <c r="C2390" s="1" t="n">
        <v>46033</v>
      </c>
      <c r="D2390" t="inlineStr">
        <is>
          <t>STOCKHOLMS LÄN</t>
        </is>
      </c>
      <c r="E2390" t="inlineStr">
        <is>
          <t>NYNÄSHAMN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21231-2025</t>
        </is>
      </c>
      <c r="B2391" s="1" t="n">
        <v>45779.54644675926</v>
      </c>
      <c r="C2391" s="1" t="n">
        <v>46033</v>
      </c>
      <c r="D2391" t="inlineStr">
        <is>
          <t>STOCKHOLMS LÄN</t>
        </is>
      </c>
      <c r="E2391" t="inlineStr">
        <is>
          <t>HANINGE</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21771-2025</t>
        </is>
      </c>
      <c r="B2392" s="1" t="n">
        <v>45783</v>
      </c>
      <c r="C2392" s="1" t="n">
        <v>46033</v>
      </c>
      <c r="D2392" t="inlineStr">
        <is>
          <t>STOCKHOLMS LÄN</t>
        </is>
      </c>
      <c r="E2392" t="inlineStr">
        <is>
          <t>NORRTÄLJE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21796-2025</t>
        </is>
      </c>
      <c r="B2393" s="1" t="n">
        <v>45783.68135416666</v>
      </c>
      <c r="C2393" s="1" t="n">
        <v>46033</v>
      </c>
      <c r="D2393" t="inlineStr">
        <is>
          <t>STOCKHOLMS LÄN</t>
        </is>
      </c>
      <c r="E2393" t="inlineStr">
        <is>
          <t>ÖSTERÅKER</t>
        </is>
      </c>
      <c r="G2393" t="n">
        <v>2.5</v>
      </c>
      <c r="H2393" t="n">
        <v>0</v>
      </c>
      <c r="I2393" t="n">
        <v>0</v>
      </c>
      <c r="J2393" t="n">
        <v>0</v>
      </c>
      <c r="K2393" t="n">
        <v>0</v>
      </c>
      <c r="L2393" t="n">
        <v>0</v>
      </c>
      <c r="M2393" t="n">
        <v>0</v>
      </c>
      <c r="N2393" t="n">
        <v>0</v>
      </c>
      <c r="O2393" t="n">
        <v>0</v>
      </c>
      <c r="P2393" t="n">
        <v>0</v>
      </c>
      <c r="Q2393" t="n">
        <v>0</v>
      </c>
      <c r="R2393" s="2" t="inlineStr"/>
    </row>
    <row r="2394">
      <c r="A2394" t="inlineStr">
        <is>
          <t>A 21786-2025</t>
        </is>
      </c>
      <c r="B2394" s="1" t="n">
        <v>45783.67215277778</v>
      </c>
      <c r="C2394" s="1" t="n">
        <v>46033</v>
      </c>
      <c r="D2394" t="inlineStr">
        <is>
          <t>STOCKHOLMS LÄN</t>
        </is>
      </c>
      <c r="E2394" t="inlineStr">
        <is>
          <t>ÖSTERÅKER</t>
        </is>
      </c>
      <c r="G2394" t="n">
        <v>3.8</v>
      </c>
      <c r="H2394" t="n">
        <v>0</v>
      </c>
      <c r="I2394" t="n">
        <v>0</v>
      </c>
      <c r="J2394" t="n">
        <v>0</v>
      </c>
      <c r="K2394" t="n">
        <v>0</v>
      </c>
      <c r="L2394" t="n">
        <v>0</v>
      </c>
      <c r="M2394" t="n">
        <v>0</v>
      </c>
      <c r="N2394" t="n">
        <v>0</v>
      </c>
      <c r="O2394" t="n">
        <v>0</v>
      </c>
      <c r="P2394" t="n">
        <v>0</v>
      </c>
      <c r="Q2394" t="n">
        <v>0</v>
      </c>
      <c r="R2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2026-01-11T10:49:10Z</dcterms:created>
  <dcterms:modified xmlns:dcterms="http://purl.org/dc/terms/" xmlns:xsi="http://www.w3.org/2001/XMLSchema-instance" xsi:type="dcterms:W3CDTF">2026-01-11T10:49:12Z</dcterms:modified>
</cp:coreProperties>
</file>
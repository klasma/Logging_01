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46326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46326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46326</v>
      </c>
      <c r="F4" t="inlineStr">
        <is>
          <t>STOCKHOLMS LÄN</t>
        </is>
      </c>
      <c r="G4" t="inlineStr">
        <is>
          <t>HANINGE</t>
        </is>
      </c>
      <c r="I4" t="n">
        <v>19.9</v>
      </c>
      <c r="J4" t="n">
        <v>23</v>
      </c>
      <c r="K4" t="n">
        <v>21</v>
      </c>
      <c r="L4" t="n">
        <v>20</v>
      </c>
      <c r="M4" t="n">
        <v>8</v>
      </c>
      <c r="N4" t="n">
        <v>0</v>
      </c>
      <c r="O4" t="n">
        <v>0</v>
      </c>
      <c r="P4" t="n">
        <v>0</v>
      </c>
      <c r="Q4" t="n">
        <v>28</v>
      </c>
      <c r="R4" t="n">
        <v>8</v>
      </c>
      <c r="S4" t="n">
        <v>66</v>
      </c>
      <c r="T4" t="n">
        <v>303</v>
      </c>
      <c r="U4" t="n">
        <v>168</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A 3151-2025</t>
        </is>
      </c>
      <c r="B5" t="inlineStr">
        <is>
          <t>avverkningsanmälan</t>
        </is>
      </c>
      <c r="C5" t="inlineStr">
        <is>
          <t>Föryngringsavverkning</t>
        </is>
      </c>
      <c r="D5" s="1" t="n">
        <v>45679</v>
      </c>
      <c r="E5" s="1" t="n">
        <v>46326</v>
      </c>
      <c r="F5" t="inlineStr">
        <is>
          <t>STOCKHOLMS LÄN</t>
        </is>
      </c>
      <c r="G5" t="inlineStr">
        <is>
          <t>HANINGE</t>
        </is>
      </c>
      <c r="I5" t="n">
        <v>19.8</v>
      </c>
      <c r="J5" t="n">
        <v>22</v>
      </c>
      <c r="K5" t="n">
        <v>21</v>
      </c>
      <c r="L5" t="n">
        <v>18</v>
      </c>
      <c r="M5" t="n">
        <v>7</v>
      </c>
      <c r="N5" t="n">
        <v>0</v>
      </c>
      <c r="O5" t="n">
        <v>0</v>
      </c>
      <c r="P5" t="n">
        <v>0</v>
      </c>
      <c r="Q5" t="n">
        <v>25</v>
      </c>
      <c r="R5" t="n">
        <v>7</v>
      </c>
      <c r="S5" t="n">
        <v>60</v>
      </c>
      <c r="T5" t="n">
        <v>305</v>
      </c>
      <c r="U5" t="n">
        <v>214</v>
      </c>
      <c r="V5"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5">
        <f>HYPERLINK("https://klasma.github.io/Logging_0136/artfynd/A 3151-2025 artfynd.xlsx", "A 3151-2025")</f>
        <v/>
      </c>
      <c r="X5">
        <f>HYPERLINK("https://klasma.github.io/Logging_0136/kartor/A 3151-2025 karta.png", "A 3151-2025")</f>
        <v/>
      </c>
      <c r="Y5">
        <f>HYPERLINK("https://klasma.github.io/Logging_0136/kartor_geotiff/A 3151-2025 georefererad karta.tif", "A 3151-2025")</f>
        <v/>
      </c>
      <c r="Z5">
        <f>HYPERLINK("https://klasma.github.io/Logging_0136/knärot/A 3151-2025 karta knärot.png", "A 3151-2025")</f>
        <v/>
      </c>
      <c r="AA5">
        <f>HYPERLINK("https://klasma.github.io/Logging_0136/klagomål/A 3151-2025 FSC-klagomål.docx", "A 3151-2025")</f>
        <v/>
      </c>
      <c r="AB5">
        <f>HYPERLINK("https://klasma.github.io/Logging_0136/klagomålsmail/A 3151-2025 FSC-klagomål mail.docx", "A 3151-2025")</f>
        <v/>
      </c>
      <c r="AC5">
        <f>HYPERLINK("https://klasma.github.io/Logging_0136/tillsyn/A 3151-2025 tillsynsbegäran.docx", "A 3151-2025")</f>
        <v/>
      </c>
      <c r="AD5">
        <f>HYPERLINK("https://klasma.github.io/Logging_0136/tillsynsmail/A 3151-2025 tillsynsbegäran mail.docx", "A 3151-2025")</f>
        <v/>
      </c>
      <c r="AE5">
        <f>HYPERLINK("https://klasma.github.io/Logging_0136/fåglar/A 3151-2025 prioriterade fågelarter.docx", "A 3151-2025")</f>
        <v/>
      </c>
    </row>
    <row r="6" ht="15" customHeight="1">
      <c r="A6" t="inlineStr">
        <is>
          <t>S 5521-2022</t>
        </is>
      </c>
      <c r="B6" t="inlineStr">
        <is>
          <t>samrådsanmälan</t>
        </is>
      </c>
      <c r="C6" t="inlineStr">
        <is>
          <t>Annan skogsbruksåtgärd</t>
        </is>
      </c>
      <c r="D6" s="1" t="n">
        <v>44834</v>
      </c>
      <c r="E6" s="1" t="n">
        <v>46326</v>
      </c>
      <c r="F6" t="inlineStr">
        <is>
          <t>STOCKHOLMS LÄN</t>
        </is>
      </c>
      <c r="G6" t="inlineStr">
        <is>
          <t>NORRTÄLJE</t>
        </is>
      </c>
      <c r="H6" t="inlineStr">
        <is>
          <t>Kommuner</t>
        </is>
      </c>
      <c r="I6" t="n">
        <v>12.2</v>
      </c>
      <c r="J6" t="n">
        <v>34</v>
      </c>
      <c r="K6" t="n">
        <v>11</v>
      </c>
      <c r="L6" t="n">
        <v>20</v>
      </c>
      <c r="M6" t="n">
        <v>7</v>
      </c>
      <c r="N6" t="n">
        <v>1</v>
      </c>
      <c r="O6" t="n">
        <v>0</v>
      </c>
      <c r="P6" t="n">
        <v>0</v>
      </c>
      <c r="Q6" t="n">
        <v>28</v>
      </c>
      <c r="R6" t="n">
        <v>8</v>
      </c>
      <c r="S6" t="n">
        <v>60</v>
      </c>
      <c r="T6" t="n">
        <v>101</v>
      </c>
      <c r="U6" t="n">
        <v>37</v>
      </c>
      <c r="V6"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6">
        <f>HYPERLINK("https://klasma.github.io/Logging_0188/artfynd/S 5521-2022 artfynd.xlsx", "S 5521-2022")</f>
        <v/>
      </c>
      <c r="X6">
        <f>HYPERLINK("https://klasma.github.io/Logging_0188/kartor/S 5521-2022 karta.png", "S 5521-2022")</f>
        <v/>
      </c>
      <c r="Y6">
        <f>HYPERLINK("https://klasma.github.io/Logging_0188/kartor_geotiff/S 5521-2022 georefererad karta.tif", "S 5521-2022")</f>
        <v/>
      </c>
      <c r="AA6">
        <f>HYPERLINK("https://klasma.github.io/Logging_0188/klagomål/S 5521-2022 FSC-klagomål.docx", "S 5521-2022")</f>
        <v/>
      </c>
      <c r="AB6">
        <f>HYPERLINK("https://klasma.github.io/Logging_0188/klagomålsmail/S 5521-2022 FSC-klagomål mail.docx", "S 5521-2022")</f>
        <v/>
      </c>
      <c r="AC6">
        <f>HYPERLINK("https://klasma.github.io/Logging_0188/tillsyn/S 5521-2022 tillsynsbegäran.docx", "S 5521-2022")</f>
        <v/>
      </c>
      <c r="AD6">
        <f>HYPERLINK("https://klasma.github.io/Logging_0188/tillsynsmail/S 5521-2022 tillsynsbegäran mail.docx", "S 5521-2022")</f>
        <v/>
      </c>
      <c r="AE6">
        <f>HYPERLINK("https://klasma.github.io/Logging_0188/fåglar/S 5521-2022 prioriterade fågelarter.docx", "S 5521-2022")</f>
        <v/>
      </c>
    </row>
    <row r="7" ht="15" customHeight="1">
      <c r="A7" t="inlineStr">
        <is>
          <t>A 34045-2023</t>
        </is>
      </c>
      <c r="B7" t="inlineStr">
        <is>
          <t>avverkningsanmälan</t>
        </is>
      </c>
      <c r="C7" t="inlineStr">
        <is>
          <t>Föryngringsavverkning</t>
        </is>
      </c>
      <c r="D7" s="1" t="n">
        <v>45135</v>
      </c>
      <c r="E7" s="1" t="n">
        <v>46326</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46326</v>
      </c>
      <c r="F8" t="inlineStr">
        <is>
          <t>STOCKHOLMS LÄN</t>
        </is>
      </c>
      <c r="G8" t="inlineStr">
        <is>
          <t>NORRTÄLJE</t>
        </is>
      </c>
      <c r="I8" t="n">
        <v>35.4</v>
      </c>
      <c r="J8" t="n">
        <v>7</v>
      </c>
      <c r="K8" t="n">
        <v>27</v>
      </c>
      <c r="L8" t="n">
        <v>16</v>
      </c>
      <c r="M8" t="n">
        <v>4</v>
      </c>
      <c r="N8" t="n">
        <v>1</v>
      </c>
      <c r="O8" t="n">
        <v>0</v>
      </c>
      <c r="P8" t="n">
        <v>0</v>
      </c>
      <c r="Q8" t="n">
        <v>21</v>
      </c>
      <c r="R8" t="n">
        <v>5</v>
      </c>
      <c r="S8" t="n">
        <v>54</v>
      </c>
      <c r="T8" t="n">
        <v>96</v>
      </c>
      <c r="U8" t="n">
        <v>36</v>
      </c>
      <c r="V8"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46326</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46326</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17406-2025</t>
        </is>
      </c>
      <c r="B11" t="inlineStr">
        <is>
          <t>avverkningsanmälan</t>
        </is>
      </c>
      <c r="C11" t="inlineStr">
        <is>
          <t>Föryngringsavverkning</t>
        </is>
      </c>
      <c r="D11" s="1" t="n">
        <v>45757</v>
      </c>
      <c r="E11" s="1" t="n">
        <v>46326</v>
      </c>
      <c r="F11" t="inlineStr">
        <is>
          <t>STOCKHOLMS LÄN</t>
        </is>
      </c>
      <c r="G11" t="inlineStr">
        <is>
          <t>NORRTÄLJE</t>
        </is>
      </c>
      <c r="I11" t="n">
        <v>10.8</v>
      </c>
      <c r="J11" t="n">
        <v>8</v>
      </c>
      <c r="K11" t="n">
        <v>16</v>
      </c>
      <c r="L11" t="n">
        <v>12</v>
      </c>
      <c r="M11" t="n">
        <v>7</v>
      </c>
      <c r="N11" t="n">
        <v>4</v>
      </c>
      <c r="O11" t="n">
        <v>0</v>
      </c>
      <c r="P11" t="n">
        <v>0</v>
      </c>
      <c r="Q11" t="n">
        <v>23</v>
      </c>
      <c r="R11" t="n">
        <v>11</v>
      </c>
      <c r="S11" t="n">
        <v>43</v>
      </c>
      <c r="T11" t="n">
        <v>121</v>
      </c>
      <c r="U11" t="n">
        <v>90</v>
      </c>
      <c r="V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11">
        <f>HYPERLINK("https://klasma.github.io/Logging_0188/artfynd/A 17406-2025 artfynd.xlsx", "A 17406-2025")</f>
        <v/>
      </c>
      <c r="X11">
        <f>HYPERLINK("https://klasma.github.io/Logging_0188/kartor/A 17406-2025 karta.png", "A 17406-2025")</f>
        <v/>
      </c>
      <c r="Y11">
        <f>HYPERLINK("https://klasma.github.io/Logging_0188/kartor_geotiff/A 17406-2025 georefererad karta.tif", "A 17406-2025")</f>
        <v/>
      </c>
      <c r="Z11">
        <f>HYPERLINK("https://klasma.github.io/Logging_0188/knärot/A 17406-2025 karta knärot.png", "A 17406-2025")</f>
        <v/>
      </c>
      <c r="AA11">
        <f>HYPERLINK("https://klasma.github.io/Logging_0188/klagomål/A 17406-2025 FSC-klagomål.docx", "A 17406-2025")</f>
        <v/>
      </c>
      <c r="AB11">
        <f>HYPERLINK("https://klasma.github.io/Logging_0188/klagomålsmail/A 17406-2025 FSC-klagomål mail.docx", "A 17406-2025")</f>
        <v/>
      </c>
      <c r="AC11">
        <f>HYPERLINK("https://klasma.github.io/Logging_0188/tillsyn/A 17406-2025 tillsynsbegäran.docx", "A 17406-2025")</f>
        <v/>
      </c>
      <c r="AD11">
        <f>HYPERLINK("https://klasma.github.io/Logging_0188/tillsynsmail/A 17406-2025 tillsynsbegäran mail.docx", "A 17406-2025")</f>
        <v/>
      </c>
      <c r="AE11">
        <f>HYPERLINK("https://klasma.github.io/Logging_0188/fåglar/A 17406-2025 prioriterade fågelarter.docx", "A 17406-2025")</f>
        <v/>
      </c>
    </row>
    <row r="12" ht="15" customHeight="1">
      <c r="A12" t="inlineStr">
        <is>
          <t>S 214-2023</t>
        </is>
      </c>
      <c r="B12" t="inlineStr">
        <is>
          <t>samrådsanmälan</t>
        </is>
      </c>
      <c r="C12" t="inlineStr">
        <is>
          <t>Annan skogsbruksåtgärd</t>
        </is>
      </c>
      <c r="D12" s="1" t="n">
        <v>44946</v>
      </c>
      <c r="E12" s="1" t="n">
        <v>46326</v>
      </c>
      <c r="F12" t="inlineStr">
        <is>
          <t>STOCKHOLMS LÄN</t>
        </is>
      </c>
      <c r="G12" t="inlineStr">
        <is>
          <t>NORRTÄLJE</t>
        </is>
      </c>
      <c r="H12" t="inlineStr">
        <is>
          <t>Kommuner</t>
        </is>
      </c>
      <c r="I12" t="n">
        <v>12.2</v>
      </c>
      <c r="J12" t="n">
        <v>18</v>
      </c>
      <c r="K12" t="n">
        <v>14</v>
      </c>
      <c r="L12" t="n">
        <v>12</v>
      </c>
      <c r="M12" t="n">
        <v>3</v>
      </c>
      <c r="N12" t="n">
        <v>2</v>
      </c>
      <c r="O12" t="n">
        <v>0</v>
      </c>
      <c r="P12" t="n">
        <v>0</v>
      </c>
      <c r="Q12" t="n">
        <v>17</v>
      </c>
      <c r="R12" t="n">
        <v>5</v>
      </c>
      <c r="S12" t="n">
        <v>43</v>
      </c>
      <c r="T12" t="n">
        <v>146</v>
      </c>
      <c r="U12" t="n">
        <v>47</v>
      </c>
      <c r="V12" s="2" t="inlineStr">
        <is>
          <t>Ask
Skogsalm
Grönfink
Gulvit blekspik
Stare
Adam och eva
Blåhake
Ekticka
Entita
Järnsparv
Ladusvala
Lunglav
Mindre hackspett
Oxtungssvamp
Tallticka
Vårärt
Älg
Barkticka
Brandticka
Fällmossa
Guldlockmossa
Hasselticka
Igelkottsröksvamp
Liten baronmossa
Lönnlav
Mörk husmossa
Platt fjädermossa
Stubbspretmossa
Svart trolldruva
Traslav
Vätteros
Blåsippa
Krushättemossa
Skriftlav
Spillkråka
Gröngöling
Kråka
Kungsfågel
Svartvit flugsnappare
Sävsparv
Sångsvan
Trana
Vanlig snok</t>
        </is>
      </c>
      <c r="W12">
        <f>HYPERLINK("https://klasma.github.io/Logging_0188/artfynd/S 214-2023 artfynd.xlsx", "S 214-2023")</f>
        <v/>
      </c>
      <c r="X12">
        <f>HYPERLINK("https://klasma.github.io/Logging_0188/kartor/S 214-2023 karta.png", "S 214-2023")</f>
        <v/>
      </c>
      <c r="Y12">
        <f>HYPERLINK("https://klasma.github.io/Logging_0188/kartor_geotiff/S 214-2023 georefererad karta.tif", "S 214-2023")</f>
        <v/>
      </c>
      <c r="AA12">
        <f>HYPERLINK("https://klasma.github.io/Logging_0188/klagomål/S 214-2023 FSC-klagomål.docx", "S 214-2023")</f>
        <v/>
      </c>
      <c r="AB12">
        <f>HYPERLINK("https://klasma.github.io/Logging_0188/klagomålsmail/S 214-2023 FSC-klagomål mail.docx", "S 214-2023")</f>
        <v/>
      </c>
      <c r="AC12">
        <f>HYPERLINK("https://klasma.github.io/Logging_0188/tillsyn/S 214-2023 tillsynsbegäran.docx", "S 214-2023")</f>
        <v/>
      </c>
      <c r="AD12">
        <f>HYPERLINK("https://klasma.github.io/Logging_0188/tillsynsmail/S 214-2023 tillsynsbegäran mail.docx", "S 214-2023")</f>
        <v/>
      </c>
      <c r="AE12">
        <f>HYPERLINK("https://klasma.github.io/Logging_0188/fåglar/S 214-2023 prioriterade fågelarter.docx", "S 214-2023")</f>
        <v/>
      </c>
    </row>
    <row r="13" ht="15" customHeight="1">
      <c r="A13" t="inlineStr">
        <is>
          <t>A 50183-2023</t>
        </is>
      </c>
      <c r="B13" t="inlineStr">
        <is>
          <t>avverkningsanmälan</t>
        </is>
      </c>
      <c r="C13" t="inlineStr">
        <is>
          <t>Föryngringsavverkning</t>
        </is>
      </c>
      <c r="D13" s="1" t="n">
        <v>45208</v>
      </c>
      <c r="E13" s="1" t="n">
        <v>46326</v>
      </c>
      <c r="F13" t="inlineStr">
        <is>
          <t>STOCKHOLMS LÄN</t>
        </is>
      </c>
      <c r="G13" t="inlineStr">
        <is>
          <t>VALLENTUNA</t>
        </is>
      </c>
      <c r="I13" t="n">
        <v>5.6</v>
      </c>
      <c r="J13" t="n">
        <v>9</v>
      </c>
      <c r="K13" t="n">
        <v>18</v>
      </c>
      <c r="L13" t="n">
        <v>17</v>
      </c>
      <c r="M13" t="n">
        <v>3</v>
      </c>
      <c r="N13" t="n">
        <v>0</v>
      </c>
      <c r="O13" t="n">
        <v>0</v>
      </c>
      <c r="P13" t="n">
        <v>0</v>
      </c>
      <c r="Q13" t="n">
        <v>20</v>
      </c>
      <c r="R13" t="n">
        <v>3</v>
      </c>
      <c r="S13" t="n">
        <v>42</v>
      </c>
      <c r="T13" t="n">
        <v>236</v>
      </c>
      <c r="U13" t="n">
        <v>168</v>
      </c>
      <c r="V1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3">
        <f>HYPERLINK("https://klasma.github.io/Logging_0115/artfynd/A 50183-2023 artfynd.xlsx", "A 50183-2023")</f>
        <v/>
      </c>
      <c r="X13">
        <f>HYPERLINK("https://klasma.github.io/Logging_0115/kartor/A 50183-2023 karta.png", "A 50183-2023")</f>
        <v/>
      </c>
      <c r="Y13">
        <f>HYPERLINK("https://klasma.github.io/Logging_0115/kartor_geotiff/A 50183-2023 georefererad karta.tif", "A 50183-2023")</f>
        <v/>
      </c>
      <c r="Z13">
        <f>HYPERLINK("https://klasma.github.io/Logging_0115/knärot/A 50183-2023 karta knärot.png", "A 50183-2023")</f>
        <v/>
      </c>
      <c r="AA13">
        <f>HYPERLINK("https://klasma.github.io/Logging_0115/klagomål/A 50183-2023 FSC-klagomål.docx", "A 50183-2023")</f>
        <v/>
      </c>
      <c r="AB13">
        <f>HYPERLINK("https://klasma.github.io/Logging_0115/klagomålsmail/A 50183-2023 FSC-klagomål mail.docx", "A 50183-2023")</f>
        <v/>
      </c>
      <c r="AC13">
        <f>HYPERLINK("https://klasma.github.io/Logging_0115/tillsyn/A 50183-2023 tillsynsbegäran.docx", "A 50183-2023")</f>
        <v/>
      </c>
      <c r="AD13">
        <f>HYPERLINK("https://klasma.github.io/Logging_0115/tillsynsmail/A 50183-2023 tillsynsbegäran mail.docx", "A 50183-2023")</f>
        <v/>
      </c>
      <c r="AE13">
        <f>HYPERLINK("https://klasma.github.io/Logging_0115/fåglar/A 50183-2023 prioriterade fågelarter.docx", "A 50183-2023")</f>
        <v/>
      </c>
    </row>
    <row r="14" ht="15" customHeight="1">
      <c r="A14" t="inlineStr">
        <is>
          <t>A 9538-2024</t>
        </is>
      </c>
      <c r="B14" t="inlineStr">
        <is>
          <t>avverkningsanmälan</t>
        </is>
      </c>
      <c r="C14" t="inlineStr">
        <is>
          <t>Föryngringsavverkning</t>
        </is>
      </c>
      <c r="D14" s="1" t="n">
        <v>45359</v>
      </c>
      <c r="E14" s="1" t="n">
        <v>46326</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30799-2025</t>
        </is>
      </c>
      <c r="B15" t="inlineStr">
        <is>
          <t>avverkningsanmälan</t>
        </is>
      </c>
      <c r="C15" t="inlineStr">
        <is>
          <t>Föryngringsavverkning</t>
        </is>
      </c>
      <c r="D15" s="1" t="n">
        <v>45831</v>
      </c>
      <c r="E15" s="1" t="n">
        <v>46326</v>
      </c>
      <c r="F15" t="inlineStr">
        <is>
          <t>STOCKHOLMS LÄN</t>
        </is>
      </c>
      <c r="G15" t="inlineStr">
        <is>
          <t>NORRTÄLJE</t>
        </is>
      </c>
      <c r="H15" t="inlineStr">
        <is>
          <t>Holmen skog AB</t>
        </is>
      </c>
      <c r="I15" t="n">
        <v>7.9</v>
      </c>
      <c r="J15" t="n">
        <v>4</v>
      </c>
      <c r="K15" t="n">
        <v>10</v>
      </c>
      <c r="L15" t="n">
        <v>16</v>
      </c>
      <c r="M15" t="n">
        <v>7</v>
      </c>
      <c r="N15" t="n">
        <v>0</v>
      </c>
      <c r="O15" t="n">
        <v>0</v>
      </c>
      <c r="P15" t="n">
        <v>0</v>
      </c>
      <c r="Q15" t="n">
        <v>23</v>
      </c>
      <c r="R15" t="n">
        <v>7</v>
      </c>
      <c r="S15" t="n">
        <v>35</v>
      </c>
      <c r="T15" t="n">
        <v>75</v>
      </c>
      <c r="U15" t="n">
        <v>72</v>
      </c>
      <c r="V15"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5">
        <f>HYPERLINK("https://klasma.github.io/Logging_0188/artfynd/A 30799-2025 artfynd.xlsx", "A 30799-2025")</f>
        <v/>
      </c>
      <c r="X15">
        <f>HYPERLINK("https://klasma.github.io/Logging_0188/kartor/A 30799-2025 karta.png", "A 30799-2025")</f>
        <v/>
      </c>
      <c r="Y15">
        <f>HYPERLINK("https://klasma.github.io/Logging_0188/kartor_geotiff/A 30799-2025 georefererad karta.tif", "A 30799-2025")</f>
        <v/>
      </c>
      <c r="AA15">
        <f>HYPERLINK("https://klasma.github.io/Logging_0188/klagomål/A 30799-2025 FSC-klagomål.docx", "A 30799-2025")</f>
        <v/>
      </c>
      <c r="AB15">
        <f>HYPERLINK("https://klasma.github.io/Logging_0188/klagomålsmail/A 30799-2025 FSC-klagomål mail.docx", "A 30799-2025")</f>
        <v/>
      </c>
      <c r="AC15">
        <f>HYPERLINK("https://klasma.github.io/Logging_0188/tillsyn/A 30799-2025 tillsynsbegäran.docx", "A 30799-2025")</f>
        <v/>
      </c>
      <c r="AD15">
        <f>HYPERLINK("https://klasma.github.io/Logging_0188/tillsynsmail/A 30799-2025 tillsynsbegäran mail.docx", "A 30799-2025")</f>
        <v/>
      </c>
    </row>
    <row r="16" ht="15" customHeight="1">
      <c r="A16" t="inlineStr">
        <is>
          <t>A 17645-2026</t>
        </is>
      </c>
      <c r="B16" t="inlineStr">
        <is>
          <t>avverkningsanmälan</t>
        </is>
      </c>
      <c r="C16" t="inlineStr">
        <is>
          <t>Föryngringsavverkning</t>
        </is>
      </c>
      <c r="D16" s="1" t="n">
        <v>46121</v>
      </c>
      <c r="E16" s="1" t="n">
        <v>46326</v>
      </c>
      <c r="F16" t="inlineStr">
        <is>
          <t>STOCKHOLMS LÄN</t>
        </is>
      </c>
      <c r="G16" t="inlineStr">
        <is>
          <t>NORRTÄLJE</t>
        </is>
      </c>
      <c r="I16" t="n">
        <v>8.199999999999999</v>
      </c>
      <c r="J16" t="n">
        <v>9</v>
      </c>
      <c r="K16" t="n">
        <v>8</v>
      </c>
      <c r="L16" t="n">
        <v>11</v>
      </c>
      <c r="M16" t="n">
        <v>5</v>
      </c>
      <c r="N16" t="n">
        <v>2</v>
      </c>
      <c r="O16" t="n">
        <v>0</v>
      </c>
      <c r="P16" t="n">
        <v>0</v>
      </c>
      <c r="Q16" t="n">
        <v>18</v>
      </c>
      <c r="R16" t="n">
        <v>7</v>
      </c>
      <c r="S16" t="n">
        <v>34</v>
      </c>
      <c r="T16" t="n">
        <v>124</v>
      </c>
      <c r="U16" t="n">
        <v>89</v>
      </c>
      <c r="V16"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16">
        <f>HYPERLINK("https://klasma.github.io/Logging_0188/artfynd/A 17645-2026 artfynd.xlsx", "A 17645-2026")</f>
        <v/>
      </c>
      <c r="X16">
        <f>HYPERLINK("https://klasma.github.io/Logging_0188/kartor/A 17645-2026 karta.png", "A 17645-2026")</f>
        <v/>
      </c>
      <c r="Y16">
        <f>HYPERLINK("https://klasma.github.io/Logging_0188/kartor_geotiff/A 17645-2026 georefererad karta.tif", "A 17645-2026")</f>
        <v/>
      </c>
      <c r="Z16">
        <f>HYPERLINK("https://klasma.github.io/Logging_0188/knärot/A 17645-2026 karta knärot.png", "A 17645-2026")</f>
        <v/>
      </c>
      <c r="AA16">
        <f>HYPERLINK("https://klasma.github.io/Logging_0188/klagomål/A 17645-2026 FSC-klagomål.docx", "A 17645-2026")</f>
        <v/>
      </c>
      <c r="AB16">
        <f>HYPERLINK("https://klasma.github.io/Logging_0188/klagomålsmail/A 17645-2026 FSC-klagomål mail.docx", "A 17645-2026")</f>
        <v/>
      </c>
      <c r="AC16">
        <f>HYPERLINK("https://klasma.github.io/Logging_0188/tillsyn/A 17645-2026 tillsynsbegäran.docx", "A 17645-2026")</f>
        <v/>
      </c>
      <c r="AD16">
        <f>HYPERLINK("https://klasma.github.io/Logging_0188/tillsynsmail/A 17645-2026 tillsynsbegäran mail.docx", "A 17645-2026")</f>
        <v/>
      </c>
      <c r="AE16">
        <f>HYPERLINK("https://klasma.github.io/Logging_0188/fåglar/A 17645-2026 prioriterade fågelarter.docx", "A 17645-2026")</f>
        <v/>
      </c>
    </row>
    <row r="17" ht="15" customHeight="1">
      <c r="A17" t="inlineStr">
        <is>
          <t>A 9472-2025</t>
        </is>
      </c>
      <c r="B17" t="inlineStr">
        <is>
          <t>avverkningsanmälan</t>
        </is>
      </c>
      <c r="C17" t="inlineStr">
        <is>
          <t>Föryngringsavverkning</t>
        </is>
      </c>
      <c r="D17" s="1" t="n">
        <v>45715</v>
      </c>
      <c r="E17" s="1" t="n">
        <v>46326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25731-2025</t>
        </is>
      </c>
      <c r="B18" t="inlineStr">
        <is>
          <t>avverkningsanmälan</t>
        </is>
      </c>
      <c r="C18" t="inlineStr">
        <is>
          <t>Föryngringsavverkning</t>
        </is>
      </c>
      <c r="D18" s="1" t="n">
        <v>45800</v>
      </c>
      <c r="E18" s="1" t="n">
        <v>46326</v>
      </c>
      <c r="F18" t="inlineStr">
        <is>
          <t>STOCKHOLMS LÄN</t>
        </is>
      </c>
      <c r="G18" t="inlineStr">
        <is>
          <t>NORRTÄLJE</t>
        </is>
      </c>
      <c r="I18" t="n">
        <v>11.9</v>
      </c>
      <c r="J18" t="n">
        <v>8</v>
      </c>
      <c r="K18" t="n">
        <v>10</v>
      </c>
      <c r="L18" t="n">
        <v>10</v>
      </c>
      <c r="M18" t="n">
        <v>3</v>
      </c>
      <c r="N18" t="n">
        <v>0</v>
      </c>
      <c r="O18" t="n">
        <v>0</v>
      </c>
      <c r="P18" t="n">
        <v>0</v>
      </c>
      <c r="Q18" t="n">
        <v>13</v>
      </c>
      <c r="R18" t="n">
        <v>3</v>
      </c>
      <c r="S18" t="n">
        <v>31</v>
      </c>
      <c r="T18" t="n">
        <v>84</v>
      </c>
      <c r="U18" t="n">
        <v>80</v>
      </c>
      <c r="V1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8">
        <f>HYPERLINK("https://klasma.github.io/Logging_0188/artfynd/A 25731-2025 artfynd.xlsx", "A 25731-2025")</f>
        <v/>
      </c>
      <c r="X18">
        <f>HYPERLINK("https://klasma.github.io/Logging_0188/kartor/A 25731-2025 karta.png", "A 25731-2025")</f>
        <v/>
      </c>
      <c r="Y18">
        <f>HYPERLINK("https://klasma.github.io/Logging_0188/kartor_geotiff/A 25731-2025 georefererad karta.tif", "A 25731-2025")</f>
        <v/>
      </c>
      <c r="Z18">
        <f>HYPERLINK("https://klasma.github.io/Logging_0188/knärot/A 25731-2025 karta knärot.png", "A 25731-2025")</f>
        <v/>
      </c>
      <c r="AA18">
        <f>HYPERLINK("https://klasma.github.io/Logging_0188/klagomål/A 25731-2025 FSC-klagomål.docx", "A 25731-2025")</f>
        <v/>
      </c>
      <c r="AB18">
        <f>HYPERLINK("https://klasma.github.io/Logging_0188/klagomålsmail/A 25731-2025 FSC-klagomål mail.docx", "A 25731-2025")</f>
        <v/>
      </c>
      <c r="AC18">
        <f>HYPERLINK("https://klasma.github.io/Logging_0188/tillsyn/A 25731-2025 tillsynsbegäran.docx", "A 25731-2025")</f>
        <v/>
      </c>
      <c r="AD18">
        <f>HYPERLINK("https://klasma.github.io/Logging_0188/tillsynsmail/A 25731-2025 tillsynsbegäran mail.docx", "A 25731-2025")</f>
        <v/>
      </c>
      <c r="AE18">
        <f>HYPERLINK("https://klasma.github.io/Logging_0188/fåglar/A 25731-2025 prioriterade fågelarter.docx", "A 25731-2025")</f>
        <v/>
      </c>
    </row>
    <row r="19" ht="15" customHeight="1">
      <c r="A19" t="inlineStr">
        <is>
          <t>A 44309-2025</t>
        </is>
      </c>
      <c r="B19" t="inlineStr">
        <is>
          <t>avverkningsanmälan</t>
        </is>
      </c>
      <c r="C19" t="inlineStr">
        <is>
          <t>Avverkning för att bevara och utveckla /försöksver</t>
        </is>
      </c>
      <c r="D19" s="1" t="n">
        <v>45916</v>
      </c>
      <c r="E19" s="1" t="n">
        <v>46326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S 2590-2025</t>
        </is>
      </c>
      <c r="B20" t="inlineStr">
        <is>
          <t>samrådsanmälan</t>
        </is>
      </c>
      <c r="C20" t="inlineStr">
        <is>
          <t>Annan skogsbruksåtgärd</t>
        </is>
      </c>
      <c r="D20" s="1" t="n">
        <v>45916</v>
      </c>
      <c r="E20" s="1" t="n">
        <v>46326</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46326</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46326</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46326</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46326</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46326</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46326</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46326</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46326</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46326</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46326</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30156-2022</t>
        </is>
      </c>
      <c r="B31" t="inlineStr">
        <is>
          <t>avverkningsanmälan</t>
        </is>
      </c>
      <c r="C31" t="inlineStr">
        <is>
          <t>Föryngringsavverkning</t>
        </is>
      </c>
      <c r="D31" s="1" t="n">
        <v>44757</v>
      </c>
      <c r="E31" s="1" t="n">
        <v>46326</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50326-2024</t>
        </is>
      </c>
      <c r="B32" t="inlineStr">
        <is>
          <t>avverkningsanmälan</t>
        </is>
      </c>
      <c r="C32" t="inlineStr">
        <is>
          <t>Avverkning för att bevara och utveckla /försöksver</t>
        </is>
      </c>
      <c r="D32" s="1" t="n">
        <v>45600</v>
      </c>
      <c r="E32" s="1" t="n">
        <v>46326</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67868-2021</t>
        </is>
      </c>
      <c r="B33" t="inlineStr">
        <is>
          <t>avverkningsanmälan</t>
        </is>
      </c>
      <c r="C33" t="inlineStr">
        <is>
          <t>Föryngringsavverkning</t>
        </is>
      </c>
      <c r="D33" s="1" t="n">
        <v>44525</v>
      </c>
      <c r="E33" s="1" t="n">
        <v>46326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46326</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46326</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A 21853-2022</t>
        </is>
      </c>
      <c r="B36" t="inlineStr">
        <is>
          <t>avverkningsanmälan</t>
        </is>
      </c>
      <c r="C36" t="inlineStr">
        <is>
          <t>Föryngringsavverkning</t>
        </is>
      </c>
      <c r="D36" s="1" t="n">
        <v>44709</v>
      </c>
      <c r="E36" s="1" t="n">
        <v>46326</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46326</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S 2313-2020</t>
        </is>
      </c>
      <c r="B38" t="inlineStr">
        <is>
          <t>samrådsanmälan</t>
        </is>
      </c>
      <c r="C38" t="inlineStr">
        <is>
          <t>Åtgärd i nyckelbiotop</t>
        </is>
      </c>
      <c r="D38" s="1" t="n">
        <v>44133</v>
      </c>
      <c r="E38" s="1" t="n">
        <v>46326</v>
      </c>
      <c r="F38" t="inlineStr">
        <is>
          <t>STOCKHOLMS LÄN</t>
        </is>
      </c>
      <c r="G38" t="inlineStr">
        <is>
          <t>NORRTÄLJE</t>
        </is>
      </c>
      <c r="I38" t="n">
        <v>6.3</v>
      </c>
      <c r="J38" t="n">
        <v>2</v>
      </c>
      <c r="K38" t="n">
        <v>5</v>
      </c>
      <c r="L38" t="n">
        <v>9</v>
      </c>
      <c r="M38" t="n">
        <v>5</v>
      </c>
      <c r="N38" t="n">
        <v>2</v>
      </c>
      <c r="O38" t="n">
        <v>0</v>
      </c>
      <c r="P38" t="n">
        <v>0</v>
      </c>
      <c r="Q38" t="n">
        <v>16</v>
      </c>
      <c r="R38" t="n">
        <v>7</v>
      </c>
      <c r="S38" t="n">
        <v>23</v>
      </c>
      <c r="T38" t="n">
        <v>56</v>
      </c>
      <c r="U38" t="n">
        <v>9</v>
      </c>
      <c r="V3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38">
        <f>HYPERLINK("https://klasma.github.io/Logging_0188/artfynd/S 2313-2020 artfynd.xlsx", "S 2313-2020")</f>
        <v/>
      </c>
      <c r="X38">
        <f>HYPERLINK("https://klasma.github.io/Logging_0188/kartor/S 2313-2020 karta.png", "S 2313-2020")</f>
        <v/>
      </c>
      <c r="Y38">
        <f>HYPERLINK("https://klasma.github.io/Logging_0188/kartor_geotiff/S 2313-2020 georefererad karta.tif", "S 2313-2020")</f>
        <v/>
      </c>
      <c r="AA38">
        <f>HYPERLINK("https://klasma.github.io/Logging_0188/klagomål/S 2313-2020 FSC-klagomål.docx", "S 2313-2020")</f>
        <v/>
      </c>
      <c r="AB38">
        <f>HYPERLINK("https://klasma.github.io/Logging_0188/klagomålsmail/S 2313-2020 FSC-klagomål mail.docx", "S 2313-2020")</f>
        <v/>
      </c>
      <c r="AC38">
        <f>HYPERLINK("https://klasma.github.io/Logging_0188/tillsyn/S 2313-2020 tillsynsbegäran.docx", "S 2313-2020")</f>
        <v/>
      </c>
      <c r="AD38">
        <f>HYPERLINK("https://klasma.github.io/Logging_0188/tillsynsmail/S 2313-2020 tillsynsbegäran mail.docx", "S 2313-2020")</f>
        <v/>
      </c>
      <c r="AE38">
        <f>HYPERLINK("https://klasma.github.io/Logging_0188/fåglar/S 2313-2020 prioriterade fågelarter.docx", "S 2313-2020")</f>
        <v/>
      </c>
    </row>
    <row r="39" ht="15" customHeight="1">
      <c r="A39" t="inlineStr">
        <is>
          <t>A 67894-2021</t>
        </is>
      </c>
      <c r="B39" t="inlineStr">
        <is>
          <t>avverkningsanmälan</t>
        </is>
      </c>
      <c r="C39" t="inlineStr">
        <is>
          <t>Föryngringsavverkning</t>
        </is>
      </c>
      <c r="D39" s="1" t="n">
        <v>44525</v>
      </c>
      <c r="E39" s="1" t="n">
        <v>46326</v>
      </c>
      <c r="F39" t="inlineStr">
        <is>
          <t>STOCKHOLMS LÄN</t>
        </is>
      </c>
      <c r="G39" t="inlineStr">
        <is>
          <t>HANINGE</t>
        </is>
      </c>
      <c r="I39" t="n">
        <v>5.1</v>
      </c>
      <c r="J39" t="n">
        <v>4</v>
      </c>
      <c r="K39" t="n">
        <v>10</v>
      </c>
      <c r="L39" t="n">
        <v>9</v>
      </c>
      <c r="M39" t="n">
        <v>1</v>
      </c>
      <c r="N39" t="n">
        <v>0</v>
      </c>
      <c r="O39" t="n">
        <v>0</v>
      </c>
      <c r="P39" t="n">
        <v>0</v>
      </c>
      <c r="Q39" t="n">
        <v>10</v>
      </c>
      <c r="R39" t="n">
        <v>1</v>
      </c>
      <c r="S39" t="n">
        <v>22</v>
      </c>
      <c r="T39" t="n">
        <v>48</v>
      </c>
      <c r="U39" t="n">
        <v>48</v>
      </c>
      <c r="V3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39">
        <f>HYPERLINK("https://klasma.github.io/Logging_0136/artfynd/A 67894-2021 artfynd.xlsx", "A 67894-2021")</f>
        <v/>
      </c>
      <c r="X39">
        <f>HYPERLINK("https://klasma.github.io/Logging_0136/kartor/A 67894-2021 karta.png", "A 67894-2021")</f>
        <v/>
      </c>
      <c r="Y39">
        <f>HYPERLINK("https://klasma.github.io/Logging_0136/kartor_geotiff/A 67894-2021 georefererad karta.tif", "A 67894-2021")</f>
        <v/>
      </c>
      <c r="AA39">
        <f>HYPERLINK("https://klasma.github.io/Logging_0136/klagomål/A 67894-2021 FSC-klagomål.docx", "A 67894-2021")</f>
        <v/>
      </c>
      <c r="AB39">
        <f>HYPERLINK("https://klasma.github.io/Logging_0136/klagomålsmail/A 67894-2021 FSC-klagomål mail.docx", "A 67894-2021")</f>
        <v/>
      </c>
      <c r="AC39">
        <f>HYPERLINK("https://klasma.github.io/Logging_0136/tillsyn/A 67894-2021 tillsynsbegäran.docx", "A 67894-2021")</f>
        <v/>
      </c>
      <c r="AD39">
        <f>HYPERLINK("https://klasma.github.io/Logging_0136/tillsynsmail/A 67894-2021 tillsynsbegäran mail.docx", "A 67894-2021")</f>
        <v/>
      </c>
      <c r="AE39">
        <f>HYPERLINK("https://klasma.github.io/Logging_0136/fåglar/A 67894-2021 prioriterade fågelarter.docx", "A 67894-2021")</f>
        <v/>
      </c>
    </row>
    <row r="40" ht="15" customHeight="1">
      <c r="A40" t="inlineStr">
        <is>
          <t>A 21927-2025</t>
        </is>
      </c>
      <c r="B40" t="inlineStr">
        <is>
          <t>avverkningsanmälan</t>
        </is>
      </c>
      <c r="C40" t="inlineStr">
        <is>
          <t>Föryngringsavverkning</t>
        </is>
      </c>
      <c r="D40" s="1" t="n">
        <v>45784</v>
      </c>
      <c r="E40" s="1" t="n">
        <v>46326</v>
      </c>
      <c r="F40" t="inlineStr">
        <is>
          <t>STOCKHOLMS LÄN</t>
        </is>
      </c>
      <c r="G40" t="inlineStr">
        <is>
          <t>NORRTÄLJE</t>
        </is>
      </c>
      <c r="I40" t="n">
        <v>3.4</v>
      </c>
      <c r="J40" t="n">
        <v>5</v>
      </c>
      <c r="K40" t="n">
        <v>6</v>
      </c>
      <c r="L40" t="n">
        <v>8</v>
      </c>
      <c r="M40" t="n">
        <v>3</v>
      </c>
      <c r="N40" t="n">
        <v>0</v>
      </c>
      <c r="O40" t="n">
        <v>0</v>
      </c>
      <c r="P40" t="n">
        <v>0</v>
      </c>
      <c r="Q40" t="n">
        <v>12</v>
      </c>
      <c r="R40" t="n">
        <v>3</v>
      </c>
      <c r="S40" t="n">
        <v>22</v>
      </c>
      <c r="T40" t="n">
        <v>38</v>
      </c>
      <c r="U40" t="n">
        <v>38</v>
      </c>
      <c r="V4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0">
        <f>HYPERLINK("https://klasma.github.io/Logging_0188/artfynd/A 21927-2025 artfynd.xlsx", "A 21927-2025")</f>
        <v/>
      </c>
      <c r="X40">
        <f>HYPERLINK("https://klasma.github.io/Logging_0188/kartor/A 21927-2025 karta.png", "A 21927-2025")</f>
        <v/>
      </c>
      <c r="Y40">
        <f>HYPERLINK("https://klasma.github.io/Logging_0188/kartor_geotiff/A 21927-2025 georefererad karta.tif", "A 21927-2025")</f>
        <v/>
      </c>
      <c r="AA40">
        <f>HYPERLINK("https://klasma.github.io/Logging_0188/klagomål/A 21927-2025 FSC-klagomål.docx", "A 21927-2025")</f>
        <v/>
      </c>
      <c r="AB40">
        <f>HYPERLINK("https://klasma.github.io/Logging_0188/klagomålsmail/A 21927-2025 FSC-klagomål mail.docx", "A 21927-2025")</f>
        <v/>
      </c>
      <c r="AC40">
        <f>HYPERLINK("https://klasma.github.io/Logging_0188/tillsyn/A 21927-2025 tillsynsbegäran.docx", "A 21927-2025")</f>
        <v/>
      </c>
      <c r="AD40">
        <f>HYPERLINK("https://klasma.github.io/Logging_0188/tillsynsmail/A 21927-2025 tillsynsbegäran mail.docx", "A 21927-2025")</f>
        <v/>
      </c>
      <c r="AE40">
        <f>HYPERLINK("https://klasma.github.io/Logging_0188/fåglar/A 21927-2025 prioriterade fågelarter.docx", "A 21927-2025")</f>
        <v/>
      </c>
    </row>
    <row r="41" ht="15" customHeight="1">
      <c r="A41" t="inlineStr">
        <is>
          <t>S 1185-2022</t>
        </is>
      </c>
      <c r="B41" t="inlineStr">
        <is>
          <t>samrådsanmälan</t>
        </is>
      </c>
      <c r="C41" t="inlineStr">
        <is>
          <t>Åtgärd i nyckelbiotop</t>
        </is>
      </c>
      <c r="D41" s="1" t="n">
        <v>44621</v>
      </c>
      <c r="E41" s="1" t="n">
        <v>46326</v>
      </c>
      <c r="F41" t="inlineStr">
        <is>
          <t>STOCKHOLMS LÄN</t>
        </is>
      </c>
      <c r="G41" t="inlineStr">
        <is>
          <t>NORRTÄLJE</t>
        </is>
      </c>
      <c r="I41" t="n">
        <v>15.6</v>
      </c>
      <c r="J41" t="n">
        <v>3</v>
      </c>
      <c r="K41" t="n">
        <v>5</v>
      </c>
      <c r="L41" t="n">
        <v>3</v>
      </c>
      <c r="M41" t="n">
        <v>0</v>
      </c>
      <c r="N41" t="n">
        <v>1</v>
      </c>
      <c r="O41" t="n">
        <v>0</v>
      </c>
      <c r="P41" t="n">
        <v>0</v>
      </c>
      <c r="Q41" t="n">
        <v>4</v>
      </c>
      <c r="R41" t="n">
        <v>1</v>
      </c>
      <c r="S41" t="n">
        <v>22</v>
      </c>
      <c r="T41" t="n">
        <v>24</v>
      </c>
      <c r="U41" t="n">
        <v>21</v>
      </c>
      <c r="V41" s="2" t="inlineStr">
        <is>
          <t>Ask
Jungfrulin
Slåtterfibbla
Sårläka
Nästrot
Slät lönnlav
Svart trolldruva
Tvåblad
Ögonpyrola
Bergsslok
Blåbär
Blåsippa
Ekorrbär
Getrams
Humleblomster
Kärrbräken
Liljekonvalj
Ormbär
Skogsstjärna
Storrams
Tandrot
Vitsippa</t>
        </is>
      </c>
      <c r="W41">
        <f>HYPERLINK("https://klasma.github.io/Logging_0188/artfynd/S 1185-2022 artfynd.xlsx", "S 1185-2022")</f>
        <v/>
      </c>
      <c r="X41">
        <f>HYPERLINK("https://klasma.github.io/Logging_0188/kartor/S 1185-2022 karta.png", "S 1185-2022")</f>
        <v/>
      </c>
      <c r="Y41">
        <f>HYPERLINK("https://klasma.github.io/Logging_0188/kartor_geotiff/S 1185-2022 georefererad karta.tif", "S 1185-2022")</f>
        <v/>
      </c>
      <c r="AA41">
        <f>HYPERLINK("https://klasma.github.io/Logging_0188/klagomål/S 1185-2022 FSC-klagomål.docx", "S 1185-2022")</f>
        <v/>
      </c>
      <c r="AB41">
        <f>HYPERLINK("https://klasma.github.io/Logging_0188/klagomålsmail/S 1185-2022 FSC-klagomål mail.docx", "S 1185-2022")</f>
        <v/>
      </c>
      <c r="AC41">
        <f>HYPERLINK("https://klasma.github.io/Logging_0188/tillsyn/S 1185-2022 tillsynsbegäran.docx", "S 1185-2022")</f>
        <v/>
      </c>
      <c r="AD41">
        <f>HYPERLINK("https://klasma.github.io/Logging_0188/tillsynsmail/S 1185-2022 tillsynsbegäran mail.docx", "S 1185-2022")</f>
        <v/>
      </c>
    </row>
    <row r="42" ht="15" customHeight="1">
      <c r="A42" t="inlineStr">
        <is>
          <t>A 52797-2023</t>
        </is>
      </c>
      <c r="B42" t="inlineStr">
        <is>
          <t>avverkningsanmälan</t>
        </is>
      </c>
      <c r="C42" t="inlineStr">
        <is>
          <t>Föryngringsavverkning</t>
        </is>
      </c>
      <c r="D42" s="1" t="n">
        <v>45226</v>
      </c>
      <c r="E42" s="1" t="n">
        <v>46326</v>
      </c>
      <c r="F42" t="inlineStr">
        <is>
          <t>STOCKHOLMS LÄN</t>
        </is>
      </c>
      <c r="G42" t="inlineStr">
        <is>
          <t>NORRTÄLJE</t>
        </is>
      </c>
      <c r="I42" t="n">
        <v>5.3</v>
      </c>
      <c r="J42" t="n">
        <v>4</v>
      </c>
      <c r="K42" t="n">
        <v>8</v>
      </c>
      <c r="L42" t="n">
        <v>9</v>
      </c>
      <c r="M42" t="n">
        <v>1</v>
      </c>
      <c r="N42" t="n">
        <v>0</v>
      </c>
      <c r="O42" t="n">
        <v>0</v>
      </c>
      <c r="P42" t="n">
        <v>0</v>
      </c>
      <c r="Q42" t="n">
        <v>10</v>
      </c>
      <c r="R42" t="n">
        <v>1</v>
      </c>
      <c r="S42" t="n">
        <v>21</v>
      </c>
      <c r="T42" t="n">
        <v>38</v>
      </c>
      <c r="U42" t="n">
        <v>38</v>
      </c>
      <c r="V4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2">
        <f>HYPERLINK("https://klasma.github.io/Logging_0188/artfynd/A 52797-2023 artfynd.xlsx", "A 52797-2023")</f>
        <v/>
      </c>
      <c r="X42">
        <f>HYPERLINK("https://klasma.github.io/Logging_0188/kartor/A 52797-2023 karta.png", "A 52797-2023")</f>
        <v/>
      </c>
      <c r="Y42">
        <f>HYPERLINK("https://klasma.github.io/Logging_0188/kartor_geotiff/A 52797-2023 georefererad karta.tif", "A 52797-2023")</f>
        <v/>
      </c>
      <c r="AA42">
        <f>HYPERLINK("https://klasma.github.io/Logging_0188/klagomål/A 52797-2023 FSC-klagomål.docx", "A 52797-2023")</f>
        <v/>
      </c>
      <c r="AB42">
        <f>HYPERLINK("https://klasma.github.io/Logging_0188/klagomålsmail/A 52797-2023 FSC-klagomål mail.docx", "A 52797-2023")</f>
        <v/>
      </c>
      <c r="AC42">
        <f>HYPERLINK("https://klasma.github.io/Logging_0188/tillsyn/A 52797-2023 tillsynsbegäran.docx", "A 52797-2023")</f>
        <v/>
      </c>
      <c r="AD42">
        <f>HYPERLINK("https://klasma.github.io/Logging_0188/tillsynsmail/A 52797-2023 tillsynsbegäran mail.docx", "A 52797-2023")</f>
        <v/>
      </c>
      <c r="AE42">
        <f>HYPERLINK("https://klasma.github.io/Logging_0188/fåglar/A 52797-2023 prioriterade fågelarter.docx", "A 52797-2023")</f>
        <v/>
      </c>
    </row>
    <row r="43" ht="15" customHeight="1">
      <c r="A43" t="inlineStr">
        <is>
          <t>A 43747-2024</t>
        </is>
      </c>
      <c r="B43" t="inlineStr">
        <is>
          <t>avverkningsanmälan</t>
        </is>
      </c>
      <c r="C43" t="inlineStr">
        <is>
          <t>Föryngringsavverkning</t>
        </is>
      </c>
      <c r="D43" s="1" t="n">
        <v>45569</v>
      </c>
      <c r="E43" s="1" t="n">
        <v>46326</v>
      </c>
      <c r="F43" t="inlineStr">
        <is>
          <t>STOCKHOLMS LÄN</t>
        </is>
      </c>
      <c r="G43" t="inlineStr">
        <is>
          <t>NYNÄSHAMN</t>
        </is>
      </c>
      <c r="I43" t="n">
        <v>8.6</v>
      </c>
      <c r="J43" t="n">
        <v>4</v>
      </c>
      <c r="K43" t="n">
        <v>14</v>
      </c>
      <c r="L43" t="n">
        <v>4</v>
      </c>
      <c r="M43" t="n">
        <v>0</v>
      </c>
      <c r="N43" t="n">
        <v>0</v>
      </c>
      <c r="O43" t="n">
        <v>0</v>
      </c>
      <c r="P43" t="n">
        <v>0</v>
      </c>
      <c r="Q43" t="n">
        <v>4</v>
      </c>
      <c r="R43" t="n">
        <v>0</v>
      </c>
      <c r="S43" t="n">
        <v>21</v>
      </c>
      <c r="T43" t="n">
        <v>27</v>
      </c>
      <c r="U43" t="n">
        <v>27</v>
      </c>
      <c r="V43"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3">
        <f>HYPERLINK("https://klasma.github.io/Logging_0192/artfynd/A 43747-2024 artfynd.xlsx", "A 43747-2024")</f>
        <v/>
      </c>
      <c r="X43">
        <f>HYPERLINK("https://klasma.github.io/Logging_0192/kartor/A 43747-2024 karta.png", "A 43747-2024")</f>
        <v/>
      </c>
      <c r="Y43">
        <f>HYPERLINK("https://klasma.github.io/Logging_0192/kartor_geotiff/A 43747-2024 georefererad karta.tif", "A 43747-2024")</f>
        <v/>
      </c>
      <c r="AA43">
        <f>HYPERLINK("https://klasma.github.io/Logging_0192/klagomål/A 43747-2024 FSC-klagomål.docx", "A 43747-2024")</f>
        <v/>
      </c>
      <c r="AB43">
        <f>HYPERLINK("https://klasma.github.io/Logging_0192/klagomålsmail/A 43747-2024 FSC-klagomål mail.docx", "A 43747-2024")</f>
        <v/>
      </c>
      <c r="AC43">
        <f>HYPERLINK("https://klasma.github.io/Logging_0192/tillsyn/A 43747-2024 tillsynsbegäran.docx", "A 43747-2024")</f>
        <v/>
      </c>
      <c r="AD43">
        <f>HYPERLINK("https://klasma.github.io/Logging_0192/tillsynsmail/A 43747-2024 tillsynsbegäran mail.docx", "A 43747-2024")</f>
        <v/>
      </c>
      <c r="AE43">
        <f>HYPERLINK("https://klasma.github.io/Logging_0192/fåglar/A 43747-2024 prioriterade fågelarter.docx", "A 43747-2024")</f>
        <v/>
      </c>
    </row>
    <row r="44" ht="15" customHeight="1">
      <c r="A44" t="inlineStr">
        <is>
          <t>A 24801-2026</t>
        </is>
      </c>
      <c r="B44" t="inlineStr">
        <is>
          <t>avverkningsanmälan</t>
        </is>
      </c>
      <c r="C44" t="inlineStr">
        <is>
          <t>Föryngringsavverkning</t>
        </is>
      </c>
      <c r="D44" s="1" t="n">
        <v>46171</v>
      </c>
      <c r="E44" s="1" t="n">
        <v>46326</v>
      </c>
      <c r="F44" t="inlineStr">
        <is>
          <t>STOCKHOLMS LÄN</t>
        </is>
      </c>
      <c r="G44" t="inlineStr">
        <is>
          <t>HANINGE</t>
        </is>
      </c>
      <c r="I44" t="n">
        <v>7.1</v>
      </c>
      <c r="J44" t="n">
        <v>6</v>
      </c>
      <c r="K44" t="n">
        <v>10</v>
      </c>
      <c r="L44" t="n">
        <v>4</v>
      </c>
      <c r="M44" t="n">
        <v>1</v>
      </c>
      <c r="N44" t="n">
        <v>0</v>
      </c>
      <c r="O44" t="n">
        <v>0</v>
      </c>
      <c r="P44" t="n">
        <v>0</v>
      </c>
      <c r="Q44" t="n">
        <v>5</v>
      </c>
      <c r="R44" t="n">
        <v>1</v>
      </c>
      <c r="S44" t="n">
        <v>21</v>
      </c>
      <c r="T44" t="n">
        <v>43</v>
      </c>
      <c r="U44" t="n">
        <v>43</v>
      </c>
      <c r="V44"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4">
        <f>HYPERLINK("https://klasma.github.io/Logging_0136/artfynd/A 24801-2026 artfynd.xlsx", "A 24801-2026")</f>
        <v/>
      </c>
      <c r="X44">
        <f>HYPERLINK("https://klasma.github.io/Logging_0136/kartor/A 24801-2026 karta.png", "A 24801-2026")</f>
        <v/>
      </c>
      <c r="Y44">
        <f>HYPERLINK("https://klasma.github.io/Logging_0136/kartor_geotiff/A 24801-2026 georefererad karta.tif", "A 24801-2026")</f>
        <v/>
      </c>
      <c r="Z44">
        <f>HYPERLINK("https://klasma.github.io/Logging_0136/knärot/A 24801-2026 karta knärot.png", "A 24801-2026")</f>
        <v/>
      </c>
      <c r="AA44">
        <f>HYPERLINK("https://klasma.github.io/Logging_0136/klagomål/A 24801-2026 FSC-klagomål.docx", "A 24801-2026")</f>
        <v/>
      </c>
      <c r="AB44">
        <f>HYPERLINK("https://klasma.github.io/Logging_0136/klagomålsmail/A 24801-2026 FSC-klagomål mail.docx", "A 24801-2026")</f>
        <v/>
      </c>
      <c r="AC44">
        <f>HYPERLINK("https://klasma.github.io/Logging_0136/tillsyn/A 24801-2026 tillsynsbegäran.docx", "A 24801-2026")</f>
        <v/>
      </c>
      <c r="AD44">
        <f>HYPERLINK("https://klasma.github.io/Logging_0136/tillsynsmail/A 24801-2026 tillsynsbegäran mail.docx", "A 24801-2026")</f>
        <v/>
      </c>
      <c r="AE44">
        <f>HYPERLINK("https://klasma.github.io/Logging_0136/fåglar/A 24801-2026 prioriterade fågelarter.docx", "A 24801-2026")</f>
        <v/>
      </c>
    </row>
    <row r="45" ht="15" customHeight="1">
      <c r="A45" t="inlineStr">
        <is>
          <t>S 2416-2024</t>
        </is>
      </c>
      <c r="B45" t="inlineStr">
        <is>
          <t>samrådsanmälan</t>
        </is>
      </c>
      <c r="C45" t="inlineStr">
        <is>
          <t>Annan skogsbruksåtgärd</t>
        </is>
      </c>
      <c r="D45" s="1" t="n">
        <v>45469</v>
      </c>
      <c r="E45" s="1" t="n">
        <v>46326</v>
      </c>
      <c r="F45" t="inlineStr">
        <is>
          <t>STOCKHOLMS LÄN</t>
        </is>
      </c>
      <c r="G45" t="inlineStr">
        <is>
          <t>HANINGE</t>
        </is>
      </c>
      <c r="I45" t="n">
        <v>4</v>
      </c>
      <c r="J45" t="n">
        <v>6</v>
      </c>
      <c r="K45" t="n">
        <v>11</v>
      </c>
      <c r="L45" t="n">
        <v>5</v>
      </c>
      <c r="M45" t="n">
        <v>0</v>
      </c>
      <c r="N45" t="n">
        <v>0</v>
      </c>
      <c r="O45" t="n">
        <v>0</v>
      </c>
      <c r="P45" t="n">
        <v>0</v>
      </c>
      <c r="Q45" t="n">
        <v>5</v>
      </c>
      <c r="R45" t="n">
        <v>0</v>
      </c>
      <c r="S45" t="n">
        <v>21</v>
      </c>
      <c r="T45" t="n">
        <v>46</v>
      </c>
      <c r="U45" t="n">
        <v>1</v>
      </c>
      <c r="V45"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5">
        <f>HYPERLINK("https://klasma.github.io/Logging_0136/artfynd/S 2416-2024 artfynd.xlsx", "S 2416-2024")</f>
        <v/>
      </c>
      <c r="X45">
        <f>HYPERLINK("https://klasma.github.io/Logging_0136/kartor/S 2416-2024 karta.png", "S 2416-2024")</f>
        <v/>
      </c>
      <c r="Y45">
        <f>HYPERLINK("https://klasma.github.io/Logging_0136/kartor_geotiff/S 2416-2024 georefererad karta.tif", "S 2416-2024")</f>
        <v/>
      </c>
      <c r="AA45">
        <f>HYPERLINK("https://klasma.github.io/Logging_0136/klagomål/S 2416-2024 FSC-klagomål.docx", "S 2416-2024")</f>
        <v/>
      </c>
      <c r="AB45">
        <f>HYPERLINK("https://klasma.github.io/Logging_0136/klagomålsmail/S 2416-2024 FSC-klagomål mail.docx", "S 2416-2024")</f>
        <v/>
      </c>
      <c r="AC45">
        <f>HYPERLINK("https://klasma.github.io/Logging_0136/tillsyn/S 2416-2024 tillsynsbegäran.docx", "S 2416-2024")</f>
        <v/>
      </c>
      <c r="AD45">
        <f>HYPERLINK("https://klasma.github.io/Logging_0136/tillsynsmail/S 2416-2024 tillsynsbegäran mail.docx", "S 2416-2024")</f>
        <v/>
      </c>
      <c r="AE45">
        <f>HYPERLINK("https://klasma.github.io/Logging_0136/fåglar/S 2416-2024 prioriterade fågelarter.docx", "S 2416-2024")</f>
        <v/>
      </c>
    </row>
    <row r="46" ht="15" customHeight="1">
      <c r="A46" t="inlineStr">
        <is>
          <t>A 10943-2026</t>
        </is>
      </c>
      <c r="B46" t="inlineStr">
        <is>
          <t>avverkningsanmälan</t>
        </is>
      </c>
      <c r="C46" t="inlineStr">
        <is>
          <t>Föryngringsavverkning</t>
        </is>
      </c>
      <c r="D46" s="1" t="n">
        <v>46079</v>
      </c>
      <c r="E46" s="1" t="n">
        <v>46326</v>
      </c>
      <c r="F46" t="inlineStr">
        <is>
          <t>STOCKHOLMS LÄN</t>
        </is>
      </c>
      <c r="G46" t="inlineStr">
        <is>
          <t>SÖDERTÄLJE</t>
        </is>
      </c>
      <c r="H46" t="inlineStr">
        <is>
          <t>Sveaskog</t>
        </is>
      </c>
      <c r="I46" t="n">
        <v>2.1</v>
      </c>
      <c r="J46" t="n">
        <v>2</v>
      </c>
      <c r="K46" t="n">
        <v>7</v>
      </c>
      <c r="L46" t="n">
        <v>10</v>
      </c>
      <c r="M46" t="n">
        <v>1</v>
      </c>
      <c r="N46" t="n">
        <v>0</v>
      </c>
      <c r="O46" t="n">
        <v>0</v>
      </c>
      <c r="P46" t="n">
        <v>0</v>
      </c>
      <c r="Q46" t="n">
        <v>11</v>
      </c>
      <c r="R46" t="n">
        <v>1</v>
      </c>
      <c r="S46" t="n">
        <v>20</v>
      </c>
      <c r="T46" t="n">
        <v>24</v>
      </c>
      <c r="U46" t="n">
        <v>0</v>
      </c>
      <c r="V46"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6">
        <f>HYPERLINK("https://klasma.github.io/Logging_0181/artfynd/A 10943-2026 artfynd.xlsx", "A 10943-2026")</f>
        <v/>
      </c>
      <c r="X46">
        <f>HYPERLINK("https://klasma.github.io/Logging_0181/kartor/A 10943-2026 karta.png", "A 10943-2026")</f>
        <v/>
      </c>
      <c r="Y46">
        <f>HYPERLINK("https://klasma.github.io/Logging_0181/kartor_geotiff/A 10943-2026 georefererad karta.tif", "A 10943-2026")</f>
        <v/>
      </c>
      <c r="AA46">
        <f>HYPERLINK("https://klasma.github.io/Logging_0181/klagomål/A 10943-2026 FSC-klagomål.docx", "A 10943-2026")</f>
        <v/>
      </c>
      <c r="AB46">
        <f>HYPERLINK("https://klasma.github.io/Logging_0181/klagomålsmail/A 10943-2026 FSC-klagomål mail.docx", "A 10943-2026")</f>
        <v/>
      </c>
      <c r="AC46">
        <f>HYPERLINK("https://klasma.github.io/Logging_0181/tillsyn/A 10943-2026 tillsynsbegäran.docx", "A 10943-2026")</f>
        <v/>
      </c>
      <c r="AD46">
        <f>HYPERLINK("https://klasma.github.io/Logging_0181/tillsynsmail/A 10943-2026 tillsynsbegäran mail.docx", "A 10943-2026")</f>
        <v/>
      </c>
    </row>
    <row r="47" ht="15" customHeight="1">
      <c r="A47" t="inlineStr">
        <is>
          <t>A 63581-2023</t>
        </is>
      </c>
      <c r="B47" t="inlineStr">
        <is>
          <t>avverkningsanmälan</t>
        </is>
      </c>
      <c r="C47" t="inlineStr">
        <is>
          <t>Avverkning för att bevara och utveckla /försöksver</t>
        </is>
      </c>
      <c r="D47" s="1" t="n">
        <v>45275</v>
      </c>
      <c r="E47" s="1" t="n">
        <v>46326</v>
      </c>
      <c r="F47" t="inlineStr">
        <is>
          <t>STOCKHOLMS LÄN</t>
        </is>
      </c>
      <c r="G47" t="inlineStr">
        <is>
          <t>NYKVARN</t>
        </is>
      </c>
      <c r="H47" t="inlineStr">
        <is>
          <t>Kommuner</t>
        </is>
      </c>
      <c r="I47" t="n">
        <v>13.9</v>
      </c>
      <c r="J47" t="n">
        <v>3</v>
      </c>
      <c r="K47" t="n">
        <v>10</v>
      </c>
      <c r="L47" t="n">
        <v>9</v>
      </c>
      <c r="M47" t="n">
        <v>0</v>
      </c>
      <c r="N47" t="n">
        <v>0</v>
      </c>
      <c r="O47" t="n">
        <v>0</v>
      </c>
      <c r="P47" t="n">
        <v>0</v>
      </c>
      <c r="Q47" t="n">
        <v>9</v>
      </c>
      <c r="R47" t="n">
        <v>0</v>
      </c>
      <c r="S47" t="n">
        <v>20</v>
      </c>
      <c r="T47" t="n">
        <v>43</v>
      </c>
      <c r="U47" t="n">
        <v>4</v>
      </c>
      <c r="V47"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7">
        <f>HYPERLINK("https://klasma.github.io/Logging_0140/artfynd/A 63581-2023 artfynd.xlsx", "A 63581-2023")</f>
        <v/>
      </c>
      <c r="X47">
        <f>HYPERLINK("https://klasma.github.io/Logging_0140/kartor/A 63581-2023 karta.png", "A 63581-2023")</f>
        <v/>
      </c>
      <c r="Y47">
        <f>HYPERLINK("https://klasma.github.io/Logging_0140/kartor_geotiff/A 63581-2023 georefererad karta.tif", "A 63581-2023")</f>
        <v/>
      </c>
      <c r="AA47">
        <f>HYPERLINK("https://klasma.github.io/Logging_0140/klagomål/A 63581-2023 FSC-klagomål.docx", "A 63581-2023")</f>
        <v/>
      </c>
      <c r="AB47">
        <f>HYPERLINK("https://klasma.github.io/Logging_0140/klagomålsmail/A 63581-2023 FSC-klagomål mail.docx", "A 63581-2023")</f>
        <v/>
      </c>
      <c r="AC47">
        <f>HYPERLINK("https://klasma.github.io/Logging_0140/tillsyn/A 63581-2023 tillsynsbegäran.docx", "A 63581-2023")</f>
        <v/>
      </c>
      <c r="AD47">
        <f>HYPERLINK("https://klasma.github.io/Logging_0140/tillsynsmail/A 63581-2023 tillsynsbegäran mail.docx", "A 63581-2023")</f>
        <v/>
      </c>
      <c r="AE47">
        <f>HYPERLINK("https://klasma.github.io/Logging_0140/fåglar/A 63581-2023 prioriterade fågelarter.docx", "A 63581-2023")</f>
        <v/>
      </c>
    </row>
    <row r="48" ht="15" customHeight="1">
      <c r="A48" t="inlineStr">
        <is>
          <t>A 59567-2025</t>
        </is>
      </c>
      <c r="B48" t="inlineStr">
        <is>
          <t>avverkningsanmälan</t>
        </is>
      </c>
      <c r="C48" t="inlineStr">
        <is>
          <t>Föryngringsavverkning</t>
        </is>
      </c>
      <c r="D48" s="1" t="n">
        <v>45991</v>
      </c>
      <c r="E48" s="1" t="n">
        <v>46326</v>
      </c>
      <c r="F48" t="inlineStr">
        <is>
          <t>STOCKHOLMS LÄN</t>
        </is>
      </c>
      <c r="G48" t="inlineStr">
        <is>
          <t>HANINGE</t>
        </is>
      </c>
      <c r="I48" t="n">
        <v>6.6</v>
      </c>
      <c r="J48" t="n">
        <v>5</v>
      </c>
      <c r="K48" t="n">
        <v>8</v>
      </c>
      <c r="L48" t="n">
        <v>9</v>
      </c>
      <c r="M48" t="n">
        <v>1</v>
      </c>
      <c r="N48" t="n">
        <v>0</v>
      </c>
      <c r="O48" t="n">
        <v>0</v>
      </c>
      <c r="P48" t="n">
        <v>0</v>
      </c>
      <c r="Q48" t="n">
        <v>10</v>
      </c>
      <c r="R48" t="n">
        <v>1</v>
      </c>
      <c r="S48" t="n">
        <v>20</v>
      </c>
      <c r="T48" t="n">
        <v>34</v>
      </c>
      <c r="U48" t="n">
        <v>29</v>
      </c>
      <c r="V48"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48">
        <f>HYPERLINK("https://klasma.github.io/Logging_0136/artfynd/A 59567-2025 artfynd.xlsx", "A 59567-2025")</f>
        <v/>
      </c>
      <c r="X48">
        <f>HYPERLINK("https://klasma.github.io/Logging_0136/kartor/A 59567-2025 karta.png", "A 59567-2025")</f>
        <v/>
      </c>
      <c r="Y48">
        <f>HYPERLINK("https://klasma.github.io/Logging_0136/kartor_geotiff/A 59567-2025 georefererad karta.tif", "A 59567-2025")</f>
        <v/>
      </c>
      <c r="Z48">
        <f>HYPERLINK("https://klasma.github.io/Logging_0136/knärot/A 59567-2025 karta knärot.png", "A 59567-2025")</f>
        <v/>
      </c>
      <c r="AA48">
        <f>HYPERLINK("https://klasma.github.io/Logging_0136/klagomål/A 59567-2025 FSC-klagomål.docx", "A 59567-2025")</f>
        <v/>
      </c>
      <c r="AB48">
        <f>HYPERLINK("https://klasma.github.io/Logging_0136/klagomålsmail/A 59567-2025 FSC-klagomål mail.docx", "A 59567-2025")</f>
        <v/>
      </c>
      <c r="AC48">
        <f>HYPERLINK("https://klasma.github.io/Logging_0136/tillsyn/A 59567-2025 tillsynsbegäran.docx", "A 59567-2025")</f>
        <v/>
      </c>
      <c r="AD48">
        <f>HYPERLINK("https://klasma.github.io/Logging_0136/tillsynsmail/A 59567-2025 tillsynsbegäran mail.docx", "A 59567-2025")</f>
        <v/>
      </c>
      <c r="AE48">
        <f>HYPERLINK("https://klasma.github.io/Logging_0136/fåglar/A 59567-2025 prioriterade fågelarter.docx", "A 59567-2025")</f>
        <v/>
      </c>
    </row>
    <row r="49" ht="15" customHeight="1">
      <c r="A49" t="inlineStr">
        <is>
          <t>S 971-2023</t>
        </is>
      </c>
      <c r="B49" t="inlineStr">
        <is>
          <t>samrådsanmälan</t>
        </is>
      </c>
      <c r="C49" t="inlineStr">
        <is>
          <t>Annan skogsbruksåtgärd</t>
        </is>
      </c>
      <c r="D49" s="1" t="n">
        <v>45005</v>
      </c>
      <c r="E49" s="1" t="n">
        <v>46326</v>
      </c>
      <c r="F49" t="inlineStr">
        <is>
          <t>STOCKHOLMS LÄN</t>
        </is>
      </c>
      <c r="G49" t="inlineStr">
        <is>
          <t>NORRTÄLJE</t>
        </is>
      </c>
      <c r="H49" t="inlineStr">
        <is>
          <t>Kommuner</t>
        </is>
      </c>
      <c r="I49" t="n">
        <v>7.3</v>
      </c>
      <c r="J49" t="n">
        <v>4</v>
      </c>
      <c r="K49" t="n">
        <v>10</v>
      </c>
      <c r="L49" t="n">
        <v>7</v>
      </c>
      <c r="M49" t="n">
        <v>1</v>
      </c>
      <c r="N49" t="n">
        <v>0</v>
      </c>
      <c r="O49" t="n">
        <v>0</v>
      </c>
      <c r="P49" t="n">
        <v>0</v>
      </c>
      <c r="Q49" t="n">
        <v>8</v>
      </c>
      <c r="R49" t="n">
        <v>1</v>
      </c>
      <c r="S49" t="n">
        <v>20</v>
      </c>
      <c r="T49" t="n">
        <v>29</v>
      </c>
      <c r="U49" t="n">
        <v>7</v>
      </c>
      <c r="V49"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49">
        <f>HYPERLINK("https://klasma.github.io/Logging_0188/artfynd/S 971-2023 artfynd.xlsx", "S 971-2023")</f>
        <v/>
      </c>
      <c r="X49">
        <f>HYPERLINK("https://klasma.github.io/Logging_0188/kartor/S 971-2023 karta.png", "S 971-2023")</f>
        <v/>
      </c>
      <c r="Y49">
        <f>HYPERLINK("https://klasma.github.io/Logging_0188/kartor_geotiff/S 971-2023 georefererad karta.tif", "S 971-2023")</f>
        <v/>
      </c>
      <c r="AA49">
        <f>HYPERLINK("https://klasma.github.io/Logging_0188/klagomål/S 971-2023 FSC-klagomål.docx", "S 971-2023")</f>
        <v/>
      </c>
      <c r="AB49">
        <f>HYPERLINK("https://klasma.github.io/Logging_0188/klagomålsmail/S 971-2023 FSC-klagomål mail.docx", "S 971-2023")</f>
        <v/>
      </c>
      <c r="AC49">
        <f>HYPERLINK("https://klasma.github.io/Logging_0188/tillsyn/S 971-2023 tillsynsbegäran.docx", "S 971-2023")</f>
        <v/>
      </c>
      <c r="AD49">
        <f>HYPERLINK("https://klasma.github.io/Logging_0188/tillsynsmail/S 971-2023 tillsynsbegäran mail.docx", "S 971-2023")</f>
        <v/>
      </c>
      <c r="AE49">
        <f>HYPERLINK("https://klasma.github.io/Logging_0188/fåglar/S 971-2023 prioriterade fågelarter.docx", "S 971-2023")</f>
        <v/>
      </c>
    </row>
    <row r="50" ht="15" customHeight="1">
      <c r="A50" t="inlineStr">
        <is>
          <t>A 10646-2024</t>
        </is>
      </c>
      <c r="B50" t="inlineStr">
        <is>
          <t>avverkningsanmälan</t>
        </is>
      </c>
      <c r="C50" t="inlineStr">
        <is>
          <t>Föryngringsavverkning</t>
        </is>
      </c>
      <c r="D50" s="1" t="n">
        <v>45367</v>
      </c>
      <c r="E50" s="1" t="n">
        <v>46326</v>
      </c>
      <c r="F50" t="inlineStr">
        <is>
          <t>STOCKHOLMS LÄN</t>
        </is>
      </c>
      <c r="G50" t="inlineStr">
        <is>
          <t>NORRTÄLJE</t>
        </is>
      </c>
      <c r="I50" t="n">
        <v>5.9</v>
      </c>
      <c r="J50" t="n">
        <v>4</v>
      </c>
      <c r="K50" t="n">
        <v>9</v>
      </c>
      <c r="L50" t="n">
        <v>6</v>
      </c>
      <c r="M50" t="n">
        <v>1</v>
      </c>
      <c r="N50" t="n">
        <v>0</v>
      </c>
      <c r="O50" t="n">
        <v>0</v>
      </c>
      <c r="P50" t="n">
        <v>0</v>
      </c>
      <c r="Q50" t="n">
        <v>7</v>
      </c>
      <c r="R50" t="n">
        <v>1</v>
      </c>
      <c r="S50" t="n">
        <v>19</v>
      </c>
      <c r="T50" t="n">
        <v>26</v>
      </c>
      <c r="U50" t="n">
        <v>6</v>
      </c>
      <c r="V50"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0">
        <f>HYPERLINK("https://klasma.github.io/Logging_0188/artfynd/A 10646-2024 artfynd.xlsx", "A 10646-2024")</f>
        <v/>
      </c>
      <c r="X50">
        <f>HYPERLINK("https://klasma.github.io/Logging_0188/kartor/A 10646-2024 karta.png", "A 10646-2024")</f>
        <v/>
      </c>
      <c r="Y50">
        <f>HYPERLINK("https://klasma.github.io/Logging_0188/kartor_geotiff/A 10646-2024 georefererad karta.tif", "A 10646-2024")</f>
        <v/>
      </c>
      <c r="AA50">
        <f>HYPERLINK("https://klasma.github.io/Logging_0188/klagomål/A 10646-2024 FSC-klagomål.docx", "A 10646-2024")</f>
        <v/>
      </c>
      <c r="AB50">
        <f>HYPERLINK("https://klasma.github.io/Logging_0188/klagomålsmail/A 10646-2024 FSC-klagomål mail.docx", "A 10646-2024")</f>
        <v/>
      </c>
      <c r="AC50">
        <f>HYPERLINK("https://klasma.github.io/Logging_0188/tillsyn/A 10646-2024 tillsynsbegäran.docx", "A 10646-2024")</f>
        <v/>
      </c>
      <c r="AD50">
        <f>HYPERLINK("https://klasma.github.io/Logging_0188/tillsynsmail/A 10646-2024 tillsynsbegäran mail.docx", "A 10646-2024")</f>
        <v/>
      </c>
      <c r="AE50">
        <f>HYPERLINK("https://klasma.github.io/Logging_0188/fåglar/A 10646-2024 prioriterade fågelarter.docx", "A 10646-2024")</f>
        <v/>
      </c>
    </row>
    <row r="51" ht="15" customHeight="1">
      <c r="A51" t="inlineStr">
        <is>
          <t>A 17454-2026</t>
        </is>
      </c>
      <c r="B51" t="inlineStr">
        <is>
          <t>avverkningsanmälan</t>
        </is>
      </c>
      <c r="C51" t="inlineStr">
        <is>
          <t>Föryngringsavverkning</t>
        </is>
      </c>
      <c r="D51" s="1" t="n">
        <v>46120</v>
      </c>
      <c r="E51" s="1" t="n">
        <v>46326</v>
      </c>
      <c r="F51" t="inlineStr">
        <is>
          <t>STOCKHOLMS LÄN</t>
        </is>
      </c>
      <c r="G51" t="inlineStr">
        <is>
          <t>HANINGE</t>
        </is>
      </c>
      <c r="I51" t="n">
        <v>31.4</v>
      </c>
      <c r="J51" t="n">
        <v>5</v>
      </c>
      <c r="K51" t="n">
        <v>11</v>
      </c>
      <c r="L51" t="n">
        <v>2</v>
      </c>
      <c r="M51" t="n">
        <v>1</v>
      </c>
      <c r="N51" t="n">
        <v>0</v>
      </c>
      <c r="O51" t="n">
        <v>0</v>
      </c>
      <c r="P51" t="n">
        <v>0</v>
      </c>
      <c r="Q51" t="n">
        <v>3</v>
      </c>
      <c r="R51" t="n">
        <v>1</v>
      </c>
      <c r="S51" t="n">
        <v>19</v>
      </c>
      <c r="T51" t="n">
        <v>32</v>
      </c>
      <c r="U51" t="n">
        <v>24</v>
      </c>
      <c r="V5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1">
        <f>HYPERLINK("https://klasma.github.io/Logging_0136/artfynd/A 17454-2026 artfynd.xlsx", "A 17454-2026")</f>
        <v/>
      </c>
      <c r="X51">
        <f>HYPERLINK("https://klasma.github.io/Logging_0136/kartor/A 17454-2026 karta.png", "A 17454-2026")</f>
        <v/>
      </c>
      <c r="Y51">
        <f>HYPERLINK("https://klasma.github.io/Logging_0136/kartor_geotiff/A 17454-2026 georefererad karta.tif", "A 17454-2026")</f>
        <v/>
      </c>
      <c r="Z51">
        <f>HYPERLINK("https://klasma.github.io/Logging_0136/knärot/A 17454-2026 karta knärot.png", "A 17454-2026")</f>
        <v/>
      </c>
      <c r="AA51">
        <f>HYPERLINK("https://klasma.github.io/Logging_0136/klagomål/A 17454-2026 FSC-klagomål.docx", "A 17454-2026")</f>
        <v/>
      </c>
      <c r="AB51">
        <f>HYPERLINK("https://klasma.github.io/Logging_0136/klagomålsmail/A 17454-2026 FSC-klagomål mail.docx", "A 17454-2026")</f>
        <v/>
      </c>
      <c r="AC51">
        <f>HYPERLINK("https://klasma.github.io/Logging_0136/tillsyn/A 17454-2026 tillsynsbegäran.docx", "A 17454-2026")</f>
        <v/>
      </c>
      <c r="AD51">
        <f>HYPERLINK("https://klasma.github.io/Logging_0136/tillsynsmail/A 17454-2026 tillsynsbegäran mail.docx", "A 17454-2026")</f>
        <v/>
      </c>
      <c r="AE51">
        <f>HYPERLINK("https://klasma.github.io/Logging_0136/fåglar/A 17454-2026 prioriterade fågelarter.docx", "A 17454-2026")</f>
        <v/>
      </c>
    </row>
    <row r="52" ht="15" customHeight="1">
      <c r="A52" t="inlineStr">
        <is>
          <t>A 26081-2026</t>
        </is>
      </c>
      <c r="B52" t="inlineStr">
        <is>
          <t>avverkningsanmälan</t>
        </is>
      </c>
      <c r="C52" t="inlineStr">
        <is>
          <t>Föryngringsavverkning</t>
        </is>
      </c>
      <c r="D52" s="1" t="n">
        <v>46181</v>
      </c>
      <c r="E52" s="1" t="n">
        <v>46326</v>
      </c>
      <c r="F52" t="inlineStr">
        <is>
          <t>STOCKHOLMS LÄN</t>
        </is>
      </c>
      <c r="G52" t="inlineStr">
        <is>
          <t>NORRTÄLJE</t>
        </is>
      </c>
      <c r="I52" t="n">
        <v>13.9</v>
      </c>
      <c r="J52" t="n">
        <v>5</v>
      </c>
      <c r="K52" t="n">
        <v>7</v>
      </c>
      <c r="L52" t="n">
        <v>5</v>
      </c>
      <c r="M52" t="n">
        <v>2</v>
      </c>
      <c r="N52" t="n">
        <v>1</v>
      </c>
      <c r="O52" t="n">
        <v>0</v>
      </c>
      <c r="P52" t="n">
        <v>0</v>
      </c>
      <c r="Q52" t="n">
        <v>8</v>
      </c>
      <c r="R52" t="n">
        <v>3</v>
      </c>
      <c r="S52" t="n">
        <v>19</v>
      </c>
      <c r="T52" t="n">
        <v>51</v>
      </c>
      <c r="U52" t="n">
        <v>39</v>
      </c>
      <c r="V52" s="2" t="inlineStr">
        <is>
          <t>Koppartaggsvamp
Knärot
Spadskinn
Dofttaggsvamp
Fjällig taggsvamp s.str.
Orange taggsvamp
Talltita
Ullticka
Blodticka
Brandticka
Granbarkgnagare
Grönpyrola
Kamjordstjärna
Svavelriska
Vågbandad barkbock
Blåsippa
Kransmossa
Spillkråka
Tofsmes</t>
        </is>
      </c>
      <c r="W52">
        <f>HYPERLINK("https://klasma.github.io/Logging_0188/artfynd/A 26081-2026 artfynd.xlsx", "A 26081-2026")</f>
        <v/>
      </c>
      <c r="X52">
        <f>HYPERLINK("https://klasma.github.io/Logging_0188/kartor/A 26081-2026 karta.png", "A 26081-2026")</f>
        <v/>
      </c>
      <c r="Y52">
        <f>HYPERLINK("https://klasma.github.io/Logging_0188/kartor_geotiff/A 26081-2026 georefererad karta.tif", "A 26081-2026")</f>
        <v/>
      </c>
      <c r="Z52">
        <f>HYPERLINK("https://klasma.github.io/Logging_0188/knärot/A 26081-2026 karta knärot.png", "A 26081-2026")</f>
        <v/>
      </c>
      <c r="AA52">
        <f>HYPERLINK("https://klasma.github.io/Logging_0188/klagomål/A 26081-2026 FSC-klagomål.docx", "A 26081-2026")</f>
        <v/>
      </c>
      <c r="AB52">
        <f>HYPERLINK("https://klasma.github.io/Logging_0188/klagomålsmail/A 26081-2026 FSC-klagomål mail.docx", "A 26081-2026")</f>
        <v/>
      </c>
      <c r="AC52">
        <f>HYPERLINK("https://klasma.github.io/Logging_0188/tillsyn/A 26081-2026 tillsynsbegäran.docx", "A 26081-2026")</f>
        <v/>
      </c>
      <c r="AD52">
        <f>HYPERLINK("https://klasma.github.io/Logging_0188/tillsynsmail/A 26081-2026 tillsynsbegäran mail.docx", "A 26081-2026")</f>
        <v/>
      </c>
      <c r="AE52">
        <f>HYPERLINK("https://klasma.github.io/Logging_0188/fåglar/A 26081-2026 prioriterade fågelarter.docx", "A 26081-2026")</f>
        <v/>
      </c>
    </row>
    <row r="53" ht="15" customHeight="1">
      <c r="A53" t="inlineStr">
        <is>
          <t>S 4513-2023</t>
        </is>
      </c>
      <c r="B53" t="inlineStr">
        <is>
          <t>samrådsanmälan</t>
        </is>
      </c>
      <c r="C53" t="inlineStr">
        <is>
          <t>Annan skogsbruksåtgärd</t>
        </is>
      </c>
      <c r="D53" s="1" t="n">
        <v>45275</v>
      </c>
      <c r="E53" s="1" t="n">
        <v>46326</v>
      </c>
      <c r="F53" t="inlineStr">
        <is>
          <t>STOCKHOLMS LÄN</t>
        </is>
      </c>
      <c r="G53" t="inlineStr">
        <is>
          <t>NYKVARN</t>
        </is>
      </c>
      <c r="H53" t="inlineStr">
        <is>
          <t>Kommuner</t>
        </is>
      </c>
      <c r="I53" t="n">
        <v>20.5</v>
      </c>
      <c r="J53" t="n">
        <v>3</v>
      </c>
      <c r="K53" t="n">
        <v>9</v>
      </c>
      <c r="L53" t="n">
        <v>9</v>
      </c>
      <c r="M53" t="n">
        <v>0</v>
      </c>
      <c r="N53" t="n">
        <v>0</v>
      </c>
      <c r="O53" t="n">
        <v>0</v>
      </c>
      <c r="P53" t="n">
        <v>0</v>
      </c>
      <c r="Q53" t="n">
        <v>9</v>
      </c>
      <c r="R53" t="n">
        <v>0</v>
      </c>
      <c r="S53" t="n">
        <v>19</v>
      </c>
      <c r="T53" t="n">
        <v>41</v>
      </c>
      <c r="U53" t="n">
        <v>4</v>
      </c>
      <c r="V53"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3">
        <f>HYPERLINK("https://klasma.github.io/Logging_0140/artfynd/S 4513-2023 artfynd.xlsx", "S 4513-2023")</f>
        <v/>
      </c>
      <c r="X53">
        <f>HYPERLINK("https://klasma.github.io/Logging_0140/kartor/S 4513-2023 karta.png", "S 4513-2023")</f>
        <v/>
      </c>
      <c r="Y53">
        <f>HYPERLINK("https://klasma.github.io/Logging_0140/kartor_geotiff/S 4513-2023 georefererad karta.tif", "S 4513-2023")</f>
        <v/>
      </c>
      <c r="AA53">
        <f>HYPERLINK("https://klasma.github.io/Logging_0140/klagomål/S 4513-2023 FSC-klagomål.docx", "S 4513-2023")</f>
        <v/>
      </c>
      <c r="AB53">
        <f>HYPERLINK("https://klasma.github.io/Logging_0140/klagomålsmail/S 4513-2023 FSC-klagomål mail.docx", "S 4513-2023")</f>
        <v/>
      </c>
      <c r="AC53">
        <f>HYPERLINK("https://klasma.github.io/Logging_0140/tillsyn/S 4513-2023 tillsynsbegäran.docx", "S 4513-2023")</f>
        <v/>
      </c>
      <c r="AD53">
        <f>HYPERLINK("https://klasma.github.io/Logging_0140/tillsynsmail/S 4513-2023 tillsynsbegäran mail.docx", "S 4513-2023")</f>
        <v/>
      </c>
      <c r="AE53">
        <f>HYPERLINK("https://klasma.github.io/Logging_0140/fåglar/S 4513-2023 prioriterade fågelarter.docx", "S 4513-2023")</f>
        <v/>
      </c>
    </row>
    <row r="54" ht="15" customHeight="1">
      <c r="A54" t="inlineStr">
        <is>
          <t>S 1630-2026</t>
        </is>
      </c>
      <c r="B54" t="inlineStr">
        <is>
          <t>samrådsanmälan</t>
        </is>
      </c>
      <c r="C54" t="inlineStr">
        <is>
          <t>Annan skogsbruksåtgärd</t>
        </is>
      </c>
      <c r="D54" s="1" t="n">
        <v>46175</v>
      </c>
      <c r="E54" s="1" t="n">
        <v>46326</v>
      </c>
      <c r="F54" t="inlineStr">
        <is>
          <t>STOCKHOLMS LÄN</t>
        </is>
      </c>
      <c r="G54" t="inlineStr">
        <is>
          <t>NORRTÄLJE</t>
        </is>
      </c>
      <c r="H54" t="inlineStr">
        <is>
          <t>Kommuner</t>
        </is>
      </c>
      <c r="I54" t="n">
        <v>11.5</v>
      </c>
      <c r="J54" t="n">
        <v>7</v>
      </c>
      <c r="K54" t="n">
        <v>10</v>
      </c>
      <c r="L54" t="n">
        <v>4</v>
      </c>
      <c r="M54" t="n">
        <v>0</v>
      </c>
      <c r="N54" t="n">
        <v>1</v>
      </c>
      <c r="O54" t="n">
        <v>0</v>
      </c>
      <c r="P54" t="n">
        <v>0</v>
      </c>
      <c r="Q54" t="n">
        <v>5</v>
      </c>
      <c r="R54" t="n">
        <v>1</v>
      </c>
      <c r="S54" t="n">
        <v>19</v>
      </c>
      <c r="T54" t="n">
        <v>44</v>
      </c>
      <c r="U54" t="n">
        <v>0</v>
      </c>
      <c r="V54" s="2" t="inlineStr">
        <is>
          <t>Skogsalm
Orange taggsvamp
Sårläka
Tallticka
Vårärt
Blåsfliksmossa
Fällmossa
Grön sköldmossa
Mörk husmossa
Nästrot
Rävticka
Rödgul trumpetsvamp
Svart trolldruva
Tvåblad
Vedticka
Blåsippa
Järpe
Spillkråka
Gullviva</t>
        </is>
      </c>
      <c r="W54">
        <f>HYPERLINK("https://klasma.github.io/Logging_0188/artfynd/S 1630-2026 artfynd.xlsx", "S 1630-2026")</f>
        <v/>
      </c>
      <c r="X54">
        <f>HYPERLINK("https://klasma.github.io/Logging_0188/kartor/S 1630-2026 karta.png", "S 1630-2026")</f>
        <v/>
      </c>
      <c r="Y54">
        <f>HYPERLINK("https://klasma.github.io/Logging_0188/kartor_geotiff/S 1630-2026 georefererad karta.tif", "S 1630-2026")</f>
        <v/>
      </c>
      <c r="AA54">
        <f>HYPERLINK("https://klasma.github.io/Logging_0188/klagomål/S 1630-2026 FSC-klagomål.docx", "S 1630-2026")</f>
        <v/>
      </c>
      <c r="AB54">
        <f>HYPERLINK("https://klasma.github.io/Logging_0188/klagomålsmail/S 1630-2026 FSC-klagomål mail.docx", "S 1630-2026")</f>
        <v/>
      </c>
      <c r="AC54">
        <f>HYPERLINK("https://klasma.github.io/Logging_0188/tillsyn/S 1630-2026 tillsynsbegäran.docx", "S 1630-2026")</f>
        <v/>
      </c>
      <c r="AD54">
        <f>HYPERLINK("https://klasma.github.io/Logging_0188/tillsynsmail/S 1630-2026 tillsynsbegäran mail.docx", "S 1630-2026")</f>
        <v/>
      </c>
      <c r="AE54">
        <f>HYPERLINK("https://klasma.github.io/Logging_0188/fåglar/S 1630-2026 prioriterade fågelarter.docx", "S 1630-2026")</f>
        <v/>
      </c>
    </row>
    <row r="55" ht="15" customHeight="1">
      <c r="A55" t="inlineStr">
        <is>
          <t>A 25306-2026</t>
        </is>
      </c>
      <c r="B55" t="inlineStr">
        <is>
          <t>avverkningsanmälan</t>
        </is>
      </c>
      <c r="C55" t="inlineStr">
        <is>
          <t>Föryngringsavverkning</t>
        </is>
      </c>
      <c r="D55" s="1" t="n">
        <v>46176</v>
      </c>
      <c r="E55" s="1" t="n">
        <v>46326</v>
      </c>
      <c r="F55" t="inlineStr">
        <is>
          <t>STOCKHOLMS LÄN</t>
        </is>
      </c>
      <c r="G55" t="inlineStr">
        <is>
          <t>BOTKYRKA</t>
        </is>
      </c>
      <c r="I55" t="n">
        <v>3.2</v>
      </c>
      <c r="J55" t="n">
        <v>12</v>
      </c>
      <c r="K55" t="n">
        <v>2</v>
      </c>
      <c r="L55" t="n">
        <v>7</v>
      </c>
      <c r="M55" t="n">
        <v>1</v>
      </c>
      <c r="N55" t="n">
        <v>0</v>
      </c>
      <c r="O55" t="n">
        <v>0</v>
      </c>
      <c r="P55" t="n">
        <v>0</v>
      </c>
      <c r="Q55" t="n">
        <v>8</v>
      </c>
      <c r="R55" t="n">
        <v>1</v>
      </c>
      <c r="S55" t="n">
        <v>18</v>
      </c>
      <c r="T55" t="n">
        <v>51</v>
      </c>
      <c r="U55" t="n">
        <v>51</v>
      </c>
      <c r="V55" s="2" t="inlineStr">
        <is>
          <t>Stare
Fransfladdermus
Grönsångare
Gulsparv
Nordfladdermus
Rödvingetrast
Slåtterfibbla
Tallticka
Blåmossa
Mindre märgborre
Kransmossa
Liljekonvalj
Spillkråka
Tofsmes
Dvärgpipistrell
Gröngöling
Större brunfladdermus
Vattenfladdermus</t>
        </is>
      </c>
      <c r="W55">
        <f>HYPERLINK("https://klasma.github.io/Logging_0127/artfynd/A 25306-2026 artfynd.xlsx", "A 25306-2026")</f>
        <v/>
      </c>
      <c r="X55">
        <f>HYPERLINK("https://klasma.github.io/Logging_0127/kartor/A 25306-2026 karta.png", "A 25306-2026")</f>
        <v/>
      </c>
      <c r="Y55">
        <f>HYPERLINK("https://klasma.github.io/Logging_0127/kartor_geotiff/A 25306-2026 georefererad karta.tif", "A 25306-2026")</f>
        <v/>
      </c>
      <c r="AA55">
        <f>HYPERLINK("https://klasma.github.io/Logging_0127/klagomål/A 25306-2026 FSC-klagomål.docx", "A 25306-2026")</f>
        <v/>
      </c>
      <c r="AB55">
        <f>HYPERLINK("https://klasma.github.io/Logging_0127/klagomålsmail/A 25306-2026 FSC-klagomål mail.docx", "A 25306-2026")</f>
        <v/>
      </c>
      <c r="AC55">
        <f>HYPERLINK("https://klasma.github.io/Logging_0127/tillsyn/A 25306-2026 tillsynsbegäran.docx", "A 25306-2026")</f>
        <v/>
      </c>
      <c r="AD55">
        <f>HYPERLINK("https://klasma.github.io/Logging_0127/tillsynsmail/A 25306-2026 tillsynsbegäran mail.docx", "A 25306-2026")</f>
        <v/>
      </c>
      <c r="AE55">
        <f>HYPERLINK("https://klasma.github.io/Logging_0127/fåglar/A 25306-2026 prioriterade fågelarter.docx", "A 25306-2026")</f>
        <v/>
      </c>
    </row>
    <row r="56" ht="15" customHeight="1">
      <c r="A56" t="inlineStr">
        <is>
          <t>A 59566-2025</t>
        </is>
      </c>
      <c r="B56" t="inlineStr">
        <is>
          <t>avverkningsanmälan</t>
        </is>
      </c>
      <c r="C56" t="inlineStr">
        <is>
          <t>Föryngringsavverkning</t>
        </is>
      </c>
      <c r="D56" s="1" t="n">
        <v>45991</v>
      </c>
      <c r="E56" s="1" t="n">
        <v>46326</v>
      </c>
      <c r="F56" t="inlineStr">
        <is>
          <t>STOCKHOLMS LÄN</t>
        </is>
      </c>
      <c r="G56" t="inlineStr">
        <is>
          <t>HANINGE</t>
        </is>
      </c>
      <c r="I56" t="n">
        <v>1.7</v>
      </c>
      <c r="J56" t="n">
        <v>6</v>
      </c>
      <c r="K56" t="n">
        <v>6</v>
      </c>
      <c r="L56" t="n">
        <v>5</v>
      </c>
      <c r="M56" t="n">
        <v>1</v>
      </c>
      <c r="N56" t="n">
        <v>0</v>
      </c>
      <c r="O56" t="n">
        <v>0</v>
      </c>
      <c r="P56" t="n">
        <v>0</v>
      </c>
      <c r="Q56" t="n">
        <v>6</v>
      </c>
      <c r="R56" t="n">
        <v>1</v>
      </c>
      <c r="S56" t="n">
        <v>18</v>
      </c>
      <c r="T56" t="n">
        <v>32</v>
      </c>
      <c r="U56" t="n">
        <v>30</v>
      </c>
      <c r="V56" s="2" t="inlineStr">
        <is>
          <t>Rotfingersvamp
Dropptaggsvamp
Motaggsvamp
Tallkötticka
Talltita
Ullticka
Blåmossa
Grön sköldmossa
Grönpyrola
Kornknutmossa
Mindre märgborre
Vedticka
Ekbräken
Hultbräken
Spillkråka
Tofsmes
Kopparödla
Revlummer</t>
        </is>
      </c>
      <c r="W56">
        <f>HYPERLINK("https://klasma.github.io/Logging_0136/artfynd/A 59566-2025 artfynd.xlsx", "A 59566-2025")</f>
        <v/>
      </c>
      <c r="X56">
        <f>HYPERLINK("https://klasma.github.io/Logging_0136/kartor/A 59566-2025 karta.png", "A 59566-2025")</f>
        <v/>
      </c>
      <c r="Y56">
        <f>HYPERLINK("https://klasma.github.io/Logging_0136/kartor_geotiff/A 59566-2025 georefererad karta.tif", "A 59566-2025")</f>
        <v/>
      </c>
      <c r="AA56">
        <f>HYPERLINK("https://klasma.github.io/Logging_0136/klagomål/A 59566-2025 FSC-klagomål.docx", "A 59566-2025")</f>
        <v/>
      </c>
      <c r="AB56">
        <f>HYPERLINK("https://klasma.github.io/Logging_0136/klagomålsmail/A 59566-2025 FSC-klagomål mail.docx", "A 59566-2025")</f>
        <v/>
      </c>
      <c r="AC56">
        <f>HYPERLINK("https://klasma.github.io/Logging_0136/tillsyn/A 59566-2025 tillsynsbegäran.docx", "A 59566-2025")</f>
        <v/>
      </c>
      <c r="AD56">
        <f>HYPERLINK("https://klasma.github.io/Logging_0136/tillsynsmail/A 59566-2025 tillsynsbegäran mail.docx", "A 59566-2025")</f>
        <v/>
      </c>
      <c r="AE56">
        <f>HYPERLINK("https://klasma.github.io/Logging_0136/fåglar/A 59566-2025 prioriterade fågelarter.docx", "A 59566-2025")</f>
        <v/>
      </c>
    </row>
    <row r="57" ht="15" customHeight="1">
      <c r="A57" t="inlineStr">
        <is>
          <t>A 47274-2024</t>
        </is>
      </c>
      <c r="B57" t="inlineStr">
        <is>
          <t>avverkningsanmälan</t>
        </is>
      </c>
      <c r="C57" t="inlineStr">
        <is>
          <t>Föryngringsavverkning</t>
        </is>
      </c>
      <c r="D57" s="1" t="n">
        <v>45586</v>
      </c>
      <c r="E57" s="1" t="n">
        <v>46326</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46326</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39170-2026</t>
        </is>
      </c>
      <c r="B59" t="inlineStr">
        <is>
          <t>avverkningsanmälan</t>
        </is>
      </c>
      <c r="C59" t="inlineStr">
        <is>
          <t>Föryngringsavverkning</t>
        </is>
      </c>
      <c r="D59" s="1" t="n">
        <v>46287</v>
      </c>
      <c r="E59" s="1" t="n">
        <v>46326</v>
      </c>
      <c r="F59" t="inlineStr">
        <is>
          <t>STOCKHOLMS LÄN</t>
        </is>
      </c>
      <c r="G59" t="inlineStr">
        <is>
          <t>VALLENTUNA</t>
        </is>
      </c>
      <c r="I59" t="n">
        <v>9.199999999999999</v>
      </c>
      <c r="J59" t="n">
        <v>5</v>
      </c>
      <c r="K59" t="n">
        <v>3</v>
      </c>
      <c r="L59" t="n">
        <v>9</v>
      </c>
      <c r="M59" t="n">
        <v>0</v>
      </c>
      <c r="N59" t="n">
        <v>0</v>
      </c>
      <c r="O59" t="n">
        <v>0</v>
      </c>
      <c r="P59" t="n">
        <v>0</v>
      </c>
      <c r="Q59" t="n">
        <v>9</v>
      </c>
      <c r="R59" t="n">
        <v>0</v>
      </c>
      <c r="S59" t="n">
        <v>17</v>
      </c>
      <c r="T59" t="n">
        <v>43</v>
      </c>
      <c r="U59" t="n">
        <v>38</v>
      </c>
      <c r="V59" s="2" t="inlineStr">
        <is>
          <t>Dropptaggsvamp
Dvärgbägarlav
Motaggsvamp
Skarp dropptaggsvamp
Svartvit taggsvamp
Tallkötticka
Tallticka
Vedskivlav
Vintertagging
Blodticka
Blåmossa
Mindre märgborre
Blåsippa
Spillkråka
Tjäder
Havsörn
Revlummer</t>
        </is>
      </c>
      <c r="W59">
        <f>HYPERLINK("https://klasma.github.io/Logging_0115/artfynd/A 39170-2026 artfynd.xlsx", "A 39170-2026")</f>
        <v/>
      </c>
      <c r="X59">
        <f>HYPERLINK("https://klasma.github.io/Logging_0115/kartor/A 39170-2026 karta.png", "A 39170-2026")</f>
        <v/>
      </c>
      <c r="Y59">
        <f>HYPERLINK("https://klasma.github.io/Logging_0115/kartor_geotiff/A 39170-2026 georefererad karta.tif", "A 39170-2026")</f>
        <v/>
      </c>
      <c r="AA59">
        <f>HYPERLINK("https://klasma.github.io/Logging_0115/klagomål/A 39170-2026 FSC-klagomål.docx", "A 39170-2026")</f>
        <v/>
      </c>
      <c r="AB59">
        <f>HYPERLINK("https://klasma.github.io/Logging_0115/klagomålsmail/A 39170-2026 FSC-klagomål mail.docx", "A 39170-2026")</f>
        <v/>
      </c>
      <c r="AC59">
        <f>HYPERLINK("https://klasma.github.io/Logging_0115/tillsyn/A 39170-2026 tillsynsbegäran.docx", "A 39170-2026")</f>
        <v/>
      </c>
      <c r="AD59">
        <f>HYPERLINK("https://klasma.github.io/Logging_0115/tillsynsmail/A 39170-2026 tillsynsbegäran mail.docx", "A 39170-2026")</f>
        <v/>
      </c>
      <c r="AE59">
        <f>HYPERLINK("https://klasma.github.io/Logging_0115/fåglar/A 39170-2026 prioriterade fågelarter.docx", "A 39170-2026")</f>
        <v/>
      </c>
    </row>
    <row r="60" ht="15" customHeight="1">
      <c r="A60" t="inlineStr">
        <is>
          <t>A 24264-2023</t>
        </is>
      </c>
      <c r="B60" t="inlineStr">
        <is>
          <t>avverkningsanmälan</t>
        </is>
      </c>
      <c r="C60" t="inlineStr">
        <is>
          <t>Föryngringsavverkning</t>
        </is>
      </c>
      <c r="D60" s="1" t="n">
        <v>45076</v>
      </c>
      <c r="E60" s="1" t="n">
        <v>46326</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46326</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23846-2026</t>
        </is>
      </c>
      <c r="B62" t="inlineStr">
        <is>
          <t>avverkningsanmälan</t>
        </is>
      </c>
      <c r="C62" t="inlineStr">
        <is>
          <t>Föryngringsavverkning</t>
        </is>
      </c>
      <c r="D62" s="1" t="n">
        <v>46167</v>
      </c>
      <c r="E62" s="1" t="n">
        <v>46326</v>
      </c>
      <c r="F62" t="inlineStr">
        <is>
          <t>STOCKHOLMS LÄN</t>
        </is>
      </c>
      <c r="G62" t="inlineStr">
        <is>
          <t>SÖDERTÄLJE</t>
        </is>
      </c>
      <c r="H62" t="inlineStr">
        <is>
          <t>Sveaskog</t>
        </is>
      </c>
      <c r="I62" t="n">
        <v>11.2</v>
      </c>
      <c r="J62" t="n">
        <v>6</v>
      </c>
      <c r="K62" t="n">
        <v>6</v>
      </c>
      <c r="L62" t="n">
        <v>3</v>
      </c>
      <c r="M62" t="n">
        <v>0</v>
      </c>
      <c r="N62" t="n">
        <v>0</v>
      </c>
      <c r="O62" t="n">
        <v>0</v>
      </c>
      <c r="P62" t="n">
        <v>0</v>
      </c>
      <c r="Q62" t="n">
        <v>3</v>
      </c>
      <c r="R62" t="n">
        <v>0</v>
      </c>
      <c r="S62" t="n">
        <v>16</v>
      </c>
      <c r="T62" t="n">
        <v>28</v>
      </c>
      <c r="U62" t="n">
        <v>6</v>
      </c>
      <c r="V62" s="2" t="inlineStr">
        <is>
          <t>Motaggsvamp
Talltaggsvamp
Tallticka
Blåmossa
Flagellkvastmossa
Granbarkgnagare
Grovticka
Grön sköldmossa
Jättesvampmal
Krushättemossa
Skriftlav
Tjäder
Bred kärrtrollslända
Citronfläckad kärrtrollslända
Pudrad kärrtrollslända
Trana</t>
        </is>
      </c>
      <c r="W62">
        <f>HYPERLINK("https://klasma.github.io/Logging_0181/artfynd/A 23846-2026 artfynd.xlsx", "A 23846-2026")</f>
        <v/>
      </c>
      <c r="X62">
        <f>HYPERLINK("https://klasma.github.io/Logging_0181/kartor/A 23846-2026 karta.png", "A 23846-2026")</f>
        <v/>
      </c>
      <c r="Y62">
        <f>HYPERLINK("https://klasma.github.io/Logging_0181/kartor_geotiff/A 23846-2026 georefererad karta.tif", "A 23846-2026")</f>
        <v/>
      </c>
      <c r="AA62">
        <f>HYPERLINK("https://klasma.github.io/Logging_0181/klagomål/A 23846-2026 FSC-klagomål.docx", "A 23846-2026")</f>
        <v/>
      </c>
      <c r="AB62">
        <f>HYPERLINK("https://klasma.github.io/Logging_0181/klagomålsmail/A 23846-2026 FSC-klagomål mail.docx", "A 23846-2026")</f>
        <v/>
      </c>
      <c r="AC62">
        <f>HYPERLINK("https://klasma.github.io/Logging_0181/tillsyn/A 23846-2026 tillsynsbegäran.docx", "A 23846-2026")</f>
        <v/>
      </c>
      <c r="AD62">
        <f>HYPERLINK("https://klasma.github.io/Logging_0181/tillsynsmail/A 23846-2026 tillsynsbegäran mail.docx", "A 23846-2026")</f>
        <v/>
      </c>
      <c r="AE62">
        <f>HYPERLINK("https://klasma.github.io/Logging_0181/fåglar/A 23846-2026 prioriterade fågelarter.docx", "A 23846-2026")</f>
        <v/>
      </c>
    </row>
    <row r="63" ht="15" customHeight="1">
      <c r="A63" t="inlineStr">
        <is>
          <t>A 55825-2023</t>
        </is>
      </c>
      <c r="B63" t="inlineStr">
        <is>
          <t>avverkningsanmälan</t>
        </is>
      </c>
      <c r="C63" t="inlineStr">
        <is>
          <t>Föryngringsavverkning</t>
        </is>
      </c>
      <c r="D63" s="1" t="n">
        <v>45239</v>
      </c>
      <c r="E63" s="1" t="n">
        <v>46326</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46326</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34521-2025</t>
        </is>
      </c>
      <c r="B65" t="inlineStr">
        <is>
          <t>avverkningsanmälan</t>
        </is>
      </c>
      <c r="C65" t="inlineStr">
        <is>
          <t>Föryngringsavverkning</t>
        </is>
      </c>
      <c r="D65" s="1" t="n">
        <v>45847</v>
      </c>
      <c r="E65" s="1" t="n">
        <v>46326</v>
      </c>
      <c r="F65" t="inlineStr">
        <is>
          <t>STOCKHOLMS LÄN</t>
        </is>
      </c>
      <c r="G65" t="inlineStr">
        <is>
          <t>NORRTÄLJE</t>
        </is>
      </c>
      <c r="I65" t="n">
        <v>4.3</v>
      </c>
      <c r="J65" t="n">
        <v>1</v>
      </c>
      <c r="K65" t="n">
        <v>5</v>
      </c>
      <c r="L65" t="n">
        <v>6</v>
      </c>
      <c r="M65" t="n">
        <v>2</v>
      </c>
      <c r="N65" t="n">
        <v>1</v>
      </c>
      <c r="O65" t="n">
        <v>0</v>
      </c>
      <c r="P65" t="n">
        <v>0</v>
      </c>
      <c r="Q65" t="n">
        <v>9</v>
      </c>
      <c r="R65" t="n">
        <v>3</v>
      </c>
      <c r="S65" t="n">
        <v>15</v>
      </c>
      <c r="T65" t="n">
        <v>17</v>
      </c>
      <c r="U65" t="n">
        <v>6</v>
      </c>
      <c r="V65" s="2" t="inlineStr">
        <is>
          <t>Violgubbe
Fläckfingersvamp
Läderdoftande fingersvamp
Blek fingersvamp
Kandelabersvamp
Kattfotslav
Motaggsvamp
Skarp dropptaggsvamp
Vedtrappmossa
Anisspindling
Korallblylav
Olivspindling
Stor aspticka
Vanlig rörsvepemossa
Spillkråka</t>
        </is>
      </c>
      <c r="W65">
        <f>HYPERLINK("https://klasma.github.io/Logging_0188/artfynd/A 34521-2025 artfynd.xlsx", "A 34521-2025")</f>
        <v/>
      </c>
      <c r="X65">
        <f>HYPERLINK("https://klasma.github.io/Logging_0188/kartor/A 34521-2025 karta.png", "A 34521-2025")</f>
        <v/>
      </c>
      <c r="Y65">
        <f>HYPERLINK("https://klasma.github.io/Logging_0188/kartor_geotiff/A 34521-2025 georefererad karta.tif", "A 34521-2025")</f>
        <v/>
      </c>
      <c r="AA65">
        <f>HYPERLINK("https://klasma.github.io/Logging_0188/klagomål/A 34521-2025 FSC-klagomål.docx", "A 34521-2025")</f>
        <v/>
      </c>
      <c r="AB65">
        <f>HYPERLINK("https://klasma.github.io/Logging_0188/klagomålsmail/A 34521-2025 FSC-klagomål mail.docx", "A 34521-2025")</f>
        <v/>
      </c>
      <c r="AC65">
        <f>HYPERLINK("https://klasma.github.io/Logging_0188/tillsyn/A 34521-2025 tillsynsbegäran.docx", "A 34521-2025")</f>
        <v/>
      </c>
      <c r="AD65">
        <f>HYPERLINK("https://klasma.github.io/Logging_0188/tillsynsmail/A 34521-2025 tillsynsbegäran mail.docx", "A 34521-2025")</f>
        <v/>
      </c>
      <c r="AE65">
        <f>HYPERLINK("https://klasma.github.io/Logging_0188/fåglar/A 34521-2025 prioriterade fågelarter.docx", "A 34521-2025")</f>
        <v/>
      </c>
    </row>
    <row r="66" ht="15" customHeight="1">
      <c r="A66" t="inlineStr">
        <is>
          <t>S 6380-2022</t>
        </is>
      </c>
      <c r="B66" t="inlineStr">
        <is>
          <t>samrådsanmälan</t>
        </is>
      </c>
      <c r="C66" t="inlineStr">
        <is>
          <t>Annan skogsbruksåtgärd</t>
        </is>
      </c>
      <c r="D66" s="1" t="n">
        <v>44874</v>
      </c>
      <c r="E66" s="1" t="n">
        <v>46326</v>
      </c>
      <c r="F66" t="inlineStr">
        <is>
          <t>STOCKHOLMS LÄN</t>
        </is>
      </c>
      <c r="G66" t="inlineStr">
        <is>
          <t>NORRTÄLJE</t>
        </is>
      </c>
      <c r="I66" t="n">
        <v>2.7</v>
      </c>
      <c r="J66" t="n">
        <v>4</v>
      </c>
      <c r="K66" t="n">
        <v>6</v>
      </c>
      <c r="L66" t="n">
        <v>2</v>
      </c>
      <c r="M66" t="n">
        <v>5</v>
      </c>
      <c r="N66" t="n">
        <v>1</v>
      </c>
      <c r="O66" t="n">
        <v>0</v>
      </c>
      <c r="P66" t="n">
        <v>0</v>
      </c>
      <c r="Q66" t="n">
        <v>8</v>
      </c>
      <c r="R66" t="n">
        <v>6</v>
      </c>
      <c r="S66" t="n">
        <v>15</v>
      </c>
      <c r="T66" t="n">
        <v>37</v>
      </c>
      <c r="U66" t="n">
        <v>10</v>
      </c>
      <c r="V66" s="2" t="inlineStr">
        <is>
          <t>Skogsalm
Aspgelélav
Grangråticka
Knärot
Läderlappslav
Svartfjällig musseron
Fjällig taggsvamp s.str.
Tallticka
Nästrot
Platt fjädermossa
Rävticka
Skogsknipprot
Stor aspticka
Svavelriska
Blåsippa</t>
        </is>
      </c>
      <c r="W66">
        <f>HYPERLINK("https://klasma.github.io/Logging_0188/artfynd/S 6380-2022 artfynd.xlsx", "S 6380-2022")</f>
        <v/>
      </c>
      <c r="X66">
        <f>HYPERLINK("https://klasma.github.io/Logging_0188/kartor/S 6380-2022 karta.png", "S 6380-2022")</f>
        <v/>
      </c>
      <c r="Y66">
        <f>HYPERLINK("https://klasma.github.io/Logging_0188/kartor_geotiff/S 6380-2022 georefererad karta.tif", "S 6380-2022")</f>
        <v/>
      </c>
      <c r="Z66">
        <f>HYPERLINK("https://klasma.github.io/Logging_0188/knärot/S 6380-2022 karta knärot.png", "S 6380-2022")</f>
        <v/>
      </c>
      <c r="AA66">
        <f>HYPERLINK("https://klasma.github.io/Logging_0188/klagomål/S 6380-2022 FSC-klagomål.docx", "S 6380-2022")</f>
        <v/>
      </c>
      <c r="AB66">
        <f>HYPERLINK("https://klasma.github.io/Logging_0188/klagomålsmail/S 6380-2022 FSC-klagomål mail.docx", "S 6380-2022")</f>
        <v/>
      </c>
      <c r="AC66">
        <f>HYPERLINK("https://klasma.github.io/Logging_0188/tillsyn/S 6380-2022 tillsynsbegäran.docx", "S 6380-2022")</f>
        <v/>
      </c>
      <c r="AD66">
        <f>HYPERLINK("https://klasma.github.io/Logging_0188/tillsynsmail/S 6380-2022 tillsynsbegäran mail.docx", "S 6380-2022")</f>
        <v/>
      </c>
    </row>
    <row r="67" ht="15" customHeight="1">
      <c r="A67" t="inlineStr">
        <is>
          <t>A 639-2026</t>
        </is>
      </c>
      <c r="B67" t="inlineStr">
        <is>
          <t>avverkningsanmälan</t>
        </is>
      </c>
      <c r="C67" t="inlineStr">
        <is>
          <t>Avverkning för annat ändamål</t>
        </is>
      </c>
      <c r="D67" s="1" t="n">
        <v>46029</v>
      </c>
      <c r="E67" s="1" t="n">
        <v>46326</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46326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46326</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46326</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A 39168-2026</t>
        </is>
      </c>
      <c r="B71" t="inlineStr">
        <is>
          <t>avverkningsanmälan</t>
        </is>
      </c>
      <c r="C71" t="inlineStr">
        <is>
          <t>Föryngringsavverkning</t>
        </is>
      </c>
      <c r="D71" s="1" t="n">
        <v>46287</v>
      </c>
      <c r="E71" s="1" t="n">
        <v>46326</v>
      </c>
      <c r="F71" t="inlineStr">
        <is>
          <t>STOCKHOLMS LÄN</t>
        </is>
      </c>
      <c r="G71" t="inlineStr">
        <is>
          <t>VALLENTUNA</t>
        </is>
      </c>
      <c r="I71" t="n">
        <v>6.8</v>
      </c>
      <c r="J71" t="n">
        <v>2</v>
      </c>
      <c r="K71" t="n">
        <v>5</v>
      </c>
      <c r="L71" t="n">
        <v>6</v>
      </c>
      <c r="M71" t="n">
        <v>1</v>
      </c>
      <c r="N71" t="n">
        <v>0</v>
      </c>
      <c r="O71" t="n">
        <v>0</v>
      </c>
      <c r="P71" t="n">
        <v>0</v>
      </c>
      <c r="Q71" t="n">
        <v>7</v>
      </c>
      <c r="R71" t="n">
        <v>1</v>
      </c>
      <c r="S71" t="n">
        <v>14</v>
      </c>
      <c r="T71" t="n">
        <v>34</v>
      </c>
      <c r="U71" t="n">
        <v>32</v>
      </c>
      <c r="V71" s="2" t="inlineStr">
        <is>
          <t>Knärot
Fjällig taggsvamp s.str.
Motaggsvamp
Rosenticka
Tallkötticka
Ullticka
Vedskivlav
Björksplintborre
Bollvitmossa
Mindre märgborre
Thomsons trägnagare
Vågbandad barkbock
Kransmossa
Spillkråka</t>
        </is>
      </c>
      <c r="W71">
        <f>HYPERLINK("https://klasma.github.io/Logging_0115/artfynd/A 39168-2026 artfynd.xlsx", "A 39168-2026")</f>
        <v/>
      </c>
      <c r="X71">
        <f>HYPERLINK("https://klasma.github.io/Logging_0115/kartor/A 39168-2026 karta.png", "A 39168-2026")</f>
        <v/>
      </c>
      <c r="Y71">
        <f>HYPERLINK("https://klasma.github.io/Logging_0115/kartor_geotiff/A 39168-2026 georefererad karta.tif", "A 39168-2026")</f>
        <v/>
      </c>
      <c r="Z71">
        <f>HYPERLINK("https://klasma.github.io/Logging_0115/knärot/A 39168-2026 karta knärot.png", "A 39168-2026")</f>
        <v/>
      </c>
      <c r="AA71">
        <f>HYPERLINK("https://klasma.github.io/Logging_0115/klagomål/A 39168-2026 FSC-klagomål.docx", "A 39168-2026")</f>
        <v/>
      </c>
      <c r="AB71">
        <f>HYPERLINK("https://klasma.github.io/Logging_0115/klagomålsmail/A 39168-2026 FSC-klagomål mail.docx", "A 39168-2026")</f>
        <v/>
      </c>
      <c r="AC71">
        <f>HYPERLINK("https://klasma.github.io/Logging_0115/tillsyn/A 39168-2026 tillsynsbegäran.docx", "A 39168-2026")</f>
        <v/>
      </c>
      <c r="AD71">
        <f>HYPERLINK("https://klasma.github.io/Logging_0115/tillsynsmail/A 39168-2026 tillsynsbegäran mail.docx", "A 39168-2026")</f>
        <v/>
      </c>
      <c r="AE71">
        <f>HYPERLINK("https://klasma.github.io/Logging_0115/fåglar/A 39168-2026 prioriterade fågelarter.docx", "A 39168-2026")</f>
        <v/>
      </c>
    </row>
    <row r="72" ht="15" customHeight="1">
      <c r="A72" t="inlineStr">
        <is>
          <t>A 39620-2023</t>
        </is>
      </c>
      <c r="B72" t="inlineStr">
        <is>
          <t>avverkningsanmälan</t>
        </is>
      </c>
      <c r="C72" t="inlineStr">
        <is>
          <t>Avverkning för annat ändamål</t>
        </is>
      </c>
      <c r="D72" s="1" t="n">
        <v>45163</v>
      </c>
      <c r="E72" s="1" t="n">
        <v>46326</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10430-2026</t>
        </is>
      </c>
      <c r="B73" t="inlineStr">
        <is>
          <t>avverkningsanmälan</t>
        </is>
      </c>
      <c r="C73" t="inlineStr">
        <is>
          <t>Avverkning för att bevara och utveckla /försöksver</t>
        </is>
      </c>
      <c r="D73" s="1" t="n">
        <v>46077</v>
      </c>
      <c r="E73" s="1" t="n">
        <v>46326</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46326</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15925-2026</t>
        </is>
      </c>
      <c r="B75" t="inlineStr">
        <is>
          <t>avverkningsanmälan</t>
        </is>
      </c>
      <c r="C75" t="inlineStr">
        <is>
          <t>Föryngringsavverkning</t>
        </is>
      </c>
      <c r="D75" s="1" t="n">
        <v>46107</v>
      </c>
      <c r="E75" s="1" t="n">
        <v>46326</v>
      </c>
      <c r="F75" t="inlineStr">
        <is>
          <t>STOCKHOLMS LÄN</t>
        </is>
      </c>
      <c r="G75" t="inlineStr">
        <is>
          <t>NORRTÄLJE</t>
        </is>
      </c>
      <c r="I75" t="n">
        <v>2.9</v>
      </c>
      <c r="J75" t="n">
        <v>4</v>
      </c>
      <c r="K75" t="n">
        <v>4</v>
      </c>
      <c r="L75" t="n">
        <v>3</v>
      </c>
      <c r="M75" t="n">
        <v>2</v>
      </c>
      <c r="N75" t="n">
        <v>0</v>
      </c>
      <c r="O75" t="n">
        <v>0</v>
      </c>
      <c r="P75" t="n">
        <v>0</v>
      </c>
      <c r="Q75" t="n">
        <v>5</v>
      </c>
      <c r="R75" t="n">
        <v>2</v>
      </c>
      <c r="S75" t="n">
        <v>12</v>
      </c>
      <c r="T75" t="n">
        <v>27</v>
      </c>
      <c r="U75" t="n">
        <v>19</v>
      </c>
      <c r="V75" s="2" t="inlineStr">
        <is>
          <t>Gul lammticka
Knärot
Fjällig taggsvamp s.str.
Sårläka
Ullticka
Fransig jordstjärna
Kamjordstjärna
Svart trolldruva
Svavelriska
Blåsippa
Spillkråka
Tofsmes</t>
        </is>
      </c>
      <c r="W75">
        <f>HYPERLINK("https://klasma.github.io/Logging_0188/artfynd/A 15925-2026 artfynd.xlsx", "A 15925-2026")</f>
        <v/>
      </c>
      <c r="X75">
        <f>HYPERLINK("https://klasma.github.io/Logging_0188/kartor/A 15925-2026 karta.png", "A 15925-2026")</f>
        <v/>
      </c>
      <c r="Y75">
        <f>HYPERLINK("https://klasma.github.io/Logging_0188/kartor_geotiff/A 15925-2026 georefererad karta.tif", "A 15925-2026")</f>
        <v/>
      </c>
      <c r="Z75">
        <f>HYPERLINK("https://klasma.github.io/Logging_0188/knärot/A 15925-2026 karta knärot.png", "A 15925-2026")</f>
        <v/>
      </c>
      <c r="AA75">
        <f>HYPERLINK("https://klasma.github.io/Logging_0188/klagomål/A 15925-2026 FSC-klagomål.docx", "A 15925-2026")</f>
        <v/>
      </c>
      <c r="AB75">
        <f>HYPERLINK("https://klasma.github.io/Logging_0188/klagomålsmail/A 15925-2026 FSC-klagomål mail.docx", "A 15925-2026")</f>
        <v/>
      </c>
      <c r="AC75">
        <f>HYPERLINK("https://klasma.github.io/Logging_0188/tillsyn/A 15925-2026 tillsynsbegäran.docx", "A 15925-2026")</f>
        <v/>
      </c>
      <c r="AD75">
        <f>HYPERLINK("https://klasma.github.io/Logging_0188/tillsynsmail/A 15925-2026 tillsynsbegäran mail.docx", "A 15925-2026")</f>
        <v/>
      </c>
      <c r="AE75">
        <f>HYPERLINK("https://klasma.github.io/Logging_0188/fåglar/A 15925-2026 prioriterade fågelarter.docx", "A 15925-2026")</f>
        <v/>
      </c>
    </row>
    <row r="76" ht="15" customHeight="1">
      <c r="A76" t="inlineStr">
        <is>
          <t>A 17785-2024</t>
        </is>
      </c>
      <c r="B76" t="inlineStr">
        <is>
          <t>avverkningsanmälan</t>
        </is>
      </c>
      <c r="C76" t="inlineStr">
        <is>
          <t>Föryngringsavverkning</t>
        </is>
      </c>
      <c r="D76" s="1" t="n">
        <v>45418</v>
      </c>
      <c r="E76" s="1" t="n">
        <v>46326</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46326</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3472-2023</t>
        </is>
      </c>
      <c r="B78" t="inlineStr">
        <is>
          <t>avverkningsanmälan</t>
        </is>
      </c>
      <c r="C78" t="inlineStr">
        <is>
          <t>Avverkning för att bevara och utveckla /försöksver</t>
        </is>
      </c>
      <c r="D78" s="1" t="n">
        <v>44949</v>
      </c>
      <c r="E78" s="1" t="n">
        <v>46326</v>
      </c>
      <c r="F78" t="inlineStr">
        <is>
          <t>STOCKHOLMS LÄN</t>
        </is>
      </c>
      <c r="G78" t="inlineStr">
        <is>
          <t>NORRTÄLJE</t>
        </is>
      </c>
      <c r="I78" t="n">
        <v>26.3</v>
      </c>
      <c r="J78" t="n">
        <v>1</v>
      </c>
      <c r="K78" t="n">
        <v>6</v>
      </c>
      <c r="L78" t="n">
        <v>3</v>
      </c>
      <c r="M78" t="n">
        <v>1</v>
      </c>
      <c r="N78" t="n">
        <v>0</v>
      </c>
      <c r="O78" t="n">
        <v>0</v>
      </c>
      <c r="P78" t="n">
        <v>0</v>
      </c>
      <c r="Q78" t="n">
        <v>4</v>
      </c>
      <c r="R78" t="n">
        <v>1</v>
      </c>
      <c r="S78" t="n">
        <v>11</v>
      </c>
      <c r="T78" t="n">
        <v>18</v>
      </c>
      <c r="U78" t="n">
        <v>4</v>
      </c>
      <c r="V78" s="2" t="inlineStr">
        <is>
          <t>Blackticka
Tallticka
Ullticka
Vårärt
Aspvedgnagare
Platt fjädermossa
Rävticka
Rökmusseron
Stor aspticka
Svavelriska
Blåsippa</t>
        </is>
      </c>
      <c r="W78">
        <f>HYPERLINK("https://klasma.github.io/Logging_0188/artfynd/A 3472-2023 artfynd.xlsx", "A 3472-2023")</f>
        <v/>
      </c>
      <c r="X78">
        <f>HYPERLINK("https://klasma.github.io/Logging_0188/kartor/A 3472-2023 karta.png", "A 3472-2023")</f>
        <v/>
      </c>
      <c r="Y78">
        <f>HYPERLINK("https://klasma.github.io/Logging_0188/kartor_geotiff/A 3472-2023 georefererad karta.tif", "A 3472-2023")</f>
        <v/>
      </c>
      <c r="AA78">
        <f>HYPERLINK("https://klasma.github.io/Logging_0188/klagomål/A 3472-2023 FSC-klagomål.docx", "A 3472-2023")</f>
        <v/>
      </c>
      <c r="AB78">
        <f>HYPERLINK("https://klasma.github.io/Logging_0188/klagomålsmail/A 3472-2023 FSC-klagomål mail.docx", "A 3472-2023")</f>
        <v/>
      </c>
      <c r="AC78">
        <f>HYPERLINK("https://klasma.github.io/Logging_0188/tillsyn/A 3472-2023 tillsynsbegäran.docx", "A 3472-2023")</f>
        <v/>
      </c>
      <c r="AD78">
        <f>HYPERLINK("https://klasma.github.io/Logging_0188/tillsynsmail/A 3472-2023 tillsynsbegäran mail.docx", "A 3472-2023")</f>
        <v/>
      </c>
    </row>
    <row r="79" ht="15" customHeight="1">
      <c r="A79" t="inlineStr">
        <is>
          <t>A 3155-2025</t>
        </is>
      </c>
      <c r="B79" t="inlineStr">
        <is>
          <t>avverkningsanmälan</t>
        </is>
      </c>
      <c r="C79" t="inlineStr">
        <is>
          <t>Föryngringsavverkning</t>
        </is>
      </c>
      <c r="D79" s="1" t="n">
        <v>45679</v>
      </c>
      <c r="E79" s="1" t="n">
        <v>46326</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39613-2023</t>
        </is>
      </c>
      <c r="B80" t="inlineStr">
        <is>
          <t>avverkningsanmälan</t>
        </is>
      </c>
      <c r="C80" t="inlineStr">
        <is>
          <t>Avverkning för annat ändamål</t>
        </is>
      </c>
      <c r="D80" s="1" t="n">
        <v>45163</v>
      </c>
      <c r="E80" s="1" t="n">
        <v>46326</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46326</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24365-2023</t>
        </is>
      </c>
      <c r="B82" t="inlineStr">
        <is>
          <t>avverkningsanmälan</t>
        </is>
      </c>
      <c r="C82" t="inlineStr">
        <is>
          <t>Föryngringsavverkning</t>
        </is>
      </c>
      <c r="D82" s="1" t="n">
        <v>45076</v>
      </c>
      <c r="E82" s="1" t="n">
        <v>46326</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33066-2026</t>
        </is>
      </c>
      <c r="B83" t="inlineStr">
        <is>
          <t>avverkningsanmälan</t>
        </is>
      </c>
      <c r="C83" t="inlineStr">
        <is>
          <t>Föryngringsavverkning</t>
        </is>
      </c>
      <c r="D83" s="1" t="n">
        <v>46245</v>
      </c>
      <c r="E83" s="1" t="n">
        <v>46326</v>
      </c>
      <c r="F83" t="inlineStr">
        <is>
          <t>STOCKHOLMS LÄN</t>
        </is>
      </c>
      <c r="G83" t="inlineStr">
        <is>
          <t>NYNÄSHAMN</t>
        </is>
      </c>
      <c r="I83" t="n">
        <v>5.4</v>
      </c>
      <c r="J83" t="n">
        <v>1</v>
      </c>
      <c r="K83" t="n">
        <v>3</v>
      </c>
      <c r="L83" t="n">
        <v>6</v>
      </c>
      <c r="M83" t="n">
        <v>1</v>
      </c>
      <c r="N83" t="n">
        <v>0</v>
      </c>
      <c r="O83" t="n">
        <v>0</v>
      </c>
      <c r="P83" t="n">
        <v>0</v>
      </c>
      <c r="Q83" t="n">
        <v>7</v>
      </c>
      <c r="R83" t="n">
        <v>1</v>
      </c>
      <c r="S83" t="n">
        <v>11</v>
      </c>
      <c r="T83" t="n">
        <v>20</v>
      </c>
      <c r="U83" t="n">
        <v>14</v>
      </c>
      <c r="V83" s="2" t="inlineStr">
        <is>
          <t>Garnlav
Kortskaftad ärgspik
Motaggsvamp
Tallticka
Ullticka
Vaddporing
Vedskivlav
Bronshjon
Grovticka
Vedticka
Tjäder</t>
        </is>
      </c>
      <c r="W83">
        <f>HYPERLINK("https://klasma.github.io/Logging_0192/artfynd/A 33066-2026 artfynd.xlsx", "A 33066-2026")</f>
        <v/>
      </c>
      <c r="X83">
        <f>HYPERLINK("https://klasma.github.io/Logging_0192/kartor/A 33066-2026 karta.png", "A 33066-2026")</f>
        <v/>
      </c>
      <c r="Y83">
        <f>HYPERLINK("https://klasma.github.io/Logging_0192/kartor_geotiff/A 33066-2026 georefererad karta.tif", "A 33066-2026")</f>
        <v/>
      </c>
      <c r="AA83">
        <f>HYPERLINK("https://klasma.github.io/Logging_0192/klagomål/A 33066-2026 FSC-klagomål.docx", "A 33066-2026")</f>
        <v/>
      </c>
      <c r="AB83">
        <f>HYPERLINK("https://klasma.github.io/Logging_0192/klagomålsmail/A 33066-2026 FSC-klagomål mail.docx", "A 33066-2026")</f>
        <v/>
      </c>
      <c r="AC83">
        <f>HYPERLINK("https://klasma.github.io/Logging_0192/tillsyn/A 33066-2026 tillsynsbegäran.docx", "A 33066-2026")</f>
        <v/>
      </c>
      <c r="AD83">
        <f>HYPERLINK("https://klasma.github.io/Logging_0192/tillsynsmail/A 33066-2026 tillsynsbegäran mail.docx", "A 33066-2026")</f>
        <v/>
      </c>
      <c r="AE83">
        <f>HYPERLINK("https://klasma.github.io/Logging_0192/fåglar/A 33066-2026 prioriterade fågelarter.docx", "A 33066-2026")</f>
        <v/>
      </c>
    </row>
    <row r="84" ht="15" customHeight="1">
      <c r="A84" t="inlineStr">
        <is>
          <t>S 6465-2022</t>
        </is>
      </c>
      <c r="B84" t="inlineStr">
        <is>
          <t>samrådsanmälan</t>
        </is>
      </c>
      <c r="C84" t="inlineStr">
        <is>
          <t>Annan skogsbruksåtgärd</t>
        </is>
      </c>
      <c r="D84" s="1" t="n">
        <v>44880</v>
      </c>
      <c r="E84" s="1" t="n">
        <v>46326</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46326</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46326</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17342-2025</t>
        </is>
      </c>
      <c r="B87" t="inlineStr">
        <is>
          <t>avverkningsanmälan</t>
        </is>
      </c>
      <c r="C87" t="inlineStr">
        <is>
          <t>Föryngringsavverkning</t>
        </is>
      </c>
      <c r="D87" s="1" t="n">
        <v>45756</v>
      </c>
      <c r="E87" s="1" t="n">
        <v>46326</v>
      </c>
      <c r="F87" t="inlineStr">
        <is>
          <t>STOCKHOLMS LÄN</t>
        </is>
      </c>
      <c r="G87" t="inlineStr">
        <is>
          <t>VALLENTUNA</t>
        </is>
      </c>
      <c r="H87" t="inlineStr">
        <is>
          <t>Övriga Aktiebolag</t>
        </is>
      </c>
      <c r="I87" t="n">
        <v>3.9</v>
      </c>
      <c r="J87" t="n">
        <v>4</v>
      </c>
      <c r="K87" t="n">
        <v>2</v>
      </c>
      <c r="L87" t="n">
        <v>1</v>
      </c>
      <c r="M87" t="n">
        <v>0</v>
      </c>
      <c r="N87" t="n">
        <v>0</v>
      </c>
      <c r="O87" t="n">
        <v>0</v>
      </c>
      <c r="P87" t="n">
        <v>0</v>
      </c>
      <c r="Q87" t="n">
        <v>1</v>
      </c>
      <c r="R87" t="n">
        <v>0</v>
      </c>
      <c r="S87" t="n">
        <v>10</v>
      </c>
      <c r="T87" t="n">
        <v>13</v>
      </c>
      <c r="U87" t="n">
        <v>12</v>
      </c>
      <c r="V87" s="2" t="inlineStr">
        <is>
          <t>Motaggsvamp
Mindre märgborre
Vågbandad barkbock
Blåsippa
Kransmossa
Liljekonvalj
Spillkråka
Timmerticka
Grönsiska
Revlummer</t>
        </is>
      </c>
      <c r="W87">
        <f>HYPERLINK("https://klasma.github.io/Logging_0115/artfynd/A 17342-2025 artfynd.xlsx", "A 17342-2025")</f>
        <v/>
      </c>
      <c r="X87">
        <f>HYPERLINK("https://klasma.github.io/Logging_0115/kartor/A 17342-2025 karta.png", "A 17342-2025")</f>
        <v/>
      </c>
      <c r="Y87">
        <f>HYPERLINK("https://klasma.github.io/Logging_0115/kartor_geotiff/A 17342-2025 georefererad karta.tif", "A 17342-2025")</f>
        <v/>
      </c>
      <c r="AA87">
        <f>HYPERLINK("https://klasma.github.io/Logging_0115/klagomål/A 17342-2025 FSC-klagomål.docx", "A 17342-2025")</f>
        <v/>
      </c>
      <c r="AB87">
        <f>HYPERLINK("https://klasma.github.io/Logging_0115/klagomålsmail/A 17342-2025 FSC-klagomål mail.docx", "A 17342-2025")</f>
        <v/>
      </c>
      <c r="AC87">
        <f>HYPERLINK("https://klasma.github.io/Logging_0115/tillsyn/A 17342-2025 tillsynsbegäran.docx", "A 17342-2025")</f>
        <v/>
      </c>
      <c r="AD87">
        <f>HYPERLINK("https://klasma.github.io/Logging_0115/tillsynsmail/A 17342-2025 tillsynsbegäran mail.docx", "A 17342-2025")</f>
        <v/>
      </c>
      <c r="AE87">
        <f>HYPERLINK("https://klasma.github.io/Logging_0115/fåglar/A 17342-2025 prioriterade fågelarter.docx", "A 17342-2025")</f>
        <v/>
      </c>
    </row>
    <row r="88" ht="15" customHeight="1">
      <c r="A88" t="inlineStr">
        <is>
          <t>A 10000-2022</t>
        </is>
      </c>
      <c r="B88" t="inlineStr">
        <is>
          <t>avverkningsanmälan</t>
        </is>
      </c>
      <c r="C88" t="inlineStr">
        <is>
          <t>Avverkning för annat ändamål</t>
        </is>
      </c>
      <c r="D88" s="1" t="n">
        <v>44621</v>
      </c>
      <c r="E88" s="1" t="n">
        <v>46326</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t="n">
        <v>17</v>
      </c>
      <c r="V88" s="2" t="inlineStr">
        <is>
          <t>Hussvala
Mindre blåvinge
Tornseglare
Gulsparv
Jungfrulin
Ladusvala
Vinterhämpling
Kattfot
Grönsiska
Ärtsångare</t>
        </is>
      </c>
      <c r="W88">
        <f>HYPERLINK("https://klasma.github.io/Logging_0191/artfynd/A 10000-2022 artfynd.xlsx", "A 10000-2022")</f>
        <v/>
      </c>
      <c r="X88">
        <f>HYPERLINK("https://klasma.github.io/Logging_0191/kartor/A 10000-2022 karta.png", "A 10000-2022")</f>
        <v/>
      </c>
      <c r="Y88">
        <f>HYPERLINK("https://klasma.github.io/Logging_0191/kartor_geotiff/A 10000-2022 georefererad karta.tif", "A 10000-2022")</f>
        <v/>
      </c>
      <c r="AA88">
        <f>HYPERLINK("https://klasma.github.io/Logging_0191/klagomål/A 10000-2022 FSC-klagomål.docx", "A 10000-2022")</f>
        <v/>
      </c>
      <c r="AB88">
        <f>HYPERLINK("https://klasma.github.io/Logging_0191/klagomålsmail/A 10000-2022 FSC-klagomål mail.docx", "A 10000-2022")</f>
        <v/>
      </c>
      <c r="AC88">
        <f>HYPERLINK("https://klasma.github.io/Logging_0191/tillsyn/A 10000-2022 tillsynsbegäran.docx", "A 10000-2022")</f>
        <v/>
      </c>
      <c r="AD88">
        <f>HYPERLINK("https://klasma.github.io/Logging_0191/tillsynsmail/A 10000-2022 tillsynsbegäran mail.docx", "A 10000-2022")</f>
        <v/>
      </c>
      <c r="AE88">
        <f>HYPERLINK("https://klasma.github.io/Logging_0191/fåglar/A 10000-2022 prioriterade fågelarter.docx", "A 10000-2022")</f>
        <v/>
      </c>
    </row>
    <row r="89" ht="15" customHeight="1">
      <c r="A89" t="inlineStr">
        <is>
          <t>A 24599-2022</t>
        </is>
      </c>
      <c r="B89" t="inlineStr">
        <is>
          <t>avverkningsanmälan</t>
        </is>
      </c>
      <c r="C89" t="inlineStr">
        <is>
          <t>Föryngringsavverkning</t>
        </is>
      </c>
      <c r="D89" s="1" t="n">
        <v>44727</v>
      </c>
      <c r="E89" s="1" t="n">
        <v>46326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46326</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25888-2026</t>
        </is>
      </c>
      <c r="B91" t="inlineStr">
        <is>
          <t>avverkningsanmälan</t>
        </is>
      </c>
      <c r="C91" t="inlineStr">
        <is>
          <t>Föryngringsavverkning</t>
        </is>
      </c>
      <c r="D91" s="1" t="n">
        <v>46178</v>
      </c>
      <c r="E91" s="1" t="n">
        <v>46326</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44847-2023</t>
        </is>
      </c>
      <c r="B92" t="inlineStr">
        <is>
          <t>avverkningsanmälan</t>
        </is>
      </c>
      <c r="C92" t="inlineStr">
        <is>
          <t>Föryngringsavverkning</t>
        </is>
      </c>
      <c r="D92" s="1" t="n">
        <v>45190</v>
      </c>
      <c r="E92" s="1" t="n">
        <v>46326</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46326</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46326</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46326</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46326</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48514-2025</t>
        </is>
      </c>
      <c r="B97" t="inlineStr">
        <is>
          <t>avverkningsanmälan</t>
        </is>
      </c>
      <c r="C97" t="inlineStr">
        <is>
          <t>Föryngringsavverkning</t>
        </is>
      </c>
      <c r="D97" s="1" t="n">
        <v>45936</v>
      </c>
      <c r="E97" s="1" t="n">
        <v>46326</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31142-2023</t>
        </is>
      </c>
      <c r="B98" t="inlineStr">
        <is>
          <t>avverkningsanmälan</t>
        </is>
      </c>
      <c r="C98" t="inlineStr">
        <is>
          <t>Föryngringsavverkning</t>
        </is>
      </c>
      <c r="D98" s="1" t="n">
        <v>45113</v>
      </c>
      <c r="E98" s="1" t="n">
        <v>46326</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46326</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60057-2023</t>
        </is>
      </c>
      <c r="B100" t="inlineStr">
        <is>
          <t>avverkningsanmälan</t>
        </is>
      </c>
      <c r="C100" t="inlineStr">
        <is>
          <t>Föryngringsavverkning</t>
        </is>
      </c>
      <c r="D100" s="1" t="n">
        <v>45257</v>
      </c>
      <c r="E100" s="1" t="n">
        <v>46326</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22390-2026</t>
        </is>
      </c>
      <c r="B101" t="inlineStr">
        <is>
          <t>avverkningsanmälan</t>
        </is>
      </c>
      <c r="C101" t="inlineStr">
        <is>
          <t>Föryngringsavverkning</t>
        </is>
      </c>
      <c r="D101" s="1" t="n">
        <v>46154</v>
      </c>
      <c r="E101" s="1" t="n">
        <v>46326</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46326</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61763-2025</t>
        </is>
      </c>
      <c r="B103" t="inlineStr">
        <is>
          <t>avverkningsanmälan</t>
        </is>
      </c>
      <c r="C103" t="inlineStr">
        <is>
          <t>Föryngringsavverkning</t>
        </is>
      </c>
      <c r="D103" s="1" t="n">
        <v>46002</v>
      </c>
      <c r="E103" s="1" t="n">
        <v>46326</v>
      </c>
      <c r="F103" t="inlineStr">
        <is>
          <t>STOCKHOLMS LÄN</t>
        </is>
      </c>
      <c r="G103" t="inlineStr">
        <is>
          <t>VALLENTUNA</t>
        </is>
      </c>
      <c r="I103" t="n">
        <v>6.9</v>
      </c>
      <c r="J103" t="n">
        <v>2</v>
      </c>
      <c r="K103" t="n">
        <v>5</v>
      </c>
      <c r="L103" t="n">
        <v>2</v>
      </c>
      <c r="M103" t="n">
        <v>1</v>
      </c>
      <c r="N103" t="n">
        <v>0</v>
      </c>
      <c r="O103" t="n">
        <v>0</v>
      </c>
      <c r="P103" t="n">
        <v>0</v>
      </c>
      <c r="Q103" t="n">
        <v>3</v>
      </c>
      <c r="R103" t="n">
        <v>1</v>
      </c>
      <c r="S103" t="n">
        <v>9</v>
      </c>
      <c r="T103" t="n">
        <v>9</v>
      </c>
      <c r="U103" t="n">
        <v>9</v>
      </c>
      <c r="V103" s="2" t="inlineStr">
        <is>
          <t>Gränsticka
Dunmossa
Talltita
Björksplintborre
Blomkålssvamp
Mörk husmossa
Stubbspretmossa
Vågbandad barkbock
Kungsfågel</t>
        </is>
      </c>
      <c r="W103">
        <f>HYPERLINK("https://klasma.github.io/Logging_0115/artfynd/A 61763-2025 artfynd.xlsx", "A 61763-2025")</f>
        <v/>
      </c>
      <c r="X103">
        <f>HYPERLINK("https://klasma.github.io/Logging_0115/kartor/A 61763-2025 karta.png", "A 61763-2025")</f>
        <v/>
      </c>
      <c r="Y103">
        <f>HYPERLINK("https://klasma.github.io/Logging_0115/kartor_geotiff/A 61763-2025 georefererad karta.tif", "A 61763-2025")</f>
        <v/>
      </c>
      <c r="AA103">
        <f>HYPERLINK("https://klasma.github.io/Logging_0115/klagomål/A 61763-2025 FSC-klagomål.docx", "A 61763-2025")</f>
        <v/>
      </c>
      <c r="AB103">
        <f>HYPERLINK("https://klasma.github.io/Logging_0115/klagomålsmail/A 61763-2025 FSC-klagomål mail.docx", "A 61763-2025")</f>
        <v/>
      </c>
      <c r="AC103">
        <f>HYPERLINK("https://klasma.github.io/Logging_0115/tillsyn/A 61763-2025 tillsynsbegäran.docx", "A 61763-2025")</f>
        <v/>
      </c>
      <c r="AD103">
        <f>HYPERLINK("https://klasma.github.io/Logging_0115/tillsynsmail/A 61763-2025 tillsynsbegäran mail.docx", "A 61763-2025")</f>
        <v/>
      </c>
      <c r="AE103">
        <f>HYPERLINK("https://klasma.github.io/Logging_0115/fåglar/A 61763-2025 prioriterade fågelarter.docx", "A 61763-2025")</f>
        <v/>
      </c>
    </row>
    <row r="104" ht="15" customHeight="1">
      <c r="A104" t="inlineStr">
        <is>
          <t>S 1235-2020</t>
        </is>
      </c>
      <c r="B104" t="inlineStr">
        <is>
          <t>samrådsanmälan</t>
        </is>
      </c>
      <c r="C104" t="inlineStr">
        <is>
          <t>Åtgärd i nyckelbiotop</t>
        </is>
      </c>
      <c r="D104" s="1" t="n">
        <v>43969</v>
      </c>
      <c r="E104" s="1" t="n">
        <v>46326</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5605-2022</t>
        </is>
      </c>
      <c r="B105" t="inlineStr">
        <is>
          <t>samrådsanmälan</t>
        </is>
      </c>
      <c r="C105" t="inlineStr">
        <is>
          <t>Annan skogsbruksåtgärd</t>
        </is>
      </c>
      <c r="D105" s="1" t="n">
        <v>44840</v>
      </c>
      <c r="E105" s="1" t="n">
        <v>46326</v>
      </c>
      <c r="F105" t="inlineStr">
        <is>
          <t>STOCKHOLMS LÄN</t>
        </is>
      </c>
      <c r="G105" t="inlineStr">
        <is>
          <t>SÖDERTÄLJE</t>
        </is>
      </c>
      <c r="H105" t="inlineStr">
        <is>
          <t>Sveaskog</t>
        </is>
      </c>
      <c r="I105" t="n">
        <v>3.8</v>
      </c>
      <c r="J105" t="n">
        <v>1</v>
      </c>
      <c r="K105" t="n">
        <v>5</v>
      </c>
      <c r="L105" t="n">
        <v>4</v>
      </c>
      <c r="M105" t="n">
        <v>0</v>
      </c>
      <c r="N105" t="n">
        <v>0</v>
      </c>
      <c r="O105" t="n">
        <v>0</v>
      </c>
      <c r="P105" t="n">
        <v>0</v>
      </c>
      <c r="Q105" t="n">
        <v>4</v>
      </c>
      <c r="R105" t="n">
        <v>0</v>
      </c>
      <c r="S105" t="n">
        <v>9</v>
      </c>
      <c r="T105" t="n">
        <v>11</v>
      </c>
      <c r="U105" t="n">
        <v>0</v>
      </c>
      <c r="V105" s="2" t="inlineStr">
        <is>
          <t>Ekticka
Gullpudra
Kortskaftad ärgspik
Rödbrun blekspik
Grön sköldmossa
Guldlockmossa
Kornig nållav
Rostfläck
Vätteros</t>
        </is>
      </c>
      <c r="W105">
        <f>HYPERLINK("https://klasma.github.io/Logging_0181/artfynd/S 5605-2022 artfynd.xlsx", "S 5605-2022")</f>
        <v/>
      </c>
      <c r="X105">
        <f>HYPERLINK("https://klasma.github.io/Logging_0181/kartor/S 5605-2022 karta.png", "S 5605-2022")</f>
        <v/>
      </c>
      <c r="Y105">
        <f>HYPERLINK("https://klasma.github.io/Logging_0181/kartor_geotiff/S 5605-2022 georefererad karta.tif", "S 5605-2022")</f>
        <v/>
      </c>
      <c r="AA105">
        <f>HYPERLINK("https://klasma.github.io/Logging_0181/klagomål/S 5605-2022 FSC-klagomål.docx", "S 5605-2022")</f>
        <v/>
      </c>
      <c r="AB105">
        <f>HYPERLINK("https://klasma.github.io/Logging_0181/klagomålsmail/S 5605-2022 FSC-klagomål mail.docx", "S 5605-2022")</f>
        <v/>
      </c>
      <c r="AC105">
        <f>HYPERLINK("https://klasma.github.io/Logging_0181/tillsyn/S 5605-2022 tillsynsbegäran.docx", "S 5605-2022")</f>
        <v/>
      </c>
      <c r="AD105">
        <f>HYPERLINK("https://klasma.github.io/Logging_0181/tillsynsmail/S 5605-2022 tillsynsbegäran mail.docx", "S 5605-2022")</f>
        <v/>
      </c>
    </row>
    <row r="106" ht="15" customHeight="1">
      <c r="A106" t="inlineStr">
        <is>
          <t>S 511-2022</t>
        </is>
      </c>
      <c r="B106" t="inlineStr">
        <is>
          <t>samrådsanmälan</t>
        </is>
      </c>
      <c r="C106" t="inlineStr">
        <is>
          <t>Åtgärd i nyckelbiotop</t>
        </is>
      </c>
      <c r="D106" s="1" t="n">
        <v>44589</v>
      </c>
      <c r="E106" s="1" t="n">
        <v>46326</v>
      </c>
      <c r="F106" t="inlineStr">
        <is>
          <t>STOCKHOLMS LÄN</t>
        </is>
      </c>
      <c r="G106" t="inlineStr">
        <is>
          <t>SÖDERTÄLJE</t>
        </is>
      </c>
      <c r="H106" t="inlineStr">
        <is>
          <t>Övriga statliga verk och myndigheter</t>
        </is>
      </c>
      <c r="I106" t="n">
        <v>2.2</v>
      </c>
      <c r="J106" t="n">
        <v>5</v>
      </c>
      <c r="K106" t="n">
        <v>3</v>
      </c>
      <c r="L106" t="n">
        <v>2</v>
      </c>
      <c r="M106" t="n">
        <v>1</v>
      </c>
      <c r="N106" t="n">
        <v>1</v>
      </c>
      <c r="O106" t="n">
        <v>0</v>
      </c>
      <c r="P106" t="n">
        <v>0</v>
      </c>
      <c r="Q106" t="n">
        <v>4</v>
      </c>
      <c r="R106" t="n">
        <v>2</v>
      </c>
      <c r="S106" t="n">
        <v>9</v>
      </c>
      <c r="T106" t="n">
        <v>35</v>
      </c>
      <c r="U106" t="n">
        <v>10</v>
      </c>
      <c r="V106" s="2" t="inlineStr">
        <is>
          <t>Bombmurkla
Knärot
Dunmossa
Sårläka
Grönpyrola
Mörk husmossa
Nästrot
Blåsippa
Revlummer</t>
        </is>
      </c>
      <c r="W106">
        <f>HYPERLINK("https://klasma.github.io/Logging_0181/artfynd/S 511-2022 artfynd.xlsx", "S 511-2022")</f>
        <v/>
      </c>
      <c r="X106">
        <f>HYPERLINK("https://klasma.github.io/Logging_0181/kartor/S 511-2022 karta.png", "S 511-2022")</f>
        <v/>
      </c>
      <c r="Y106">
        <f>HYPERLINK("https://klasma.github.io/Logging_0181/kartor_geotiff/S 511-2022 georefererad karta.tif", "S 511-2022")</f>
        <v/>
      </c>
      <c r="Z106">
        <f>HYPERLINK("https://klasma.github.io/Logging_0181/knärot/S 511-2022 karta knärot.png", "S 511-2022")</f>
        <v/>
      </c>
      <c r="AA106">
        <f>HYPERLINK("https://klasma.github.io/Logging_0181/klagomål/S 511-2022 FSC-klagomål.docx", "S 511-2022")</f>
        <v/>
      </c>
      <c r="AB106">
        <f>HYPERLINK("https://klasma.github.io/Logging_0181/klagomålsmail/S 511-2022 FSC-klagomål mail.docx", "S 511-2022")</f>
        <v/>
      </c>
      <c r="AC106">
        <f>HYPERLINK("https://klasma.github.io/Logging_0181/tillsyn/S 511-2022 tillsynsbegäran.docx", "S 511-2022")</f>
        <v/>
      </c>
      <c r="AD106">
        <f>HYPERLINK("https://klasma.github.io/Logging_0181/tillsynsmail/S 511-2022 tillsynsbegäran mail.docx", "S 511-2022")</f>
        <v/>
      </c>
    </row>
    <row r="107" ht="15" customHeight="1">
      <c r="A107" t="inlineStr">
        <is>
          <t>S 254-2025</t>
        </is>
      </c>
      <c r="B107" t="inlineStr">
        <is>
          <t>samrådsanmälan</t>
        </is>
      </c>
      <c r="C107" t="inlineStr">
        <is>
          <t>Annan skogsbruksåtgärd</t>
        </is>
      </c>
      <c r="D107" s="1" t="n">
        <v>45684</v>
      </c>
      <c r="E107" s="1" t="n">
        <v>46326</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46326</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46326</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25612-2024</t>
        </is>
      </c>
      <c r="B110" t="inlineStr">
        <is>
          <t>avverkningsanmälan</t>
        </is>
      </c>
      <c r="C110" t="inlineStr">
        <is>
          <t>Föryngringsavverkning</t>
        </is>
      </c>
      <c r="D110" s="1" t="n">
        <v>45463</v>
      </c>
      <c r="E110" s="1" t="n">
        <v>46326</v>
      </c>
      <c r="F110" t="inlineStr">
        <is>
          <t>STOCKHOLMS LÄN</t>
        </is>
      </c>
      <c r="G110" t="inlineStr">
        <is>
          <t>NACKA</t>
        </is>
      </c>
      <c r="I110" t="n">
        <v>1.5</v>
      </c>
      <c r="J110" t="n">
        <v>2</v>
      </c>
      <c r="K110" t="n">
        <v>2</v>
      </c>
      <c r="L110" t="n">
        <v>5</v>
      </c>
      <c r="M110" t="n">
        <v>0</v>
      </c>
      <c r="N110" t="n">
        <v>0</v>
      </c>
      <c r="O110" t="n">
        <v>0</v>
      </c>
      <c r="P110" t="n">
        <v>0</v>
      </c>
      <c r="Q110" t="n">
        <v>5</v>
      </c>
      <c r="R110" t="n">
        <v>0</v>
      </c>
      <c r="S110" t="n">
        <v>8</v>
      </c>
      <c r="T110" t="n">
        <v>9</v>
      </c>
      <c r="U110" t="n">
        <v>7</v>
      </c>
      <c r="V110" s="2" t="inlineStr">
        <is>
          <t>Gransotdyna
Gulsparv
Jungfrulin
Skeppsvarvsfluga
Vågticka
Rostfläck
Tibast
Törnskata</t>
        </is>
      </c>
      <c r="W110">
        <f>HYPERLINK("https://klasma.github.io/Logging_0182/artfynd/A 25612-2024 artfynd.xlsx", "A 25612-2024")</f>
        <v/>
      </c>
      <c r="X110">
        <f>HYPERLINK("https://klasma.github.io/Logging_0182/kartor/A 25612-2024 karta.png", "A 25612-2024")</f>
        <v/>
      </c>
      <c r="Y110">
        <f>HYPERLINK("https://klasma.github.io/Logging_0182/kartor_geotiff/A 25612-2024 georefererad karta.tif", "A 25612-2024")</f>
        <v/>
      </c>
      <c r="AA110">
        <f>HYPERLINK("https://klasma.github.io/Logging_0182/klagomål/A 25612-2024 FSC-klagomål.docx", "A 25612-2024")</f>
        <v/>
      </c>
      <c r="AB110">
        <f>HYPERLINK("https://klasma.github.io/Logging_0182/klagomålsmail/A 25612-2024 FSC-klagomål mail.docx", "A 25612-2024")</f>
        <v/>
      </c>
      <c r="AC110">
        <f>HYPERLINK("https://klasma.github.io/Logging_0182/tillsyn/A 25612-2024 tillsynsbegäran.docx", "A 25612-2024")</f>
        <v/>
      </c>
      <c r="AD110">
        <f>HYPERLINK("https://klasma.github.io/Logging_0182/tillsynsmail/A 25612-2024 tillsynsbegäran mail.docx", "A 25612-2024")</f>
        <v/>
      </c>
      <c r="AE110">
        <f>HYPERLINK("https://klasma.github.io/Logging_0182/fåglar/A 25612-2024 prioriterade fågelarter.docx", "A 25612-2024")</f>
        <v/>
      </c>
    </row>
    <row r="111" ht="15" customHeight="1">
      <c r="A111" t="inlineStr">
        <is>
          <t>A 35012-2024</t>
        </is>
      </c>
      <c r="B111" t="inlineStr">
        <is>
          <t>avverkningsanmälan</t>
        </is>
      </c>
      <c r="C111" t="inlineStr">
        <is>
          <t>Avverkning för att bevara och utveckla /försöksver</t>
        </is>
      </c>
      <c r="D111" s="1" t="n">
        <v>45527</v>
      </c>
      <c r="E111" s="1" t="n">
        <v>46326</v>
      </c>
      <c r="F111" t="inlineStr">
        <is>
          <t>STOCKHOLMS LÄN</t>
        </is>
      </c>
      <c r="G111" t="inlineStr">
        <is>
          <t>SÖDERTÄLJE</t>
        </is>
      </c>
      <c r="H111" t="inlineStr">
        <is>
          <t>Sveaskog</t>
        </is>
      </c>
      <c r="I111" t="n">
        <v>3.8</v>
      </c>
      <c r="J111" t="n">
        <v>1</v>
      </c>
      <c r="K111" t="n">
        <v>3</v>
      </c>
      <c r="L111" t="n">
        <v>4</v>
      </c>
      <c r="M111" t="n">
        <v>0</v>
      </c>
      <c r="N111" t="n">
        <v>0</v>
      </c>
      <c r="O111" t="n">
        <v>0</v>
      </c>
      <c r="P111" t="n">
        <v>0</v>
      </c>
      <c r="Q111" t="n">
        <v>4</v>
      </c>
      <c r="R111" t="n">
        <v>0</v>
      </c>
      <c r="S111" t="n">
        <v>8</v>
      </c>
      <c r="T111" t="n">
        <v>8</v>
      </c>
      <c r="U111" t="n">
        <v>0</v>
      </c>
      <c r="V111" s="2" t="inlineStr">
        <is>
          <t>Dvärgbägarlav
Kortskaftad ärgspik
Vedskivlav
Vedtrappmossa
Blodticka
Flagellkvastmossa
Fällmossa
Blåsippa</t>
        </is>
      </c>
      <c r="W111">
        <f>HYPERLINK("https://klasma.github.io/Logging_0181/artfynd/A 35012-2024 artfynd.xlsx", "A 35012-2024")</f>
        <v/>
      </c>
      <c r="X111">
        <f>HYPERLINK("https://klasma.github.io/Logging_0181/kartor/A 35012-2024 karta.png", "A 35012-2024")</f>
        <v/>
      </c>
      <c r="Y111">
        <f>HYPERLINK("https://klasma.github.io/Logging_0181/kartor_geotiff/A 35012-2024 georefererad karta.tif", "A 35012-2024")</f>
        <v/>
      </c>
      <c r="AA111">
        <f>HYPERLINK("https://klasma.github.io/Logging_0181/klagomål/A 35012-2024 FSC-klagomål.docx", "A 35012-2024")</f>
        <v/>
      </c>
      <c r="AB111">
        <f>HYPERLINK("https://klasma.github.io/Logging_0181/klagomålsmail/A 35012-2024 FSC-klagomål mail.docx", "A 35012-2024")</f>
        <v/>
      </c>
      <c r="AC111">
        <f>HYPERLINK("https://klasma.github.io/Logging_0181/tillsyn/A 35012-2024 tillsynsbegäran.docx", "A 35012-2024")</f>
        <v/>
      </c>
      <c r="AD111">
        <f>HYPERLINK("https://klasma.github.io/Logging_0181/tillsynsmail/A 35012-2024 tillsynsbegäran mail.docx", "A 35012-2024")</f>
        <v/>
      </c>
    </row>
    <row r="112" ht="15" customHeight="1">
      <c r="A112" t="inlineStr">
        <is>
          <t>A 12818-2026</t>
        </is>
      </c>
      <c r="B112" t="inlineStr">
        <is>
          <t>avverkningsanmälan</t>
        </is>
      </c>
      <c r="C112" t="inlineStr">
        <is>
          <t>Föryngringsavverkning</t>
        </is>
      </c>
      <c r="D112" s="1" t="n">
        <v>46092</v>
      </c>
      <c r="E112" s="1" t="n">
        <v>46326</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36244-2024</t>
        </is>
      </c>
      <c r="B113" t="inlineStr">
        <is>
          <t>avverkningsanmälan</t>
        </is>
      </c>
      <c r="C113" t="inlineStr">
        <is>
          <t>Avverkning för annat ändamål</t>
        </is>
      </c>
      <c r="D113" s="1" t="n">
        <v>45534</v>
      </c>
      <c r="E113" s="1" t="n">
        <v>46326</v>
      </c>
      <c r="F113" t="inlineStr">
        <is>
          <t>STOCKHOLMS LÄN</t>
        </is>
      </c>
      <c r="G113" t="inlineStr">
        <is>
          <t>SALEM</t>
        </is>
      </c>
      <c r="H113" t="inlineStr">
        <is>
          <t>Kommuner</t>
        </is>
      </c>
      <c r="I113" t="n">
        <v>0.1</v>
      </c>
      <c r="J113" t="n">
        <v>0</v>
      </c>
      <c r="K113" t="n">
        <v>5</v>
      </c>
      <c r="L113" t="n">
        <v>3</v>
      </c>
      <c r="M113" t="n">
        <v>0</v>
      </c>
      <c r="N113" t="n">
        <v>0</v>
      </c>
      <c r="O113" t="n">
        <v>0</v>
      </c>
      <c r="P113" t="n">
        <v>0</v>
      </c>
      <c r="Q113" t="n">
        <v>3</v>
      </c>
      <c r="R113" t="n">
        <v>0</v>
      </c>
      <c r="S113" t="n">
        <v>8</v>
      </c>
      <c r="T113" t="n">
        <v>16</v>
      </c>
      <c r="U113" t="n">
        <v>0</v>
      </c>
      <c r="V113" s="2" t="inlineStr">
        <is>
          <t>Kandelabersvamp
Tallticka
Ullticka
Brandticka
Fällmossa
Grov fjädermossa
Platt fjädermossa
Västlig hakmossa</t>
        </is>
      </c>
      <c r="W113">
        <f>HYPERLINK("https://klasma.github.io/Logging_0128/artfynd/A 36244-2024 artfynd.xlsx", "A 36244-2024")</f>
        <v/>
      </c>
      <c r="X113">
        <f>HYPERLINK("https://klasma.github.io/Logging_0128/kartor/A 36244-2024 karta.png", "A 36244-2024")</f>
        <v/>
      </c>
      <c r="Y113">
        <f>HYPERLINK("https://klasma.github.io/Logging_0128/kartor_geotiff/A 36244-2024 georefererad karta.tif", "A 36244-2024")</f>
        <v/>
      </c>
      <c r="AA113">
        <f>HYPERLINK("https://klasma.github.io/Logging_0128/klagomål/A 36244-2024 FSC-klagomål.docx", "A 36244-2024")</f>
        <v/>
      </c>
      <c r="AB113">
        <f>HYPERLINK("https://klasma.github.io/Logging_0128/klagomålsmail/A 36244-2024 FSC-klagomål mail.docx", "A 36244-2024")</f>
        <v/>
      </c>
      <c r="AC113">
        <f>HYPERLINK("https://klasma.github.io/Logging_0128/tillsyn/A 36244-2024 tillsynsbegäran.docx", "A 36244-2024")</f>
        <v/>
      </c>
      <c r="AD113">
        <f>HYPERLINK("https://klasma.github.io/Logging_0128/tillsynsmail/A 36244-2024 tillsynsbegäran mail.docx", "A 36244-2024")</f>
        <v/>
      </c>
    </row>
    <row r="114" ht="15" customHeight="1">
      <c r="A114" t="inlineStr">
        <is>
          <t>A 4384-2022</t>
        </is>
      </c>
      <c r="B114" t="inlineStr">
        <is>
          <t>avverkningsanmälan</t>
        </is>
      </c>
      <c r="C114" t="inlineStr">
        <is>
          <t>Föryngringsavverkning</t>
        </is>
      </c>
      <c r="D114" s="1" t="n">
        <v>44589</v>
      </c>
      <c r="E114" s="1" t="n">
        <v>46326</v>
      </c>
      <c r="F114" t="inlineStr">
        <is>
          <t>STOCKHOLMS LÄN</t>
        </is>
      </c>
      <c r="G114" t="inlineStr">
        <is>
          <t>SÖDERTÄLJE</t>
        </is>
      </c>
      <c r="H114" t="inlineStr">
        <is>
          <t>Övriga statliga verk och myndigheter</t>
        </is>
      </c>
      <c r="I114" t="n">
        <v>1.9</v>
      </c>
      <c r="J114" t="n">
        <v>5</v>
      </c>
      <c r="K114" t="n">
        <v>2</v>
      </c>
      <c r="L114" t="n">
        <v>2</v>
      </c>
      <c r="M114" t="n">
        <v>1</v>
      </c>
      <c r="N114" t="n">
        <v>1</v>
      </c>
      <c r="O114" t="n">
        <v>0</v>
      </c>
      <c r="P114" t="n">
        <v>0</v>
      </c>
      <c r="Q114" t="n">
        <v>4</v>
      </c>
      <c r="R114" t="n">
        <v>2</v>
      </c>
      <c r="S114" t="n">
        <v>8</v>
      </c>
      <c r="T114" t="n">
        <v>19</v>
      </c>
      <c r="U114" t="n">
        <v>1</v>
      </c>
      <c r="V114" s="2" t="inlineStr">
        <is>
          <t>Bombmurkla
Knärot
Dunmossa
Sårläka
Mörk husmossa
Nästrot
Blåsippa
Revlummer</t>
        </is>
      </c>
      <c r="W114">
        <f>HYPERLINK("https://klasma.github.io/Logging_0181/artfynd/A 4384-2022 artfynd.xlsx", "A 4384-2022")</f>
        <v/>
      </c>
      <c r="X114">
        <f>HYPERLINK("https://klasma.github.io/Logging_0181/kartor/A 4384-2022 karta.png", "A 4384-2022")</f>
        <v/>
      </c>
      <c r="Y114">
        <f>HYPERLINK("https://klasma.github.io/Logging_0181/kartor_geotiff/A 4384-2022 georefererad karta.tif", "A 4384-2022")</f>
        <v/>
      </c>
      <c r="Z114">
        <f>HYPERLINK("https://klasma.github.io/Logging_0181/knärot/A 4384-2022 karta knärot.png", "A 4384-2022")</f>
        <v/>
      </c>
      <c r="AA114">
        <f>HYPERLINK("https://klasma.github.io/Logging_0181/klagomål/A 4384-2022 FSC-klagomål.docx", "A 4384-2022")</f>
        <v/>
      </c>
      <c r="AB114">
        <f>HYPERLINK("https://klasma.github.io/Logging_0181/klagomålsmail/A 4384-2022 FSC-klagomål mail.docx", "A 4384-2022")</f>
        <v/>
      </c>
      <c r="AC114">
        <f>HYPERLINK("https://klasma.github.io/Logging_0181/tillsyn/A 4384-2022 tillsynsbegäran.docx", "A 4384-2022")</f>
        <v/>
      </c>
      <c r="AD114">
        <f>HYPERLINK("https://klasma.github.io/Logging_0181/tillsynsmail/A 4384-2022 tillsynsbegäran mail.docx", "A 4384-2022")</f>
        <v/>
      </c>
    </row>
    <row r="115" ht="15" customHeight="1">
      <c r="A115" t="inlineStr">
        <is>
          <t>A 28816-2023</t>
        </is>
      </c>
      <c r="B115" t="inlineStr">
        <is>
          <t>avverkningsanmälan</t>
        </is>
      </c>
      <c r="C115" t="inlineStr">
        <is>
          <t>Föryngringsavverkning</t>
        </is>
      </c>
      <c r="D115" s="1" t="n">
        <v>45104</v>
      </c>
      <c r="E115" s="1" t="n">
        <v>46326</v>
      </c>
      <c r="F115" t="inlineStr">
        <is>
          <t>STOCKHOLMS LÄN</t>
        </is>
      </c>
      <c r="G115" t="inlineStr">
        <is>
          <t>NORRTÄLJE</t>
        </is>
      </c>
      <c r="H115" t="inlineStr">
        <is>
          <t>Kommuner</t>
        </is>
      </c>
      <c r="I115" t="n">
        <v>0.5</v>
      </c>
      <c r="J115" t="n">
        <v>8</v>
      </c>
      <c r="K115" t="n">
        <v>0</v>
      </c>
      <c r="L115" t="n">
        <v>3</v>
      </c>
      <c r="M115" t="n">
        <v>0</v>
      </c>
      <c r="N115" t="n">
        <v>0</v>
      </c>
      <c r="O115" t="n">
        <v>0</v>
      </c>
      <c r="P115" t="n">
        <v>0</v>
      </c>
      <c r="Q115" t="n">
        <v>3</v>
      </c>
      <c r="R115" t="n">
        <v>0</v>
      </c>
      <c r="S115" t="n">
        <v>8</v>
      </c>
      <c r="T115" t="n">
        <v>11</v>
      </c>
      <c r="U115" t="n">
        <v>11</v>
      </c>
      <c r="V115" s="2" t="inlineStr">
        <is>
          <t>Gulsparv
Nordfladdermus
Talltita
Spillkråka
Tofsmes
Dvärgpipistrell
Kungsfågel
Större brunfladdermus</t>
        </is>
      </c>
      <c r="W115">
        <f>HYPERLINK("https://klasma.github.io/Logging_0188/artfynd/A 28816-2023 artfynd.xlsx", "A 28816-2023")</f>
        <v/>
      </c>
      <c r="X115">
        <f>HYPERLINK("https://klasma.github.io/Logging_0188/kartor/A 28816-2023 karta.png", "A 28816-2023")</f>
        <v/>
      </c>
      <c r="Y115">
        <f>HYPERLINK("https://klasma.github.io/Logging_0188/kartor_geotiff/A 28816-2023 georefererad karta.tif", "A 28816-2023")</f>
        <v/>
      </c>
      <c r="AA115">
        <f>HYPERLINK("https://klasma.github.io/Logging_0188/klagomål/A 28816-2023 FSC-klagomål.docx", "A 28816-2023")</f>
        <v/>
      </c>
      <c r="AB115">
        <f>HYPERLINK("https://klasma.github.io/Logging_0188/klagomålsmail/A 28816-2023 FSC-klagomål mail.docx", "A 28816-2023")</f>
        <v/>
      </c>
      <c r="AC115">
        <f>HYPERLINK("https://klasma.github.io/Logging_0188/tillsyn/A 28816-2023 tillsynsbegäran.docx", "A 28816-2023")</f>
        <v/>
      </c>
      <c r="AD115">
        <f>HYPERLINK("https://klasma.github.io/Logging_0188/tillsynsmail/A 28816-2023 tillsynsbegäran mail.docx", "A 28816-2023")</f>
        <v/>
      </c>
      <c r="AE115">
        <f>HYPERLINK("https://klasma.github.io/Logging_0188/fåglar/A 28816-2023 prioriterade fågelarter.docx", "A 28816-2023")</f>
        <v/>
      </c>
    </row>
    <row r="116" ht="15" customHeight="1">
      <c r="A116" t="inlineStr">
        <is>
          <t>A 25671-2026</t>
        </is>
      </c>
      <c r="B116" t="inlineStr">
        <is>
          <t>avverkningsanmälan</t>
        </is>
      </c>
      <c r="C116" t="inlineStr">
        <is>
          <t>Föryngringsavverkning</t>
        </is>
      </c>
      <c r="D116" s="1" t="n">
        <v>46178</v>
      </c>
      <c r="E116" s="1" t="n">
        <v>46326</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t="n">
        <v>0</v>
      </c>
      <c r="V116" s="2" t="inlineStr">
        <is>
          <t>Dvärgbägarlav
Fjällig taggsvamp s.str.
Vedskivlav
Vedtrappmossa
Blåsippa
Spillkråka
Tjäder
Revlummer</t>
        </is>
      </c>
      <c r="W116">
        <f>HYPERLINK("https://klasma.github.io/Logging_0181/artfynd/A 25671-2026 artfynd.xlsx", "A 25671-2026")</f>
        <v/>
      </c>
      <c r="X116">
        <f>HYPERLINK("https://klasma.github.io/Logging_0181/kartor/A 25671-2026 karta.png", "A 25671-2026")</f>
        <v/>
      </c>
      <c r="Y116">
        <f>HYPERLINK("https://klasma.github.io/Logging_0181/kartor_geotiff/A 25671-2026 georefererad karta.tif", "A 25671-2026")</f>
        <v/>
      </c>
      <c r="AA116">
        <f>HYPERLINK("https://klasma.github.io/Logging_0181/klagomål/A 25671-2026 FSC-klagomål.docx", "A 25671-2026")</f>
        <v/>
      </c>
      <c r="AB116">
        <f>HYPERLINK("https://klasma.github.io/Logging_0181/klagomålsmail/A 25671-2026 FSC-klagomål mail.docx", "A 25671-2026")</f>
        <v/>
      </c>
      <c r="AC116">
        <f>HYPERLINK("https://klasma.github.io/Logging_0181/tillsyn/A 25671-2026 tillsynsbegäran.docx", "A 25671-2026")</f>
        <v/>
      </c>
      <c r="AD116">
        <f>HYPERLINK("https://klasma.github.io/Logging_0181/tillsynsmail/A 25671-2026 tillsynsbegäran mail.docx", "A 25671-2026")</f>
        <v/>
      </c>
      <c r="AE116">
        <f>HYPERLINK("https://klasma.github.io/Logging_0181/fåglar/A 25671-2026 prioriterade fågelarter.docx", "A 25671-2026")</f>
        <v/>
      </c>
    </row>
    <row r="117" ht="15" customHeight="1">
      <c r="A117" t="inlineStr">
        <is>
          <t>A 51848-2024</t>
        </is>
      </c>
      <c r="B117" t="inlineStr">
        <is>
          <t>avverkningsanmälan</t>
        </is>
      </c>
      <c r="C117" t="inlineStr">
        <is>
          <t>Avverkning för annat ändamål</t>
        </is>
      </c>
      <c r="D117" s="1" t="n">
        <v>45607</v>
      </c>
      <c r="E117" s="1" t="n">
        <v>46326</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46326</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46326</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46326</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46326</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46326</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46326</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46326</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46326</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3444-2023</t>
        </is>
      </c>
      <c r="B126" t="inlineStr">
        <is>
          <t>avverkningsanmälan</t>
        </is>
      </c>
      <c r="C126" t="inlineStr">
        <is>
          <t>Föryngringsavverkning</t>
        </is>
      </c>
      <c r="D126" s="1" t="n">
        <v>44949</v>
      </c>
      <c r="E126" s="1" t="n">
        <v>46326</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34524-2025</t>
        </is>
      </c>
      <c r="B127" t="inlineStr">
        <is>
          <t>avverkningsanmälan</t>
        </is>
      </c>
      <c r="C127" t="inlineStr">
        <is>
          <t>Föryngringsavverkning</t>
        </is>
      </c>
      <c r="D127" s="1" t="n">
        <v>45847</v>
      </c>
      <c r="E127" s="1" t="n">
        <v>46326</v>
      </c>
      <c r="F127" t="inlineStr">
        <is>
          <t>STOCKHOLMS LÄN</t>
        </is>
      </c>
      <c r="G127" t="inlineStr">
        <is>
          <t>NORRTÄLJE</t>
        </is>
      </c>
      <c r="I127" t="n">
        <v>3.3</v>
      </c>
      <c r="J127" t="n">
        <v>0</v>
      </c>
      <c r="K127" t="n">
        <v>4</v>
      </c>
      <c r="L127" t="n">
        <v>3</v>
      </c>
      <c r="M127" t="n">
        <v>0</v>
      </c>
      <c r="N127" t="n">
        <v>0</v>
      </c>
      <c r="O127" t="n">
        <v>0</v>
      </c>
      <c r="P127" t="n">
        <v>0</v>
      </c>
      <c r="Q127" t="n">
        <v>3</v>
      </c>
      <c r="R127" t="n">
        <v>0</v>
      </c>
      <c r="S127" t="n">
        <v>7</v>
      </c>
      <c r="T127" t="n">
        <v>12</v>
      </c>
      <c r="U127" t="n">
        <v>4</v>
      </c>
      <c r="V127" s="2" t="inlineStr">
        <is>
          <t>Kattfotslav
Tallticka
Vedtrappmossa
Bronshjon
Kornknutmossa
Stubbspretmossa
Vanlig rörsvepemossa</t>
        </is>
      </c>
      <c r="W127">
        <f>HYPERLINK("https://klasma.github.io/Logging_0188/artfynd/A 34524-2025 artfynd.xlsx", "A 34524-2025")</f>
        <v/>
      </c>
      <c r="X127">
        <f>HYPERLINK("https://klasma.github.io/Logging_0188/kartor/A 34524-2025 karta.png", "A 34524-2025")</f>
        <v/>
      </c>
      <c r="Y127">
        <f>HYPERLINK("https://klasma.github.io/Logging_0188/kartor_geotiff/A 34524-2025 georefererad karta.tif", "A 34524-2025")</f>
        <v/>
      </c>
      <c r="AA127">
        <f>HYPERLINK("https://klasma.github.io/Logging_0188/klagomål/A 34524-2025 FSC-klagomål.docx", "A 34524-2025")</f>
        <v/>
      </c>
      <c r="AB127">
        <f>HYPERLINK("https://klasma.github.io/Logging_0188/klagomålsmail/A 34524-2025 FSC-klagomål mail.docx", "A 34524-2025")</f>
        <v/>
      </c>
      <c r="AC127">
        <f>HYPERLINK("https://klasma.github.io/Logging_0188/tillsyn/A 34524-2025 tillsynsbegäran.docx", "A 34524-2025")</f>
        <v/>
      </c>
      <c r="AD127">
        <f>HYPERLINK("https://klasma.github.io/Logging_0188/tillsynsmail/A 34524-2025 tillsynsbegäran mail.docx", "A 34524-2025")</f>
        <v/>
      </c>
    </row>
    <row r="128" ht="15" customHeight="1">
      <c r="A128" t="inlineStr">
        <is>
          <t>A 51189-2022</t>
        </is>
      </c>
      <c r="B128" t="inlineStr">
        <is>
          <t>avverkningsanmälan</t>
        </is>
      </c>
      <c r="C128" t="inlineStr">
        <is>
          <t>Avverkning för annat ändamål</t>
        </is>
      </c>
      <c r="D128" s="1" t="n">
        <v>44865</v>
      </c>
      <c r="E128" s="1" t="n">
        <v>46326</v>
      </c>
      <c r="F128" t="inlineStr">
        <is>
          <t>STOCKHOLMS LÄN</t>
        </is>
      </c>
      <c r="G128" t="inlineStr">
        <is>
          <t>SIGTUNA</t>
        </is>
      </c>
      <c r="I128" t="n">
        <v>32.8</v>
      </c>
      <c r="J128" t="n">
        <v>6</v>
      </c>
      <c r="K128" t="n">
        <v>0</v>
      </c>
      <c r="L128" t="n">
        <v>4</v>
      </c>
      <c r="M128" t="n">
        <v>0</v>
      </c>
      <c r="N128" t="n">
        <v>0</v>
      </c>
      <c r="O128" t="n">
        <v>0</v>
      </c>
      <c r="P128" t="n">
        <v>0</v>
      </c>
      <c r="Q128" t="n">
        <v>4</v>
      </c>
      <c r="R128" t="n">
        <v>0</v>
      </c>
      <c r="S128" t="n">
        <v>7</v>
      </c>
      <c r="T128" t="n">
        <v>48</v>
      </c>
      <c r="U128" t="n">
        <v>48</v>
      </c>
      <c r="V128" s="2" t="inlineStr">
        <is>
          <t>Enkelbeckasin
Gulsparv
Järnsparv
Vedskivlav
Större vattensalamander
Åkergroda
Mindre vattensalamander</t>
        </is>
      </c>
      <c r="W128">
        <f>HYPERLINK("https://klasma.github.io/Logging_0191/artfynd/A 51189-2022 artfynd.xlsx", "A 51189-2022")</f>
        <v/>
      </c>
      <c r="X128">
        <f>HYPERLINK("https://klasma.github.io/Logging_0191/kartor/A 51189-2022 karta.png", "A 51189-2022")</f>
        <v/>
      </c>
      <c r="Y128">
        <f>HYPERLINK("https://klasma.github.io/Logging_0191/kartor_geotiff/A 51189-2022 georefererad karta.tif", "A 51189-2022")</f>
        <v/>
      </c>
      <c r="AA128">
        <f>HYPERLINK("https://klasma.github.io/Logging_0191/klagomål/A 51189-2022 FSC-klagomål.docx", "A 51189-2022")</f>
        <v/>
      </c>
      <c r="AB128">
        <f>HYPERLINK("https://klasma.github.io/Logging_0191/klagomålsmail/A 51189-2022 FSC-klagomål mail.docx", "A 51189-2022")</f>
        <v/>
      </c>
      <c r="AC128">
        <f>HYPERLINK("https://klasma.github.io/Logging_0191/tillsyn/A 51189-2022 tillsynsbegäran.docx", "A 51189-2022")</f>
        <v/>
      </c>
      <c r="AD128">
        <f>HYPERLINK("https://klasma.github.io/Logging_0191/tillsynsmail/A 51189-2022 tillsynsbegäran mail.docx", "A 51189-2022")</f>
        <v/>
      </c>
      <c r="AE128">
        <f>HYPERLINK("https://klasma.github.io/Logging_0191/fåglar/A 51189-2022 prioriterade fågelarter.docx", "A 51189-2022")</f>
        <v/>
      </c>
    </row>
    <row r="129" ht="15" customHeight="1">
      <c r="A129" t="inlineStr">
        <is>
          <t>A 22190-2024</t>
        </is>
      </c>
      <c r="B129" t="inlineStr">
        <is>
          <t>avverkningsanmälan</t>
        </is>
      </c>
      <c r="C129" t="inlineStr">
        <is>
          <t>Föryngringsavverkning</t>
        </is>
      </c>
      <c r="D129" s="1" t="n">
        <v>45446</v>
      </c>
      <c r="E129" s="1" t="n">
        <v>46326</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72111-2021</t>
        </is>
      </c>
      <c r="B130" t="inlineStr">
        <is>
          <t>avverkningsanmälan</t>
        </is>
      </c>
      <c r="C130" t="inlineStr">
        <is>
          <t>Föryngringsavverkning</t>
        </is>
      </c>
      <c r="D130" s="1" t="n">
        <v>44544</v>
      </c>
      <c r="E130" s="1" t="n">
        <v>46326</v>
      </c>
      <c r="F130" t="inlineStr">
        <is>
          <t>STOCKHOLMS LÄN</t>
        </is>
      </c>
      <c r="G130" t="inlineStr">
        <is>
          <t>NORRTÄLJE</t>
        </is>
      </c>
      <c r="I130" t="n">
        <v>5.1</v>
      </c>
      <c r="J130" t="n">
        <v>1</v>
      </c>
      <c r="K130" t="n">
        <v>1</v>
      </c>
      <c r="L130" t="n">
        <v>4</v>
      </c>
      <c r="M130" t="n">
        <v>1</v>
      </c>
      <c r="N130" t="n">
        <v>0</v>
      </c>
      <c r="O130" t="n">
        <v>0</v>
      </c>
      <c r="P130" t="n">
        <v>0</v>
      </c>
      <c r="Q130" t="n">
        <v>5</v>
      </c>
      <c r="R130" t="n">
        <v>1</v>
      </c>
      <c r="S130" t="n">
        <v>7</v>
      </c>
      <c r="T130" t="n">
        <v>10</v>
      </c>
      <c r="U130" t="n">
        <v>0</v>
      </c>
      <c r="V130" s="2" t="inlineStr">
        <is>
          <t>Grangråticka
Lunglav
Oxtungssvamp
Sårläka
Vårärt
Scharlakansvårskål agg.
Blåsippa</t>
        </is>
      </c>
      <c r="W130">
        <f>HYPERLINK("https://klasma.github.io/Logging_0188/artfynd/A 72111-2021 artfynd.xlsx", "A 72111-2021")</f>
        <v/>
      </c>
      <c r="X130">
        <f>HYPERLINK("https://klasma.github.io/Logging_0188/kartor/A 72111-2021 karta.png", "A 72111-2021")</f>
        <v/>
      </c>
      <c r="Y130">
        <f>HYPERLINK("https://klasma.github.io/Logging_0188/kartor_geotiff/A 72111-2021 georefererad karta.tif", "A 72111-2021")</f>
        <v/>
      </c>
      <c r="AA130">
        <f>HYPERLINK("https://klasma.github.io/Logging_0188/klagomål/A 72111-2021 FSC-klagomål.docx", "A 72111-2021")</f>
        <v/>
      </c>
      <c r="AB130">
        <f>HYPERLINK("https://klasma.github.io/Logging_0188/klagomålsmail/A 72111-2021 FSC-klagomål mail.docx", "A 72111-2021")</f>
        <v/>
      </c>
      <c r="AC130">
        <f>HYPERLINK("https://klasma.github.io/Logging_0188/tillsyn/A 72111-2021 tillsynsbegäran.docx", "A 72111-2021")</f>
        <v/>
      </c>
      <c r="AD130">
        <f>HYPERLINK("https://klasma.github.io/Logging_0188/tillsynsmail/A 72111-2021 tillsynsbegäran mail.docx", "A 72111-2021")</f>
        <v/>
      </c>
    </row>
    <row r="131" ht="15" customHeight="1">
      <c r="A131" t="inlineStr">
        <is>
          <t>A 60416-2025</t>
        </is>
      </c>
      <c r="B131" t="inlineStr">
        <is>
          <t>avverkningsanmälan</t>
        </is>
      </c>
      <c r="C131" t="inlineStr">
        <is>
          <t>Föryngringsavverkning</t>
        </is>
      </c>
      <c r="D131" s="1" t="n">
        <v>45995</v>
      </c>
      <c r="E131" s="1" t="n">
        <v>46326</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25512-2022</t>
        </is>
      </c>
      <c r="B132" t="inlineStr">
        <is>
          <t>avverkningsanmälan</t>
        </is>
      </c>
      <c r="C132" t="inlineStr">
        <is>
          <t>Föryngringsavverkning</t>
        </is>
      </c>
      <c r="D132" s="1" t="n">
        <v>44732</v>
      </c>
      <c r="E132" s="1" t="n">
        <v>46326</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46326</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52259-2024</t>
        </is>
      </c>
      <c r="B134" t="inlineStr">
        <is>
          <t>avverkningsanmälan</t>
        </is>
      </c>
      <c r="C134" t="inlineStr">
        <is>
          <t>Föryngringsavverkning</t>
        </is>
      </c>
      <c r="D134" s="1" t="n">
        <v>45608</v>
      </c>
      <c r="E134" s="1" t="n">
        <v>46326</v>
      </c>
      <c r="F134" t="inlineStr">
        <is>
          <t>STOCKHOLMS LÄN</t>
        </is>
      </c>
      <c r="G134" t="inlineStr">
        <is>
          <t>HUDDINGE</t>
        </is>
      </c>
      <c r="H134" t="inlineStr">
        <is>
          <t>Kommuner</t>
        </is>
      </c>
      <c r="I134" t="n">
        <v>11.8</v>
      </c>
      <c r="J134" t="n">
        <v>7</v>
      </c>
      <c r="K134" t="n">
        <v>0</v>
      </c>
      <c r="L134" t="n">
        <v>1</v>
      </c>
      <c r="M134" t="n">
        <v>1</v>
      </c>
      <c r="N134" t="n">
        <v>0</v>
      </c>
      <c r="O134" t="n">
        <v>0</v>
      </c>
      <c r="P134" t="n">
        <v>0</v>
      </c>
      <c r="Q134" t="n">
        <v>2</v>
      </c>
      <c r="R134" t="n">
        <v>1</v>
      </c>
      <c r="S134" t="n">
        <v>7</v>
      </c>
      <c r="T134" t="n">
        <v>9</v>
      </c>
      <c r="U134" t="n">
        <v>8</v>
      </c>
      <c r="V134" s="2" t="inlineStr">
        <is>
          <t>Grönfink
Gulsparv
Dvärgpipistrell
Grönsiska
Större brunfladdermus
Svartvit flugsnappare
Ärtsångare</t>
        </is>
      </c>
      <c r="W134">
        <f>HYPERLINK("https://klasma.github.io/Logging_0126/artfynd/A 52259-2024 artfynd.xlsx", "A 52259-2024")</f>
        <v/>
      </c>
      <c r="X134">
        <f>HYPERLINK("https://klasma.github.io/Logging_0126/kartor/A 52259-2024 karta.png", "A 52259-2024")</f>
        <v/>
      </c>
      <c r="Y134">
        <f>HYPERLINK("https://klasma.github.io/Logging_0126/kartor_geotiff/A 52259-2024 georefererad karta.tif", "A 52259-2024")</f>
        <v/>
      </c>
      <c r="AA134">
        <f>HYPERLINK("https://klasma.github.io/Logging_0126/klagomål/A 52259-2024 FSC-klagomål.docx", "A 52259-2024")</f>
        <v/>
      </c>
      <c r="AB134">
        <f>HYPERLINK("https://klasma.github.io/Logging_0126/klagomålsmail/A 52259-2024 FSC-klagomål mail.docx", "A 52259-2024")</f>
        <v/>
      </c>
      <c r="AC134">
        <f>HYPERLINK("https://klasma.github.io/Logging_0126/tillsyn/A 52259-2024 tillsynsbegäran.docx", "A 52259-2024")</f>
        <v/>
      </c>
      <c r="AD134">
        <f>HYPERLINK("https://klasma.github.io/Logging_0126/tillsynsmail/A 52259-2024 tillsynsbegäran mail.docx", "A 52259-2024")</f>
        <v/>
      </c>
      <c r="AE134">
        <f>HYPERLINK("https://klasma.github.io/Logging_0126/fåglar/A 52259-2024 prioriterade fågelarter.docx", "A 52259-2024")</f>
        <v/>
      </c>
    </row>
    <row r="135" ht="15" customHeight="1">
      <c r="A135" t="inlineStr">
        <is>
          <t>A 34573-2025</t>
        </is>
      </c>
      <c r="B135" t="inlineStr">
        <is>
          <t>avverkningsanmälan</t>
        </is>
      </c>
      <c r="C135" t="inlineStr">
        <is>
          <t>Avverkning för annat ändamål</t>
        </is>
      </c>
      <c r="D135" s="1" t="n">
        <v>45846</v>
      </c>
      <c r="E135" s="1" t="n">
        <v>46326</v>
      </c>
      <c r="F135" t="inlineStr">
        <is>
          <t>STOCKHOLMS LÄN</t>
        </is>
      </c>
      <c r="G135" t="inlineStr">
        <is>
          <t>NYNÄSHAMN</t>
        </is>
      </c>
      <c r="H135" t="inlineStr">
        <is>
          <t>Kommuner</t>
        </is>
      </c>
      <c r="I135" t="n">
        <v>7.3</v>
      </c>
      <c r="J135" t="n">
        <v>5</v>
      </c>
      <c r="K135" t="n">
        <v>2</v>
      </c>
      <c r="L135" t="n">
        <v>1</v>
      </c>
      <c r="M135" t="n">
        <v>0</v>
      </c>
      <c r="N135" t="n">
        <v>0</v>
      </c>
      <c r="O135" t="n">
        <v>0</v>
      </c>
      <c r="P135" t="n">
        <v>0</v>
      </c>
      <c r="Q135" t="n">
        <v>1</v>
      </c>
      <c r="R135" t="n">
        <v>0</v>
      </c>
      <c r="S135" t="n">
        <v>7</v>
      </c>
      <c r="T135" t="n">
        <v>67</v>
      </c>
      <c r="U135" t="n">
        <v>1</v>
      </c>
      <c r="V135" s="2" t="inlineStr">
        <is>
          <t>Jungfrulin
Noshornsoxe
Skogsknipprot
Dvärgpipistrell
Huggorm
Vanlig snok
Gullviva</t>
        </is>
      </c>
      <c r="W135">
        <f>HYPERLINK("https://klasma.github.io/Logging_0192/artfynd/A 34573-2025 artfynd.xlsx", "A 34573-2025")</f>
        <v/>
      </c>
      <c r="X135">
        <f>HYPERLINK("https://klasma.github.io/Logging_0192/kartor/A 34573-2025 karta.png", "A 34573-2025")</f>
        <v/>
      </c>
      <c r="Y135">
        <f>HYPERLINK("https://klasma.github.io/Logging_0192/kartor_geotiff/A 34573-2025 georefererad karta.tif", "A 34573-2025")</f>
        <v/>
      </c>
      <c r="AA135">
        <f>HYPERLINK("https://klasma.github.io/Logging_0192/klagomål/A 34573-2025 FSC-klagomål.docx", "A 34573-2025")</f>
        <v/>
      </c>
      <c r="AB135">
        <f>HYPERLINK("https://klasma.github.io/Logging_0192/klagomålsmail/A 34573-2025 FSC-klagomål mail.docx", "A 34573-2025")</f>
        <v/>
      </c>
      <c r="AC135">
        <f>HYPERLINK("https://klasma.github.io/Logging_0192/tillsyn/A 34573-2025 tillsynsbegäran.docx", "A 34573-2025")</f>
        <v/>
      </c>
      <c r="AD135">
        <f>HYPERLINK("https://klasma.github.io/Logging_0192/tillsynsmail/A 34573-2025 tillsynsbegäran mail.docx", "A 34573-2025")</f>
        <v/>
      </c>
    </row>
    <row r="136" ht="15" customHeight="1">
      <c r="A136" t="inlineStr">
        <is>
          <t>A 21922-2023</t>
        </is>
      </c>
      <c r="B136" t="inlineStr">
        <is>
          <t>avverkningsanmälan</t>
        </is>
      </c>
      <c r="C136" t="inlineStr">
        <is>
          <t>Avverkning för annat ändamål</t>
        </is>
      </c>
      <c r="D136" s="1" t="n">
        <v>45068</v>
      </c>
      <c r="E136" s="1" t="n">
        <v>46326</v>
      </c>
      <c r="F136" t="inlineStr">
        <is>
          <t>STOCKHOLMS LÄN</t>
        </is>
      </c>
      <c r="G136" t="inlineStr">
        <is>
          <t>NORRTÄLJE</t>
        </is>
      </c>
      <c r="I136" t="n">
        <v>4.9</v>
      </c>
      <c r="J136" t="n">
        <v>3</v>
      </c>
      <c r="K136" t="n">
        <v>2</v>
      </c>
      <c r="L136" t="n">
        <v>3</v>
      </c>
      <c r="M136" t="n">
        <v>0</v>
      </c>
      <c r="N136" t="n">
        <v>0</v>
      </c>
      <c r="O136" t="n">
        <v>0</v>
      </c>
      <c r="P136" t="n">
        <v>0</v>
      </c>
      <c r="Q136" t="n">
        <v>3</v>
      </c>
      <c r="R136" t="n">
        <v>0</v>
      </c>
      <c r="S136" t="n">
        <v>7</v>
      </c>
      <c r="T136" t="n">
        <v>19</v>
      </c>
      <c r="U136" t="n">
        <v>1</v>
      </c>
      <c r="V136" s="2" t="inlineStr">
        <is>
          <t>Adam och eva
Jungfrulin
Solvända
Stor aspticka
Svavelriska
Blåsippa
Gullviva</t>
        </is>
      </c>
      <c r="W136">
        <f>HYPERLINK("https://klasma.github.io/Logging_0188/artfynd/A 21922-2023 artfynd.xlsx", "A 21922-2023")</f>
        <v/>
      </c>
      <c r="X136">
        <f>HYPERLINK("https://klasma.github.io/Logging_0188/kartor/A 21922-2023 karta.png", "A 21922-2023")</f>
        <v/>
      </c>
      <c r="Y136">
        <f>HYPERLINK("https://klasma.github.io/Logging_0188/kartor_geotiff/A 21922-2023 georefererad karta.tif", "A 21922-2023")</f>
        <v/>
      </c>
      <c r="AA136">
        <f>HYPERLINK("https://klasma.github.io/Logging_0188/klagomål/A 21922-2023 FSC-klagomål.docx", "A 21922-2023")</f>
        <v/>
      </c>
      <c r="AB136">
        <f>HYPERLINK("https://klasma.github.io/Logging_0188/klagomålsmail/A 21922-2023 FSC-klagomål mail.docx", "A 21922-2023")</f>
        <v/>
      </c>
      <c r="AC136">
        <f>HYPERLINK("https://klasma.github.io/Logging_0188/tillsyn/A 21922-2023 tillsynsbegäran.docx", "A 21922-2023")</f>
        <v/>
      </c>
      <c r="AD136">
        <f>HYPERLINK("https://klasma.github.io/Logging_0188/tillsynsmail/A 21922-2023 tillsynsbegäran mail.docx", "A 21922-2023")</f>
        <v/>
      </c>
    </row>
    <row r="137" ht="15" customHeight="1">
      <c r="A137" t="inlineStr">
        <is>
          <t>A 27135-2026</t>
        </is>
      </c>
      <c r="B137" t="inlineStr">
        <is>
          <t>avverkningsanmälan</t>
        </is>
      </c>
      <c r="C137" t="inlineStr">
        <is>
          <t>Avverkning för att bevara och utveckla /försöksver</t>
        </is>
      </c>
      <c r="D137" s="1" t="n">
        <v>46188</v>
      </c>
      <c r="E137" s="1" t="n">
        <v>46326</v>
      </c>
      <c r="F137" t="inlineStr">
        <is>
          <t>STOCKHOLMS LÄN</t>
        </is>
      </c>
      <c r="G137" t="inlineStr">
        <is>
          <t>NYNÄSHAMN</t>
        </is>
      </c>
      <c r="I137" t="n">
        <v>7.3</v>
      </c>
      <c r="J137" t="n">
        <v>2</v>
      </c>
      <c r="K137" t="n">
        <v>3</v>
      </c>
      <c r="L137" t="n">
        <v>2</v>
      </c>
      <c r="M137" t="n">
        <v>1</v>
      </c>
      <c r="N137" t="n">
        <v>0</v>
      </c>
      <c r="O137" t="n">
        <v>0</v>
      </c>
      <c r="P137" t="n">
        <v>0</v>
      </c>
      <c r="Q137" t="n">
        <v>3</v>
      </c>
      <c r="R137" t="n">
        <v>1</v>
      </c>
      <c r="S137" t="n">
        <v>7</v>
      </c>
      <c r="T137" t="n">
        <v>16</v>
      </c>
      <c r="U137" t="n">
        <v>0</v>
      </c>
      <c r="V137" s="2" t="inlineStr">
        <is>
          <t>Skogskorn
Jungfrulin
Ängsskära
Myskmadra
Skogsknipprot
Strävlosta
Blåsippa</t>
        </is>
      </c>
      <c r="W137">
        <f>HYPERLINK("https://klasma.github.io/Logging_0192/artfynd/A 27135-2026 artfynd.xlsx", "A 27135-2026")</f>
        <v/>
      </c>
      <c r="X137">
        <f>HYPERLINK("https://klasma.github.io/Logging_0192/kartor/A 27135-2026 karta.png", "A 27135-2026")</f>
        <v/>
      </c>
      <c r="Y137">
        <f>HYPERLINK("https://klasma.github.io/Logging_0192/kartor_geotiff/A 27135-2026 georefererad karta.tif", "A 27135-2026")</f>
        <v/>
      </c>
      <c r="AA137">
        <f>HYPERLINK("https://klasma.github.io/Logging_0192/klagomål/A 27135-2026 FSC-klagomål.docx", "A 27135-2026")</f>
        <v/>
      </c>
      <c r="AB137">
        <f>HYPERLINK("https://klasma.github.io/Logging_0192/klagomålsmail/A 27135-2026 FSC-klagomål mail.docx", "A 27135-2026")</f>
        <v/>
      </c>
      <c r="AC137">
        <f>HYPERLINK("https://klasma.github.io/Logging_0192/tillsyn/A 27135-2026 tillsynsbegäran.docx", "A 27135-2026")</f>
        <v/>
      </c>
      <c r="AD137">
        <f>HYPERLINK("https://klasma.github.io/Logging_0192/tillsynsmail/A 27135-2026 tillsynsbegäran mail.docx", "A 27135-2026")</f>
        <v/>
      </c>
    </row>
    <row r="138" ht="15" customHeight="1">
      <c r="A138" t="inlineStr">
        <is>
          <t>A 13933-2022</t>
        </is>
      </c>
      <c r="B138" t="inlineStr">
        <is>
          <t>avverkningsanmälan</t>
        </is>
      </c>
      <c r="C138" t="inlineStr">
        <is>
          <t>Föryngringsavverkning</t>
        </is>
      </c>
      <c r="D138" s="1" t="n">
        <v>44650</v>
      </c>
      <c r="E138" s="1" t="n">
        <v>46326</v>
      </c>
      <c r="F138" t="inlineStr">
        <is>
          <t>STOCKHOLMS LÄN</t>
        </is>
      </c>
      <c r="G138" t="inlineStr">
        <is>
          <t>NORRTÄLJE</t>
        </is>
      </c>
      <c r="I138" t="n">
        <v>4.4</v>
      </c>
      <c r="J138" t="n">
        <v>3</v>
      </c>
      <c r="K138" t="n">
        <v>5</v>
      </c>
      <c r="L138" t="n">
        <v>1</v>
      </c>
      <c r="M138" t="n">
        <v>0</v>
      </c>
      <c r="N138" t="n">
        <v>0</v>
      </c>
      <c r="O138" t="n">
        <v>0</v>
      </c>
      <c r="P138" t="n">
        <v>0</v>
      </c>
      <c r="Q138" t="n">
        <v>1</v>
      </c>
      <c r="R138" t="n">
        <v>0</v>
      </c>
      <c r="S138" t="n">
        <v>7</v>
      </c>
      <c r="T138" t="n">
        <v>7</v>
      </c>
      <c r="U138" t="n">
        <v>0</v>
      </c>
      <c r="V138" s="2" t="inlineStr">
        <is>
          <t>Ullticka
Grön sköldmossa
Nästrot
Skogshakmossa
Tibast
Ögonpyrola
Blåsippa</t>
        </is>
      </c>
      <c r="W138">
        <f>HYPERLINK("https://klasma.github.io/Logging_0188/artfynd/A 13933-2022 artfynd.xlsx", "A 13933-2022")</f>
        <v/>
      </c>
      <c r="X138">
        <f>HYPERLINK("https://klasma.github.io/Logging_0188/kartor/A 13933-2022 karta.png", "A 13933-2022")</f>
        <v/>
      </c>
      <c r="Y138">
        <f>HYPERLINK("https://klasma.github.io/Logging_0188/kartor_geotiff/A 13933-2022 georefererad karta.tif", "A 13933-2022")</f>
        <v/>
      </c>
      <c r="AA138">
        <f>HYPERLINK("https://klasma.github.io/Logging_0188/klagomål/A 13933-2022 FSC-klagomål.docx", "A 13933-2022")</f>
        <v/>
      </c>
      <c r="AB138">
        <f>HYPERLINK("https://klasma.github.io/Logging_0188/klagomålsmail/A 13933-2022 FSC-klagomål mail.docx", "A 13933-2022")</f>
        <v/>
      </c>
      <c r="AC138">
        <f>HYPERLINK("https://klasma.github.io/Logging_0188/tillsyn/A 13933-2022 tillsynsbegäran.docx", "A 13933-2022")</f>
        <v/>
      </c>
      <c r="AD138">
        <f>HYPERLINK("https://klasma.github.io/Logging_0188/tillsynsmail/A 13933-2022 tillsynsbegäran mail.docx", "A 13933-2022")</f>
        <v/>
      </c>
    </row>
    <row r="139" ht="15" customHeight="1">
      <c r="A139" t="inlineStr">
        <is>
          <t>A 15913-2026</t>
        </is>
      </c>
      <c r="B139" t="inlineStr">
        <is>
          <t>avverkningsanmälan</t>
        </is>
      </c>
      <c r="C139" t="inlineStr">
        <is>
          <t>Föryngringsavverkning</t>
        </is>
      </c>
      <c r="D139" s="1" t="n">
        <v>46107</v>
      </c>
      <c r="E139" s="1" t="n">
        <v>46326</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t="n">
        <v>6</v>
      </c>
      <c r="V139" s="2" t="inlineStr">
        <is>
          <t>Knärot
Fjällig taggsvamp s.str.
Talltita
Vårärt
Nästrot
Blåsippa
Nattviol</t>
        </is>
      </c>
      <c r="W139">
        <f>HYPERLINK("https://klasma.github.io/Logging_0188/artfynd/A 15913-2026 artfynd.xlsx", "A 15913-2026")</f>
        <v/>
      </c>
      <c r="X139">
        <f>HYPERLINK("https://klasma.github.io/Logging_0188/kartor/A 15913-2026 karta.png", "A 15913-2026")</f>
        <v/>
      </c>
      <c r="Y139">
        <f>HYPERLINK("https://klasma.github.io/Logging_0188/kartor_geotiff/A 15913-2026 georefererad karta.tif", "A 15913-2026")</f>
        <v/>
      </c>
      <c r="Z139">
        <f>HYPERLINK("https://klasma.github.io/Logging_0188/knärot/A 15913-2026 karta knärot.png", "A 15913-2026")</f>
        <v/>
      </c>
      <c r="AA139">
        <f>HYPERLINK("https://klasma.github.io/Logging_0188/klagomål/A 15913-2026 FSC-klagomål.docx", "A 15913-2026")</f>
        <v/>
      </c>
      <c r="AB139">
        <f>HYPERLINK("https://klasma.github.io/Logging_0188/klagomålsmail/A 15913-2026 FSC-klagomål mail.docx", "A 15913-2026")</f>
        <v/>
      </c>
      <c r="AC139">
        <f>HYPERLINK("https://klasma.github.io/Logging_0188/tillsyn/A 15913-2026 tillsynsbegäran.docx", "A 15913-2026")</f>
        <v/>
      </c>
      <c r="AD139">
        <f>HYPERLINK("https://klasma.github.io/Logging_0188/tillsynsmail/A 15913-2026 tillsynsbegäran mail.docx", "A 15913-2026")</f>
        <v/>
      </c>
      <c r="AE139">
        <f>HYPERLINK("https://klasma.github.io/Logging_0188/fåglar/A 15913-2026 prioriterade fågelarter.docx", "A 15913-2026")</f>
        <v/>
      </c>
    </row>
    <row r="140" ht="15" customHeight="1">
      <c r="A140" t="inlineStr">
        <is>
          <t>A 15278-2024</t>
        </is>
      </c>
      <c r="B140" t="inlineStr">
        <is>
          <t>avverkningsanmälan</t>
        </is>
      </c>
      <c r="C140" t="inlineStr">
        <is>
          <t>Föryngringsavverkning</t>
        </is>
      </c>
      <c r="D140" s="1" t="n">
        <v>45400</v>
      </c>
      <c r="E140" s="1" t="n">
        <v>46326</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53608-2025</t>
        </is>
      </c>
      <c r="B141" t="inlineStr">
        <is>
          <t>avverkningsanmälan</t>
        </is>
      </c>
      <c r="C141" t="inlineStr">
        <is>
          <t>Föryngringsavverkning</t>
        </is>
      </c>
      <c r="D141" s="1" t="n">
        <v>45960</v>
      </c>
      <c r="E141" s="1" t="n">
        <v>46326</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13</v>
      </c>
      <c r="U141" t="n">
        <v>7</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46326</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46326</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46326</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8216-2023</t>
        </is>
      </c>
      <c r="B145" t="inlineStr">
        <is>
          <t>avverkningsanmälan</t>
        </is>
      </c>
      <c r="C145" t="inlineStr">
        <is>
          <t>Föryngringsavverkning</t>
        </is>
      </c>
      <c r="D145" s="1" t="n">
        <v>44974</v>
      </c>
      <c r="E145" s="1" t="n">
        <v>46326</v>
      </c>
      <c r="F145" t="inlineStr">
        <is>
          <t>STOCKHOLMS LÄN</t>
        </is>
      </c>
      <c r="G145" t="inlineStr">
        <is>
          <t>EKERÖ</t>
        </is>
      </c>
      <c r="H145" t="inlineStr">
        <is>
          <t>Kommuner</t>
        </is>
      </c>
      <c r="I145" t="n">
        <v>5</v>
      </c>
      <c r="J145" t="n">
        <v>2</v>
      </c>
      <c r="K145" t="n">
        <v>3</v>
      </c>
      <c r="L145" t="n">
        <v>0</v>
      </c>
      <c r="M145" t="n">
        <v>1</v>
      </c>
      <c r="N145" t="n">
        <v>0</v>
      </c>
      <c r="O145" t="n">
        <v>0</v>
      </c>
      <c r="P145" t="n">
        <v>0</v>
      </c>
      <c r="Q145" t="n">
        <v>1</v>
      </c>
      <c r="R145" t="n">
        <v>1</v>
      </c>
      <c r="S145" t="n">
        <v>6</v>
      </c>
      <c r="T145" t="n">
        <v>9</v>
      </c>
      <c r="U145" t="n">
        <v>0</v>
      </c>
      <c r="V145" s="2" t="inlineStr">
        <is>
          <t>Gul lammticka
Blomkålssvamp
Granbarkgnagare
Thomsons trägnagare
Blåsippa
Kungsfågel</t>
        </is>
      </c>
      <c r="W145">
        <f>HYPERLINK("https://klasma.github.io/Logging_0125/artfynd/A 8216-2023 artfynd.xlsx", "A 8216-2023")</f>
        <v/>
      </c>
      <c r="X145">
        <f>HYPERLINK("https://klasma.github.io/Logging_0125/kartor/A 8216-2023 karta.png", "A 8216-2023")</f>
        <v/>
      </c>
      <c r="Y145">
        <f>HYPERLINK("https://klasma.github.io/Logging_0125/kartor_geotiff/A 8216-2023 georefererad karta.tif", "A 8216-2023")</f>
        <v/>
      </c>
      <c r="AA145">
        <f>HYPERLINK("https://klasma.github.io/Logging_0125/klagomål/A 8216-2023 FSC-klagomål.docx", "A 8216-2023")</f>
        <v/>
      </c>
      <c r="AB145">
        <f>HYPERLINK("https://klasma.github.io/Logging_0125/klagomålsmail/A 8216-2023 FSC-klagomål mail.docx", "A 8216-2023")</f>
        <v/>
      </c>
      <c r="AC145">
        <f>HYPERLINK("https://klasma.github.io/Logging_0125/tillsyn/A 8216-2023 tillsynsbegäran.docx", "A 8216-2023")</f>
        <v/>
      </c>
      <c r="AD145">
        <f>HYPERLINK("https://klasma.github.io/Logging_0125/tillsynsmail/A 8216-2023 tillsynsbegäran mail.docx", "A 8216-2023")</f>
        <v/>
      </c>
    </row>
    <row r="146" ht="15" customHeight="1">
      <c r="A146" t="inlineStr">
        <is>
          <t>A 49419-2023</t>
        </is>
      </c>
      <c r="B146" t="inlineStr">
        <is>
          <t>avverkningsanmälan</t>
        </is>
      </c>
      <c r="C146" t="inlineStr">
        <is>
          <t>Föryngringsavverkning</t>
        </is>
      </c>
      <c r="D146" s="1" t="n">
        <v>45211</v>
      </c>
      <c r="E146" s="1" t="n">
        <v>46326</v>
      </c>
      <c r="F146" t="inlineStr">
        <is>
          <t>STOCKHOLMS LÄN</t>
        </is>
      </c>
      <c r="G146" t="inlineStr">
        <is>
          <t>HUDDINGE</t>
        </is>
      </c>
      <c r="H146" t="inlineStr">
        <is>
          <t>Kommuner</t>
        </is>
      </c>
      <c r="I146" t="n">
        <v>1.9</v>
      </c>
      <c r="J146" t="n">
        <v>6</v>
      </c>
      <c r="K146" t="n">
        <v>0</v>
      </c>
      <c r="L146" t="n">
        <v>1</v>
      </c>
      <c r="M146" t="n">
        <v>1</v>
      </c>
      <c r="N146" t="n">
        <v>0</v>
      </c>
      <c r="O146" t="n">
        <v>0</v>
      </c>
      <c r="P146" t="n">
        <v>0</v>
      </c>
      <c r="Q146" t="n">
        <v>2</v>
      </c>
      <c r="R146" t="n">
        <v>1</v>
      </c>
      <c r="S146" t="n">
        <v>6</v>
      </c>
      <c r="T146" t="n">
        <v>7</v>
      </c>
      <c r="U146" t="n">
        <v>7</v>
      </c>
      <c r="V146" s="2" t="inlineStr">
        <is>
          <t>Grönfink
Ladusvala
Fiskgjuse
Havsörn
Kråka
Ärtsångare</t>
        </is>
      </c>
      <c r="W146">
        <f>HYPERLINK("https://klasma.github.io/Logging_0126/artfynd/A 49419-2023 artfynd.xlsx", "A 49419-2023")</f>
        <v/>
      </c>
      <c r="X146">
        <f>HYPERLINK("https://klasma.github.io/Logging_0126/kartor/A 49419-2023 karta.png", "A 49419-2023")</f>
        <v/>
      </c>
      <c r="Y146">
        <f>HYPERLINK("https://klasma.github.io/Logging_0126/kartor_geotiff/A 49419-2023 georefererad karta.tif", "A 49419-2023")</f>
        <v/>
      </c>
      <c r="AA146">
        <f>HYPERLINK("https://klasma.github.io/Logging_0126/klagomål/A 49419-2023 FSC-klagomål.docx", "A 49419-2023")</f>
        <v/>
      </c>
      <c r="AB146">
        <f>HYPERLINK("https://klasma.github.io/Logging_0126/klagomålsmail/A 49419-2023 FSC-klagomål mail.docx", "A 49419-2023")</f>
        <v/>
      </c>
      <c r="AC146">
        <f>HYPERLINK("https://klasma.github.io/Logging_0126/tillsyn/A 49419-2023 tillsynsbegäran.docx", "A 49419-2023")</f>
        <v/>
      </c>
      <c r="AD146">
        <f>HYPERLINK("https://klasma.github.io/Logging_0126/tillsynsmail/A 49419-2023 tillsynsbegäran mail.docx", "A 49419-2023")</f>
        <v/>
      </c>
      <c r="AE146">
        <f>HYPERLINK("https://klasma.github.io/Logging_0126/fåglar/A 49419-2023 prioriterade fågelarter.docx", "A 49419-2023")</f>
        <v/>
      </c>
    </row>
    <row r="147" ht="15" customHeight="1">
      <c r="A147" t="inlineStr">
        <is>
          <t>A 11405-2024</t>
        </is>
      </c>
      <c r="B147" t="inlineStr">
        <is>
          <t>avverkningsanmälan</t>
        </is>
      </c>
      <c r="C147" t="inlineStr">
        <is>
          <t>Föryngringsavverkning</t>
        </is>
      </c>
      <c r="D147" s="1" t="n">
        <v>45372</v>
      </c>
      <c r="E147" s="1" t="n">
        <v>46326</v>
      </c>
      <c r="F147" t="inlineStr">
        <is>
          <t>STOCKHOLMS LÄN</t>
        </is>
      </c>
      <c r="G147" t="inlineStr">
        <is>
          <t>VAXHOLM</t>
        </is>
      </c>
      <c r="H147" t="inlineStr">
        <is>
          <t>Övriga statliga verk och myndigheter</t>
        </is>
      </c>
      <c r="I147" t="n">
        <v>11.6</v>
      </c>
      <c r="J147" t="n">
        <v>2</v>
      </c>
      <c r="K147" t="n">
        <v>3</v>
      </c>
      <c r="L147" t="n">
        <v>1</v>
      </c>
      <c r="M147" t="n">
        <v>1</v>
      </c>
      <c r="N147" t="n">
        <v>0</v>
      </c>
      <c r="O147" t="n">
        <v>0</v>
      </c>
      <c r="P147" t="n">
        <v>0</v>
      </c>
      <c r="Q147" t="n">
        <v>2</v>
      </c>
      <c r="R147" t="n">
        <v>1</v>
      </c>
      <c r="S147" t="n">
        <v>6</v>
      </c>
      <c r="T147" t="n">
        <v>7</v>
      </c>
      <c r="U147" t="n">
        <v>7</v>
      </c>
      <c r="V147" s="2" t="inlineStr">
        <is>
          <t>Knärot
Ullticka
Bronshjon
Grönpyrola
Vågbandad barkbock
Revlummer</t>
        </is>
      </c>
      <c r="W147">
        <f>HYPERLINK("https://klasma.github.io/Logging_0187/artfynd/A 11405-2024 artfynd.xlsx", "A 11405-2024")</f>
        <v/>
      </c>
      <c r="X147">
        <f>HYPERLINK("https://klasma.github.io/Logging_0187/kartor/A 11405-2024 karta.png", "A 11405-2024")</f>
        <v/>
      </c>
      <c r="Y147">
        <f>HYPERLINK("https://klasma.github.io/Logging_0187/kartor_geotiff/A 11405-2024 georefererad karta.tif", "A 11405-2024")</f>
        <v/>
      </c>
      <c r="Z147">
        <f>HYPERLINK("https://klasma.github.io/Logging_0187/knärot/A 11405-2024 karta knärot.png", "A 11405-2024")</f>
        <v/>
      </c>
      <c r="AA147">
        <f>HYPERLINK("https://klasma.github.io/Logging_0187/klagomål/A 11405-2024 FSC-klagomål.docx", "A 11405-2024")</f>
        <v/>
      </c>
      <c r="AB147">
        <f>HYPERLINK("https://klasma.github.io/Logging_0187/klagomålsmail/A 11405-2024 FSC-klagomål mail.docx", "A 11405-2024")</f>
        <v/>
      </c>
      <c r="AC147">
        <f>HYPERLINK("https://klasma.github.io/Logging_0187/tillsyn/A 11405-2024 tillsynsbegäran.docx", "A 11405-2024")</f>
        <v/>
      </c>
      <c r="AD147">
        <f>HYPERLINK("https://klasma.github.io/Logging_0187/tillsynsmail/A 11405-2024 tillsynsbegäran mail.docx", "A 11405-2024")</f>
        <v/>
      </c>
    </row>
    <row r="148" ht="15" customHeight="1">
      <c r="A148" t="inlineStr">
        <is>
          <t>A 8500-2022</t>
        </is>
      </c>
      <c r="B148" t="inlineStr">
        <is>
          <t>avverkningsanmälan</t>
        </is>
      </c>
      <c r="C148" t="inlineStr">
        <is>
          <t>Föryngringsavverkning</t>
        </is>
      </c>
      <c r="D148" s="1" t="n">
        <v>44613</v>
      </c>
      <c r="E148" s="1" t="n">
        <v>46326</v>
      </c>
      <c r="F148" t="inlineStr">
        <is>
          <t>STOCKHOLMS LÄN</t>
        </is>
      </c>
      <c r="G148" t="inlineStr">
        <is>
          <t>VALLENTUNA</t>
        </is>
      </c>
      <c r="I148" t="n">
        <v>5</v>
      </c>
      <c r="J148" t="n">
        <v>2</v>
      </c>
      <c r="K148" t="n">
        <v>4</v>
      </c>
      <c r="L148" t="n">
        <v>0</v>
      </c>
      <c r="M148" t="n">
        <v>1</v>
      </c>
      <c r="N148" t="n">
        <v>0</v>
      </c>
      <c r="O148" t="n">
        <v>0</v>
      </c>
      <c r="P148" t="n">
        <v>0</v>
      </c>
      <c r="Q148" t="n">
        <v>1</v>
      </c>
      <c r="R148" t="n">
        <v>1</v>
      </c>
      <c r="S148" t="n">
        <v>6</v>
      </c>
      <c r="T148" t="n">
        <v>6</v>
      </c>
      <c r="U148" t="n">
        <v>5</v>
      </c>
      <c r="V148" s="2" t="inlineStr">
        <is>
          <t>Knärot
Björksplintborre
Blåmossa
Bronshjon
Vedticka
Spillkråka</t>
        </is>
      </c>
      <c r="W148">
        <f>HYPERLINK("https://klasma.github.io/Logging_0115/artfynd/A 8500-2022 artfynd.xlsx", "A 8500-2022")</f>
        <v/>
      </c>
      <c r="X148">
        <f>HYPERLINK("https://klasma.github.io/Logging_0115/kartor/A 8500-2022 karta.png", "A 8500-2022")</f>
        <v/>
      </c>
      <c r="Y148">
        <f>HYPERLINK("https://klasma.github.io/Logging_0115/kartor_geotiff/A 8500-2022 georefererad karta.tif", "A 8500-2022")</f>
        <v/>
      </c>
      <c r="Z148">
        <f>HYPERLINK("https://klasma.github.io/Logging_0115/knärot/A 8500-2022 karta knärot.png", "A 8500-2022")</f>
        <v/>
      </c>
      <c r="AA148">
        <f>HYPERLINK("https://klasma.github.io/Logging_0115/klagomål/A 8500-2022 FSC-klagomål.docx", "A 8500-2022")</f>
        <v/>
      </c>
      <c r="AB148">
        <f>HYPERLINK("https://klasma.github.io/Logging_0115/klagomålsmail/A 8500-2022 FSC-klagomål mail.docx", "A 8500-2022")</f>
        <v/>
      </c>
      <c r="AC148">
        <f>HYPERLINK("https://klasma.github.io/Logging_0115/tillsyn/A 8500-2022 tillsynsbegäran.docx", "A 8500-2022")</f>
        <v/>
      </c>
      <c r="AD148">
        <f>HYPERLINK("https://klasma.github.io/Logging_0115/tillsynsmail/A 8500-2022 tillsynsbegäran mail.docx", "A 8500-2022")</f>
        <v/>
      </c>
      <c r="AE148">
        <f>HYPERLINK("https://klasma.github.io/Logging_0115/fåglar/A 8500-2022 prioriterade fågelarter.docx", "A 8500-2022")</f>
        <v/>
      </c>
    </row>
    <row r="149" ht="15" customHeight="1">
      <c r="A149" t="inlineStr">
        <is>
          <t>A 35937-2023</t>
        </is>
      </c>
      <c r="B149" t="inlineStr">
        <is>
          <t>avverkningsanmälan</t>
        </is>
      </c>
      <c r="C149" t="inlineStr">
        <is>
          <t>Föryngringsavverkning</t>
        </is>
      </c>
      <c r="D149" s="1" t="n">
        <v>45148</v>
      </c>
      <c r="E149" s="1" t="n">
        <v>46326</v>
      </c>
      <c r="F149" t="inlineStr">
        <is>
          <t>STOCKHOLMS LÄN</t>
        </is>
      </c>
      <c r="G149" t="inlineStr">
        <is>
          <t>SÖDERTÄLJE</t>
        </is>
      </c>
      <c r="I149" t="n">
        <v>3</v>
      </c>
      <c r="J149" t="n">
        <v>1</v>
      </c>
      <c r="K149" t="n">
        <v>3</v>
      </c>
      <c r="L149" t="n">
        <v>0</v>
      </c>
      <c r="M149" t="n">
        <v>0</v>
      </c>
      <c r="N149" t="n">
        <v>2</v>
      </c>
      <c r="O149" t="n">
        <v>0</v>
      </c>
      <c r="P149" t="n">
        <v>0</v>
      </c>
      <c r="Q149" t="n">
        <v>2</v>
      </c>
      <c r="R149" t="n">
        <v>2</v>
      </c>
      <c r="S149" t="n">
        <v>6</v>
      </c>
      <c r="T149" t="n">
        <v>7</v>
      </c>
      <c r="U149" t="n">
        <v>2</v>
      </c>
      <c r="V149" s="2" t="inlineStr">
        <is>
          <t>Ask
Skogsalm
Mindre märgborre
Stor aspticka
Tibast
Gullviva</t>
        </is>
      </c>
      <c r="W149">
        <f>HYPERLINK("https://klasma.github.io/Logging_0181/artfynd/A 35937-2023 artfynd.xlsx", "A 35937-2023")</f>
        <v/>
      </c>
      <c r="X149">
        <f>HYPERLINK("https://klasma.github.io/Logging_0181/kartor/A 35937-2023 karta.png", "A 35937-2023")</f>
        <v/>
      </c>
      <c r="Y149">
        <f>HYPERLINK("https://klasma.github.io/Logging_0181/kartor_geotiff/A 35937-2023 georefererad karta.tif", "A 35937-2023")</f>
        <v/>
      </c>
      <c r="AA149">
        <f>HYPERLINK("https://klasma.github.io/Logging_0181/klagomål/A 35937-2023 FSC-klagomål.docx", "A 35937-2023")</f>
        <v/>
      </c>
      <c r="AB149">
        <f>HYPERLINK("https://klasma.github.io/Logging_0181/klagomålsmail/A 35937-2023 FSC-klagomål mail.docx", "A 35937-2023")</f>
        <v/>
      </c>
      <c r="AC149">
        <f>HYPERLINK("https://klasma.github.io/Logging_0181/tillsyn/A 35937-2023 tillsynsbegäran.docx", "A 35937-2023")</f>
        <v/>
      </c>
      <c r="AD149">
        <f>HYPERLINK("https://klasma.github.io/Logging_0181/tillsynsmail/A 35937-2023 tillsynsbegäran mail.docx", "A 35937-2023")</f>
        <v/>
      </c>
    </row>
    <row r="150" ht="15" customHeight="1">
      <c r="A150" t="inlineStr">
        <is>
          <t>A 33801-2025</t>
        </is>
      </c>
      <c r="B150" t="inlineStr">
        <is>
          <t>avverkningsanmälan</t>
        </is>
      </c>
      <c r="C150" t="inlineStr">
        <is>
          <t>Föryngringsavverkning</t>
        </is>
      </c>
      <c r="D150" s="1" t="n">
        <v>45842</v>
      </c>
      <c r="E150" s="1" t="n">
        <v>46326</v>
      </c>
      <c r="F150" t="inlineStr">
        <is>
          <t>STOCKHOLMS LÄN</t>
        </is>
      </c>
      <c r="G150" t="inlineStr">
        <is>
          <t>BOTKYRKA</t>
        </is>
      </c>
      <c r="I150" t="n">
        <v>1.3</v>
      </c>
      <c r="J150" t="n">
        <v>0</v>
      </c>
      <c r="K150" t="n">
        <v>5</v>
      </c>
      <c r="L150" t="n">
        <v>1</v>
      </c>
      <c r="M150" t="n">
        <v>0</v>
      </c>
      <c r="N150" t="n">
        <v>0</v>
      </c>
      <c r="O150" t="n">
        <v>0</v>
      </c>
      <c r="P150" t="n">
        <v>0</v>
      </c>
      <c r="Q150" t="n">
        <v>1</v>
      </c>
      <c r="R150" t="n">
        <v>0</v>
      </c>
      <c r="S150" t="n">
        <v>6</v>
      </c>
      <c r="T150" t="n">
        <v>6</v>
      </c>
      <c r="U150" t="n">
        <v>1</v>
      </c>
      <c r="V150" s="2" t="inlineStr">
        <is>
          <t>Parkhättemossa
Fällmossa
Guldlockmossa
Stenporella
Strutbräken
Trubbfjädermossa</t>
        </is>
      </c>
      <c r="W150">
        <f>HYPERLINK("https://klasma.github.io/Logging_0127/artfynd/A 33801-2025 artfynd.xlsx", "A 33801-2025")</f>
        <v/>
      </c>
      <c r="X150">
        <f>HYPERLINK("https://klasma.github.io/Logging_0127/kartor/A 33801-2025 karta.png", "A 33801-2025")</f>
        <v/>
      </c>
      <c r="Y150">
        <f>HYPERLINK("https://klasma.github.io/Logging_0127/kartor_geotiff/A 33801-2025 georefererad karta.tif", "A 33801-2025")</f>
        <v/>
      </c>
      <c r="AA150">
        <f>HYPERLINK("https://klasma.github.io/Logging_0127/klagomål/A 33801-2025 FSC-klagomål.docx", "A 33801-2025")</f>
        <v/>
      </c>
      <c r="AB150">
        <f>HYPERLINK("https://klasma.github.io/Logging_0127/klagomålsmail/A 33801-2025 FSC-klagomål mail.docx", "A 33801-2025")</f>
        <v/>
      </c>
      <c r="AC150">
        <f>HYPERLINK("https://klasma.github.io/Logging_0127/tillsyn/A 33801-2025 tillsynsbegäran.docx", "A 33801-2025")</f>
        <v/>
      </c>
      <c r="AD150">
        <f>HYPERLINK("https://klasma.github.io/Logging_0127/tillsynsmail/A 33801-2025 tillsynsbegäran mail.docx", "A 33801-2025")</f>
        <v/>
      </c>
    </row>
    <row r="151" ht="15" customHeight="1">
      <c r="A151" t="inlineStr">
        <is>
          <t>A 34528-2025</t>
        </is>
      </c>
      <c r="B151" t="inlineStr">
        <is>
          <t>avverkningsanmälan</t>
        </is>
      </c>
      <c r="C151" t="inlineStr">
        <is>
          <t>Föryngringsavverkning</t>
        </is>
      </c>
      <c r="D151" s="1" t="n">
        <v>45847</v>
      </c>
      <c r="E151" s="1" t="n">
        <v>46326</v>
      </c>
      <c r="F151" t="inlineStr">
        <is>
          <t>STOCKHOLMS LÄN</t>
        </is>
      </c>
      <c r="G151" t="inlineStr">
        <is>
          <t>NORRTÄLJE</t>
        </is>
      </c>
      <c r="I151" t="n">
        <v>1</v>
      </c>
      <c r="J151" t="n">
        <v>1</v>
      </c>
      <c r="K151" t="n">
        <v>1</v>
      </c>
      <c r="L151" t="n">
        <v>3</v>
      </c>
      <c r="M151" t="n">
        <v>0</v>
      </c>
      <c r="N151" t="n">
        <v>1</v>
      </c>
      <c r="O151" t="n">
        <v>0</v>
      </c>
      <c r="P151" t="n">
        <v>0</v>
      </c>
      <c r="Q151" t="n">
        <v>4</v>
      </c>
      <c r="R151" t="n">
        <v>1</v>
      </c>
      <c r="S151" t="n">
        <v>6</v>
      </c>
      <c r="T151" t="n">
        <v>19</v>
      </c>
      <c r="U151" t="n">
        <v>19</v>
      </c>
      <c r="V151" s="2" t="inlineStr">
        <is>
          <t>Gyllenfingersvamp
Fjällig taggsvamp s.str.
Gammelgransskål
Motaggsvamp
Svavelriska
Spillkråka</t>
        </is>
      </c>
      <c r="W151">
        <f>HYPERLINK("https://klasma.github.io/Logging_0188/artfynd/A 34528-2025 artfynd.xlsx", "A 34528-2025")</f>
        <v/>
      </c>
      <c r="X151">
        <f>HYPERLINK("https://klasma.github.io/Logging_0188/kartor/A 34528-2025 karta.png", "A 34528-2025")</f>
        <v/>
      </c>
      <c r="Y151">
        <f>HYPERLINK("https://klasma.github.io/Logging_0188/kartor_geotiff/A 34528-2025 georefererad karta.tif", "A 34528-2025")</f>
        <v/>
      </c>
      <c r="AA151">
        <f>HYPERLINK("https://klasma.github.io/Logging_0188/klagomål/A 34528-2025 FSC-klagomål.docx", "A 34528-2025")</f>
        <v/>
      </c>
      <c r="AB151">
        <f>HYPERLINK("https://klasma.github.io/Logging_0188/klagomålsmail/A 34528-2025 FSC-klagomål mail.docx", "A 34528-2025")</f>
        <v/>
      </c>
      <c r="AC151">
        <f>HYPERLINK("https://klasma.github.io/Logging_0188/tillsyn/A 34528-2025 tillsynsbegäran.docx", "A 34528-2025")</f>
        <v/>
      </c>
      <c r="AD151">
        <f>HYPERLINK("https://klasma.github.io/Logging_0188/tillsynsmail/A 34528-2025 tillsynsbegäran mail.docx", "A 34528-2025")</f>
        <v/>
      </c>
      <c r="AE151">
        <f>HYPERLINK("https://klasma.github.io/Logging_0188/fåglar/A 34528-2025 prioriterade fågelarter.docx", "A 34528-2025")</f>
        <v/>
      </c>
    </row>
    <row r="152" ht="15" customHeight="1">
      <c r="A152" t="inlineStr">
        <is>
          <t>A 48370-2025</t>
        </is>
      </c>
      <c r="B152" t="inlineStr">
        <is>
          <t>avverkningsanmälan</t>
        </is>
      </c>
      <c r="C152" t="inlineStr">
        <is>
          <t>Föryngringsavverkning</t>
        </is>
      </c>
      <c r="D152" s="1" t="n">
        <v>45933</v>
      </c>
      <c r="E152" s="1" t="n">
        <v>46326</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36854-2025</t>
        </is>
      </c>
      <c r="B153" t="inlineStr">
        <is>
          <t>avverkningsanmälan</t>
        </is>
      </c>
      <c r="C153" t="inlineStr">
        <is>
          <t>Föryngringsavverkning</t>
        </is>
      </c>
      <c r="D153" s="1" t="n">
        <v>45874</v>
      </c>
      <c r="E153" s="1" t="n">
        <v>46326</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t="n">
        <v>11</v>
      </c>
      <c r="V153" s="2" t="inlineStr">
        <is>
          <t>Orange taggsvamp
Rödgul trumpetsvamp
Mattlummer
Spillkråka
Fläcknycklar
Revlummer</t>
        </is>
      </c>
      <c r="W153">
        <f>HYPERLINK("https://klasma.github.io/Logging_0181/artfynd/A 36854-2025 artfynd.xlsx", "A 36854-2025")</f>
        <v/>
      </c>
      <c r="X153">
        <f>HYPERLINK("https://klasma.github.io/Logging_0181/kartor/A 36854-2025 karta.png", "A 36854-2025")</f>
        <v/>
      </c>
      <c r="Y153">
        <f>HYPERLINK("https://klasma.github.io/Logging_0181/kartor_geotiff/A 36854-2025 georefererad karta.tif", "A 36854-2025")</f>
        <v/>
      </c>
      <c r="AA153">
        <f>HYPERLINK("https://klasma.github.io/Logging_0181/klagomål/A 36854-2025 FSC-klagomål.docx", "A 36854-2025")</f>
        <v/>
      </c>
      <c r="AB153">
        <f>HYPERLINK("https://klasma.github.io/Logging_0181/klagomålsmail/A 36854-2025 FSC-klagomål mail.docx", "A 36854-2025")</f>
        <v/>
      </c>
      <c r="AC153">
        <f>HYPERLINK("https://klasma.github.io/Logging_0181/tillsyn/A 36854-2025 tillsynsbegäran.docx", "A 36854-2025")</f>
        <v/>
      </c>
      <c r="AD153">
        <f>HYPERLINK("https://klasma.github.io/Logging_0181/tillsynsmail/A 36854-2025 tillsynsbegäran mail.docx", "A 36854-2025")</f>
        <v/>
      </c>
      <c r="AE153">
        <f>HYPERLINK("https://klasma.github.io/Logging_0181/fåglar/A 36854-2025 prioriterade fågelarter.docx", "A 36854-2025")</f>
        <v/>
      </c>
    </row>
    <row r="154" ht="15" customHeight="1">
      <c r="A154" t="inlineStr">
        <is>
          <t>A 62402-2022</t>
        </is>
      </c>
      <c r="B154" t="inlineStr">
        <is>
          <t>avverkningsanmälan</t>
        </is>
      </c>
      <c r="C154" t="inlineStr">
        <is>
          <t>Föryngringsavverkning</t>
        </is>
      </c>
      <c r="D154" s="1" t="n">
        <v>44923</v>
      </c>
      <c r="E154" s="1" t="n">
        <v>46326</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57411-2025</t>
        </is>
      </c>
      <c r="B155" t="inlineStr">
        <is>
          <t>avverkningsanmälan</t>
        </is>
      </c>
      <c r="C155" t="inlineStr">
        <is>
          <t>Föryngringsavverkning</t>
        </is>
      </c>
      <c r="D155" s="1" t="n">
        <v>45980</v>
      </c>
      <c r="E155" s="1" t="n">
        <v>46326</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35953-2023</t>
        </is>
      </c>
      <c r="B156" t="inlineStr">
        <is>
          <t>avverkningsanmälan</t>
        </is>
      </c>
      <c r="C156" t="inlineStr">
        <is>
          <t>Föryngringsavverkning</t>
        </is>
      </c>
      <c r="D156" s="1" t="n">
        <v>45148</v>
      </c>
      <c r="E156" s="1" t="n">
        <v>46326</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68883-2021</t>
        </is>
      </c>
      <c r="B157" t="inlineStr">
        <is>
          <t>avverkningsanmälan</t>
        </is>
      </c>
      <c r="C157" t="inlineStr">
        <is>
          <t>Avverkning för att bevara och utveckla /försöksver</t>
        </is>
      </c>
      <c r="D157" s="1" t="n">
        <v>44526</v>
      </c>
      <c r="E157" s="1" t="n">
        <v>46326</v>
      </c>
      <c r="F157" t="inlineStr">
        <is>
          <t>STOCKHOLMS LÄN</t>
        </is>
      </c>
      <c r="G157" t="inlineStr">
        <is>
          <t>HANINGE</t>
        </is>
      </c>
      <c r="I157" t="n">
        <v>2.5</v>
      </c>
      <c r="J157" t="n">
        <v>2</v>
      </c>
      <c r="K157" t="n">
        <v>0</v>
      </c>
      <c r="L157" t="n">
        <v>3</v>
      </c>
      <c r="M157" t="n">
        <v>1</v>
      </c>
      <c r="N157" t="n">
        <v>0</v>
      </c>
      <c r="O157" t="n">
        <v>0</v>
      </c>
      <c r="P157" t="n">
        <v>0</v>
      </c>
      <c r="Q157" t="n">
        <v>4</v>
      </c>
      <c r="R157" t="n">
        <v>1</v>
      </c>
      <c r="S157" t="n">
        <v>6</v>
      </c>
      <c r="T157" t="n">
        <v>9</v>
      </c>
      <c r="U157" t="n">
        <v>0</v>
      </c>
      <c r="V157" s="2" t="inlineStr">
        <is>
          <t>Kvällsmaskros
Jungfrulin
Slåtterfibbla
Sårläka
Fläcknycklar
Nattviol</t>
        </is>
      </c>
      <c r="W157">
        <f>HYPERLINK("https://klasma.github.io/Logging_0136/artfynd/A 68883-2021 artfynd.xlsx", "A 68883-2021")</f>
        <v/>
      </c>
      <c r="X157">
        <f>HYPERLINK("https://klasma.github.io/Logging_0136/kartor/A 68883-2021 karta.png", "A 68883-2021")</f>
        <v/>
      </c>
      <c r="Y157">
        <f>HYPERLINK("https://klasma.github.io/Logging_0136/kartor_geotiff/A 68883-2021 georefererad karta.tif", "A 68883-2021")</f>
        <v/>
      </c>
      <c r="AA157">
        <f>HYPERLINK("https://klasma.github.io/Logging_0136/klagomål/A 68883-2021 FSC-klagomål.docx", "A 68883-2021")</f>
        <v/>
      </c>
      <c r="AB157">
        <f>HYPERLINK("https://klasma.github.io/Logging_0136/klagomålsmail/A 68883-2021 FSC-klagomål mail.docx", "A 68883-2021")</f>
        <v/>
      </c>
      <c r="AC157">
        <f>HYPERLINK("https://klasma.github.io/Logging_0136/tillsyn/A 68883-2021 tillsynsbegäran.docx", "A 68883-2021")</f>
        <v/>
      </c>
      <c r="AD157">
        <f>HYPERLINK("https://klasma.github.io/Logging_0136/tillsynsmail/A 68883-2021 tillsynsbegäran mail.docx", "A 68883-2021")</f>
        <v/>
      </c>
    </row>
    <row r="158" ht="15" customHeight="1">
      <c r="A158" t="inlineStr">
        <is>
          <t>A 97-2024</t>
        </is>
      </c>
      <c r="B158" t="inlineStr">
        <is>
          <t>avverkningsanmälan</t>
        </is>
      </c>
      <c r="C158" t="inlineStr">
        <is>
          <t>Föryngringsavverkning</t>
        </is>
      </c>
      <c r="D158" s="1" t="n">
        <v>45293</v>
      </c>
      <c r="E158" s="1" t="n">
        <v>46326</v>
      </c>
      <c r="F158" t="inlineStr">
        <is>
          <t>STOCKHOLMS LÄN</t>
        </is>
      </c>
      <c r="G158" t="inlineStr">
        <is>
          <t>SÖDERTÄLJE</t>
        </is>
      </c>
      <c r="I158" t="n">
        <v>2.3</v>
      </c>
      <c r="J158" t="n">
        <v>6</v>
      </c>
      <c r="K158" t="n">
        <v>0</v>
      </c>
      <c r="L158" t="n">
        <v>2</v>
      </c>
      <c r="M158" t="n">
        <v>0</v>
      </c>
      <c r="N158" t="n">
        <v>0</v>
      </c>
      <c r="O158" t="n">
        <v>0</v>
      </c>
      <c r="P158" t="n">
        <v>0</v>
      </c>
      <c r="Q158" t="n">
        <v>2</v>
      </c>
      <c r="R158" t="n">
        <v>0</v>
      </c>
      <c r="S158" t="n">
        <v>6</v>
      </c>
      <c r="T158" t="n">
        <v>6</v>
      </c>
      <c r="U158" t="n">
        <v>0</v>
      </c>
      <c r="V158" s="2" t="inlineStr">
        <is>
          <t>Brunlångöra
Nordfladdermus
Dvärgpipistrell
Större brunfladdermus
Trollpipistrell
Vattenfladdermus</t>
        </is>
      </c>
      <c r="W158">
        <f>HYPERLINK("https://klasma.github.io/Logging_0181/artfynd/A 97-2024 artfynd.xlsx", "A 97-2024")</f>
        <v/>
      </c>
      <c r="X158">
        <f>HYPERLINK("https://klasma.github.io/Logging_0181/kartor/A 97-2024 karta.png", "A 97-2024")</f>
        <v/>
      </c>
      <c r="Y158">
        <f>HYPERLINK("https://klasma.github.io/Logging_0181/kartor_geotiff/A 97-2024 georefererad karta.tif", "A 97-2024")</f>
        <v/>
      </c>
      <c r="AA158">
        <f>HYPERLINK("https://klasma.github.io/Logging_0181/klagomål/A 97-2024 FSC-klagomål.docx", "A 97-2024")</f>
        <v/>
      </c>
      <c r="AB158">
        <f>HYPERLINK("https://klasma.github.io/Logging_0181/klagomålsmail/A 97-2024 FSC-klagomål mail.docx", "A 97-2024")</f>
        <v/>
      </c>
      <c r="AC158">
        <f>HYPERLINK("https://klasma.github.io/Logging_0181/tillsyn/A 97-2024 tillsynsbegäran.docx", "A 97-2024")</f>
        <v/>
      </c>
      <c r="AD158">
        <f>HYPERLINK("https://klasma.github.io/Logging_0181/tillsynsmail/A 97-2024 tillsynsbegäran mail.docx", "A 97-2024")</f>
        <v/>
      </c>
    </row>
    <row r="159" ht="15" customHeight="1">
      <c r="A159" t="inlineStr">
        <is>
          <t>A 23357-2026</t>
        </is>
      </c>
      <c r="B159" t="inlineStr">
        <is>
          <t>avverkningsanmälan</t>
        </is>
      </c>
      <c r="C159" t="inlineStr">
        <is>
          <t>Föryngringsavverkning</t>
        </is>
      </c>
      <c r="D159" s="1" t="n">
        <v>46162</v>
      </c>
      <c r="E159" s="1" t="n">
        <v>46326</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49421-2023</t>
        </is>
      </c>
      <c r="B160" t="inlineStr">
        <is>
          <t>avverkningsanmälan</t>
        </is>
      </c>
      <c r="C160" t="inlineStr">
        <is>
          <t>Föryngringsavverkning</t>
        </is>
      </c>
      <c r="D160" s="1" t="n">
        <v>45211</v>
      </c>
      <c r="E160" s="1" t="n">
        <v>46326</v>
      </c>
      <c r="F160" t="inlineStr">
        <is>
          <t>STOCKHOLMS LÄN</t>
        </is>
      </c>
      <c r="G160" t="inlineStr">
        <is>
          <t>HUDDINGE</t>
        </is>
      </c>
      <c r="H160" t="inlineStr">
        <is>
          <t>Kommuner</t>
        </is>
      </c>
      <c r="I160" t="n">
        <v>1.4</v>
      </c>
      <c r="J160" t="n">
        <v>3</v>
      </c>
      <c r="K160" t="n">
        <v>1</v>
      </c>
      <c r="L160" t="n">
        <v>2</v>
      </c>
      <c r="M160" t="n">
        <v>2</v>
      </c>
      <c r="N160" t="n">
        <v>0</v>
      </c>
      <c r="O160" t="n">
        <v>0</v>
      </c>
      <c r="P160" t="n">
        <v>0</v>
      </c>
      <c r="Q160" t="n">
        <v>4</v>
      </c>
      <c r="R160" t="n">
        <v>2</v>
      </c>
      <c r="S160" t="n">
        <v>6</v>
      </c>
      <c r="T160" t="n">
        <v>6</v>
      </c>
      <c r="U160" t="n">
        <v>5</v>
      </c>
      <c r="V160" s="2" t="inlineStr">
        <is>
          <t>Grönfink
Sexfläckig bastardsvärmare
Gulsparv
Tallticka
Mindre märgborre
Blåsippa</t>
        </is>
      </c>
      <c r="W160">
        <f>HYPERLINK("https://klasma.github.io/Logging_0126/artfynd/A 49421-2023 artfynd.xlsx", "A 49421-2023")</f>
        <v/>
      </c>
      <c r="X160">
        <f>HYPERLINK("https://klasma.github.io/Logging_0126/kartor/A 49421-2023 karta.png", "A 49421-2023")</f>
        <v/>
      </c>
      <c r="Y160">
        <f>HYPERLINK("https://klasma.github.io/Logging_0126/kartor_geotiff/A 49421-2023 georefererad karta.tif", "A 49421-2023")</f>
        <v/>
      </c>
      <c r="AA160">
        <f>HYPERLINK("https://klasma.github.io/Logging_0126/klagomål/A 49421-2023 FSC-klagomål.docx", "A 49421-2023")</f>
        <v/>
      </c>
      <c r="AB160">
        <f>HYPERLINK("https://klasma.github.io/Logging_0126/klagomålsmail/A 49421-2023 FSC-klagomål mail.docx", "A 49421-2023")</f>
        <v/>
      </c>
      <c r="AC160">
        <f>HYPERLINK("https://klasma.github.io/Logging_0126/tillsyn/A 49421-2023 tillsynsbegäran.docx", "A 49421-2023")</f>
        <v/>
      </c>
      <c r="AD160">
        <f>HYPERLINK("https://klasma.github.io/Logging_0126/tillsynsmail/A 49421-2023 tillsynsbegäran mail.docx", "A 49421-2023")</f>
        <v/>
      </c>
      <c r="AE160">
        <f>HYPERLINK("https://klasma.github.io/Logging_0126/fåglar/A 49421-2023 prioriterade fågelarter.docx", "A 49421-2023")</f>
        <v/>
      </c>
    </row>
    <row r="161" ht="15" customHeight="1">
      <c r="A161" t="inlineStr">
        <is>
          <t>A 28861-2026</t>
        </is>
      </c>
      <c r="B161" t="inlineStr">
        <is>
          <t>avverkningsanmälan</t>
        </is>
      </c>
      <c r="C161" t="inlineStr">
        <is>
          <t>Avverkning för annat ändamål</t>
        </is>
      </c>
      <c r="D161" s="1" t="n">
        <v>46199</v>
      </c>
      <c r="E161" s="1" t="n">
        <v>46326</v>
      </c>
      <c r="F161" t="inlineStr">
        <is>
          <t>STOCKHOLMS LÄN</t>
        </is>
      </c>
      <c r="G161" t="inlineStr">
        <is>
          <t>HANINGE</t>
        </is>
      </c>
      <c r="I161" t="n">
        <v>1.3</v>
      </c>
      <c r="J161" t="n">
        <v>2</v>
      </c>
      <c r="K161" t="n">
        <v>1</v>
      </c>
      <c r="L161" t="n">
        <v>4</v>
      </c>
      <c r="M161" t="n">
        <v>0</v>
      </c>
      <c r="N161" t="n">
        <v>0</v>
      </c>
      <c r="O161" t="n">
        <v>0</v>
      </c>
      <c r="P161" t="n">
        <v>0</v>
      </c>
      <c r="Q161" t="n">
        <v>4</v>
      </c>
      <c r="R161" t="n">
        <v>0</v>
      </c>
      <c r="S161" t="n">
        <v>6</v>
      </c>
      <c r="T161" t="n">
        <v>7</v>
      </c>
      <c r="U161" t="n">
        <v>6</v>
      </c>
      <c r="V161" s="2" t="inlineStr">
        <is>
          <t>Motaggsvamp
Skogshare
Tallticka
Talltita
Grovticka
Nattskärra</t>
        </is>
      </c>
      <c r="W161">
        <f>HYPERLINK("https://klasma.github.io/Logging_0136/artfynd/A 28861-2026 artfynd.xlsx", "A 28861-2026")</f>
        <v/>
      </c>
      <c r="X161">
        <f>HYPERLINK("https://klasma.github.io/Logging_0136/kartor/A 28861-2026 karta.png", "A 28861-2026")</f>
        <v/>
      </c>
      <c r="Y161">
        <f>HYPERLINK("https://klasma.github.io/Logging_0136/kartor_geotiff/A 28861-2026 georefererad karta.tif", "A 28861-2026")</f>
        <v/>
      </c>
      <c r="AA161">
        <f>HYPERLINK("https://klasma.github.io/Logging_0136/klagomål/A 28861-2026 FSC-klagomål.docx", "A 28861-2026")</f>
        <v/>
      </c>
      <c r="AB161">
        <f>HYPERLINK("https://klasma.github.io/Logging_0136/klagomålsmail/A 28861-2026 FSC-klagomål mail.docx", "A 28861-2026")</f>
        <v/>
      </c>
      <c r="AC161">
        <f>HYPERLINK("https://klasma.github.io/Logging_0136/tillsyn/A 28861-2026 tillsynsbegäran.docx", "A 28861-2026")</f>
        <v/>
      </c>
      <c r="AD161">
        <f>HYPERLINK("https://klasma.github.io/Logging_0136/tillsynsmail/A 28861-2026 tillsynsbegäran mail.docx", "A 28861-2026")</f>
        <v/>
      </c>
      <c r="AE161">
        <f>HYPERLINK("https://klasma.github.io/Logging_0136/fåglar/A 28861-2026 prioriterade fågelarter.docx", "A 28861-2026")</f>
        <v/>
      </c>
    </row>
    <row r="162" ht="15" customHeight="1">
      <c r="A162" t="inlineStr">
        <is>
          <t>A 39926-2026</t>
        </is>
      </c>
      <c r="B162" t="inlineStr">
        <is>
          <t>avverkningsanmälan</t>
        </is>
      </c>
      <c r="C162" t="inlineStr">
        <is>
          <t>Föryngringsavverkning</t>
        </is>
      </c>
      <c r="D162" s="1" t="n">
        <v>46290</v>
      </c>
      <c r="E162" s="1" t="n">
        <v>46326</v>
      </c>
      <c r="F162" t="inlineStr">
        <is>
          <t>STOCKHOLMS LÄN</t>
        </is>
      </c>
      <c r="G162" t="inlineStr">
        <is>
          <t>ÖSTERÅKER</t>
        </is>
      </c>
      <c r="H162" t="inlineStr">
        <is>
          <t>Övriga Aktiebolag</t>
        </is>
      </c>
      <c r="I162" t="n">
        <v>9.5</v>
      </c>
      <c r="J162" t="n">
        <v>3</v>
      </c>
      <c r="K162" t="n">
        <v>3</v>
      </c>
      <c r="L162" t="n">
        <v>1</v>
      </c>
      <c r="M162" t="n">
        <v>0</v>
      </c>
      <c r="N162" t="n">
        <v>0</v>
      </c>
      <c r="O162" t="n">
        <v>0</v>
      </c>
      <c r="P162" t="n">
        <v>0</v>
      </c>
      <c r="Q162" t="n">
        <v>1</v>
      </c>
      <c r="R162" t="n">
        <v>0</v>
      </c>
      <c r="S162" t="n">
        <v>6</v>
      </c>
      <c r="T162" t="n">
        <v>10</v>
      </c>
      <c r="U162" t="n">
        <v>0</v>
      </c>
      <c r="V162" s="2" t="inlineStr">
        <is>
          <t>Fjällig taggsvamp s.str.
Nästlav
Skogsbräsma
Skogsknipprot
Kungsfågel
Äkta lopplummer</t>
        </is>
      </c>
      <c r="W162">
        <f>HYPERLINK("https://klasma.github.io/Logging_0117/artfynd/A 39926-2026 artfynd.xlsx", "A 39926-2026")</f>
        <v/>
      </c>
      <c r="X162">
        <f>HYPERLINK("https://klasma.github.io/Logging_0117/kartor/A 39926-2026 karta.png", "A 39926-2026")</f>
        <v/>
      </c>
      <c r="Y162">
        <f>HYPERLINK("https://klasma.github.io/Logging_0117/kartor_geotiff/A 39926-2026 georefererad karta.tif", "A 39926-2026")</f>
        <v/>
      </c>
      <c r="AA162">
        <f>HYPERLINK("https://klasma.github.io/Logging_0117/klagomål/A 39926-2026 FSC-klagomål.docx", "A 39926-2026")</f>
        <v/>
      </c>
      <c r="AB162">
        <f>HYPERLINK("https://klasma.github.io/Logging_0117/klagomålsmail/A 39926-2026 FSC-klagomål mail.docx", "A 39926-2026")</f>
        <v/>
      </c>
      <c r="AC162">
        <f>HYPERLINK("https://klasma.github.io/Logging_0117/tillsyn/A 39926-2026 tillsynsbegäran.docx", "A 39926-2026")</f>
        <v/>
      </c>
      <c r="AD162">
        <f>HYPERLINK("https://klasma.github.io/Logging_0117/tillsynsmail/A 39926-2026 tillsynsbegäran mail.docx", "A 39926-2026")</f>
        <v/>
      </c>
    </row>
    <row r="163" ht="15" customHeight="1">
      <c r="A163" t="inlineStr">
        <is>
          <t>A 40842-2026</t>
        </is>
      </c>
      <c r="B163" t="inlineStr">
        <is>
          <t>avverkningsanmälan</t>
        </is>
      </c>
      <c r="C163" t="inlineStr">
        <is>
          <t>Föryngringsavverkning</t>
        </is>
      </c>
      <c r="D163" s="1" t="n">
        <v>46296</v>
      </c>
      <c r="E163" s="1" t="n">
        <v>46326</v>
      </c>
      <c r="F163" t="inlineStr">
        <is>
          <t>STOCKHOLMS LÄN</t>
        </is>
      </c>
      <c r="G163" t="inlineStr">
        <is>
          <t>NYKVARN</t>
        </is>
      </c>
      <c r="H163" t="inlineStr">
        <is>
          <t>Sveaskog</t>
        </is>
      </c>
      <c r="I163" t="n">
        <v>1.6</v>
      </c>
      <c r="J163" t="n">
        <v>1</v>
      </c>
      <c r="K163" t="n">
        <v>2</v>
      </c>
      <c r="L163" t="n">
        <v>2</v>
      </c>
      <c r="M163" t="n">
        <v>0</v>
      </c>
      <c r="N163" t="n">
        <v>0</v>
      </c>
      <c r="O163" t="n">
        <v>0</v>
      </c>
      <c r="P163" t="n">
        <v>0</v>
      </c>
      <c r="Q163" t="n">
        <v>2</v>
      </c>
      <c r="R163" t="n">
        <v>0</v>
      </c>
      <c r="S163" t="n">
        <v>6</v>
      </c>
      <c r="T163" t="n">
        <v>7</v>
      </c>
      <c r="U163" t="n">
        <v>0</v>
      </c>
      <c r="V163" s="2" t="inlineStr">
        <is>
          <t>Rynkskinn
Ullticka
Björksplintborre
Vågbandad barkbock
Spillkråka
Timmerticka</t>
        </is>
      </c>
      <c r="W163">
        <f>HYPERLINK("https://klasma.github.io/Logging_0140/artfynd/A 40842-2026 artfynd.xlsx", "A 40842-2026")</f>
        <v/>
      </c>
      <c r="X163">
        <f>HYPERLINK("https://klasma.github.io/Logging_0140/kartor/A 40842-2026 karta.png", "A 40842-2026")</f>
        <v/>
      </c>
      <c r="Y163">
        <f>HYPERLINK("https://klasma.github.io/Logging_0140/kartor_geotiff/A 40842-2026 georefererad karta.tif", "A 40842-2026")</f>
        <v/>
      </c>
      <c r="AA163">
        <f>HYPERLINK("https://klasma.github.io/Logging_0140/klagomål/A 40842-2026 FSC-klagomål.docx", "A 40842-2026")</f>
        <v/>
      </c>
      <c r="AB163">
        <f>HYPERLINK("https://klasma.github.io/Logging_0140/klagomålsmail/A 40842-2026 FSC-klagomål mail.docx", "A 40842-2026")</f>
        <v/>
      </c>
      <c r="AC163">
        <f>HYPERLINK("https://klasma.github.io/Logging_0140/tillsyn/A 40842-2026 tillsynsbegäran.docx", "A 40842-2026")</f>
        <v/>
      </c>
      <c r="AD163">
        <f>HYPERLINK("https://klasma.github.io/Logging_0140/tillsynsmail/A 40842-2026 tillsynsbegäran mail.docx", "A 40842-2026")</f>
        <v/>
      </c>
      <c r="AE163">
        <f>HYPERLINK("https://klasma.github.io/Logging_0140/fåglar/A 40842-2026 prioriterade fågelarter.docx", "A 40842-2026")</f>
        <v/>
      </c>
    </row>
    <row r="164" ht="15" customHeight="1">
      <c r="A164" t="inlineStr">
        <is>
          <t>S 2839-2024</t>
        </is>
      </c>
      <c r="B164" t="inlineStr">
        <is>
          <t>samrådsanmälan</t>
        </is>
      </c>
      <c r="C164" t="inlineStr">
        <is>
          <t>Annan skogsbruksåtgärd</t>
        </is>
      </c>
      <c r="D164" s="1" t="n">
        <v>45492</v>
      </c>
      <c r="E164" s="1" t="n">
        <v>46326</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3063-2024</t>
        </is>
      </c>
      <c r="B165" t="inlineStr">
        <is>
          <t>samrådsanmälan</t>
        </is>
      </c>
      <c r="C165" t="inlineStr">
        <is>
          <t>Annan skogsbruksåtgärd</t>
        </is>
      </c>
      <c r="D165" s="1" t="n">
        <v>45517</v>
      </c>
      <c r="E165" s="1" t="n">
        <v>46326</v>
      </c>
      <c r="F165" t="inlineStr">
        <is>
          <t>STOCKHOLMS LÄN</t>
        </is>
      </c>
      <c r="G165" t="inlineStr">
        <is>
          <t>VALLENTUNA</t>
        </is>
      </c>
      <c r="H165" t="inlineStr">
        <is>
          <t>Övriga Aktiebolag</t>
        </is>
      </c>
      <c r="I165" t="n">
        <v>20.1</v>
      </c>
      <c r="J165" t="n">
        <v>0</v>
      </c>
      <c r="K165" t="n">
        <v>3</v>
      </c>
      <c r="L165" t="n">
        <v>3</v>
      </c>
      <c r="M165" t="n">
        <v>0</v>
      </c>
      <c r="N165" t="n">
        <v>0</v>
      </c>
      <c r="O165" t="n">
        <v>0</v>
      </c>
      <c r="P165" t="n">
        <v>0</v>
      </c>
      <c r="Q165" t="n">
        <v>3</v>
      </c>
      <c r="R165" t="n">
        <v>0</v>
      </c>
      <c r="S165" t="n">
        <v>6</v>
      </c>
      <c r="T165" t="n">
        <v>12</v>
      </c>
      <c r="U165" t="n">
        <v>0</v>
      </c>
      <c r="V165" s="2" t="inlineStr">
        <is>
          <t>Lunglav
Ullticka
Vårärt
Barkticka
Mindre märgborre
Stuplav</t>
        </is>
      </c>
      <c r="W165">
        <f>HYPERLINK("https://klasma.github.io/Logging_0115/artfynd/S 3063-2024 artfynd.xlsx", "S 3063-2024")</f>
        <v/>
      </c>
      <c r="X165">
        <f>HYPERLINK("https://klasma.github.io/Logging_0115/kartor/S 3063-2024 karta.png", "S 3063-2024")</f>
        <v/>
      </c>
      <c r="Y165">
        <f>HYPERLINK("https://klasma.github.io/Logging_0115/kartor_geotiff/S 3063-2024 georefererad karta.tif", "S 3063-2024")</f>
        <v/>
      </c>
      <c r="AA165">
        <f>HYPERLINK("https://klasma.github.io/Logging_0115/klagomål/S 3063-2024 FSC-klagomål.docx", "S 3063-2024")</f>
        <v/>
      </c>
      <c r="AB165">
        <f>HYPERLINK("https://klasma.github.io/Logging_0115/klagomålsmail/S 3063-2024 FSC-klagomål mail.docx", "S 3063-2024")</f>
        <v/>
      </c>
      <c r="AC165">
        <f>HYPERLINK("https://klasma.github.io/Logging_0115/tillsyn/S 3063-2024 tillsynsbegäran.docx", "S 3063-2024")</f>
        <v/>
      </c>
      <c r="AD165">
        <f>HYPERLINK("https://klasma.github.io/Logging_0115/tillsynsmail/S 3063-2024 tillsynsbegäran mail.docx", "S 3063-2024")</f>
        <v/>
      </c>
    </row>
    <row r="166" ht="15" customHeight="1">
      <c r="A166" t="inlineStr">
        <is>
          <t>S 2412-2023</t>
        </is>
      </c>
      <c r="B166" t="inlineStr">
        <is>
          <t>samrådsanmälan</t>
        </is>
      </c>
      <c r="C166" t="inlineStr">
        <is>
          <t>Annan skogsbruksåtgärd</t>
        </is>
      </c>
      <c r="D166" s="1" t="n">
        <v>45112</v>
      </c>
      <c r="E166" s="1" t="n">
        <v>46326</v>
      </c>
      <c r="F166" t="inlineStr">
        <is>
          <t>STOCKHOLMS LÄN</t>
        </is>
      </c>
      <c r="G166" t="inlineStr">
        <is>
          <t>NORRTÄLJE</t>
        </is>
      </c>
      <c r="I166" t="n">
        <v>5.7</v>
      </c>
      <c r="J166" t="n">
        <v>0</v>
      </c>
      <c r="K166" t="n">
        <v>4</v>
      </c>
      <c r="L166" t="n">
        <v>2</v>
      </c>
      <c r="M166" t="n">
        <v>0</v>
      </c>
      <c r="N166" t="n">
        <v>0</v>
      </c>
      <c r="O166" t="n">
        <v>0</v>
      </c>
      <c r="P166" t="n">
        <v>0</v>
      </c>
      <c r="Q166" t="n">
        <v>2</v>
      </c>
      <c r="R166" t="n">
        <v>0</v>
      </c>
      <c r="S166" t="n">
        <v>6</v>
      </c>
      <c r="T166" t="n">
        <v>6</v>
      </c>
      <c r="U166" t="n">
        <v>0</v>
      </c>
      <c r="V166" s="2" t="inlineStr">
        <is>
          <t>Jättespindling
Kungsspindling
Diskvaxskivling
Strimspindling
Svavelriska
Toppvaxing</t>
        </is>
      </c>
      <c r="W166">
        <f>HYPERLINK("https://klasma.github.io/Logging_0188/artfynd/S 2412-2023 artfynd.xlsx", "S 2412-2023")</f>
        <v/>
      </c>
      <c r="X166">
        <f>HYPERLINK("https://klasma.github.io/Logging_0188/kartor/S 2412-2023 karta.png", "S 2412-2023")</f>
        <v/>
      </c>
      <c r="Y166">
        <f>HYPERLINK("https://klasma.github.io/Logging_0188/kartor_geotiff/S 2412-2023 georefererad karta.tif", "S 2412-2023")</f>
        <v/>
      </c>
      <c r="AA166">
        <f>HYPERLINK("https://klasma.github.io/Logging_0188/klagomål/S 2412-2023 FSC-klagomål.docx", "S 2412-2023")</f>
        <v/>
      </c>
      <c r="AB166">
        <f>HYPERLINK("https://klasma.github.io/Logging_0188/klagomålsmail/S 2412-2023 FSC-klagomål mail.docx", "S 2412-2023")</f>
        <v/>
      </c>
      <c r="AC166">
        <f>HYPERLINK("https://klasma.github.io/Logging_0188/tillsyn/S 2412-2023 tillsynsbegäran.docx", "S 2412-2023")</f>
        <v/>
      </c>
      <c r="AD166">
        <f>HYPERLINK("https://klasma.github.io/Logging_0188/tillsynsmail/S 2412-2023 tillsynsbegäran mail.docx", "S 2412-2023")</f>
        <v/>
      </c>
    </row>
    <row r="167" ht="15" customHeight="1">
      <c r="A167" t="inlineStr">
        <is>
          <t>A 22071-2022</t>
        </is>
      </c>
      <c r="B167" t="inlineStr">
        <is>
          <t>avverkningsanmälan</t>
        </is>
      </c>
      <c r="C167" t="inlineStr">
        <is>
          <t>Föryngringsavverkning</t>
        </is>
      </c>
      <c r="D167" s="1" t="n">
        <v>44711</v>
      </c>
      <c r="E167" s="1" t="n">
        <v>46326</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29972-2024</t>
        </is>
      </c>
      <c r="B168" t="inlineStr">
        <is>
          <t>avverkningsanmälan</t>
        </is>
      </c>
      <c r="C168" t="inlineStr">
        <is>
          <t>Föryngringsavverkning</t>
        </is>
      </c>
      <c r="D168" s="1" t="n">
        <v>45485</v>
      </c>
      <c r="E168" s="1" t="n">
        <v>46326</v>
      </c>
      <c r="F168" t="inlineStr">
        <is>
          <t>STOCKHOLMS LÄN</t>
        </is>
      </c>
      <c r="G168" t="inlineStr">
        <is>
          <t>NORRTÄLJE</t>
        </is>
      </c>
      <c r="I168" t="n">
        <v>1.1</v>
      </c>
      <c r="J168" t="n">
        <v>1</v>
      </c>
      <c r="K168" t="n">
        <v>2</v>
      </c>
      <c r="L168" t="n">
        <v>1</v>
      </c>
      <c r="M168" t="n">
        <v>0</v>
      </c>
      <c r="N168" t="n">
        <v>1</v>
      </c>
      <c r="O168" t="n">
        <v>0</v>
      </c>
      <c r="P168" t="n">
        <v>0</v>
      </c>
      <c r="Q168" t="n">
        <v>2</v>
      </c>
      <c r="R168" t="n">
        <v>1</v>
      </c>
      <c r="S168" t="n">
        <v>5</v>
      </c>
      <c r="T168" t="n">
        <v>6</v>
      </c>
      <c r="U168" t="n">
        <v>0</v>
      </c>
      <c r="V168" s="2" t="inlineStr">
        <is>
          <t>Ask
Sårläka
Bronshjon
Granbarkgnagare
Blåsippa</t>
        </is>
      </c>
      <c r="W168">
        <f>HYPERLINK("https://klasma.github.io/Logging_0188/artfynd/A 29972-2024 artfynd.xlsx", "A 29972-2024")</f>
        <v/>
      </c>
      <c r="X168">
        <f>HYPERLINK("https://klasma.github.io/Logging_0188/kartor/A 29972-2024 karta.png", "A 29972-2024")</f>
        <v/>
      </c>
      <c r="Y168">
        <f>HYPERLINK("https://klasma.github.io/Logging_0188/kartor_geotiff/A 29972-2024 georefererad karta.tif", "A 29972-2024")</f>
        <v/>
      </c>
      <c r="AA168">
        <f>HYPERLINK("https://klasma.github.io/Logging_0188/klagomål/A 29972-2024 FSC-klagomål.docx", "A 29972-2024")</f>
        <v/>
      </c>
      <c r="AB168">
        <f>HYPERLINK("https://klasma.github.io/Logging_0188/klagomålsmail/A 29972-2024 FSC-klagomål mail.docx", "A 29972-2024")</f>
        <v/>
      </c>
      <c r="AC168">
        <f>HYPERLINK("https://klasma.github.io/Logging_0188/tillsyn/A 29972-2024 tillsynsbegäran.docx", "A 29972-2024")</f>
        <v/>
      </c>
      <c r="AD168">
        <f>HYPERLINK("https://klasma.github.io/Logging_0188/tillsynsmail/A 29972-2024 tillsynsbegäran mail.docx", "A 29972-2024")</f>
        <v/>
      </c>
    </row>
    <row r="169" ht="15" customHeight="1">
      <c r="A169" t="inlineStr">
        <is>
          <t>A 47707-2023</t>
        </is>
      </c>
      <c r="B169" t="inlineStr">
        <is>
          <t>avverkningsanmälan</t>
        </is>
      </c>
      <c r="C169" t="inlineStr">
        <is>
          <t>Föryngringsavverkning</t>
        </is>
      </c>
      <c r="D169" s="1" t="n">
        <v>45203</v>
      </c>
      <c r="E169" s="1" t="n">
        <v>46326</v>
      </c>
      <c r="F169" t="inlineStr">
        <is>
          <t>STOCKHOLMS LÄN</t>
        </is>
      </c>
      <c r="G169" t="inlineStr">
        <is>
          <t>HANINGE</t>
        </is>
      </c>
      <c r="I169" t="n">
        <v>1.4</v>
      </c>
      <c r="J169" t="n">
        <v>0</v>
      </c>
      <c r="K169" t="n">
        <v>4</v>
      </c>
      <c r="L169" t="n">
        <v>1</v>
      </c>
      <c r="M169" t="n">
        <v>0</v>
      </c>
      <c r="N169" t="n">
        <v>0</v>
      </c>
      <c r="O169" t="n">
        <v>0</v>
      </c>
      <c r="P169" t="n">
        <v>0</v>
      </c>
      <c r="Q169" t="n">
        <v>1</v>
      </c>
      <c r="R169" t="n">
        <v>0</v>
      </c>
      <c r="S169" t="n">
        <v>5</v>
      </c>
      <c r="T169" t="n">
        <v>10</v>
      </c>
      <c r="U169" t="n">
        <v>8</v>
      </c>
      <c r="V169" s="2" t="inlineStr">
        <is>
          <t>Motaggsvamp
Granbarkgnagare
Stubbspretmossa
Större träfjäril
Vågbandad barkbock</t>
        </is>
      </c>
      <c r="W169">
        <f>HYPERLINK("https://klasma.github.io/Logging_0136/artfynd/A 47707-2023 artfynd.xlsx", "A 47707-2023")</f>
        <v/>
      </c>
      <c r="X169">
        <f>HYPERLINK("https://klasma.github.io/Logging_0136/kartor/A 47707-2023 karta.png", "A 47707-2023")</f>
        <v/>
      </c>
      <c r="Y169">
        <f>HYPERLINK("https://klasma.github.io/Logging_0136/kartor_geotiff/A 47707-2023 georefererad karta.tif", "A 47707-2023")</f>
        <v/>
      </c>
      <c r="AA169">
        <f>HYPERLINK("https://klasma.github.io/Logging_0136/klagomål/A 47707-2023 FSC-klagomål.docx", "A 47707-2023")</f>
        <v/>
      </c>
      <c r="AB169">
        <f>HYPERLINK("https://klasma.github.io/Logging_0136/klagomålsmail/A 47707-2023 FSC-klagomål mail.docx", "A 47707-2023")</f>
        <v/>
      </c>
      <c r="AC169">
        <f>HYPERLINK("https://klasma.github.io/Logging_0136/tillsyn/A 47707-2023 tillsynsbegäran.docx", "A 47707-2023")</f>
        <v/>
      </c>
      <c r="AD169">
        <f>HYPERLINK("https://klasma.github.io/Logging_0136/tillsynsmail/A 47707-2023 tillsynsbegäran mail.docx", "A 47707-2023")</f>
        <v/>
      </c>
    </row>
    <row r="170" ht="15" customHeight="1">
      <c r="A170" t="inlineStr">
        <is>
          <t>A 27971-2022</t>
        </is>
      </c>
      <c r="B170" t="inlineStr">
        <is>
          <t>avverkningsanmälan</t>
        </is>
      </c>
      <c r="C170" t="inlineStr">
        <is>
          <t>Föryngringsavverkning</t>
        </is>
      </c>
      <c r="D170" s="1" t="n">
        <v>44744</v>
      </c>
      <c r="E170" s="1" t="n">
        <v>46326</v>
      </c>
      <c r="F170" t="inlineStr">
        <is>
          <t>STOCKHOLMS LÄN</t>
        </is>
      </c>
      <c r="G170" t="inlineStr">
        <is>
          <t>SÖDERTÄLJE</t>
        </is>
      </c>
      <c r="I170" t="n">
        <v>1.4</v>
      </c>
      <c r="J170" t="n">
        <v>0</v>
      </c>
      <c r="K170" t="n">
        <v>2</v>
      </c>
      <c r="L170" t="n">
        <v>3</v>
      </c>
      <c r="M170" t="n">
        <v>0</v>
      </c>
      <c r="N170" t="n">
        <v>0</v>
      </c>
      <c r="O170" t="n">
        <v>0</v>
      </c>
      <c r="P170" t="n">
        <v>0</v>
      </c>
      <c r="Q170" t="n">
        <v>3</v>
      </c>
      <c r="R170" t="n">
        <v>0</v>
      </c>
      <c r="S170" t="n">
        <v>5</v>
      </c>
      <c r="T170" t="n">
        <v>8</v>
      </c>
      <c r="U170" t="n">
        <v>8</v>
      </c>
      <c r="V170" s="2" t="inlineStr">
        <is>
          <t>Dropptaggsvamp
Svartvit taggsvamp
Tallticka
Blåmossa
Grovticka</t>
        </is>
      </c>
      <c r="W170">
        <f>HYPERLINK("https://klasma.github.io/Logging_0181/artfynd/A 27971-2022 artfynd.xlsx", "A 27971-2022")</f>
        <v/>
      </c>
      <c r="X170">
        <f>HYPERLINK("https://klasma.github.io/Logging_0181/kartor/A 27971-2022 karta.png", "A 27971-2022")</f>
        <v/>
      </c>
      <c r="Y170">
        <f>HYPERLINK("https://klasma.github.io/Logging_0181/kartor_geotiff/A 27971-2022 georefererad karta.tif", "A 27971-2022")</f>
        <v/>
      </c>
      <c r="AA170">
        <f>HYPERLINK("https://klasma.github.io/Logging_0181/klagomål/A 27971-2022 FSC-klagomål.docx", "A 27971-2022")</f>
        <v/>
      </c>
      <c r="AB170">
        <f>HYPERLINK("https://klasma.github.io/Logging_0181/klagomålsmail/A 27971-2022 FSC-klagomål mail.docx", "A 27971-2022")</f>
        <v/>
      </c>
      <c r="AC170">
        <f>HYPERLINK("https://klasma.github.io/Logging_0181/tillsyn/A 27971-2022 tillsynsbegäran.docx", "A 27971-2022")</f>
        <v/>
      </c>
      <c r="AD170">
        <f>HYPERLINK("https://klasma.github.io/Logging_0181/tillsynsmail/A 27971-2022 tillsynsbegäran mail.docx", "A 27971-2022")</f>
        <v/>
      </c>
    </row>
    <row r="171" ht="15" customHeight="1">
      <c r="A171" t="inlineStr">
        <is>
          <t>A 8300-2024</t>
        </is>
      </c>
      <c r="B171" t="inlineStr">
        <is>
          <t>avverkningsanmälan</t>
        </is>
      </c>
      <c r="C171" t="inlineStr">
        <is>
          <t>Avverkning för annat ändamål</t>
        </is>
      </c>
      <c r="D171" s="1" t="n">
        <v>45352</v>
      </c>
      <c r="E171" s="1" t="n">
        <v>46326</v>
      </c>
      <c r="F171" t="inlineStr">
        <is>
          <t>STOCKHOLMS LÄN</t>
        </is>
      </c>
      <c r="G171" t="inlineStr">
        <is>
          <t>SALEM</t>
        </is>
      </c>
      <c r="H171" t="inlineStr">
        <is>
          <t>Kommuner</t>
        </is>
      </c>
      <c r="I171" t="n">
        <v>3.4</v>
      </c>
      <c r="J171" t="n">
        <v>2</v>
      </c>
      <c r="K171" t="n">
        <v>1</v>
      </c>
      <c r="L171" t="n">
        <v>1</v>
      </c>
      <c r="M171" t="n">
        <v>1</v>
      </c>
      <c r="N171" t="n">
        <v>0</v>
      </c>
      <c r="O171" t="n">
        <v>0</v>
      </c>
      <c r="P171" t="n">
        <v>0</v>
      </c>
      <c r="Q171" t="n">
        <v>2</v>
      </c>
      <c r="R171" t="n">
        <v>1</v>
      </c>
      <c r="S171" t="n">
        <v>5</v>
      </c>
      <c r="T171" t="n">
        <v>5</v>
      </c>
      <c r="U171" t="n">
        <v>5</v>
      </c>
      <c r="V171" s="2" t="inlineStr">
        <is>
          <t>Gul taggsvamp
Dropptaggsvamp
Grovticka
Spillkråka
Kungsfågel</t>
        </is>
      </c>
      <c r="W171">
        <f>HYPERLINK("https://klasma.github.io/Logging_0128/artfynd/A 8300-2024 artfynd.xlsx", "A 8300-2024")</f>
        <v/>
      </c>
      <c r="X171">
        <f>HYPERLINK("https://klasma.github.io/Logging_0128/kartor/A 8300-2024 karta.png", "A 8300-2024")</f>
        <v/>
      </c>
      <c r="Y171">
        <f>HYPERLINK("https://klasma.github.io/Logging_0128/kartor_geotiff/A 8300-2024 georefererad karta.tif", "A 8300-2024")</f>
        <v/>
      </c>
      <c r="AA171">
        <f>HYPERLINK("https://klasma.github.io/Logging_0128/klagomål/A 8300-2024 FSC-klagomål.docx", "A 8300-2024")</f>
        <v/>
      </c>
      <c r="AB171">
        <f>HYPERLINK("https://klasma.github.io/Logging_0128/klagomålsmail/A 8300-2024 FSC-klagomål mail.docx", "A 8300-2024")</f>
        <v/>
      </c>
      <c r="AC171">
        <f>HYPERLINK("https://klasma.github.io/Logging_0128/tillsyn/A 8300-2024 tillsynsbegäran.docx", "A 8300-2024")</f>
        <v/>
      </c>
      <c r="AD171">
        <f>HYPERLINK("https://klasma.github.io/Logging_0128/tillsynsmail/A 8300-2024 tillsynsbegäran mail.docx", "A 8300-2024")</f>
        <v/>
      </c>
      <c r="AE171">
        <f>HYPERLINK("https://klasma.github.io/Logging_0128/fåglar/A 8300-2024 prioriterade fågelarter.docx", "A 8300-2024")</f>
        <v/>
      </c>
    </row>
    <row r="172" ht="15" customHeight="1">
      <c r="A172" t="inlineStr">
        <is>
          <t>A 64357-2023</t>
        </is>
      </c>
      <c r="B172" t="inlineStr">
        <is>
          <t>avverkningsanmälan</t>
        </is>
      </c>
      <c r="C172" t="inlineStr">
        <is>
          <t>Avverkning för annat ändamål</t>
        </is>
      </c>
      <c r="D172" s="1" t="n">
        <v>45280</v>
      </c>
      <c r="E172" s="1" t="n">
        <v>46326</v>
      </c>
      <c r="F172" t="inlineStr">
        <is>
          <t>STOCKHOLMS LÄN</t>
        </is>
      </c>
      <c r="G172" t="inlineStr">
        <is>
          <t>SIGTUNA</t>
        </is>
      </c>
      <c r="H172" t="inlineStr">
        <is>
          <t>Allmännings- och besparingsskogar</t>
        </is>
      </c>
      <c r="I172" t="n">
        <v>6.7</v>
      </c>
      <c r="J172" t="n">
        <v>5</v>
      </c>
      <c r="K172" t="n">
        <v>0</v>
      </c>
      <c r="L172" t="n">
        <v>1</v>
      </c>
      <c r="M172" t="n">
        <v>1</v>
      </c>
      <c r="N172" t="n">
        <v>0</v>
      </c>
      <c r="O172" t="n">
        <v>0</v>
      </c>
      <c r="P172" t="n">
        <v>0</v>
      </c>
      <c r="Q172" t="n">
        <v>2</v>
      </c>
      <c r="R172" t="n">
        <v>1</v>
      </c>
      <c r="S172" t="n">
        <v>5</v>
      </c>
      <c r="T172" t="n">
        <v>7</v>
      </c>
      <c r="U172" t="n">
        <v>7</v>
      </c>
      <c r="V172" s="2" t="inlineStr">
        <is>
          <t>Grönfink
Gulsparv
Grönsiska
Pudrad kärrtrollslända
Skogsduva</t>
        </is>
      </c>
      <c r="W172">
        <f>HYPERLINK("https://klasma.github.io/Logging_0191/artfynd/A 64357-2023 artfynd.xlsx", "A 64357-2023")</f>
        <v/>
      </c>
      <c r="X172">
        <f>HYPERLINK("https://klasma.github.io/Logging_0191/kartor/A 64357-2023 karta.png", "A 64357-2023")</f>
        <v/>
      </c>
      <c r="Y172">
        <f>HYPERLINK("https://klasma.github.io/Logging_0191/kartor_geotiff/A 64357-2023 georefererad karta.tif", "A 64357-2023")</f>
        <v/>
      </c>
      <c r="AA172">
        <f>HYPERLINK("https://klasma.github.io/Logging_0191/klagomål/A 64357-2023 FSC-klagomål.docx", "A 64357-2023")</f>
        <v/>
      </c>
      <c r="AB172">
        <f>HYPERLINK("https://klasma.github.io/Logging_0191/klagomålsmail/A 64357-2023 FSC-klagomål mail.docx", "A 64357-2023")</f>
        <v/>
      </c>
      <c r="AC172">
        <f>HYPERLINK("https://klasma.github.io/Logging_0191/tillsyn/A 64357-2023 tillsynsbegäran.docx", "A 64357-2023")</f>
        <v/>
      </c>
      <c r="AD172">
        <f>HYPERLINK("https://klasma.github.io/Logging_0191/tillsynsmail/A 64357-2023 tillsynsbegäran mail.docx", "A 64357-2023")</f>
        <v/>
      </c>
      <c r="AE172">
        <f>HYPERLINK("https://klasma.github.io/Logging_0191/fåglar/A 64357-2023 prioriterade fågelarter.docx", "A 64357-2023")</f>
        <v/>
      </c>
    </row>
    <row r="173" ht="15" customHeight="1">
      <c r="A173" t="inlineStr">
        <is>
          <t>A 38591-2023</t>
        </is>
      </c>
      <c r="B173" t="inlineStr">
        <is>
          <t>avverkningsanmälan</t>
        </is>
      </c>
      <c r="C173" t="inlineStr">
        <is>
          <t>Avverkning för annat ändamål</t>
        </is>
      </c>
      <c r="D173" s="1" t="n">
        <v>45162</v>
      </c>
      <c r="E173" s="1" t="n">
        <v>46326</v>
      </c>
      <c r="F173" t="inlineStr">
        <is>
          <t>STOCKHOLMS LÄN</t>
        </is>
      </c>
      <c r="G173" t="inlineStr">
        <is>
          <t>NORRTÄLJE</t>
        </is>
      </c>
      <c r="H173" t="inlineStr">
        <is>
          <t>Övriga Aktiebolag</t>
        </is>
      </c>
      <c r="I173" t="n">
        <v>3.1</v>
      </c>
      <c r="J173" t="n">
        <v>2</v>
      </c>
      <c r="K173" t="n">
        <v>0</v>
      </c>
      <c r="L173" t="n">
        <v>2</v>
      </c>
      <c r="M173" t="n">
        <v>1</v>
      </c>
      <c r="N173" t="n">
        <v>1</v>
      </c>
      <c r="O173" t="n">
        <v>0</v>
      </c>
      <c r="P173" t="n">
        <v>0</v>
      </c>
      <c r="Q173" t="n">
        <v>4</v>
      </c>
      <c r="R173" t="n">
        <v>2</v>
      </c>
      <c r="S173" t="n">
        <v>5</v>
      </c>
      <c r="T173" t="n">
        <v>5</v>
      </c>
      <c r="U173" t="n">
        <v>0</v>
      </c>
      <c r="V173" s="2" t="inlineStr">
        <is>
          <t>Brun mårfältmätare
Porfyrljusmott
Brunflammig fältmätare
Sädesärla
Trädlärka</t>
        </is>
      </c>
      <c r="W173">
        <f>HYPERLINK("https://klasma.github.io/Logging_0188/artfynd/A 38591-2023 artfynd.xlsx", "A 38591-2023")</f>
        <v/>
      </c>
      <c r="X173">
        <f>HYPERLINK("https://klasma.github.io/Logging_0188/kartor/A 38591-2023 karta.png", "A 38591-2023")</f>
        <v/>
      </c>
      <c r="Y173">
        <f>HYPERLINK("https://klasma.github.io/Logging_0188/kartor_geotiff/A 38591-2023 georefererad karta.tif", "A 38591-2023")</f>
        <v/>
      </c>
      <c r="AA173">
        <f>HYPERLINK("https://klasma.github.io/Logging_0188/klagomål/A 38591-2023 FSC-klagomål.docx", "A 38591-2023")</f>
        <v/>
      </c>
      <c r="AB173">
        <f>HYPERLINK("https://klasma.github.io/Logging_0188/klagomålsmail/A 38591-2023 FSC-klagomål mail.docx", "A 38591-2023")</f>
        <v/>
      </c>
      <c r="AC173">
        <f>HYPERLINK("https://klasma.github.io/Logging_0188/tillsyn/A 38591-2023 tillsynsbegäran.docx", "A 38591-2023")</f>
        <v/>
      </c>
      <c r="AD173">
        <f>HYPERLINK("https://klasma.github.io/Logging_0188/tillsynsmail/A 38591-2023 tillsynsbegäran mail.docx", "A 38591-2023")</f>
        <v/>
      </c>
      <c r="AE173">
        <f>HYPERLINK("https://klasma.github.io/Logging_0188/fåglar/A 38591-2023 prioriterade fågelarter.docx", "A 38591-2023")</f>
        <v/>
      </c>
    </row>
    <row r="174" ht="15" customHeight="1">
      <c r="A174" t="inlineStr">
        <is>
          <t>A 4438-2023</t>
        </is>
      </c>
      <c r="B174" t="inlineStr">
        <is>
          <t>avverkningsanmälan</t>
        </is>
      </c>
      <c r="C174" t="inlineStr">
        <is>
          <t>Föryngringsavverkning</t>
        </is>
      </c>
      <c r="D174" s="1" t="n">
        <v>44956</v>
      </c>
      <c r="E174" s="1" t="n">
        <v>46326</v>
      </c>
      <c r="F174" t="inlineStr">
        <is>
          <t>STOCKHOLMS LÄN</t>
        </is>
      </c>
      <c r="G174" t="inlineStr">
        <is>
          <t>NORRTÄLJE</t>
        </is>
      </c>
      <c r="I174" t="n">
        <v>9.199999999999999</v>
      </c>
      <c r="J174" t="n">
        <v>2</v>
      </c>
      <c r="K174" t="n">
        <v>0</v>
      </c>
      <c r="L174" t="n">
        <v>1</v>
      </c>
      <c r="M174" t="n">
        <v>0</v>
      </c>
      <c r="N174" t="n">
        <v>2</v>
      </c>
      <c r="O174" t="n">
        <v>0</v>
      </c>
      <c r="P174" t="n">
        <v>0</v>
      </c>
      <c r="Q174" t="n">
        <v>3</v>
      </c>
      <c r="R174" t="n">
        <v>2</v>
      </c>
      <c r="S174" t="n">
        <v>5</v>
      </c>
      <c r="T174" t="n">
        <v>8</v>
      </c>
      <c r="U174" t="n">
        <v>0</v>
      </c>
      <c r="V174" s="2" t="inlineStr">
        <is>
          <t>Ask
Skogsalm
Jungfrulin
Blåsippa
Spillkråka</t>
        </is>
      </c>
      <c r="W174">
        <f>HYPERLINK("https://klasma.github.io/Logging_0188/artfynd/A 4438-2023 artfynd.xlsx", "A 4438-2023")</f>
        <v/>
      </c>
      <c r="X174">
        <f>HYPERLINK("https://klasma.github.io/Logging_0188/kartor/A 4438-2023 karta.png", "A 4438-2023")</f>
        <v/>
      </c>
      <c r="Y174">
        <f>HYPERLINK("https://klasma.github.io/Logging_0188/kartor_geotiff/A 4438-2023 georefererad karta.tif", "A 4438-2023")</f>
        <v/>
      </c>
      <c r="AA174">
        <f>HYPERLINK("https://klasma.github.io/Logging_0188/klagomål/A 4438-2023 FSC-klagomål.docx", "A 4438-2023")</f>
        <v/>
      </c>
      <c r="AB174">
        <f>HYPERLINK("https://klasma.github.io/Logging_0188/klagomålsmail/A 4438-2023 FSC-klagomål mail.docx", "A 4438-2023")</f>
        <v/>
      </c>
      <c r="AC174">
        <f>HYPERLINK("https://klasma.github.io/Logging_0188/tillsyn/A 4438-2023 tillsynsbegäran.docx", "A 4438-2023")</f>
        <v/>
      </c>
      <c r="AD174">
        <f>HYPERLINK("https://klasma.github.io/Logging_0188/tillsynsmail/A 4438-2023 tillsynsbegäran mail.docx", "A 4438-2023")</f>
        <v/>
      </c>
      <c r="AE174">
        <f>HYPERLINK("https://klasma.github.io/Logging_0188/fåglar/A 4438-2023 prioriterade fågelarter.docx", "A 4438-2023")</f>
        <v/>
      </c>
    </row>
    <row r="175" ht="15" customHeight="1">
      <c r="A175" t="inlineStr">
        <is>
          <t>A 48341-2025</t>
        </is>
      </c>
      <c r="B175" t="inlineStr">
        <is>
          <t>avverkningsanmälan</t>
        </is>
      </c>
      <c r="C175" t="inlineStr">
        <is>
          <t>Föryngringsavverkning</t>
        </is>
      </c>
      <c r="D175" s="1" t="n">
        <v>45933</v>
      </c>
      <c r="E175" s="1" t="n">
        <v>46326</v>
      </c>
      <c r="F175" t="inlineStr">
        <is>
          <t>STOCKHOLMS LÄN</t>
        </is>
      </c>
      <c r="G175" t="inlineStr">
        <is>
          <t>SÖDERTÄLJE</t>
        </is>
      </c>
      <c r="H175" t="inlineStr">
        <is>
          <t>Övriga statliga verk och myndigheter</t>
        </is>
      </c>
      <c r="I175" t="n">
        <v>1</v>
      </c>
      <c r="J175" t="n">
        <v>2</v>
      </c>
      <c r="K175" t="n">
        <v>1</v>
      </c>
      <c r="L175" t="n">
        <v>1</v>
      </c>
      <c r="M175" t="n">
        <v>1</v>
      </c>
      <c r="N175" t="n">
        <v>1</v>
      </c>
      <c r="O175" t="n">
        <v>0</v>
      </c>
      <c r="P175" t="n">
        <v>0</v>
      </c>
      <c r="Q175" t="n">
        <v>3</v>
      </c>
      <c r="R175" t="n">
        <v>2</v>
      </c>
      <c r="S175" t="n">
        <v>5</v>
      </c>
      <c r="T175" t="n">
        <v>12</v>
      </c>
      <c r="U175" t="n">
        <v>1</v>
      </c>
      <c r="V175" s="2" t="inlineStr">
        <is>
          <t>Stor bockrot
Knärot
Svartöra
Platt fjädermossa
Gullviva</t>
        </is>
      </c>
      <c r="W175">
        <f>HYPERLINK("https://klasma.github.io/Logging_0181/artfynd/A 48341-2025 artfynd.xlsx", "A 48341-2025")</f>
        <v/>
      </c>
      <c r="X175">
        <f>HYPERLINK("https://klasma.github.io/Logging_0181/kartor/A 48341-2025 karta.png", "A 48341-2025")</f>
        <v/>
      </c>
      <c r="Y175">
        <f>HYPERLINK("https://klasma.github.io/Logging_0181/kartor_geotiff/A 48341-2025 georefererad karta.tif", "A 48341-2025")</f>
        <v/>
      </c>
      <c r="Z175">
        <f>HYPERLINK("https://klasma.github.io/Logging_0181/knärot/A 48341-2025 karta knärot.png", "A 48341-2025")</f>
        <v/>
      </c>
      <c r="AA175">
        <f>HYPERLINK("https://klasma.github.io/Logging_0181/klagomål/A 48341-2025 FSC-klagomål.docx", "A 48341-2025")</f>
        <v/>
      </c>
      <c r="AB175">
        <f>HYPERLINK("https://klasma.github.io/Logging_0181/klagomålsmail/A 48341-2025 FSC-klagomål mail.docx", "A 48341-2025")</f>
        <v/>
      </c>
      <c r="AC175">
        <f>HYPERLINK("https://klasma.github.io/Logging_0181/tillsyn/A 48341-2025 tillsynsbegäran.docx", "A 48341-2025")</f>
        <v/>
      </c>
      <c r="AD175">
        <f>HYPERLINK("https://klasma.github.io/Logging_0181/tillsynsmail/A 48341-2025 tillsynsbegäran mail.docx", "A 48341-2025")</f>
        <v/>
      </c>
    </row>
    <row r="176" ht="15" customHeight="1">
      <c r="A176" t="inlineStr">
        <is>
          <t>A 46071-2024</t>
        </is>
      </c>
      <c r="B176" t="inlineStr">
        <is>
          <t>avverkningsanmälan</t>
        </is>
      </c>
      <c r="C176" t="inlineStr">
        <is>
          <t>Föryngringsavverkning</t>
        </is>
      </c>
      <c r="D176" s="1" t="n">
        <v>45581</v>
      </c>
      <c r="E176" s="1" t="n">
        <v>46326</v>
      </c>
      <c r="F176" t="inlineStr">
        <is>
          <t>STOCKHOLMS LÄN</t>
        </is>
      </c>
      <c r="G176" t="inlineStr">
        <is>
          <t>NORRTÄLJE</t>
        </is>
      </c>
      <c r="I176" t="n">
        <v>2.3</v>
      </c>
      <c r="J176" t="n">
        <v>5</v>
      </c>
      <c r="K176" t="n">
        <v>0</v>
      </c>
      <c r="L176" t="n">
        <v>3</v>
      </c>
      <c r="M176" t="n">
        <v>0</v>
      </c>
      <c r="N176" t="n">
        <v>0</v>
      </c>
      <c r="O176" t="n">
        <v>0</v>
      </c>
      <c r="P176" t="n">
        <v>0</v>
      </c>
      <c r="Q176" t="n">
        <v>3</v>
      </c>
      <c r="R176" t="n">
        <v>0</v>
      </c>
      <c r="S176" t="n">
        <v>5</v>
      </c>
      <c r="T176" t="n">
        <v>5</v>
      </c>
      <c r="U176" t="n">
        <v>5</v>
      </c>
      <c r="V176" s="2" t="inlineStr">
        <is>
          <t>Gulsparv
Rödvingetrast
Talltita
Havsörn
Trana</t>
        </is>
      </c>
      <c r="W176">
        <f>HYPERLINK("https://klasma.github.io/Logging_0188/artfynd/A 46071-2024 artfynd.xlsx", "A 46071-2024")</f>
        <v/>
      </c>
      <c r="X176">
        <f>HYPERLINK("https://klasma.github.io/Logging_0188/kartor/A 46071-2024 karta.png", "A 46071-2024")</f>
        <v/>
      </c>
      <c r="Y176">
        <f>HYPERLINK("https://klasma.github.io/Logging_0188/kartor_geotiff/A 46071-2024 georefererad karta.tif", "A 46071-2024")</f>
        <v/>
      </c>
      <c r="AA176">
        <f>HYPERLINK("https://klasma.github.io/Logging_0188/klagomål/A 46071-2024 FSC-klagomål.docx", "A 46071-2024")</f>
        <v/>
      </c>
      <c r="AB176">
        <f>HYPERLINK("https://klasma.github.io/Logging_0188/klagomålsmail/A 46071-2024 FSC-klagomål mail.docx", "A 46071-2024")</f>
        <v/>
      </c>
      <c r="AC176">
        <f>HYPERLINK("https://klasma.github.io/Logging_0188/tillsyn/A 46071-2024 tillsynsbegäran.docx", "A 46071-2024")</f>
        <v/>
      </c>
      <c r="AD176">
        <f>HYPERLINK("https://klasma.github.io/Logging_0188/tillsynsmail/A 46071-2024 tillsynsbegäran mail.docx", "A 46071-2024")</f>
        <v/>
      </c>
      <c r="AE176">
        <f>HYPERLINK("https://klasma.github.io/Logging_0188/fåglar/A 46071-2024 prioriterade fågelarter.docx", "A 46071-2024")</f>
        <v/>
      </c>
    </row>
    <row r="177" ht="15" customHeight="1">
      <c r="A177" t="inlineStr">
        <is>
          <t>A 26703-2025</t>
        </is>
      </c>
      <c r="B177" t="inlineStr">
        <is>
          <t>avverkningsanmälan</t>
        </is>
      </c>
      <c r="C177" t="inlineStr">
        <is>
          <t>Föryngringsavverkning</t>
        </is>
      </c>
      <c r="D177" s="1" t="n">
        <v>45810</v>
      </c>
      <c r="E177" s="1" t="n">
        <v>46326</v>
      </c>
      <c r="F177" t="inlineStr">
        <is>
          <t>STOCKHOLMS LÄN</t>
        </is>
      </c>
      <c r="G177" t="inlineStr">
        <is>
          <t>NORRTÄLJE</t>
        </is>
      </c>
      <c r="I177" t="n">
        <v>1.8</v>
      </c>
      <c r="J177" t="n">
        <v>1</v>
      </c>
      <c r="K177" t="n">
        <v>1</v>
      </c>
      <c r="L177" t="n">
        <v>1</v>
      </c>
      <c r="M177" t="n">
        <v>2</v>
      </c>
      <c r="N177" t="n">
        <v>0</v>
      </c>
      <c r="O177" t="n">
        <v>0</v>
      </c>
      <c r="P177" t="n">
        <v>0</v>
      </c>
      <c r="Q177" t="n">
        <v>3</v>
      </c>
      <c r="R177" t="n">
        <v>2</v>
      </c>
      <c r="S177" t="n">
        <v>5</v>
      </c>
      <c r="T177" t="n">
        <v>6</v>
      </c>
      <c r="U177" t="n">
        <v>0</v>
      </c>
      <c r="V177" s="2" t="inlineStr">
        <is>
          <t>Aspgelélav
Grangråticka
Fjällig taggsvamp s.str.
Svavelriska
Blåsippa</t>
        </is>
      </c>
      <c r="W177">
        <f>HYPERLINK("https://klasma.github.io/Logging_0188/artfynd/A 26703-2025 artfynd.xlsx", "A 26703-2025")</f>
        <v/>
      </c>
      <c r="X177">
        <f>HYPERLINK("https://klasma.github.io/Logging_0188/kartor/A 26703-2025 karta.png", "A 26703-2025")</f>
        <v/>
      </c>
      <c r="Y177">
        <f>HYPERLINK("https://klasma.github.io/Logging_0188/kartor_geotiff/A 26703-2025 georefererad karta.tif", "A 26703-2025")</f>
        <v/>
      </c>
      <c r="AA177">
        <f>HYPERLINK("https://klasma.github.io/Logging_0188/klagomål/A 26703-2025 FSC-klagomål.docx", "A 26703-2025")</f>
        <v/>
      </c>
      <c r="AB177">
        <f>HYPERLINK("https://klasma.github.io/Logging_0188/klagomålsmail/A 26703-2025 FSC-klagomål mail.docx", "A 26703-2025")</f>
        <v/>
      </c>
      <c r="AC177">
        <f>HYPERLINK("https://klasma.github.io/Logging_0188/tillsyn/A 26703-2025 tillsynsbegäran.docx", "A 26703-2025")</f>
        <v/>
      </c>
      <c r="AD177">
        <f>HYPERLINK("https://klasma.github.io/Logging_0188/tillsynsmail/A 26703-2025 tillsynsbegäran mail.docx", "A 26703-2025")</f>
        <v/>
      </c>
    </row>
    <row r="178" ht="15" customHeight="1">
      <c r="A178" t="inlineStr">
        <is>
          <t>A 652-2025</t>
        </is>
      </c>
      <c r="B178" t="inlineStr">
        <is>
          <t>avverkningsanmälan</t>
        </is>
      </c>
      <c r="C178" t="inlineStr">
        <is>
          <t>Avverkning för annat ändamål</t>
        </is>
      </c>
      <c r="D178" s="1" t="n">
        <v>45664</v>
      </c>
      <c r="E178" s="1" t="n">
        <v>46326</v>
      </c>
      <c r="F178" t="inlineStr">
        <is>
          <t>STOCKHOLMS LÄN</t>
        </is>
      </c>
      <c r="G178" t="inlineStr">
        <is>
          <t>NORRTÄLJE</t>
        </is>
      </c>
      <c r="I178" t="n">
        <v>2.5</v>
      </c>
      <c r="J178" t="n">
        <v>5</v>
      </c>
      <c r="K178" t="n">
        <v>0</v>
      </c>
      <c r="L178" t="n">
        <v>2</v>
      </c>
      <c r="M178" t="n">
        <v>0</v>
      </c>
      <c r="N178" t="n">
        <v>0</v>
      </c>
      <c r="O178" t="n">
        <v>0</v>
      </c>
      <c r="P178" t="n">
        <v>0</v>
      </c>
      <c r="Q178" t="n">
        <v>2</v>
      </c>
      <c r="R178" t="n">
        <v>0</v>
      </c>
      <c r="S178" t="n">
        <v>5</v>
      </c>
      <c r="T178" t="n">
        <v>5</v>
      </c>
      <c r="U178" t="n">
        <v>0</v>
      </c>
      <c r="V178" s="2" t="inlineStr">
        <is>
          <t>Fransfladdermus
Nordfladdermus
Dvärgpipistrell
Större brunfladdermus
Vattenfladdermus</t>
        </is>
      </c>
      <c r="W178">
        <f>HYPERLINK("https://klasma.github.io/Logging_0188/artfynd/A 652-2025 artfynd.xlsx", "A 652-2025")</f>
        <v/>
      </c>
      <c r="X178">
        <f>HYPERLINK("https://klasma.github.io/Logging_0188/kartor/A 652-2025 karta.png", "A 652-2025")</f>
        <v/>
      </c>
      <c r="Y178">
        <f>HYPERLINK("https://klasma.github.io/Logging_0188/kartor_geotiff/A 652-2025 georefererad karta.tif", "A 652-2025")</f>
        <v/>
      </c>
      <c r="AA178">
        <f>HYPERLINK("https://klasma.github.io/Logging_0188/klagomål/A 652-2025 FSC-klagomål.docx", "A 652-2025")</f>
        <v/>
      </c>
      <c r="AB178">
        <f>HYPERLINK("https://klasma.github.io/Logging_0188/klagomålsmail/A 652-2025 FSC-klagomål mail.docx", "A 652-2025")</f>
        <v/>
      </c>
      <c r="AC178">
        <f>HYPERLINK("https://klasma.github.io/Logging_0188/tillsyn/A 652-2025 tillsynsbegäran.docx", "A 652-2025")</f>
        <v/>
      </c>
      <c r="AD178">
        <f>HYPERLINK("https://klasma.github.io/Logging_0188/tillsynsmail/A 652-2025 tillsynsbegäran mail.docx", "A 652-2025")</f>
        <v/>
      </c>
    </row>
    <row r="179" ht="15" customHeight="1">
      <c r="A179" t="inlineStr">
        <is>
          <t>A 3218-2022</t>
        </is>
      </c>
      <c r="B179" t="inlineStr">
        <is>
          <t>avverkningsanmälan</t>
        </is>
      </c>
      <c r="C179" t="inlineStr">
        <is>
          <t>Föryngringsavverkning</t>
        </is>
      </c>
      <c r="D179" s="1" t="n">
        <v>44582</v>
      </c>
      <c r="E179" s="1" t="n">
        <v>46326</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17520-2026</t>
        </is>
      </c>
      <c r="B180" t="inlineStr">
        <is>
          <t>avverkningsanmälan</t>
        </is>
      </c>
      <c r="C180" t="inlineStr">
        <is>
          <t>Föryngringsavverkning</t>
        </is>
      </c>
      <c r="D180" s="1" t="n">
        <v>46119</v>
      </c>
      <c r="E180" s="1" t="n">
        <v>46326</v>
      </c>
      <c r="F180" t="inlineStr">
        <is>
          <t>STOCKHOLMS LÄN</t>
        </is>
      </c>
      <c r="G180" t="inlineStr">
        <is>
          <t>EKERÖ</t>
        </is>
      </c>
      <c r="H180" t="inlineStr">
        <is>
          <t>Övriga statliga verk och myndigheter</t>
        </is>
      </c>
      <c r="I180" t="n">
        <v>2.2</v>
      </c>
      <c r="J180" t="n">
        <v>1</v>
      </c>
      <c r="K180" t="n">
        <v>1</v>
      </c>
      <c r="L180" t="n">
        <v>3</v>
      </c>
      <c r="M180" t="n">
        <v>1</v>
      </c>
      <c r="N180" t="n">
        <v>0</v>
      </c>
      <c r="O180" t="n">
        <v>0</v>
      </c>
      <c r="P180" t="n">
        <v>0</v>
      </c>
      <c r="Q180" t="n">
        <v>4</v>
      </c>
      <c r="R180" t="n">
        <v>1</v>
      </c>
      <c r="S180" t="n">
        <v>5</v>
      </c>
      <c r="T180" t="n">
        <v>5</v>
      </c>
      <c r="U180" t="n">
        <v>1</v>
      </c>
      <c r="V180" s="2" t="inlineStr">
        <is>
          <t>Läderbagge
Blekticka
Ekticka
Kandelabersvamp
Gulgrön kantmusseron</t>
        </is>
      </c>
      <c r="W180">
        <f>HYPERLINK("https://klasma.github.io/Logging_0125/artfynd/A 17520-2026 artfynd.xlsx", "A 17520-2026")</f>
        <v/>
      </c>
      <c r="X180">
        <f>HYPERLINK("https://klasma.github.io/Logging_0125/kartor/A 17520-2026 karta.png", "A 17520-2026")</f>
        <v/>
      </c>
      <c r="Y180">
        <f>HYPERLINK("https://klasma.github.io/Logging_0125/kartor_geotiff/A 17520-2026 georefererad karta.tif", "A 17520-2026")</f>
        <v/>
      </c>
      <c r="AA180">
        <f>HYPERLINK("https://klasma.github.io/Logging_0125/klagomål/A 17520-2026 FSC-klagomål.docx", "A 17520-2026")</f>
        <v/>
      </c>
      <c r="AB180">
        <f>HYPERLINK("https://klasma.github.io/Logging_0125/klagomålsmail/A 17520-2026 FSC-klagomål mail.docx", "A 17520-2026")</f>
        <v/>
      </c>
      <c r="AC180">
        <f>HYPERLINK("https://klasma.github.io/Logging_0125/tillsyn/A 17520-2026 tillsynsbegäran.docx", "A 17520-2026")</f>
        <v/>
      </c>
      <c r="AD180">
        <f>HYPERLINK("https://klasma.github.io/Logging_0125/tillsynsmail/A 17520-2026 tillsynsbegäran mail.docx", "A 17520-2026")</f>
        <v/>
      </c>
    </row>
    <row r="181" ht="15" customHeight="1">
      <c r="A181" t="inlineStr">
        <is>
          <t>A 3294-2026</t>
        </is>
      </c>
      <c r="B181" t="inlineStr">
        <is>
          <t>avverkningsanmälan</t>
        </is>
      </c>
      <c r="C181" t="inlineStr">
        <is>
          <t>Föryngringsavverkning</t>
        </is>
      </c>
      <c r="D181" s="1" t="n">
        <v>46041</v>
      </c>
      <c r="E181" s="1" t="n">
        <v>46326</v>
      </c>
      <c r="F181" t="inlineStr">
        <is>
          <t>STOCKHOLMS LÄN</t>
        </is>
      </c>
      <c r="G181" t="inlineStr">
        <is>
          <t>NYKVARN</t>
        </is>
      </c>
      <c r="I181" t="n">
        <v>6.2</v>
      </c>
      <c r="J181" t="n">
        <v>1</v>
      </c>
      <c r="K181" t="n">
        <v>0</v>
      </c>
      <c r="L181" t="n">
        <v>4</v>
      </c>
      <c r="M181" t="n">
        <v>0</v>
      </c>
      <c r="N181" t="n">
        <v>0</v>
      </c>
      <c r="O181" t="n">
        <v>0</v>
      </c>
      <c r="P181" t="n">
        <v>0</v>
      </c>
      <c r="Q181" t="n">
        <v>4</v>
      </c>
      <c r="R181" t="n">
        <v>0</v>
      </c>
      <c r="S181" t="n">
        <v>5</v>
      </c>
      <c r="T181" t="n">
        <v>19</v>
      </c>
      <c r="U181" t="n">
        <v>1</v>
      </c>
      <c r="V181" s="2" t="inlineStr">
        <is>
          <t>Dropptaggsvamp
Motaggsvamp
Tallticka
Vedskivlav
Spillkråka</t>
        </is>
      </c>
      <c r="W181">
        <f>HYPERLINK("https://klasma.github.io/Logging_0140/artfynd/A 3294-2026 artfynd.xlsx", "A 3294-2026")</f>
        <v/>
      </c>
      <c r="X181">
        <f>HYPERLINK("https://klasma.github.io/Logging_0140/kartor/A 3294-2026 karta.png", "A 3294-2026")</f>
        <v/>
      </c>
      <c r="Y181">
        <f>HYPERLINK("https://klasma.github.io/Logging_0140/kartor_geotiff/A 3294-2026 georefererad karta.tif", "A 3294-2026")</f>
        <v/>
      </c>
      <c r="AA181">
        <f>HYPERLINK("https://klasma.github.io/Logging_0140/klagomål/A 3294-2026 FSC-klagomål.docx", "A 3294-2026")</f>
        <v/>
      </c>
      <c r="AB181">
        <f>HYPERLINK("https://klasma.github.io/Logging_0140/klagomålsmail/A 3294-2026 FSC-klagomål mail.docx", "A 3294-2026")</f>
        <v/>
      </c>
      <c r="AC181">
        <f>HYPERLINK("https://klasma.github.io/Logging_0140/tillsyn/A 3294-2026 tillsynsbegäran.docx", "A 3294-2026")</f>
        <v/>
      </c>
      <c r="AD181">
        <f>HYPERLINK("https://klasma.github.io/Logging_0140/tillsynsmail/A 3294-2026 tillsynsbegäran mail.docx", "A 3294-2026")</f>
        <v/>
      </c>
      <c r="AE181">
        <f>HYPERLINK("https://klasma.github.io/Logging_0140/fåglar/A 3294-2026 prioriterade fågelarter.docx", "A 3294-2026")</f>
        <v/>
      </c>
    </row>
    <row r="182" ht="15" customHeight="1">
      <c r="A182" t="inlineStr">
        <is>
          <t>A 29558-2026</t>
        </is>
      </c>
      <c r="B182" t="inlineStr">
        <is>
          <t>avverkningsanmälan</t>
        </is>
      </c>
      <c r="C182" t="inlineStr">
        <is>
          <t>Föryngringsavverkning</t>
        </is>
      </c>
      <c r="D182" s="1" t="n">
        <v>46204</v>
      </c>
      <c r="E182" s="1" t="n">
        <v>46326</v>
      </c>
      <c r="F182" t="inlineStr">
        <is>
          <t>STOCKHOLMS LÄN</t>
        </is>
      </c>
      <c r="G182" t="inlineStr">
        <is>
          <t>NORRTÄLJE</t>
        </is>
      </c>
      <c r="I182" t="n">
        <v>1.3</v>
      </c>
      <c r="J182" t="n">
        <v>5</v>
      </c>
      <c r="K182" t="n">
        <v>0</v>
      </c>
      <c r="L182" t="n">
        <v>1</v>
      </c>
      <c r="M182" t="n">
        <v>0</v>
      </c>
      <c r="N182" t="n">
        <v>0</v>
      </c>
      <c r="O182" t="n">
        <v>0</v>
      </c>
      <c r="P182" t="n">
        <v>0</v>
      </c>
      <c r="Q182" t="n">
        <v>1</v>
      </c>
      <c r="R182" t="n">
        <v>0</v>
      </c>
      <c r="S182" t="n">
        <v>5</v>
      </c>
      <c r="T182" t="n">
        <v>5</v>
      </c>
      <c r="U182" t="n">
        <v>0</v>
      </c>
      <c r="V182" s="2" t="inlineStr">
        <is>
          <t>Nordfladdermus
Dvärgpipistrell
Havsörn
Större brunfladdermus
Trollpipistrell</t>
        </is>
      </c>
      <c r="W182">
        <f>HYPERLINK("https://klasma.github.io/Logging_0188/artfynd/A 29558-2026 artfynd.xlsx", "A 29558-2026")</f>
        <v/>
      </c>
      <c r="X182">
        <f>HYPERLINK("https://klasma.github.io/Logging_0188/kartor/A 29558-2026 karta.png", "A 29558-2026")</f>
        <v/>
      </c>
      <c r="Y182">
        <f>HYPERLINK("https://klasma.github.io/Logging_0188/kartor_geotiff/A 29558-2026 georefererad karta.tif", "A 29558-2026")</f>
        <v/>
      </c>
      <c r="AA182">
        <f>HYPERLINK("https://klasma.github.io/Logging_0188/klagomål/A 29558-2026 FSC-klagomål.docx", "A 29558-2026")</f>
        <v/>
      </c>
      <c r="AB182">
        <f>HYPERLINK("https://klasma.github.io/Logging_0188/klagomålsmail/A 29558-2026 FSC-klagomål mail.docx", "A 29558-2026")</f>
        <v/>
      </c>
      <c r="AC182">
        <f>HYPERLINK("https://klasma.github.io/Logging_0188/tillsyn/A 29558-2026 tillsynsbegäran.docx", "A 29558-2026")</f>
        <v/>
      </c>
      <c r="AD182">
        <f>HYPERLINK("https://klasma.github.io/Logging_0188/tillsynsmail/A 29558-2026 tillsynsbegäran mail.docx", "A 29558-2026")</f>
        <v/>
      </c>
      <c r="AE182">
        <f>HYPERLINK("https://klasma.github.io/Logging_0188/fåglar/A 29558-2026 prioriterade fågelarter.docx", "A 29558-2026")</f>
        <v/>
      </c>
    </row>
    <row r="183" ht="15" customHeight="1">
      <c r="A183" t="inlineStr">
        <is>
          <t>A 21730-2025</t>
        </is>
      </c>
      <c r="B183" t="inlineStr">
        <is>
          <t>avverkningsanmälan</t>
        </is>
      </c>
      <c r="C183" t="inlineStr">
        <is>
          <t>Föryngringsavverkning</t>
        </is>
      </c>
      <c r="D183" s="1" t="n">
        <v>45783</v>
      </c>
      <c r="E183" s="1" t="n">
        <v>46326</v>
      </c>
      <c r="F183" t="inlineStr">
        <is>
          <t>STOCKHOLMS LÄN</t>
        </is>
      </c>
      <c r="G183" t="inlineStr">
        <is>
          <t>NORRTÄLJE</t>
        </is>
      </c>
      <c r="I183" t="n">
        <v>4.2</v>
      </c>
      <c r="J183" t="n">
        <v>2</v>
      </c>
      <c r="K183" t="n">
        <v>3</v>
      </c>
      <c r="L183" t="n">
        <v>0</v>
      </c>
      <c r="M183" t="n">
        <v>0</v>
      </c>
      <c r="N183" t="n">
        <v>0</v>
      </c>
      <c r="O183" t="n">
        <v>0</v>
      </c>
      <c r="P183" t="n">
        <v>0</v>
      </c>
      <c r="Q183" t="n">
        <v>0</v>
      </c>
      <c r="R183" t="n">
        <v>0</v>
      </c>
      <c r="S183" t="n">
        <v>5</v>
      </c>
      <c r="T183" t="n">
        <v>10</v>
      </c>
      <c r="U183" t="n">
        <v>0</v>
      </c>
      <c r="V183" s="2" t="inlineStr">
        <is>
          <t>Blåmossa
Brandticka
Skogsbräsma
Blåsippa
Revlummer</t>
        </is>
      </c>
      <c r="W183">
        <f>HYPERLINK("https://klasma.github.io/Logging_0188/artfynd/A 21730-2025 artfynd.xlsx", "A 21730-2025")</f>
        <v/>
      </c>
      <c r="X183">
        <f>HYPERLINK("https://klasma.github.io/Logging_0188/kartor/A 21730-2025 karta.png", "A 21730-2025")</f>
        <v/>
      </c>
      <c r="Y183">
        <f>HYPERLINK("https://klasma.github.io/Logging_0188/kartor_geotiff/A 21730-2025 georefererad karta.tif", "A 21730-2025")</f>
        <v/>
      </c>
      <c r="AA183">
        <f>HYPERLINK("https://klasma.github.io/Logging_0188/klagomål/A 21730-2025 FSC-klagomål.docx", "A 21730-2025")</f>
        <v/>
      </c>
      <c r="AB183">
        <f>HYPERLINK("https://klasma.github.io/Logging_0188/klagomålsmail/A 21730-2025 FSC-klagomål mail.docx", "A 21730-2025")</f>
        <v/>
      </c>
      <c r="AC183">
        <f>HYPERLINK("https://klasma.github.io/Logging_0188/tillsyn/A 21730-2025 tillsynsbegäran.docx", "A 21730-2025")</f>
        <v/>
      </c>
      <c r="AD183">
        <f>HYPERLINK("https://klasma.github.io/Logging_0188/tillsynsmail/A 21730-2025 tillsynsbegäran mail.docx", "A 21730-2025")</f>
        <v/>
      </c>
    </row>
    <row r="184" ht="15" customHeight="1">
      <c r="A184" t="inlineStr">
        <is>
          <t>A 33426-2026</t>
        </is>
      </c>
      <c r="B184" t="inlineStr">
        <is>
          <t>avverkningsanmälan</t>
        </is>
      </c>
      <c r="C184" t="inlineStr">
        <is>
          <t>Föryngringsavverkning</t>
        </is>
      </c>
      <c r="D184" s="1" t="n">
        <v>46247</v>
      </c>
      <c r="E184" s="1" t="n">
        <v>46326</v>
      </c>
      <c r="F184" t="inlineStr">
        <is>
          <t>STOCKHOLMS LÄN</t>
        </is>
      </c>
      <c r="G184" t="inlineStr">
        <is>
          <t>NORRTÄLJE</t>
        </is>
      </c>
      <c r="I184" t="n">
        <v>4.4</v>
      </c>
      <c r="J184" t="n">
        <v>1</v>
      </c>
      <c r="K184" t="n">
        <v>3</v>
      </c>
      <c r="L184" t="n">
        <v>2</v>
      </c>
      <c r="M184" t="n">
        <v>0</v>
      </c>
      <c r="N184" t="n">
        <v>0</v>
      </c>
      <c r="O184" t="n">
        <v>0</v>
      </c>
      <c r="P184" t="n">
        <v>0</v>
      </c>
      <c r="Q184" t="n">
        <v>2</v>
      </c>
      <c r="R184" t="n">
        <v>0</v>
      </c>
      <c r="S184" t="n">
        <v>5</v>
      </c>
      <c r="T184" t="n">
        <v>6</v>
      </c>
      <c r="U184" t="n">
        <v>0</v>
      </c>
      <c r="V184" s="2" t="inlineStr">
        <is>
          <t>Fjällig taggsvamp s.str.
Tjockfotad fingersvamp
Blodticka
Skogsknipprot
Strimspindling</t>
        </is>
      </c>
      <c r="W184">
        <f>HYPERLINK("https://klasma.github.io/Logging_0188/artfynd/A 33426-2026 artfynd.xlsx", "A 33426-2026")</f>
        <v/>
      </c>
      <c r="X184">
        <f>HYPERLINK("https://klasma.github.io/Logging_0188/kartor/A 33426-2026 karta.png", "A 33426-2026")</f>
        <v/>
      </c>
      <c r="Y184">
        <f>HYPERLINK("https://klasma.github.io/Logging_0188/kartor_geotiff/A 33426-2026 georefererad karta.tif", "A 33426-2026")</f>
        <v/>
      </c>
      <c r="AA184">
        <f>HYPERLINK("https://klasma.github.io/Logging_0188/klagomål/A 33426-2026 FSC-klagomål.docx", "A 33426-2026")</f>
        <v/>
      </c>
      <c r="AB184">
        <f>HYPERLINK("https://klasma.github.io/Logging_0188/klagomålsmail/A 33426-2026 FSC-klagomål mail.docx", "A 33426-2026")</f>
        <v/>
      </c>
      <c r="AC184">
        <f>HYPERLINK("https://klasma.github.io/Logging_0188/tillsyn/A 33426-2026 tillsynsbegäran.docx", "A 33426-2026")</f>
        <v/>
      </c>
      <c r="AD184">
        <f>HYPERLINK("https://klasma.github.io/Logging_0188/tillsynsmail/A 33426-2026 tillsynsbegäran mail.docx", "A 33426-2026")</f>
        <v/>
      </c>
    </row>
    <row r="185" ht="15" customHeight="1">
      <c r="A185" t="inlineStr">
        <is>
          <t>A 44802-2026</t>
        </is>
      </c>
      <c r="B185" t="inlineStr">
        <is>
          <t>avverkningsanmälan</t>
        </is>
      </c>
      <c r="C185" t="inlineStr">
        <is>
          <t>Avverkning för annat ändamål</t>
        </is>
      </c>
      <c r="D185" s="1" t="n">
        <v>46318</v>
      </c>
      <c r="E185" s="1" t="n">
        <v>46326</v>
      </c>
      <c r="F185" t="inlineStr">
        <is>
          <t>STOCKHOLMS LÄN</t>
        </is>
      </c>
      <c r="G185" t="inlineStr">
        <is>
          <t>HUDDINGE</t>
        </is>
      </c>
      <c r="H185" t="inlineStr">
        <is>
          <t>Kommuner</t>
        </is>
      </c>
      <c r="I185" t="n">
        <v>5.4</v>
      </c>
      <c r="J185" t="n">
        <v>0</v>
      </c>
      <c r="K185" t="n">
        <v>5</v>
      </c>
      <c r="L185" t="n">
        <v>0</v>
      </c>
      <c r="M185" t="n">
        <v>0</v>
      </c>
      <c r="N185" t="n">
        <v>0</v>
      </c>
      <c r="O185" t="n">
        <v>0</v>
      </c>
      <c r="P185" t="n">
        <v>0</v>
      </c>
      <c r="Q185" t="n">
        <v>0</v>
      </c>
      <c r="R185" t="n">
        <v>0</v>
      </c>
      <c r="S185" t="n">
        <v>5</v>
      </c>
      <c r="T185" t="n">
        <v>5</v>
      </c>
      <c r="U185" t="n">
        <v>0</v>
      </c>
      <c r="V185" s="2" t="inlineStr">
        <is>
          <t>Blodvaxing
Gulvaxing
Hagfingersvamp
Mönjevaxing
Papegojvaxing</t>
        </is>
      </c>
      <c r="W185">
        <f>HYPERLINK("https://klasma.github.io/Logging_0126/artfynd/A 44802-2026 artfynd.xlsx", "A 44802-2026")</f>
        <v/>
      </c>
      <c r="X185">
        <f>HYPERLINK("https://klasma.github.io/Logging_0126/kartor/A 44802-2026 karta.png", "A 44802-2026")</f>
        <v/>
      </c>
      <c r="Y185">
        <f>HYPERLINK("https://klasma.github.io/Logging_0126/kartor_geotiff/A 44802-2026 georefererad karta.tif", "A 44802-2026")</f>
        <v/>
      </c>
      <c r="AA185">
        <f>HYPERLINK("https://klasma.github.io/Logging_0126/klagomål/A 44802-2026 FSC-klagomål.docx", "A 44802-2026")</f>
        <v/>
      </c>
      <c r="AB185">
        <f>HYPERLINK("https://klasma.github.io/Logging_0126/klagomålsmail/A 44802-2026 FSC-klagomål mail.docx", "A 44802-2026")</f>
        <v/>
      </c>
      <c r="AC185">
        <f>HYPERLINK("https://klasma.github.io/Logging_0126/tillsyn/A 44802-2026 tillsynsbegäran.docx", "A 44802-2026")</f>
        <v/>
      </c>
      <c r="AD185">
        <f>HYPERLINK("https://klasma.github.io/Logging_0126/tillsynsmail/A 44802-2026 tillsynsbegäran mail.docx", "A 44802-2026")</f>
        <v/>
      </c>
    </row>
    <row r="186" ht="15" customHeight="1">
      <c r="A186" t="inlineStr">
        <is>
          <t>A 31651-2026</t>
        </is>
      </c>
      <c r="B186" t="inlineStr">
        <is>
          <t>avverkningsanmälan</t>
        </is>
      </c>
      <c r="C186" t="inlineStr">
        <is>
          <t>Avverkning för annat ändamål</t>
        </is>
      </c>
      <c r="D186" s="1" t="n">
        <v>46223</v>
      </c>
      <c r="E186" s="1" t="n">
        <v>46326</v>
      </c>
      <c r="F186" t="inlineStr">
        <is>
          <t>STOCKHOLMS LÄN</t>
        </is>
      </c>
      <c r="G186" t="inlineStr">
        <is>
          <t>HUDDINGE</t>
        </is>
      </c>
      <c r="H186" t="inlineStr">
        <is>
          <t>Kommuner</t>
        </is>
      </c>
      <c r="I186" t="n">
        <v>2</v>
      </c>
      <c r="J186" t="n">
        <v>1</v>
      </c>
      <c r="K186" t="n">
        <v>2</v>
      </c>
      <c r="L186" t="n">
        <v>1</v>
      </c>
      <c r="M186" t="n">
        <v>0</v>
      </c>
      <c r="N186" t="n">
        <v>1</v>
      </c>
      <c r="O186" t="n">
        <v>0</v>
      </c>
      <c r="P186" t="n">
        <v>0</v>
      </c>
      <c r="Q186" t="n">
        <v>2</v>
      </c>
      <c r="R186" t="n">
        <v>1</v>
      </c>
      <c r="S186" t="n">
        <v>5</v>
      </c>
      <c r="T186" t="n">
        <v>8</v>
      </c>
      <c r="U186" t="n">
        <v>0</v>
      </c>
      <c r="V186" s="2" t="inlineStr">
        <is>
          <t>Ask
Tallticka
Stor aspticka
Trådticka
Blåsippa</t>
        </is>
      </c>
      <c r="W186">
        <f>HYPERLINK("https://klasma.github.io/Logging_0126/artfynd/A 31651-2026 artfynd.xlsx", "A 31651-2026")</f>
        <v/>
      </c>
      <c r="X186">
        <f>HYPERLINK("https://klasma.github.io/Logging_0126/kartor/A 31651-2026 karta.png", "A 31651-2026")</f>
        <v/>
      </c>
      <c r="Y186">
        <f>HYPERLINK("https://klasma.github.io/Logging_0126/kartor_geotiff/A 31651-2026 georefererad karta.tif", "A 31651-2026")</f>
        <v/>
      </c>
      <c r="AA186">
        <f>HYPERLINK("https://klasma.github.io/Logging_0126/klagomål/A 31651-2026 FSC-klagomål.docx", "A 31651-2026")</f>
        <v/>
      </c>
      <c r="AB186">
        <f>HYPERLINK("https://klasma.github.io/Logging_0126/klagomålsmail/A 31651-2026 FSC-klagomål mail.docx", "A 31651-2026")</f>
        <v/>
      </c>
      <c r="AC186">
        <f>HYPERLINK("https://klasma.github.io/Logging_0126/tillsyn/A 31651-2026 tillsynsbegäran.docx", "A 31651-2026")</f>
        <v/>
      </c>
      <c r="AD186">
        <f>HYPERLINK("https://klasma.github.io/Logging_0126/tillsynsmail/A 31651-2026 tillsynsbegäran mail.docx", "A 31651-2026")</f>
        <v/>
      </c>
    </row>
    <row r="187" ht="15" customHeight="1">
      <c r="A187" t="inlineStr">
        <is>
          <t>S 529-2023</t>
        </is>
      </c>
      <c r="B187" t="inlineStr">
        <is>
          <t>samrådsanmälan</t>
        </is>
      </c>
      <c r="C187" t="inlineStr">
        <is>
          <t>Annan skogsbruksåtgärd</t>
        </is>
      </c>
      <c r="D187" s="1" t="n">
        <v>44972</v>
      </c>
      <c r="E187" s="1" t="n">
        <v>46326</v>
      </c>
      <c r="F187" t="inlineStr">
        <is>
          <t>STOCKHOLMS LÄN</t>
        </is>
      </c>
      <c r="G187" t="inlineStr">
        <is>
          <t>NORRTÄLJE</t>
        </is>
      </c>
      <c r="H187" t="inlineStr">
        <is>
          <t>Kommuner</t>
        </is>
      </c>
      <c r="I187" t="n">
        <v>5.3</v>
      </c>
      <c r="J187" t="n">
        <v>2</v>
      </c>
      <c r="K187" t="n">
        <v>1</v>
      </c>
      <c r="L187" t="n">
        <v>3</v>
      </c>
      <c r="M187" t="n">
        <v>0</v>
      </c>
      <c r="N187" t="n">
        <v>0</v>
      </c>
      <c r="O187" t="n">
        <v>0</v>
      </c>
      <c r="P187" t="n">
        <v>0</v>
      </c>
      <c r="Q187" t="n">
        <v>3</v>
      </c>
      <c r="R187" t="n">
        <v>0</v>
      </c>
      <c r="S187" t="n">
        <v>5</v>
      </c>
      <c r="T187" t="n">
        <v>5</v>
      </c>
      <c r="U187" t="n">
        <v>0</v>
      </c>
      <c r="V187" s="2" t="inlineStr">
        <is>
          <t>Ekticka
Gulsparv
Rutskinn
Svart trolldruva
Blåsippa</t>
        </is>
      </c>
      <c r="W187">
        <f>HYPERLINK("https://klasma.github.io/Logging_0188/artfynd/S 529-2023 artfynd.xlsx", "S 529-2023")</f>
        <v/>
      </c>
      <c r="X187">
        <f>HYPERLINK("https://klasma.github.io/Logging_0188/kartor/S 529-2023 karta.png", "S 529-2023")</f>
        <v/>
      </c>
      <c r="Y187">
        <f>HYPERLINK("https://klasma.github.io/Logging_0188/kartor_geotiff/S 529-2023 georefererad karta.tif", "S 529-2023")</f>
        <v/>
      </c>
      <c r="AA187">
        <f>HYPERLINK("https://klasma.github.io/Logging_0188/klagomål/S 529-2023 FSC-klagomål.docx", "S 529-2023")</f>
        <v/>
      </c>
      <c r="AB187">
        <f>HYPERLINK("https://klasma.github.io/Logging_0188/klagomålsmail/S 529-2023 FSC-klagomål mail.docx", "S 529-2023")</f>
        <v/>
      </c>
      <c r="AC187">
        <f>HYPERLINK("https://klasma.github.io/Logging_0188/tillsyn/S 529-2023 tillsynsbegäran.docx", "S 529-2023")</f>
        <v/>
      </c>
      <c r="AD187">
        <f>HYPERLINK("https://klasma.github.io/Logging_0188/tillsynsmail/S 529-2023 tillsynsbegäran mail.docx", "S 529-2023")</f>
        <v/>
      </c>
      <c r="AE187">
        <f>HYPERLINK("https://klasma.github.io/Logging_0188/fåglar/S 529-2023 prioriterade fågelarter.docx", "S 529-2023")</f>
        <v/>
      </c>
    </row>
    <row r="188" ht="15" customHeight="1">
      <c r="A188" t="inlineStr">
        <is>
          <t>S 1805-2023</t>
        </is>
      </c>
      <c r="B188" t="inlineStr">
        <is>
          <t>samrådsanmälan</t>
        </is>
      </c>
      <c r="C188" t="inlineStr">
        <is>
          <t>Annan skogsbruksåtgärd</t>
        </is>
      </c>
      <c r="D188" s="1" t="n">
        <v>45071</v>
      </c>
      <c r="E188" s="1" t="n">
        <v>46326</v>
      </c>
      <c r="F188" t="inlineStr">
        <is>
          <t>STOCKHOLMS LÄN</t>
        </is>
      </c>
      <c r="G188" t="inlineStr">
        <is>
          <t>NORRTÄLJE</t>
        </is>
      </c>
      <c r="I188" t="n">
        <v>0.1</v>
      </c>
      <c r="J188" t="n">
        <v>1</v>
      </c>
      <c r="K188" t="n">
        <v>1</v>
      </c>
      <c r="L188" t="n">
        <v>1</v>
      </c>
      <c r="M188" t="n">
        <v>0</v>
      </c>
      <c r="N188" t="n">
        <v>1</v>
      </c>
      <c r="O188" t="n">
        <v>0</v>
      </c>
      <c r="P188" t="n">
        <v>0</v>
      </c>
      <c r="Q188" t="n">
        <v>2</v>
      </c>
      <c r="R188" t="n">
        <v>1</v>
      </c>
      <c r="S188" t="n">
        <v>5</v>
      </c>
      <c r="T188" t="n">
        <v>6</v>
      </c>
      <c r="U188" t="n">
        <v>5</v>
      </c>
      <c r="V188" s="2" t="inlineStr">
        <is>
          <t>Ask
Sårläka
Slät lönnlav
Blåsippa
Kransmossa</t>
        </is>
      </c>
      <c r="W188">
        <f>HYPERLINK("https://klasma.github.io/Logging_0188/artfynd/S 1805-2023 artfynd.xlsx", "S 1805-2023")</f>
        <v/>
      </c>
      <c r="X188">
        <f>HYPERLINK("https://klasma.github.io/Logging_0188/kartor/S 1805-2023 karta.png", "S 1805-2023")</f>
        <v/>
      </c>
      <c r="Y188">
        <f>HYPERLINK("https://klasma.github.io/Logging_0188/kartor_geotiff/S 1805-2023 georefererad karta.tif", "S 1805-2023")</f>
        <v/>
      </c>
      <c r="AA188">
        <f>HYPERLINK("https://klasma.github.io/Logging_0188/klagomål/S 1805-2023 FSC-klagomål.docx", "S 1805-2023")</f>
        <v/>
      </c>
      <c r="AB188">
        <f>HYPERLINK("https://klasma.github.io/Logging_0188/klagomålsmail/S 1805-2023 FSC-klagomål mail.docx", "S 1805-2023")</f>
        <v/>
      </c>
      <c r="AC188">
        <f>HYPERLINK("https://klasma.github.io/Logging_0188/tillsyn/S 1805-2023 tillsynsbegäran.docx", "S 1805-2023")</f>
        <v/>
      </c>
      <c r="AD188">
        <f>HYPERLINK("https://klasma.github.io/Logging_0188/tillsynsmail/S 1805-2023 tillsynsbegäran mail.docx", "S 1805-2023")</f>
        <v/>
      </c>
    </row>
    <row r="189" ht="15" customHeight="1">
      <c r="A189" t="inlineStr">
        <is>
          <t>S 10169-2021</t>
        </is>
      </c>
      <c r="B189" t="inlineStr">
        <is>
          <t>samrådsanmälan</t>
        </is>
      </c>
      <c r="C189" t="inlineStr">
        <is>
          <t>Annan skogsbruksåtgärd</t>
        </is>
      </c>
      <c r="D189" s="1" t="n">
        <v>44512</v>
      </c>
      <c r="E189" s="1" t="n">
        <v>46326</v>
      </c>
      <c r="F189" t="inlineStr">
        <is>
          <t>STOCKHOLMS LÄN</t>
        </is>
      </c>
      <c r="G189" t="inlineStr">
        <is>
          <t>NORRTÄLJE</t>
        </is>
      </c>
      <c r="I189" t="n">
        <v>2</v>
      </c>
      <c r="J189" t="n">
        <v>1</v>
      </c>
      <c r="K189" t="n">
        <v>5</v>
      </c>
      <c r="L189" t="n">
        <v>0</v>
      </c>
      <c r="M189" t="n">
        <v>0</v>
      </c>
      <c r="N189" t="n">
        <v>0</v>
      </c>
      <c r="O189" t="n">
        <v>0</v>
      </c>
      <c r="P189" t="n">
        <v>0</v>
      </c>
      <c r="Q189" t="n">
        <v>0</v>
      </c>
      <c r="R189" t="n">
        <v>0</v>
      </c>
      <c r="S189" t="n">
        <v>5</v>
      </c>
      <c r="T189" t="n">
        <v>5</v>
      </c>
      <c r="U189" t="n">
        <v>3</v>
      </c>
      <c r="V189" s="2" t="inlineStr">
        <is>
          <t>Anisspindling
Fransig jordstjärna
Grön sköldmossa
Jordstjärnesläktet
Kamjordstjärna</t>
        </is>
      </c>
      <c r="W189">
        <f>HYPERLINK("https://klasma.github.io/Logging_0188/artfynd/S 10169-2021 artfynd.xlsx", "S 10169-2021")</f>
        <v/>
      </c>
      <c r="X189">
        <f>HYPERLINK("https://klasma.github.io/Logging_0188/kartor/S 10169-2021 karta.png", "S 10169-2021")</f>
        <v/>
      </c>
      <c r="Y189">
        <f>HYPERLINK("https://klasma.github.io/Logging_0188/kartor_geotiff/S 10169-2021 georefererad karta.tif", "S 10169-2021")</f>
        <v/>
      </c>
      <c r="AA189">
        <f>HYPERLINK("https://klasma.github.io/Logging_0188/klagomål/S 10169-2021 FSC-klagomål.docx", "S 10169-2021")</f>
        <v/>
      </c>
      <c r="AB189">
        <f>HYPERLINK("https://klasma.github.io/Logging_0188/klagomålsmail/S 10169-2021 FSC-klagomål mail.docx", "S 10169-2021")</f>
        <v/>
      </c>
      <c r="AC189">
        <f>HYPERLINK("https://klasma.github.io/Logging_0188/tillsyn/S 10169-2021 tillsynsbegäran.docx", "S 10169-2021")</f>
        <v/>
      </c>
      <c r="AD189">
        <f>HYPERLINK("https://klasma.github.io/Logging_0188/tillsynsmail/S 10169-2021 tillsynsbegäran mail.docx", "S 10169-2021")</f>
        <v/>
      </c>
    </row>
    <row r="190" ht="15" customHeight="1">
      <c r="A190" t="inlineStr">
        <is>
          <t>S 917-2023</t>
        </is>
      </c>
      <c r="B190" t="inlineStr">
        <is>
          <t>samrådsanmälan</t>
        </is>
      </c>
      <c r="C190" t="inlineStr">
        <is>
          <t>Annan skogsbruksåtgärd</t>
        </is>
      </c>
      <c r="D190" s="1" t="n">
        <v>44999</v>
      </c>
      <c r="E190" s="1" t="n">
        <v>46326</v>
      </c>
      <c r="F190" t="inlineStr">
        <is>
          <t>STOCKHOLMS LÄN</t>
        </is>
      </c>
      <c r="G190" t="inlineStr">
        <is>
          <t>NACKA</t>
        </is>
      </c>
      <c r="H190" t="inlineStr">
        <is>
          <t>Kommuner</t>
        </is>
      </c>
      <c r="I190" t="n">
        <v>1.6</v>
      </c>
      <c r="J190" t="n">
        <v>2</v>
      </c>
      <c r="K190" t="n">
        <v>0</v>
      </c>
      <c r="L190" t="n">
        <v>2</v>
      </c>
      <c r="M190" t="n">
        <v>0</v>
      </c>
      <c r="N190" t="n">
        <v>1</v>
      </c>
      <c r="O190" t="n">
        <v>0</v>
      </c>
      <c r="P190" t="n">
        <v>0</v>
      </c>
      <c r="Q190" t="n">
        <v>3</v>
      </c>
      <c r="R190" t="n">
        <v>1</v>
      </c>
      <c r="S190" t="n">
        <v>5</v>
      </c>
      <c r="T190" t="n">
        <v>13</v>
      </c>
      <c r="U190" t="n">
        <v>10</v>
      </c>
      <c r="V190" s="2" t="inlineStr">
        <is>
          <t>Ask
Dropptaggsvamp
Tallticka
Mindre flugsnappare
Kopparödla</t>
        </is>
      </c>
      <c r="W190">
        <f>HYPERLINK("https://klasma.github.io/Logging_0182/artfynd/S 917-2023 artfynd.xlsx", "S 917-2023")</f>
        <v/>
      </c>
      <c r="X190">
        <f>HYPERLINK("https://klasma.github.io/Logging_0182/kartor/S 917-2023 karta.png", "S 917-2023")</f>
        <v/>
      </c>
      <c r="Y190">
        <f>HYPERLINK("https://klasma.github.io/Logging_0182/kartor_geotiff/S 917-2023 georefererad karta.tif", "S 917-2023")</f>
        <v/>
      </c>
      <c r="AA190">
        <f>HYPERLINK("https://klasma.github.io/Logging_0182/klagomål/S 917-2023 FSC-klagomål.docx", "S 917-2023")</f>
        <v/>
      </c>
      <c r="AB190">
        <f>HYPERLINK("https://klasma.github.io/Logging_0182/klagomålsmail/S 917-2023 FSC-klagomål mail.docx", "S 917-2023")</f>
        <v/>
      </c>
      <c r="AC190">
        <f>HYPERLINK("https://klasma.github.io/Logging_0182/tillsyn/S 917-2023 tillsynsbegäran.docx", "S 917-2023")</f>
        <v/>
      </c>
      <c r="AD190">
        <f>HYPERLINK("https://klasma.github.io/Logging_0182/tillsynsmail/S 917-2023 tillsynsbegäran mail.docx", "S 917-2023")</f>
        <v/>
      </c>
      <c r="AE190">
        <f>HYPERLINK("https://klasma.github.io/Logging_0182/fåglar/S 917-2023 prioriterade fågelarter.docx", "S 917-2023")</f>
        <v/>
      </c>
    </row>
    <row r="191" ht="15" customHeight="1">
      <c r="A191" t="inlineStr">
        <is>
          <t>S 1039-2025</t>
        </is>
      </c>
      <c r="B191" t="inlineStr">
        <is>
          <t>samrådsanmälan</t>
        </is>
      </c>
      <c r="C191" t="inlineStr">
        <is>
          <t>Annan skogsbruksåtgärd</t>
        </is>
      </c>
      <c r="D191" s="1" t="n">
        <v>45747</v>
      </c>
      <c r="E191" s="1" t="n">
        <v>46326</v>
      </c>
      <c r="F191" t="inlineStr">
        <is>
          <t>STOCKHOLMS LÄN</t>
        </is>
      </c>
      <c r="G191" t="inlineStr">
        <is>
          <t>BOTKYRKA</t>
        </is>
      </c>
      <c r="I191" t="n">
        <v>1.1</v>
      </c>
      <c r="J191" t="n">
        <v>0</v>
      </c>
      <c r="K191" t="n">
        <v>0</v>
      </c>
      <c r="L191" t="n">
        <v>5</v>
      </c>
      <c r="M191" t="n">
        <v>0</v>
      </c>
      <c r="N191" t="n">
        <v>0</v>
      </c>
      <c r="O191" t="n">
        <v>0</v>
      </c>
      <c r="P191" t="n">
        <v>0</v>
      </c>
      <c r="Q191" t="n">
        <v>5</v>
      </c>
      <c r="R191" t="n">
        <v>0</v>
      </c>
      <c r="S191" t="n">
        <v>5</v>
      </c>
      <c r="T191" t="n">
        <v>8</v>
      </c>
      <c r="U191" t="n">
        <v>0</v>
      </c>
      <c r="V191" s="2" t="inlineStr">
        <is>
          <t>Fjällig taggsvamp s.str.
Orange taggsvamp
Skarp dropptaggsvamp
Tallticka
Ullticka</t>
        </is>
      </c>
      <c r="W191">
        <f>HYPERLINK("https://klasma.github.io/Logging_0127/artfynd/S 1039-2025 artfynd.xlsx", "S 1039-2025")</f>
        <v/>
      </c>
      <c r="X191">
        <f>HYPERLINK("https://klasma.github.io/Logging_0127/kartor/S 1039-2025 karta.png", "S 1039-2025")</f>
        <v/>
      </c>
      <c r="Y191">
        <f>HYPERLINK("https://klasma.github.io/Logging_0127/kartor_geotiff/S 1039-2025 georefererad karta.tif", "S 1039-2025")</f>
        <v/>
      </c>
      <c r="AA191">
        <f>HYPERLINK("https://klasma.github.io/Logging_0127/klagomål/S 1039-2025 FSC-klagomål.docx", "S 1039-2025")</f>
        <v/>
      </c>
      <c r="AB191">
        <f>HYPERLINK("https://klasma.github.io/Logging_0127/klagomålsmail/S 1039-2025 FSC-klagomål mail.docx", "S 1039-2025")</f>
        <v/>
      </c>
      <c r="AC191">
        <f>HYPERLINK("https://klasma.github.io/Logging_0127/tillsyn/S 1039-2025 tillsynsbegäran.docx", "S 1039-2025")</f>
        <v/>
      </c>
      <c r="AD191">
        <f>HYPERLINK("https://klasma.github.io/Logging_0127/tillsynsmail/S 1039-2025 tillsynsbegäran mail.docx", "S 1039-2025")</f>
        <v/>
      </c>
    </row>
    <row r="192" ht="15" customHeight="1">
      <c r="A192" t="inlineStr">
        <is>
          <t>A 72176-2021</t>
        </is>
      </c>
      <c r="B192" t="inlineStr">
        <is>
          <t>avverkningsanmälan</t>
        </is>
      </c>
      <c r="C192" t="inlineStr">
        <is>
          <t>Föryngringsavverkning</t>
        </is>
      </c>
      <c r="D192" s="1" t="n">
        <v>44544</v>
      </c>
      <c r="E192" s="1" t="n">
        <v>46326</v>
      </c>
      <c r="F192" t="inlineStr">
        <is>
          <t>STOCKHOLMS LÄN</t>
        </is>
      </c>
      <c r="G192" t="inlineStr">
        <is>
          <t>VÄRMDÖ</t>
        </is>
      </c>
      <c r="I192" t="n">
        <v>2.6</v>
      </c>
      <c r="J192" t="n">
        <v>0</v>
      </c>
      <c r="K192" t="n">
        <v>4</v>
      </c>
      <c r="L192" t="n">
        <v>0</v>
      </c>
      <c r="M192" t="n">
        <v>0</v>
      </c>
      <c r="N192" t="n">
        <v>0</v>
      </c>
      <c r="O192" t="n">
        <v>0</v>
      </c>
      <c r="P192" t="n">
        <v>0</v>
      </c>
      <c r="Q192" t="n">
        <v>0</v>
      </c>
      <c r="R192" t="n">
        <v>0</v>
      </c>
      <c r="S192" t="n">
        <v>4</v>
      </c>
      <c r="T192" t="n">
        <v>4</v>
      </c>
      <c r="U192" t="n">
        <v>4</v>
      </c>
      <c r="V192" s="2" t="inlineStr">
        <is>
          <t>Blodvaxing
Luktvaxing
Toppvaxing
Vitvaxing agg.</t>
        </is>
      </c>
      <c r="W192">
        <f>HYPERLINK("https://klasma.github.io/Logging_0120/artfynd/A 72176-2021 artfynd.xlsx", "A 72176-2021")</f>
        <v/>
      </c>
      <c r="X192">
        <f>HYPERLINK("https://klasma.github.io/Logging_0120/kartor/A 72176-2021 karta.png", "A 72176-2021")</f>
        <v/>
      </c>
      <c r="Y192">
        <f>HYPERLINK("https://klasma.github.io/Logging_0120/kartor_geotiff/A 72176-2021 georefererad karta.tif", "A 72176-2021")</f>
        <v/>
      </c>
      <c r="AA192">
        <f>HYPERLINK("https://klasma.github.io/Logging_0120/klagomål/A 72176-2021 FSC-klagomål.docx", "A 72176-2021")</f>
        <v/>
      </c>
      <c r="AB192">
        <f>HYPERLINK("https://klasma.github.io/Logging_0120/klagomålsmail/A 72176-2021 FSC-klagomål mail.docx", "A 72176-2021")</f>
        <v/>
      </c>
      <c r="AC192">
        <f>HYPERLINK("https://klasma.github.io/Logging_0120/tillsyn/A 72176-2021 tillsynsbegäran.docx", "A 72176-2021")</f>
        <v/>
      </c>
      <c r="AD192">
        <f>HYPERLINK("https://klasma.github.io/Logging_0120/tillsynsmail/A 72176-2021 tillsynsbegäran mail.docx", "A 72176-2021")</f>
        <v/>
      </c>
    </row>
    <row r="193" ht="15" customHeight="1">
      <c r="A193" t="inlineStr">
        <is>
          <t>A 28836-2022</t>
        </is>
      </c>
      <c r="B193" t="inlineStr">
        <is>
          <t>avverkningsanmälan</t>
        </is>
      </c>
      <c r="C193" t="inlineStr">
        <is>
          <t>Avverkning för annat ändamål</t>
        </is>
      </c>
      <c r="D193" s="1" t="n">
        <v>44749</v>
      </c>
      <c r="E193" s="1" t="n">
        <v>46326</v>
      </c>
      <c r="F193" t="inlineStr">
        <is>
          <t>STOCKHOLMS LÄN</t>
        </is>
      </c>
      <c r="G193" t="inlineStr">
        <is>
          <t>NORRTÄLJE</t>
        </is>
      </c>
      <c r="I193" t="n">
        <v>25</v>
      </c>
      <c r="J193" t="n">
        <v>3</v>
      </c>
      <c r="K193" t="n">
        <v>0</v>
      </c>
      <c r="L193" t="n">
        <v>1</v>
      </c>
      <c r="M193" t="n">
        <v>0</v>
      </c>
      <c r="N193" t="n">
        <v>0</v>
      </c>
      <c r="O193" t="n">
        <v>0</v>
      </c>
      <c r="P193" t="n">
        <v>0</v>
      </c>
      <c r="Q193" t="n">
        <v>1</v>
      </c>
      <c r="R193" t="n">
        <v>0</v>
      </c>
      <c r="S193" t="n">
        <v>4</v>
      </c>
      <c r="T193" t="n">
        <v>4</v>
      </c>
      <c r="U193" t="n">
        <v>1</v>
      </c>
      <c r="V193" s="2" t="inlineStr">
        <is>
          <t>Backklöver
Svartvit flugsnappare
Skogsödla
Grönvit nattviol</t>
        </is>
      </c>
      <c r="W193">
        <f>HYPERLINK("https://klasma.github.io/Logging_0188/artfynd/A 28836-2022 artfynd.xlsx", "A 28836-2022")</f>
        <v/>
      </c>
      <c r="X193">
        <f>HYPERLINK("https://klasma.github.io/Logging_0188/kartor/A 28836-2022 karta.png", "A 28836-2022")</f>
        <v/>
      </c>
      <c r="Y193">
        <f>HYPERLINK("https://klasma.github.io/Logging_0188/kartor_geotiff/A 28836-2022 georefererad karta.tif", "A 28836-2022")</f>
        <v/>
      </c>
      <c r="AA193">
        <f>HYPERLINK("https://klasma.github.io/Logging_0188/klagomål/A 28836-2022 FSC-klagomål.docx", "A 28836-2022")</f>
        <v/>
      </c>
      <c r="AB193">
        <f>HYPERLINK("https://klasma.github.io/Logging_0188/klagomålsmail/A 28836-2022 FSC-klagomål mail.docx", "A 28836-2022")</f>
        <v/>
      </c>
      <c r="AC193">
        <f>HYPERLINK("https://klasma.github.io/Logging_0188/tillsyn/A 28836-2022 tillsynsbegäran.docx", "A 28836-2022")</f>
        <v/>
      </c>
      <c r="AD193">
        <f>HYPERLINK("https://klasma.github.io/Logging_0188/tillsynsmail/A 28836-2022 tillsynsbegäran mail.docx", "A 28836-2022")</f>
        <v/>
      </c>
    </row>
    <row r="194" ht="15" customHeight="1">
      <c r="A194" t="inlineStr">
        <is>
          <t>A 24535-2023</t>
        </is>
      </c>
      <c r="B194" t="inlineStr">
        <is>
          <t>avverkningsanmälan</t>
        </is>
      </c>
      <c r="C194" t="inlineStr">
        <is>
          <t>Föryngringsavverkning</t>
        </is>
      </c>
      <c r="D194" s="1" t="n">
        <v>45082</v>
      </c>
      <c r="E194" s="1" t="n">
        <v>46326</v>
      </c>
      <c r="F194" t="inlineStr">
        <is>
          <t>STOCKHOLMS LÄN</t>
        </is>
      </c>
      <c r="G194" t="inlineStr">
        <is>
          <t>NORRTÄLJE</t>
        </is>
      </c>
      <c r="H194" t="inlineStr">
        <is>
          <t>Kommuner</t>
        </is>
      </c>
      <c r="I194" t="n">
        <v>2</v>
      </c>
      <c r="J194" t="n">
        <v>3</v>
      </c>
      <c r="K194" t="n">
        <v>2</v>
      </c>
      <c r="L194" t="n">
        <v>0</v>
      </c>
      <c r="M194" t="n">
        <v>0</v>
      </c>
      <c r="N194" t="n">
        <v>0</v>
      </c>
      <c r="O194" t="n">
        <v>0</v>
      </c>
      <c r="P194" t="n">
        <v>0</v>
      </c>
      <c r="Q194" t="n">
        <v>0</v>
      </c>
      <c r="R194" t="n">
        <v>0</v>
      </c>
      <c r="S194" t="n">
        <v>4</v>
      </c>
      <c r="T194" t="n">
        <v>11</v>
      </c>
      <c r="U194" t="n">
        <v>1</v>
      </c>
      <c r="V194" s="2" t="inlineStr">
        <is>
          <t>Nästrot
Svavelriska
Blåsippa
Mindre flugsnappare</t>
        </is>
      </c>
      <c r="W194">
        <f>HYPERLINK("https://klasma.github.io/Logging_0188/artfynd/A 24535-2023 artfynd.xlsx", "A 24535-2023")</f>
        <v/>
      </c>
      <c r="X194">
        <f>HYPERLINK("https://klasma.github.io/Logging_0188/kartor/A 24535-2023 karta.png", "A 24535-2023")</f>
        <v/>
      </c>
      <c r="Y194">
        <f>HYPERLINK("https://klasma.github.io/Logging_0188/kartor_geotiff/A 24535-2023 georefererad karta.tif", "A 24535-2023")</f>
        <v/>
      </c>
      <c r="AA194">
        <f>HYPERLINK("https://klasma.github.io/Logging_0188/klagomål/A 24535-2023 FSC-klagomål.docx", "A 24535-2023")</f>
        <v/>
      </c>
      <c r="AB194">
        <f>HYPERLINK("https://klasma.github.io/Logging_0188/klagomålsmail/A 24535-2023 FSC-klagomål mail.docx", "A 24535-2023")</f>
        <v/>
      </c>
      <c r="AC194">
        <f>HYPERLINK("https://klasma.github.io/Logging_0188/tillsyn/A 24535-2023 tillsynsbegäran.docx", "A 24535-2023")</f>
        <v/>
      </c>
      <c r="AD194">
        <f>HYPERLINK("https://klasma.github.io/Logging_0188/tillsynsmail/A 24535-2023 tillsynsbegäran mail.docx", "A 24535-2023")</f>
        <v/>
      </c>
      <c r="AE194">
        <f>HYPERLINK("https://klasma.github.io/Logging_0188/fåglar/A 24535-2023 prioriterade fågelarter.docx", "A 24535-2023")</f>
        <v/>
      </c>
    </row>
    <row r="195" ht="15" customHeight="1">
      <c r="A195" t="inlineStr">
        <is>
          <t>A 54110-2024</t>
        </is>
      </c>
      <c r="B195" t="inlineStr">
        <is>
          <t>avverkningsanmälan</t>
        </is>
      </c>
      <c r="C195" t="inlineStr">
        <is>
          <t>Föryngringsavverkning</t>
        </is>
      </c>
      <c r="D195" s="1" t="n">
        <v>45616</v>
      </c>
      <c r="E195" s="1" t="n">
        <v>46326</v>
      </c>
      <c r="F195" t="inlineStr">
        <is>
          <t>STOCKHOLMS LÄN</t>
        </is>
      </c>
      <c r="G195" t="inlineStr">
        <is>
          <t>NORRTÄLJE</t>
        </is>
      </c>
      <c r="I195" t="n">
        <v>6.7</v>
      </c>
      <c r="J195" t="n">
        <v>2</v>
      </c>
      <c r="K195" t="n">
        <v>0</v>
      </c>
      <c r="L195" t="n">
        <v>2</v>
      </c>
      <c r="M195" t="n">
        <v>0</v>
      </c>
      <c r="N195" t="n">
        <v>0</v>
      </c>
      <c r="O195" t="n">
        <v>0</v>
      </c>
      <c r="P195" t="n">
        <v>0</v>
      </c>
      <c r="Q195" t="n">
        <v>2</v>
      </c>
      <c r="R195" t="n">
        <v>0</v>
      </c>
      <c r="S195" t="n">
        <v>4</v>
      </c>
      <c r="T195" t="n">
        <v>4</v>
      </c>
      <c r="U195" t="n">
        <v>0</v>
      </c>
      <c r="V195" s="2" t="inlineStr">
        <is>
          <t>Jungfrulin
Klasefibbla
Nattviol
Gullviva</t>
        </is>
      </c>
      <c r="W195">
        <f>HYPERLINK("https://klasma.github.io/Logging_0188/artfynd/A 54110-2024 artfynd.xlsx", "A 54110-2024")</f>
        <v/>
      </c>
      <c r="X195">
        <f>HYPERLINK("https://klasma.github.io/Logging_0188/kartor/A 54110-2024 karta.png", "A 54110-2024")</f>
        <v/>
      </c>
      <c r="Y195">
        <f>HYPERLINK("https://klasma.github.io/Logging_0188/kartor_geotiff/A 54110-2024 georefererad karta.tif", "A 54110-2024")</f>
        <v/>
      </c>
      <c r="AA195">
        <f>HYPERLINK("https://klasma.github.io/Logging_0188/klagomål/A 54110-2024 FSC-klagomål.docx", "A 54110-2024")</f>
        <v/>
      </c>
      <c r="AB195">
        <f>HYPERLINK("https://klasma.github.io/Logging_0188/klagomålsmail/A 54110-2024 FSC-klagomål mail.docx", "A 54110-2024")</f>
        <v/>
      </c>
      <c r="AC195">
        <f>HYPERLINK("https://klasma.github.io/Logging_0188/tillsyn/A 54110-2024 tillsynsbegäran.docx", "A 54110-2024")</f>
        <v/>
      </c>
      <c r="AD195">
        <f>HYPERLINK("https://klasma.github.io/Logging_0188/tillsynsmail/A 54110-2024 tillsynsbegäran mail.docx", "A 54110-2024")</f>
        <v/>
      </c>
    </row>
    <row r="196" ht="15" customHeight="1">
      <c r="A196" t="inlineStr">
        <is>
          <t>A 29185-2025</t>
        </is>
      </c>
      <c r="B196" t="inlineStr">
        <is>
          <t>avverkningsanmälan</t>
        </is>
      </c>
      <c r="C196" t="inlineStr">
        <is>
          <t>Föryngringsavverkning</t>
        </is>
      </c>
      <c r="D196" s="1" t="n">
        <v>45821</v>
      </c>
      <c r="E196" s="1" t="n">
        <v>46326</v>
      </c>
      <c r="F196" t="inlineStr">
        <is>
          <t>STOCKHOLMS LÄN</t>
        </is>
      </c>
      <c r="G196" t="inlineStr">
        <is>
          <t>NORRTÄLJE</t>
        </is>
      </c>
      <c r="H196" t="inlineStr">
        <is>
          <t>Övriga Aktiebolag</t>
        </is>
      </c>
      <c r="I196" t="n">
        <v>8.5</v>
      </c>
      <c r="J196" t="n">
        <v>3</v>
      </c>
      <c r="K196" t="n">
        <v>0</v>
      </c>
      <c r="L196" t="n">
        <v>1</v>
      </c>
      <c r="M196" t="n">
        <v>0</v>
      </c>
      <c r="N196" t="n">
        <v>0</v>
      </c>
      <c r="O196" t="n">
        <v>0</v>
      </c>
      <c r="P196" t="n">
        <v>0</v>
      </c>
      <c r="Q196" t="n">
        <v>1</v>
      </c>
      <c r="R196" t="n">
        <v>0</v>
      </c>
      <c r="S196" t="n">
        <v>4</v>
      </c>
      <c r="T196" t="n">
        <v>7</v>
      </c>
      <c r="U196" t="n">
        <v>0</v>
      </c>
      <c r="V196" s="2" t="inlineStr">
        <is>
          <t>Vårärt
Blåsippa
Tjäder
Fläcknycklar</t>
        </is>
      </c>
      <c r="W196">
        <f>HYPERLINK("https://klasma.github.io/Logging_0188/artfynd/A 29185-2025 artfynd.xlsx", "A 29185-2025")</f>
        <v/>
      </c>
      <c r="X196">
        <f>HYPERLINK("https://klasma.github.io/Logging_0188/kartor/A 29185-2025 karta.png", "A 29185-2025")</f>
        <v/>
      </c>
      <c r="Y196">
        <f>HYPERLINK("https://klasma.github.io/Logging_0188/kartor_geotiff/A 29185-2025 georefererad karta.tif", "A 29185-2025")</f>
        <v/>
      </c>
      <c r="AA196">
        <f>HYPERLINK("https://klasma.github.io/Logging_0188/klagomål/A 29185-2025 FSC-klagomål.docx", "A 29185-2025")</f>
        <v/>
      </c>
      <c r="AB196">
        <f>HYPERLINK("https://klasma.github.io/Logging_0188/klagomålsmail/A 29185-2025 FSC-klagomål mail.docx", "A 29185-2025")</f>
        <v/>
      </c>
      <c r="AC196">
        <f>HYPERLINK("https://klasma.github.io/Logging_0188/tillsyn/A 29185-2025 tillsynsbegäran.docx", "A 29185-2025")</f>
        <v/>
      </c>
      <c r="AD196">
        <f>HYPERLINK("https://klasma.github.io/Logging_0188/tillsynsmail/A 29185-2025 tillsynsbegäran mail.docx", "A 29185-2025")</f>
        <v/>
      </c>
      <c r="AE196">
        <f>HYPERLINK("https://klasma.github.io/Logging_0188/fåglar/A 29185-2025 prioriterade fågelarter.docx", "A 29185-2025")</f>
        <v/>
      </c>
    </row>
    <row r="197" ht="15" customHeight="1">
      <c r="A197" t="inlineStr">
        <is>
          <t>A 41276-2025</t>
        </is>
      </c>
      <c r="B197" t="inlineStr">
        <is>
          <t>avverkningsanmälan</t>
        </is>
      </c>
      <c r="C197" t="inlineStr">
        <is>
          <t>Avverkning för att bevara och utveckla /försöksver</t>
        </is>
      </c>
      <c r="D197" s="1" t="n">
        <v>45898</v>
      </c>
      <c r="E197" s="1" t="n">
        <v>46326</v>
      </c>
      <c r="F197" t="inlineStr">
        <is>
          <t>STOCKHOLMS LÄN</t>
        </is>
      </c>
      <c r="G197" t="inlineStr">
        <is>
          <t>NORRTÄLJE</t>
        </is>
      </c>
      <c r="I197" t="n">
        <v>3.2</v>
      </c>
      <c r="J197" t="n">
        <v>1</v>
      </c>
      <c r="K197" t="n">
        <v>1</v>
      </c>
      <c r="L197" t="n">
        <v>1</v>
      </c>
      <c r="M197" t="n">
        <v>0</v>
      </c>
      <c r="N197" t="n">
        <v>1</v>
      </c>
      <c r="O197" t="n">
        <v>0</v>
      </c>
      <c r="P197" t="n">
        <v>0</v>
      </c>
      <c r="Q197" t="n">
        <v>2</v>
      </c>
      <c r="R197" t="n">
        <v>1</v>
      </c>
      <c r="S197" t="n">
        <v>4</v>
      </c>
      <c r="T197" t="n">
        <v>6</v>
      </c>
      <c r="U197" t="n">
        <v>0</v>
      </c>
      <c r="V197" s="2" t="inlineStr">
        <is>
          <t>Ask
Vårärt
Underviol
Blåsippa</t>
        </is>
      </c>
      <c r="W197">
        <f>HYPERLINK("https://klasma.github.io/Logging_0188/artfynd/A 41276-2025 artfynd.xlsx", "A 41276-2025")</f>
        <v/>
      </c>
      <c r="X197">
        <f>HYPERLINK("https://klasma.github.io/Logging_0188/kartor/A 41276-2025 karta.png", "A 41276-2025")</f>
        <v/>
      </c>
      <c r="Y197">
        <f>HYPERLINK("https://klasma.github.io/Logging_0188/kartor_geotiff/A 41276-2025 georefererad karta.tif", "A 41276-2025")</f>
        <v/>
      </c>
      <c r="AA197">
        <f>HYPERLINK("https://klasma.github.io/Logging_0188/klagomål/A 41276-2025 FSC-klagomål.docx", "A 41276-2025")</f>
        <v/>
      </c>
      <c r="AB197">
        <f>HYPERLINK("https://klasma.github.io/Logging_0188/klagomålsmail/A 41276-2025 FSC-klagomål mail.docx", "A 41276-2025")</f>
        <v/>
      </c>
      <c r="AC197">
        <f>HYPERLINK("https://klasma.github.io/Logging_0188/tillsyn/A 41276-2025 tillsynsbegäran.docx", "A 41276-2025")</f>
        <v/>
      </c>
      <c r="AD197">
        <f>HYPERLINK("https://klasma.github.io/Logging_0188/tillsynsmail/A 41276-2025 tillsynsbegäran mail.docx", "A 41276-2025")</f>
        <v/>
      </c>
    </row>
    <row r="198" ht="15" customHeight="1">
      <c r="A198" t="inlineStr">
        <is>
          <t>A 30687-2025</t>
        </is>
      </c>
      <c r="B198" t="inlineStr">
        <is>
          <t>avverkningsanmälan</t>
        </is>
      </c>
      <c r="C198" t="inlineStr">
        <is>
          <t>Avverkning för att bevara och utveckla /försöksver</t>
        </is>
      </c>
      <c r="D198" s="1" t="n">
        <v>45831</v>
      </c>
      <c r="E198" s="1" t="n">
        <v>46326</v>
      </c>
      <c r="F198" t="inlineStr">
        <is>
          <t>STOCKHOLMS LÄN</t>
        </is>
      </c>
      <c r="G198" t="inlineStr">
        <is>
          <t>NORRTÄLJE</t>
        </is>
      </c>
      <c r="I198" t="n">
        <v>6.7</v>
      </c>
      <c r="J198" t="n">
        <v>1</v>
      </c>
      <c r="K198" t="n">
        <v>2</v>
      </c>
      <c r="L198" t="n">
        <v>1</v>
      </c>
      <c r="M198" t="n">
        <v>0</v>
      </c>
      <c r="N198" t="n">
        <v>0</v>
      </c>
      <c r="O198" t="n">
        <v>0</v>
      </c>
      <c r="P198" t="n">
        <v>0</v>
      </c>
      <c r="Q198" t="n">
        <v>1</v>
      </c>
      <c r="R198" t="n">
        <v>0</v>
      </c>
      <c r="S198" t="n">
        <v>4</v>
      </c>
      <c r="T198" t="n">
        <v>4</v>
      </c>
      <c r="U198" t="n">
        <v>0</v>
      </c>
      <c r="V198" s="2" t="inlineStr">
        <is>
          <t>Kandelabersvamp
Stinkbrosking
Svart trolldruva
Blåsippa</t>
        </is>
      </c>
      <c r="W198">
        <f>HYPERLINK("https://klasma.github.io/Logging_0188/artfynd/A 30687-2025 artfynd.xlsx", "A 30687-2025")</f>
        <v/>
      </c>
      <c r="X198">
        <f>HYPERLINK("https://klasma.github.io/Logging_0188/kartor/A 30687-2025 karta.png", "A 30687-2025")</f>
        <v/>
      </c>
      <c r="Y198">
        <f>HYPERLINK("https://klasma.github.io/Logging_0188/kartor_geotiff/A 30687-2025 georefererad karta.tif", "A 30687-2025")</f>
        <v/>
      </c>
      <c r="AA198">
        <f>HYPERLINK("https://klasma.github.io/Logging_0188/klagomål/A 30687-2025 FSC-klagomål.docx", "A 30687-2025")</f>
        <v/>
      </c>
      <c r="AB198">
        <f>HYPERLINK("https://klasma.github.io/Logging_0188/klagomålsmail/A 30687-2025 FSC-klagomål mail.docx", "A 30687-2025")</f>
        <v/>
      </c>
      <c r="AC198">
        <f>HYPERLINK("https://klasma.github.io/Logging_0188/tillsyn/A 30687-2025 tillsynsbegäran.docx", "A 30687-2025")</f>
        <v/>
      </c>
      <c r="AD198">
        <f>HYPERLINK("https://klasma.github.io/Logging_0188/tillsynsmail/A 30687-2025 tillsynsbegäran mail.docx", "A 30687-2025")</f>
        <v/>
      </c>
    </row>
    <row r="199" ht="15" customHeight="1">
      <c r="A199" t="inlineStr">
        <is>
          <t>A 72305-2021</t>
        </is>
      </c>
      <c r="B199" t="inlineStr">
        <is>
          <t>avverkningsanmälan</t>
        </is>
      </c>
      <c r="C199" t="inlineStr">
        <is>
          <t>Föryngringsavverkning</t>
        </is>
      </c>
      <c r="D199" s="1" t="n">
        <v>44545</v>
      </c>
      <c r="E199" s="1" t="n">
        <v>46326</v>
      </c>
      <c r="F199" t="inlineStr">
        <is>
          <t>STOCKHOLMS LÄN</t>
        </is>
      </c>
      <c r="G199" t="inlineStr">
        <is>
          <t>NORRTÄLJE</t>
        </is>
      </c>
      <c r="I199" t="n">
        <v>1.5</v>
      </c>
      <c r="J199" t="n">
        <v>1</v>
      </c>
      <c r="K199" t="n">
        <v>1</v>
      </c>
      <c r="L199" t="n">
        <v>2</v>
      </c>
      <c r="M199" t="n">
        <v>0</v>
      </c>
      <c r="N199" t="n">
        <v>0</v>
      </c>
      <c r="O199" t="n">
        <v>0</v>
      </c>
      <c r="P199" t="n">
        <v>0</v>
      </c>
      <c r="Q199" t="n">
        <v>2</v>
      </c>
      <c r="R199" t="n">
        <v>0</v>
      </c>
      <c r="S199" t="n">
        <v>4</v>
      </c>
      <c r="T199" t="n">
        <v>6</v>
      </c>
      <c r="U199" t="n">
        <v>0</v>
      </c>
      <c r="V199" s="2" t="inlineStr">
        <is>
          <t>Sårläka
Vårärt
Svart trolldruva
Blåsippa</t>
        </is>
      </c>
      <c r="W199">
        <f>HYPERLINK("https://klasma.github.io/Logging_0188/artfynd/A 72305-2021 artfynd.xlsx", "A 72305-2021")</f>
        <v/>
      </c>
      <c r="X199">
        <f>HYPERLINK("https://klasma.github.io/Logging_0188/kartor/A 72305-2021 karta.png", "A 72305-2021")</f>
        <v/>
      </c>
      <c r="Y199">
        <f>HYPERLINK("https://klasma.github.io/Logging_0188/kartor_geotiff/A 72305-2021 georefererad karta.tif", "A 72305-2021")</f>
        <v/>
      </c>
      <c r="AA199">
        <f>HYPERLINK("https://klasma.github.io/Logging_0188/klagomål/A 72305-2021 FSC-klagomål.docx", "A 72305-2021")</f>
        <v/>
      </c>
      <c r="AB199">
        <f>HYPERLINK("https://klasma.github.io/Logging_0188/klagomålsmail/A 72305-2021 FSC-klagomål mail.docx", "A 72305-2021")</f>
        <v/>
      </c>
      <c r="AC199">
        <f>HYPERLINK("https://klasma.github.io/Logging_0188/tillsyn/A 72305-2021 tillsynsbegäran.docx", "A 72305-2021")</f>
        <v/>
      </c>
      <c r="AD199">
        <f>HYPERLINK("https://klasma.github.io/Logging_0188/tillsynsmail/A 72305-2021 tillsynsbegäran mail.docx", "A 72305-2021")</f>
        <v/>
      </c>
    </row>
    <row r="200" ht="15" customHeight="1">
      <c r="A200" t="inlineStr">
        <is>
          <t>A 5233-2026</t>
        </is>
      </c>
      <c r="B200" t="inlineStr">
        <is>
          <t>avverkningsanmälan</t>
        </is>
      </c>
      <c r="C200" t="inlineStr">
        <is>
          <t>Föryngringsavverkning</t>
        </is>
      </c>
      <c r="D200" s="1" t="n">
        <v>46049</v>
      </c>
      <c r="E200" s="1" t="n">
        <v>46326</v>
      </c>
      <c r="F200" t="inlineStr">
        <is>
          <t>STOCKHOLMS LÄN</t>
        </is>
      </c>
      <c r="G200" t="inlineStr">
        <is>
          <t>NYNÄSHAMN</t>
        </is>
      </c>
      <c r="I200" t="n">
        <v>9</v>
      </c>
      <c r="J200" t="n">
        <v>4</v>
      </c>
      <c r="K200" t="n">
        <v>0</v>
      </c>
      <c r="L200" t="n">
        <v>0</v>
      </c>
      <c r="M200" t="n">
        <v>0</v>
      </c>
      <c r="N200" t="n">
        <v>0</v>
      </c>
      <c r="O200" t="n">
        <v>0</v>
      </c>
      <c r="P200" t="n">
        <v>0</v>
      </c>
      <c r="Q200" t="n">
        <v>0</v>
      </c>
      <c r="R200" t="n">
        <v>0</v>
      </c>
      <c r="S200" t="n">
        <v>4</v>
      </c>
      <c r="T200" t="n">
        <v>6</v>
      </c>
      <c r="U200" t="n">
        <v>6</v>
      </c>
      <c r="V200" s="2" t="inlineStr">
        <is>
          <t>Blåsippa
Spillkråka
Kråka
Skogsduva</t>
        </is>
      </c>
      <c r="W200">
        <f>HYPERLINK("https://klasma.github.io/Logging_0192/artfynd/A 5233-2026 artfynd.xlsx", "A 5233-2026")</f>
        <v/>
      </c>
      <c r="X200">
        <f>HYPERLINK("https://klasma.github.io/Logging_0192/kartor/A 5233-2026 karta.png", "A 5233-2026")</f>
        <v/>
      </c>
      <c r="Y200">
        <f>HYPERLINK("https://klasma.github.io/Logging_0192/kartor_geotiff/A 5233-2026 georefererad karta.tif", "A 5233-2026")</f>
        <v/>
      </c>
      <c r="AA200">
        <f>HYPERLINK("https://klasma.github.io/Logging_0192/klagomål/A 5233-2026 FSC-klagomål.docx", "A 5233-2026")</f>
        <v/>
      </c>
      <c r="AB200">
        <f>HYPERLINK("https://klasma.github.io/Logging_0192/klagomålsmail/A 5233-2026 FSC-klagomål mail.docx", "A 5233-2026")</f>
        <v/>
      </c>
      <c r="AC200">
        <f>HYPERLINK("https://klasma.github.io/Logging_0192/tillsyn/A 5233-2026 tillsynsbegäran.docx", "A 5233-2026")</f>
        <v/>
      </c>
      <c r="AD200">
        <f>HYPERLINK("https://klasma.github.io/Logging_0192/tillsynsmail/A 5233-2026 tillsynsbegäran mail.docx", "A 5233-2026")</f>
        <v/>
      </c>
      <c r="AE200">
        <f>HYPERLINK("https://klasma.github.io/Logging_0192/fåglar/A 5233-2026 prioriterade fågelarter.docx", "A 5233-2026")</f>
        <v/>
      </c>
    </row>
    <row r="201" ht="15" customHeight="1">
      <c r="A201" t="inlineStr">
        <is>
          <t>A 49850-2025</t>
        </is>
      </c>
      <c r="B201" t="inlineStr">
        <is>
          <t>avverkningsanmälan</t>
        </is>
      </c>
      <c r="C201" t="inlineStr">
        <is>
          <t>Föryngringsavverkning</t>
        </is>
      </c>
      <c r="D201" s="1" t="n">
        <v>45940</v>
      </c>
      <c r="E201" s="1" t="n">
        <v>46326</v>
      </c>
      <c r="F201" t="inlineStr">
        <is>
          <t>STOCKHOLMS LÄN</t>
        </is>
      </c>
      <c r="G201" t="inlineStr">
        <is>
          <t>SÖDERTÄLJE</t>
        </is>
      </c>
      <c r="H201" t="inlineStr">
        <is>
          <t>Sveaskog</t>
        </is>
      </c>
      <c r="I201" t="n">
        <v>4.1</v>
      </c>
      <c r="J201" t="n">
        <v>2</v>
      </c>
      <c r="K201" t="n">
        <v>1</v>
      </c>
      <c r="L201" t="n">
        <v>1</v>
      </c>
      <c r="M201" t="n">
        <v>0</v>
      </c>
      <c r="N201" t="n">
        <v>0</v>
      </c>
      <c r="O201" t="n">
        <v>0</v>
      </c>
      <c r="P201" t="n">
        <v>0</v>
      </c>
      <c r="Q201" t="n">
        <v>1</v>
      </c>
      <c r="R201" t="n">
        <v>0</v>
      </c>
      <c r="S201" t="n">
        <v>4</v>
      </c>
      <c r="T201" t="n">
        <v>4</v>
      </c>
      <c r="U201" t="n">
        <v>3</v>
      </c>
      <c r="V201" s="2" t="inlineStr">
        <is>
          <t>Vedskivlav
Strutbräken
Blåsippa
Mattlummer</t>
        </is>
      </c>
      <c r="W201">
        <f>HYPERLINK("https://klasma.github.io/Logging_0181/artfynd/A 49850-2025 artfynd.xlsx", "A 49850-2025")</f>
        <v/>
      </c>
      <c r="X201">
        <f>HYPERLINK("https://klasma.github.io/Logging_0181/kartor/A 49850-2025 karta.png", "A 49850-2025")</f>
        <v/>
      </c>
      <c r="Y201">
        <f>HYPERLINK("https://klasma.github.io/Logging_0181/kartor_geotiff/A 49850-2025 georefererad karta.tif", "A 49850-2025")</f>
        <v/>
      </c>
      <c r="AA201">
        <f>HYPERLINK("https://klasma.github.io/Logging_0181/klagomål/A 49850-2025 FSC-klagomål.docx", "A 49850-2025")</f>
        <v/>
      </c>
      <c r="AB201">
        <f>HYPERLINK("https://klasma.github.io/Logging_0181/klagomålsmail/A 49850-2025 FSC-klagomål mail.docx", "A 49850-2025")</f>
        <v/>
      </c>
      <c r="AC201">
        <f>HYPERLINK("https://klasma.github.io/Logging_0181/tillsyn/A 49850-2025 tillsynsbegäran.docx", "A 49850-2025")</f>
        <v/>
      </c>
      <c r="AD201">
        <f>HYPERLINK("https://klasma.github.io/Logging_0181/tillsynsmail/A 49850-2025 tillsynsbegäran mail.docx", "A 49850-2025")</f>
        <v/>
      </c>
    </row>
    <row r="202" ht="15" customHeight="1">
      <c r="A202" t="inlineStr">
        <is>
          <t>A 52791-2024</t>
        </is>
      </c>
      <c r="B202" t="inlineStr">
        <is>
          <t>avverkningsanmälan</t>
        </is>
      </c>
      <c r="C202" t="inlineStr">
        <is>
          <t>Föryngringsavverkning</t>
        </is>
      </c>
      <c r="D202" s="1" t="n">
        <v>45610</v>
      </c>
      <c r="E202" s="1" t="n">
        <v>46326</v>
      </c>
      <c r="F202" t="inlineStr">
        <is>
          <t>STOCKHOLMS LÄN</t>
        </is>
      </c>
      <c r="G202" t="inlineStr">
        <is>
          <t>SÖDERTÄLJE</t>
        </is>
      </c>
      <c r="I202" t="n">
        <v>0.7</v>
      </c>
      <c r="J202" t="n">
        <v>2</v>
      </c>
      <c r="K202" t="n">
        <v>2</v>
      </c>
      <c r="L202" t="n">
        <v>0</v>
      </c>
      <c r="M202" t="n">
        <v>1</v>
      </c>
      <c r="N202" t="n">
        <v>0</v>
      </c>
      <c r="O202" t="n">
        <v>0</v>
      </c>
      <c r="P202" t="n">
        <v>0</v>
      </c>
      <c r="Q202" t="n">
        <v>1</v>
      </c>
      <c r="R202" t="n">
        <v>1</v>
      </c>
      <c r="S202" t="n">
        <v>4</v>
      </c>
      <c r="T202" t="n">
        <v>21</v>
      </c>
      <c r="U202" t="n">
        <v>21</v>
      </c>
      <c r="V202" s="2" t="inlineStr">
        <is>
          <t>Knärot
Blomkålssvamp
Granbarkgnagare
Spillkråka</t>
        </is>
      </c>
      <c r="W202">
        <f>HYPERLINK("https://klasma.github.io/Logging_0181/artfynd/A 52791-2024 artfynd.xlsx", "A 52791-2024")</f>
        <v/>
      </c>
      <c r="X202">
        <f>HYPERLINK("https://klasma.github.io/Logging_0181/kartor/A 52791-2024 karta.png", "A 52791-2024")</f>
        <v/>
      </c>
      <c r="Y202">
        <f>HYPERLINK("https://klasma.github.io/Logging_0181/kartor_geotiff/A 52791-2024 georefererad karta.tif", "A 52791-2024")</f>
        <v/>
      </c>
      <c r="Z202">
        <f>HYPERLINK("https://klasma.github.io/Logging_0181/knärot/A 52791-2024 karta knärot.png", "A 52791-2024")</f>
        <v/>
      </c>
      <c r="AA202">
        <f>HYPERLINK("https://klasma.github.io/Logging_0181/klagomål/A 52791-2024 FSC-klagomål.docx", "A 52791-2024")</f>
        <v/>
      </c>
      <c r="AB202">
        <f>HYPERLINK("https://klasma.github.io/Logging_0181/klagomålsmail/A 52791-2024 FSC-klagomål mail.docx", "A 52791-2024")</f>
        <v/>
      </c>
      <c r="AC202">
        <f>HYPERLINK("https://klasma.github.io/Logging_0181/tillsyn/A 52791-2024 tillsynsbegäran.docx", "A 52791-2024")</f>
        <v/>
      </c>
      <c r="AD202">
        <f>HYPERLINK("https://klasma.github.io/Logging_0181/tillsynsmail/A 52791-2024 tillsynsbegäran mail.docx", "A 52791-2024")</f>
        <v/>
      </c>
      <c r="AE202">
        <f>HYPERLINK("https://klasma.github.io/Logging_0181/fåglar/A 52791-2024 prioriterade fågelarter.docx", "A 52791-2024")</f>
        <v/>
      </c>
    </row>
    <row r="203" ht="15" customHeight="1">
      <c r="A203" t="inlineStr">
        <is>
          <t>A 9205-2026</t>
        </is>
      </c>
      <c r="B203" t="inlineStr">
        <is>
          <t>avverkningsanmälan</t>
        </is>
      </c>
      <c r="C203" t="inlineStr">
        <is>
          <t>Föryngringsavverkning</t>
        </is>
      </c>
      <c r="D203" s="1" t="n">
        <v>46070</v>
      </c>
      <c r="E203" s="1" t="n">
        <v>46326</v>
      </c>
      <c r="F203" t="inlineStr">
        <is>
          <t>STOCKHOLMS LÄN</t>
        </is>
      </c>
      <c r="G203" t="inlineStr">
        <is>
          <t>SÖDERTÄLJE</t>
        </is>
      </c>
      <c r="I203" t="n">
        <v>6</v>
      </c>
      <c r="J203" t="n">
        <v>1</v>
      </c>
      <c r="K203" t="n">
        <v>2</v>
      </c>
      <c r="L203" t="n">
        <v>1</v>
      </c>
      <c r="M203" t="n">
        <v>0</v>
      </c>
      <c r="N203" t="n">
        <v>0</v>
      </c>
      <c r="O203" t="n">
        <v>0</v>
      </c>
      <c r="P203" t="n">
        <v>0</v>
      </c>
      <c r="Q203" t="n">
        <v>1</v>
      </c>
      <c r="R203" t="n">
        <v>0</v>
      </c>
      <c r="S203" t="n">
        <v>4</v>
      </c>
      <c r="T203" t="n">
        <v>4</v>
      </c>
      <c r="U203" t="n">
        <v>0</v>
      </c>
      <c r="V203" s="2" t="inlineStr">
        <is>
          <t>Dropptaggsvamp
Björksplintborre
Gullgröppa
Spillkråka</t>
        </is>
      </c>
      <c r="W203">
        <f>HYPERLINK("https://klasma.github.io/Logging_0181/artfynd/A 9205-2026 artfynd.xlsx", "A 9205-2026")</f>
        <v/>
      </c>
      <c r="X203">
        <f>HYPERLINK("https://klasma.github.io/Logging_0181/kartor/A 9205-2026 karta.png", "A 9205-2026")</f>
        <v/>
      </c>
      <c r="Y203">
        <f>HYPERLINK("https://klasma.github.io/Logging_0181/kartor_geotiff/A 9205-2026 georefererad karta.tif", "A 9205-2026")</f>
        <v/>
      </c>
      <c r="AA203">
        <f>HYPERLINK("https://klasma.github.io/Logging_0181/klagomål/A 9205-2026 FSC-klagomål.docx", "A 9205-2026")</f>
        <v/>
      </c>
      <c r="AB203">
        <f>HYPERLINK("https://klasma.github.io/Logging_0181/klagomålsmail/A 9205-2026 FSC-klagomål mail.docx", "A 9205-2026")</f>
        <v/>
      </c>
      <c r="AC203">
        <f>HYPERLINK("https://klasma.github.io/Logging_0181/tillsyn/A 9205-2026 tillsynsbegäran.docx", "A 9205-2026")</f>
        <v/>
      </c>
      <c r="AD203">
        <f>HYPERLINK("https://klasma.github.io/Logging_0181/tillsynsmail/A 9205-2026 tillsynsbegäran mail.docx", "A 9205-2026")</f>
        <v/>
      </c>
      <c r="AE203">
        <f>HYPERLINK("https://klasma.github.io/Logging_0181/fåglar/A 9205-2026 prioriterade fågelarter.docx", "A 9205-2026")</f>
        <v/>
      </c>
    </row>
    <row r="204" ht="15" customHeight="1">
      <c r="A204" t="inlineStr">
        <is>
          <t>A 17952-2022</t>
        </is>
      </c>
      <c r="B204" t="inlineStr">
        <is>
          <t>avverkningsanmälan</t>
        </is>
      </c>
      <c r="C204" t="inlineStr">
        <is>
          <t>Föryngringsavverkning</t>
        </is>
      </c>
      <c r="D204" s="1" t="n">
        <v>44683</v>
      </c>
      <c r="E204" s="1" t="n">
        <v>46326</v>
      </c>
      <c r="F204" t="inlineStr">
        <is>
          <t>STOCKHOLMS LÄN</t>
        </is>
      </c>
      <c r="G204" t="inlineStr">
        <is>
          <t>NORRTÄLJE</t>
        </is>
      </c>
      <c r="I204" t="n">
        <v>51.1</v>
      </c>
      <c r="J204" t="n">
        <v>3</v>
      </c>
      <c r="K204" t="n">
        <v>0</v>
      </c>
      <c r="L204" t="n">
        <v>2</v>
      </c>
      <c r="M204" t="n">
        <v>1</v>
      </c>
      <c r="N204" t="n">
        <v>0</v>
      </c>
      <c r="O204" t="n">
        <v>0</v>
      </c>
      <c r="P204" t="n">
        <v>0</v>
      </c>
      <c r="Q204" t="n">
        <v>3</v>
      </c>
      <c r="R204" t="n">
        <v>1</v>
      </c>
      <c r="S204" t="n">
        <v>4</v>
      </c>
      <c r="T204" t="n">
        <v>4</v>
      </c>
      <c r="U204" t="n">
        <v>4</v>
      </c>
      <c r="V204" s="2" t="inlineStr">
        <is>
          <t>Kattunvisslare
Mindre hackspett
Talltita
Revlummer</t>
        </is>
      </c>
      <c r="W204">
        <f>HYPERLINK("https://klasma.github.io/Logging_0188/artfynd/A 17952-2022 artfynd.xlsx", "A 17952-2022")</f>
        <v/>
      </c>
      <c r="X204">
        <f>HYPERLINK("https://klasma.github.io/Logging_0188/kartor/A 17952-2022 karta.png", "A 17952-2022")</f>
        <v/>
      </c>
      <c r="Y204">
        <f>HYPERLINK("https://klasma.github.io/Logging_0188/kartor_geotiff/A 17952-2022 georefererad karta.tif", "A 17952-2022")</f>
        <v/>
      </c>
      <c r="AA204">
        <f>HYPERLINK("https://klasma.github.io/Logging_0188/klagomål/A 17952-2022 FSC-klagomål.docx", "A 17952-2022")</f>
        <v/>
      </c>
      <c r="AB204">
        <f>HYPERLINK("https://klasma.github.io/Logging_0188/klagomålsmail/A 17952-2022 FSC-klagomål mail.docx", "A 17952-2022")</f>
        <v/>
      </c>
      <c r="AC204">
        <f>HYPERLINK("https://klasma.github.io/Logging_0188/tillsyn/A 17952-2022 tillsynsbegäran.docx", "A 17952-2022")</f>
        <v/>
      </c>
      <c r="AD204">
        <f>HYPERLINK("https://klasma.github.io/Logging_0188/tillsynsmail/A 17952-2022 tillsynsbegäran mail.docx", "A 17952-2022")</f>
        <v/>
      </c>
      <c r="AE204">
        <f>HYPERLINK("https://klasma.github.io/Logging_0188/fåglar/A 17952-2022 prioriterade fågelarter.docx", "A 17952-2022")</f>
        <v/>
      </c>
    </row>
    <row r="205" ht="15" customHeight="1">
      <c r="A205" t="inlineStr">
        <is>
          <t>A 27870-2022</t>
        </is>
      </c>
      <c r="B205" t="inlineStr">
        <is>
          <t>avverkningsanmälan</t>
        </is>
      </c>
      <c r="C205" t="inlineStr">
        <is>
          <t>Föryngringsavverkning</t>
        </is>
      </c>
      <c r="D205" s="1" t="n">
        <v>44743</v>
      </c>
      <c r="E205" s="1" t="n">
        <v>46326</v>
      </c>
      <c r="F205" t="inlineStr">
        <is>
          <t>STOCKHOLMS LÄN</t>
        </is>
      </c>
      <c r="G205" t="inlineStr">
        <is>
          <t>NORRTÄLJE</t>
        </is>
      </c>
      <c r="H205" t="inlineStr">
        <is>
          <t>Holmen skog AB</t>
        </is>
      </c>
      <c r="I205" t="n">
        <v>1.8</v>
      </c>
      <c r="J205" t="n">
        <v>3</v>
      </c>
      <c r="K205" t="n">
        <v>0</v>
      </c>
      <c r="L205" t="n">
        <v>1</v>
      </c>
      <c r="M205" t="n">
        <v>0</v>
      </c>
      <c r="N205" t="n">
        <v>1</v>
      </c>
      <c r="O205" t="n">
        <v>0</v>
      </c>
      <c r="P205" t="n">
        <v>0</v>
      </c>
      <c r="Q205" t="n">
        <v>2</v>
      </c>
      <c r="R205" t="n">
        <v>1</v>
      </c>
      <c r="S205" t="n">
        <v>4</v>
      </c>
      <c r="T205" t="n">
        <v>4</v>
      </c>
      <c r="U205" t="n">
        <v>4</v>
      </c>
      <c r="V205" s="2" t="inlineStr">
        <is>
          <t>Ask
Nordfladdermus
Dvärgpipistrell
Större brunfladdermus</t>
        </is>
      </c>
      <c r="W205">
        <f>HYPERLINK("https://klasma.github.io/Logging_0188/artfynd/A 27870-2022 artfynd.xlsx", "A 27870-2022")</f>
        <v/>
      </c>
      <c r="X205">
        <f>HYPERLINK("https://klasma.github.io/Logging_0188/kartor/A 27870-2022 karta.png", "A 27870-2022")</f>
        <v/>
      </c>
      <c r="Y205">
        <f>HYPERLINK("https://klasma.github.io/Logging_0188/kartor_geotiff/A 27870-2022 georefererad karta.tif", "A 27870-2022")</f>
        <v/>
      </c>
      <c r="AA205">
        <f>HYPERLINK("https://klasma.github.io/Logging_0188/klagomål/A 27870-2022 FSC-klagomål.docx", "A 27870-2022")</f>
        <v/>
      </c>
      <c r="AB205">
        <f>HYPERLINK("https://klasma.github.io/Logging_0188/klagomålsmail/A 27870-2022 FSC-klagomål mail.docx", "A 27870-2022")</f>
        <v/>
      </c>
      <c r="AC205">
        <f>HYPERLINK("https://klasma.github.io/Logging_0188/tillsyn/A 27870-2022 tillsynsbegäran.docx", "A 27870-2022")</f>
        <v/>
      </c>
      <c r="AD205">
        <f>HYPERLINK("https://klasma.github.io/Logging_0188/tillsynsmail/A 27870-2022 tillsynsbegäran mail.docx", "A 27870-2022")</f>
        <v/>
      </c>
    </row>
    <row r="206" ht="15" customHeight="1">
      <c r="A206" t="inlineStr">
        <is>
          <t>A 51980-2022</t>
        </is>
      </c>
      <c r="B206" t="inlineStr">
        <is>
          <t>avverkningsanmälan</t>
        </is>
      </c>
      <c r="C206" t="inlineStr">
        <is>
          <t>Föryngringsavverkning</t>
        </is>
      </c>
      <c r="D206" s="1" t="n">
        <v>44872</v>
      </c>
      <c r="E206" s="1" t="n">
        <v>46326</v>
      </c>
      <c r="F206" t="inlineStr">
        <is>
          <t>STOCKHOLMS LÄN</t>
        </is>
      </c>
      <c r="G206" t="inlineStr">
        <is>
          <t>NORRTÄLJE</t>
        </is>
      </c>
      <c r="I206" t="n">
        <v>7.9</v>
      </c>
      <c r="J206" t="n">
        <v>2</v>
      </c>
      <c r="K206" t="n">
        <v>4</v>
      </c>
      <c r="L206" t="n">
        <v>0</v>
      </c>
      <c r="M206" t="n">
        <v>0</v>
      </c>
      <c r="N206" t="n">
        <v>0</v>
      </c>
      <c r="O206" t="n">
        <v>0</v>
      </c>
      <c r="P206" t="n">
        <v>0</v>
      </c>
      <c r="Q206" t="n">
        <v>0</v>
      </c>
      <c r="R206" t="n">
        <v>0</v>
      </c>
      <c r="S206" t="n">
        <v>4</v>
      </c>
      <c r="T206" t="n">
        <v>6</v>
      </c>
      <c r="U206" t="n">
        <v>2</v>
      </c>
      <c r="V206" s="2" t="inlineStr">
        <is>
          <t>Rödgul trumpetsvamp
Skogsknipprot
Trådfräken
Tvåblad</t>
        </is>
      </c>
      <c r="W206">
        <f>HYPERLINK("https://klasma.github.io/Logging_0188/artfynd/A 51980-2022 artfynd.xlsx", "A 51980-2022")</f>
        <v/>
      </c>
      <c r="X206">
        <f>HYPERLINK("https://klasma.github.io/Logging_0188/kartor/A 51980-2022 karta.png", "A 51980-2022")</f>
        <v/>
      </c>
      <c r="Y206">
        <f>HYPERLINK("https://klasma.github.io/Logging_0188/kartor_geotiff/A 51980-2022 georefererad karta.tif", "A 51980-2022")</f>
        <v/>
      </c>
      <c r="AA206">
        <f>HYPERLINK("https://klasma.github.io/Logging_0188/klagomål/A 51980-2022 FSC-klagomål.docx", "A 51980-2022")</f>
        <v/>
      </c>
      <c r="AB206">
        <f>HYPERLINK("https://klasma.github.io/Logging_0188/klagomålsmail/A 51980-2022 FSC-klagomål mail.docx", "A 51980-2022")</f>
        <v/>
      </c>
      <c r="AC206">
        <f>HYPERLINK("https://klasma.github.io/Logging_0188/tillsyn/A 51980-2022 tillsynsbegäran.docx", "A 51980-2022")</f>
        <v/>
      </c>
      <c r="AD206">
        <f>HYPERLINK("https://klasma.github.io/Logging_0188/tillsynsmail/A 51980-2022 tillsynsbegäran mail.docx", "A 51980-2022")</f>
        <v/>
      </c>
    </row>
    <row r="207" ht="15" customHeight="1">
      <c r="A207" t="inlineStr">
        <is>
          <t>A 3914-2023</t>
        </is>
      </c>
      <c r="B207" t="inlineStr">
        <is>
          <t>avverkningsanmälan</t>
        </is>
      </c>
      <c r="C207" t="inlineStr">
        <is>
          <t>Föryngringsavverkning</t>
        </is>
      </c>
      <c r="D207" s="1" t="n">
        <v>44952</v>
      </c>
      <c r="E207" s="1" t="n">
        <v>46326</v>
      </c>
      <c r="F207" t="inlineStr">
        <is>
          <t>STOCKHOLMS LÄN</t>
        </is>
      </c>
      <c r="G207" t="inlineStr">
        <is>
          <t>ÖSTERÅKER</t>
        </is>
      </c>
      <c r="H207" t="inlineStr">
        <is>
          <t>Kommuner</t>
        </is>
      </c>
      <c r="I207" t="n">
        <v>15.3</v>
      </c>
      <c r="J207" t="n">
        <v>4</v>
      </c>
      <c r="K207" t="n">
        <v>0</v>
      </c>
      <c r="L207" t="n">
        <v>1</v>
      </c>
      <c r="M207" t="n">
        <v>0</v>
      </c>
      <c r="N207" t="n">
        <v>0</v>
      </c>
      <c r="O207" t="n">
        <v>0</v>
      </c>
      <c r="P207" t="n">
        <v>0</v>
      </c>
      <c r="Q207" t="n">
        <v>1</v>
      </c>
      <c r="R207" t="n">
        <v>0</v>
      </c>
      <c r="S207" t="n">
        <v>4</v>
      </c>
      <c r="T207" t="n">
        <v>7</v>
      </c>
      <c r="U207" t="n">
        <v>1</v>
      </c>
      <c r="V207" s="2" t="inlineStr">
        <is>
          <t>Järnsparv
Gröngöling
Kråka
Kungsfågel</t>
        </is>
      </c>
      <c r="W207">
        <f>HYPERLINK("https://klasma.github.io/Logging_0117/artfynd/A 3914-2023 artfynd.xlsx", "A 3914-2023")</f>
        <v/>
      </c>
      <c r="X207">
        <f>HYPERLINK("https://klasma.github.io/Logging_0117/kartor/A 3914-2023 karta.png", "A 3914-2023")</f>
        <v/>
      </c>
      <c r="Y207">
        <f>HYPERLINK("https://klasma.github.io/Logging_0117/kartor_geotiff/A 3914-2023 georefererad karta.tif", "A 3914-2023")</f>
        <v/>
      </c>
      <c r="AA207">
        <f>HYPERLINK("https://klasma.github.io/Logging_0117/klagomål/A 3914-2023 FSC-klagomål.docx", "A 3914-2023")</f>
        <v/>
      </c>
      <c r="AB207">
        <f>HYPERLINK("https://klasma.github.io/Logging_0117/klagomålsmail/A 3914-2023 FSC-klagomål mail.docx", "A 3914-2023")</f>
        <v/>
      </c>
      <c r="AC207">
        <f>HYPERLINK("https://klasma.github.io/Logging_0117/tillsyn/A 3914-2023 tillsynsbegäran.docx", "A 3914-2023")</f>
        <v/>
      </c>
      <c r="AD207">
        <f>HYPERLINK("https://klasma.github.io/Logging_0117/tillsynsmail/A 3914-2023 tillsynsbegäran mail.docx", "A 3914-2023")</f>
        <v/>
      </c>
      <c r="AE207">
        <f>HYPERLINK("https://klasma.github.io/Logging_0117/fåglar/A 3914-2023 prioriterade fågelarter.docx", "A 3914-2023")</f>
        <v/>
      </c>
    </row>
    <row r="208" ht="15" customHeight="1">
      <c r="A208" t="inlineStr">
        <is>
          <t>A 14771-2022</t>
        </is>
      </c>
      <c r="B208" t="inlineStr">
        <is>
          <t>avverkningsanmälan</t>
        </is>
      </c>
      <c r="C208" t="inlineStr">
        <is>
          <t>Föryngringsavverkning</t>
        </is>
      </c>
      <c r="D208" s="1" t="n">
        <v>44656</v>
      </c>
      <c r="E208" s="1" t="n">
        <v>46326</v>
      </c>
      <c r="F208" t="inlineStr">
        <is>
          <t>STOCKHOLMS LÄN</t>
        </is>
      </c>
      <c r="G208" t="inlineStr">
        <is>
          <t>SÖDERTÄLJE</t>
        </is>
      </c>
      <c r="I208" t="n">
        <v>3.8</v>
      </c>
      <c r="J208" t="n">
        <v>3</v>
      </c>
      <c r="K208" t="n">
        <v>1</v>
      </c>
      <c r="L208" t="n">
        <v>0</v>
      </c>
      <c r="M208" t="n">
        <v>0</v>
      </c>
      <c r="N208" t="n">
        <v>0</v>
      </c>
      <c r="O208" t="n">
        <v>0</v>
      </c>
      <c r="P208" t="n">
        <v>0</v>
      </c>
      <c r="Q208" t="n">
        <v>0</v>
      </c>
      <c r="R208" t="n">
        <v>0</v>
      </c>
      <c r="S208" t="n">
        <v>4</v>
      </c>
      <c r="T208" t="n">
        <v>5</v>
      </c>
      <c r="U208" t="n">
        <v>0</v>
      </c>
      <c r="V208" s="2" t="inlineStr">
        <is>
          <t>Grönpyrola
Vanlig groda
Vanlig padda
Revlummer</t>
        </is>
      </c>
      <c r="W208">
        <f>HYPERLINK("https://klasma.github.io/Logging_0181/artfynd/A 14771-2022 artfynd.xlsx", "A 14771-2022")</f>
        <v/>
      </c>
      <c r="X208">
        <f>HYPERLINK("https://klasma.github.io/Logging_0181/kartor/A 14771-2022 karta.png", "A 14771-2022")</f>
        <v/>
      </c>
      <c r="Y208">
        <f>HYPERLINK("https://klasma.github.io/Logging_0181/kartor_geotiff/A 14771-2022 georefererad karta.tif", "A 14771-2022")</f>
        <v/>
      </c>
      <c r="AA208">
        <f>HYPERLINK("https://klasma.github.io/Logging_0181/klagomål/A 14771-2022 FSC-klagomål.docx", "A 14771-2022")</f>
        <v/>
      </c>
      <c r="AB208">
        <f>HYPERLINK("https://klasma.github.io/Logging_0181/klagomålsmail/A 14771-2022 FSC-klagomål mail.docx", "A 14771-2022")</f>
        <v/>
      </c>
      <c r="AC208">
        <f>HYPERLINK("https://klasma.github.io/Logging_0181/tillsyn/A 14771-2022 tillsynsbegäran.docx", "A 14771-2022")</f>
        <v/>
      </c>
      <c r="AD208">
        <f>HYPERLINK("https://klasma.github.io/Logging_0181/tillsynsmail/A 14771-2022 tillsynsbegäran mail.docx", "A 14771-2022")</f>
        <v/>
      </c>
    </row>
    <row r="209" ht="15" customHeight="1">
      <c r="A209" t="inlineStr">
        <is>
          <t>A 47898-2022</t>
        </is>
      </c>
      <c r="B209" t="inlineStr">
        <is>
          <t>avverkningsanmälan</t>
        </is>
      </c>
      <c r="C209" t="inlineStr">
        <is>
          <t>Föryngringsavverkning</t>
        </is>
      </c>
      <c r="D209" s="1" t="n">
        <v>44855</v>
      </c>
      <c r="E209" s="1" t="n">
        <v>46326</v>
      </c>
      <c r="F209" t="inlineStr">
        <is>
          <t>STOCKHOLMS LÄN</t>
        </is>
      </c>
      <c r="G209" t="inlineStr">
        <is>
          <t>NORRTÄLJE</t>
        </is>
      </c>
      <c r="I209" t="n">
        <v>6.7</v>
      </c>
      <c r="J209" t="n">
        <v>2</v>
      </c>
      <c r="K209" t="n">
        <v>1</v>
      </c>
      <c r="L209" t="n">
        <v>1</v>
      </c>
      <c r="M209" t="n">
        <v>2</v>
      </c>
      <c r="N209" t="n">
        <v>0</v>
      </c>
      <c r="O209" t="n">
        <v>0</v>
      </c>
      <c r="P209" t="n">
        <v>0</v>
      </c>
      <c r="Q209" t="n">
        <v>3</v>
      </c>
      <c r="R209" t="n">
        <v>2</v>
      </c>
      <c r="S209" t="n">
        <v>4</v>
      </c>
      <c r="T209" t="n">
        <v>6</v>
      </c>
      <c r="U209" t="n">
        <v>3</v>
      </c>
      <c r="V209" s="2" t="inlineStr">
        <is>
          <t>Hällebräcka
Mindre bastardsvärmare
Backklöver
Guckusko</t>
        </is>
      </c>
      <c r="W209">
        <f>HYPERLINK("https://klasma.github.io/Logging_0188/artfynd/A 47898-2022 artfynd.xlsx", "A 47898-2022")</f>
        <v/>
      </c>
      <c r="X209">
        <f>HYPERLINK("https://klasma.github.io/Logging_0188/kartor/A 47898-2022 karta.png", "A 47898-2022")</f>
        <v/>
      </c>
      <c r="Y209">
        <f>HYPERLINK("https://klasma.github.io/Logging_0188/kartor_geotiff/A 47898-2022 georefererad karta.tif", "A 47898-2022")</f>
        <v/>
      </c>
      <c r="AA209">
        <f>HYPERLINK("https://klasma.github.io/Logging_0188/klagomål/A 47898-2022 FSC-klagomål.docx", "A 47898-2022")</f>
        <v/>
      </c>
      <c r="AB209">
        <f>HYPERLINK("https://klasma.github.io/Logging_0188/klagomålsmail/A 47898-2022 FSC-klagomål mail.docx", "A 47898-2022")</f>
        <v/>
      </c>
      <c r="AC209">
        <f>HYPERLINK("https://klasma.github.io/Logging_0188/tillsyn/A 47898-2022 tillsynsbegäran.docx", "A 47898-2022")</f>
        <v/>
      </c>
      <c r="AD209">
        <f>HYPERLINK("https://klasma.github.io/Logging_0188/tillsynsmail/A 47898-2022 tillsynsbegäran mail.docx", "A 47898-2022")</f>
        <v/>
      </c>
    </row>
    <row r="210" ht="15" customHeight="1">
      <c r="A210" t="inlineStr">
        <is>
          <t>A 48658-2022</t>
        </is>
      </c>
      <c r="B210" t="inlineStr">
        <is>
          <t>avverkningsanmälan</t>
        </is>
      </c>
      <c r="C210" t="inlineStr">
        <is>
          <t>Föryngringsavverkning</t>
        </is>
      </c>
      <c r="D210" s="1" t="n">
        <v>44859</v>
      </c>
      <c r="E210" s="1" t="n">
        <v>46326</v>
      </c>
      <c r="F210" t="inlineStr">
        <is>
          <t>STOCKHOLMS LÄN</t>
        </is>
      </c>
      <c r="G210" t="inlineStr">
        <is>
          <t>VÄRMDÖ</t>
        </is>
      </c>
      <c r="I210" t="n">
        <v>4.2</v>
      </c>
      <c r="J210" t="n">
        <v>0</v>
      </c>
      <c r="K210" t="n">
        <v>1</v>
      </c>
      <c r="L210" t="n">
        <v>2</v>
      </c>
      <c r="M210" t="n">
        <v>0</v>
      </c>
      <c r="N210" t="n">
        <v>1</v>
      </c>
      <c r="O210" t="n">
        <v>0</v>
      </c>
      <c r="P210" t="n">
        <v>0</v>
      </c>
      <c r="Q210" t="n">
        <v>3</v>
      </c>
      <c r="R210" t="n">
        <v>1</v>
      </c>
      <c r="S210" t="n">
        <v>4</v>
      </c>
      <c r="T210" t="n">
        <v>5</v>
      </c>
      <c r="U210" t="n">
        <v>5</v>
      </c>
      <c r="V210" s="2" t="inlineStr">
        <is>
          <t>Ruttaggsvamp
Svartvit taggsvamp
Tallticka
Stor aspticka</t>
        </is>
      </c>
      <c r="W210">
        <f>HYPERLINK("https://klasma.github.io/Logging_0120/artfynd/A 48658-2022 artfynd.xlsx", "A 48658-2022")</f>
        <v/>
      </c>
      <c r="X210">
        <f>HYPERLINK("https://klasma.github.io/Logging_0120/kartor/A 48658-2022 karta.png", "A 48658-2022")</f>
        <v/>
      </c>
      <c r="Y210">
        <f>HYPERLINK("https://klasma.github.io/Logging_0120/kartor_geotiff/A 48658-2022 georefererad karta.tif", "A 48658-2022")</f>
        <v/>
      </c>
      <c r="AA210">
        <f>HYPERLINK("https://klasma.github.io/Logging_0120/klagomål/A 48658-2022 FSC-klagomål.docx", "A 48658-2022")</f>
        <v/>
      </c>
      <c r="AB210">
        <f>HYPERLINK("https://klasma.github.io/Logging_0120/klagomålsmail/A 48658-2022 FSC-klagomål mail.docx", "A 48658-2022")</f>
        <v/>
      </c>
      <c r="AC210">
        <f>HYPERLINK("https://klasma.github.io/Logging_0120/tillsyn/A 48658-2022 tillsynsbegäran.docx", "A 48658-2022")</f>
        <v/>
      </c>
      <c r="AD210">
        <f>HYPERLINK("https://klasma.github.io/Logging_0120/tillsynsmail/A 48658-2022 tillsynsbegäran mail.docx", "A 48658-2022")</f>
        <v/>
      </c>
    </row>
    <row r="211" ht="15" customHeight="1">
      <c r="A211" t="inlineStr">
        <is>
          <t>A 14220-2025</t>
        </is>
      </c>
      <c r="B211" t="inlineStr">
        <is>
          <t>avverkningsanmälan</t>
        </is>
      </c>
      <c r="C211" t="inlineStr">
        <is>
          <t>Föryngringsavverkning</t>
        </is>
      </c>
      <c r="D211" s="1" t="n">
        <v>45740</v>
      </c>
      <c r="E211" s="1" t="n">
        <v>46326</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52261-2022</t>
        </is>
      </c>
      <c r="B212" t="inlineStr">
        <is>
          <t>avverkningsanmälan</t>
        </is>
      </c>
      <c r="C212" t="inlineStr">
        <is>
          <t>Föryngringsavverkning</t>
        </is>
      </c>
      <c r="D212" s="1" t="n">
        <v>44873</v>
      </c>
      <c r="E212" s="1" t="n">
        <v>46326</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t="n">
        <v>9</v>
      </c>
      <c r="V212" s="2" t="inlineStr">
        <is>
          <t>Tallticka
Vedskivlav
Hasselticka
Blåsippa</t>
        </is>
      </c>
      <c r="W212">
        <f>HYPERLINK("https://klasma.github.io/Logging_0192/artfynd/A 52261-2022 artfynd.xlsx", "A 52261-2022")</f>
        <v/>
      </c>
      <c r="X212">
        <f>HYPERLINK("https://klasma.github.io/Logging_0192/kartor/A 52261-2022 karta.png", "A 52261-2022")</f>
        <v/>
      </c>
      <c r="Y212">
        <f>HYPERLINK("https://klasma.github.io/Logging_0192/kartor_geotiff/A 52261-2022 georefererad karta.tif", "A 52261-2022")</f>
        <v/>
      </c>
      <c r="AA212">
        <f>HYPERLINK("https://klasma.github.io/Logging_0192/klagomål/A 52261-2022 FSC-klagomål.docx", "A 52261-2022")</f>
        <v/>
      </c>
      <c r="AB212">
        <f>HYPERLINK("https://klasma.github.io/Logging_0192/klagomålsmail/A 52261-2022 FSC-klagomål mail.docx", "A 52261-2022")</f>
        <v/>
      </c>
      <c r="AC212">
        <f>HYPERLINK("https://klasma.github.io/Logging_0192/tillsyn/A 52261-2022 tillsynsbegäran.docx", "A 52261-2022")</f>
        <v/>
      </c>
      <c r="AD212">
        <f>HYPERLINK("https://klasma.github.io/Logging_0192/tillsynsmail/A 52261-2022 tillsynsbegäran mail.docx", "A 52261-2022")</f>
        <v/>
      </c>
    </row>
    <row r="213" ht="15" customHeight="1">
      <c r="A213" t="inlineStr">
        <is>
          <t>A 61302-2022</t>
        </is>
      </c>
      <c r="B213" t="inlineStr">
        <is>
          <t>avverkningsanmälan</t>
        </is>
      </c>
      <c r="C213" t="inlineStr">
        <is>
          <t>Föryngringsavverkning</t>
        </is>
      </c>
      <c r="D213" s="1" t="n">
        <v>44915</v>
      </c>
      <c r="E213" s="1" t="n">
        <v>46326</v>
      </c>
      <c r="F213" t="inlineStr">
        <is>
          <t>STOCKHOLMS LÄN</t>
        </is>
      </c>
      <c r="G213" t="inlineStr">
        <is>
          <t>SALEM</t>
        </is>
      </c>
      <c r="H213" t="inlineStr">
        <is>
          <t>Kommuner</t>
        </is>
      </c>
      <c r="I213" t="n">
        <v>14.8</v>
      </c>
      <c r="J213" t="n">
        <v>0</v>
      </c>
      <c r="K213" t="n">
        <v>2</v>
      </c>
      <c r="L213" t="n">
        <v>2</v>
      </c>
      <c r="M213" t="n">
        <v>0</v>
      </c>
      <c r="N213" t="n">
        <v>0</v>
      </c>
      <c r="O213" t="n">
        <v>0</v>
      </c>
      <c r="P213" t="n">
        <v>0</v>
      </c>
      <c r="Q213" t="n">
        <v>2</v>
      </c>
      <c r="R213" t="n">
        <v>0</v>
      </c>
      <c r="S213" t="n">
        <v>4</v>
      </c>
      <c r="T213" t="n">
        <v>4</v>
      </c>
      <c r="U213" t="n">
        <v>4</v>
      </c>
      <c r="V213" s="2" t="inlineStr">
        <is>
          <t>Tallticka
Ullticka
Trådticka
Zontaggsvamp</t>
        </is>
      </c>
      <c r="W213">
        <f>HYPERLINK("https://klasma.github.io/Logging_0128/artfynd/A 61302-2022 artfynd.xlsx", "A 61302-2022")</f>
        <v/>
      </c>
      <c r="X213">
        <f>HYPERLINK("https://klasma.github.io/Logging_0128/kartor/A 61302-2022 karta.png", "A 61302-2022")</f>
        <v/>
      </c>
      <c r="Y213">
        <f>HYPERLINK("https://klasma.github.io/Logging_0128/kartor_geotiff/A 61302-2022 georefererad karta.tif", "A 61302-2022")</f>
        <v/>
      </c>
      <c r="AA213">
        <f>HYPERLINK("https://klasma.github.io/Logging_0128/klagomål/A 61302-2022 FSC-klagomål.docx", "A 61302-2022")</f>
        <v/>
      </c>
      <c r="AB213">
        <f>HYPERLINK("https://klasma.github.io/Logging_0128/klagomålsmail/A 61302-2022 FSC-klagomål mail.docx", "A 61302-2022")</f>
        <v/>
      </c>
      <c r="AC213">
        <f>HYPERLINK("https://klasma.github.io/Logging_0128/tillsyn/A 61302-2022 tillsynsbegäran.docx", "A 61302-2022")</f>
        <v/>
      </c>
      <c r="AD213">
        <f>HYPERLINK("https://klasma.github.io/Logging_0128/tillsynsmail/A 61302-2022 tillsynsbegäran mail.docx", "A 61302-2022")</f>
        <v/>
      </c>
    </row>
    <row r="214" ht="15" customHeight="1">
      <c r="A214" t="inlineStr">
        <is>
          <t>A 62320-2023</t>
        </is>
      </c>
      <c r="B214" t="inlineStr">
        <is>
          <t>avverkningsanmälan</t>
        </is>
      </c>
      <c r="C214" t="inlineStr">
        <is>
          <t>Föryngringsavverkning</t>
        </is>
      </c>
      <c r="D214" s="1" t="n">
        <v>45267</v>
      </c>
      <c r="E214" s="1" t="n">
        <v>46326</v>
      </c>
      <c r="F214" t="inlineStr">
        <is>
          <t>STOCKHOLMS LÄN</t>
        </is>
      </c>
      <c r="G214" t="inlineStr">
        <is>
          <t>SÖDERTÄLJE</t>
        </is>
      </c>
      <c r="I214" t="n">
        <v>2.9</v>
      </c>
      <c r="J214" t="n">
        <v>0</v>
      </c>
      <c r="K214" t="n">
        <v>2</v>
      </c>
      <c r="L214" t="n">
        <v>2</v>
      </c>
      <c r="M214" t="n">
        <v>0</v>
      </c>
      <c r="N214" t="n">
        <v>0</v>
      </c>
      <c r="O214" t="n">
        <v>0</v>
      </c>
      <c r="P214" t="n">
        <v>0</v>
      </c>
      <c r="Q214" t="n">
        <v>2</v>
      </c>
      <c r="R214" t="n">
        <v>0</v>
      </c>
      <c r="S214" t="n">
        <v>4</v>
      </c>
      <c r="T214" t="n">
        <v>4</v>
      </c>
      <c r="U214" t="n">
        <v>4</v>
      </c>
      <c r="V214" s="2" t="inlineStr">
        <is>
          <t>Motaggsvamp
Vedskivlav
Björksplintborre
Jättesvampmal</t>
        </is>
      </c>
      <c r="W214">
        <f>HYPERLINK("https://klasma.github.io/Logging_0181/artfynd/A 62320-2023 artfynd.xlsx", "A 62320-2023")</f>
        <v/>
      </c>
      <c r="X214">
        <f>HYPERLINK("https://klasma.github.io/Logging_0181/kartor/A 62320-2023 karta.png", "A 62320-2023")</f>
        <v/>
      </c>
      <c r="Y214">
        <f>HYPERLINK("https://klasma.github.io/Logging_0181/kartor_geotiff/A 62320-2023 georefererad karta.tif", "A 62320-2023")</f>
        <v/>
      </c>
      <c r="AA214">
        <f>HYPERLINK("https://klasma.github.io/Logging_0181/klagomål/A 62320-2023 FSC-klagomål.docx", "A 62320-2023")</f>
        <v/>
      </c>
      <c r="AB214">
        <f>HYPERLINK("https://klasma.github.io/Logging_0181/klagomålsmail/A 62320-2023 FSC-klagomål mail.docx", "A 62320-2023")</f>
        <v/>
      </c>
      <c r="AC214">
        <f>HYPERLINK("https://klasma.github.io/Logging_0181/tillsyn/A 62320-2023 tillsynsbegäran.docx", "A 62320-2023")</f>
        <v/>
      </c>
      <c r="AD214">
        <f>HYPERLINK("https://klasma.github.io/Logging_0181/tillsynsmail/A 62320-2023 tillsynsbegäran mail.docx", "A 62320-2023")</f>
        <v/>
      </c>
    </row>
    <row r="215" ht="15" customHeight="1">
      <c r="A215" t="inlineStr">
        <is>
          <t>A 31523-2022</t>
        </is>
      </c>
      <c r="B215" t="inlineStr">
        <is>
          <t>avverkningsanmälan</t>
        </is>
      </c>
      <c r="C215" t="inlineStr">
        <is>
          <t>Föryngringsavverkning</t>
        </is>
      </c>
      <c r="D215" s="1" t="n">
        <v>44775</v>
      </c>
      <c r="E215" s="1" t="n">
        <v>46326</v>
      </c>
      <c r="F215" t="inlineStr">
        <is>
          <t>STOCKHOLMS LÄN</t>
        </is>
      </c>
      <c r="G215" t="inlineStr">
        <is>
          <t>ÖSTERÅKER</t>
        </is>
      </c>
      <c r="I215" t="n">
        <v>9</v>
      </c>
      <c r="J215" t="n">
        <v>1</v>
      </c>
      <c r="K215" t="n">
        <v>0</v>
      </c>
      <c r="L215" t="n">
        <v>1</v>
      </c>
      <c r="M215" t="n">
        <v>2</v>
      </c>
      <c r="N215" t="n">
        <v>0</v>
      </c>
      <c r="O215" t="n">
        <v>0</v>
      </c>
      <c r="P215" t="n">
        <v>0</v>
      </c>
      <c r="Q215" t="n">
        <v>3</v>
      </c>
      <c r="R215" t="n">
        <v>2</v>
      </c>
      <c r="S215" t="n">
        <v>4</v>
      </c>
      <c r="T215" t="n">
        <v>5</v>
      </c>
      <c r="U215" t="n">
        <v>5</v>
      </c>
      <c r="V215" s="2" t="inlineStr">
        <is>
          <t>Aspgelélav
Garnlav
Tallticka
Tjäder</t>
        </is>
      </c>
      <c r="W215">
        <f>HYPERLINK("https://klasma.github.io/Logging_0117/artfynd/A 31523-2022 artfynd.xlsx", "A 31523-2022")</f>
        <v/>
      </c>
      <c r="X215">
        <f>HYPERLINK("https://klasma.github.io/Logging_0117/kartor/A 31523-2022 karta.png", "A 31523-2022")</f>
        <v/>
      </c>
      <c r="Y215">
        <f>HYPERLINK("https://klasma.github.io/Logging_0117/kartor_geotiff/A 31523-2022 georefererad karta.tif", "A 31523-2022")</f>
        <v/>
      </c>
      <c r="AA215">
        <f>HYPERLINK("https://klasma.github.io/Logging_0117/klagomål/A 31523-2022 FSC-klagomål.docx", "A 31523-2022")</f>
        <v/>
      </c>
      <c r="AB215">
        <f>HYPERLINK("https://klasma.github.io/Logging_0117/klagomålsmail/A 31523-2022 FSC-klagomål mail.docx", "A 31523-2022")</f>
        <v/>
      </c>
      <c r="AC215">
        <f>HYPERLINK("https://klasma.github.io/Logging_0117/tillsyn/A 31523-2022 tillsynsbegäran.docx", "A 31523-2022")</f>
        <v/>
      </c>
      <c r="AD215">
        <f>HYPERLINK("https://klasma.github.io/Logging_0117/tillsynsmail/A 31523-2022 tillsynsbegäran mail.docx", "A 31523-2022")</f>
        <v/>
      </c>
      <c r="AE215">
        <f>HYPERLINK("https://klasma.github.io/Logging_0117/fåglar/A 31523-2022 prioriterade fågelarter.docx", "A 31523-2022")</f>
        <v/>
      </c>
    </row>
    <row r="216" ht="15" customHeight="1">
      <c r="A216" t="inlineStr">
        <is>
          <t>A 24799-2026</t>
        </is>
      </c>
      <c r="B216" t="inlineStr">
        <is>
          <t>avverkningsanmälan</t>
        </is>
      </c>
      <c r="C216" t="inlineStr">
        <is>
          <t>Föryngringsavverkning</t>
        </is>
      </c>
      <c r="D216" s="1" t="n">
        <v>46171</v>
      </c>
      <c r="E216" s="1" t="n">
        <v>46326</v>
      </c>
      <c r="F216" t="inlineStr">
        <is>
          <t>STOCKHOLMS LÄN</t>
        </is>
      </c>
      <c r="G216" t="inlineStr">
        <is>
          <t>BOTKYRKA</t>
        </is>
      </c>
      <c r="I216" t="n">
        <v>1.7</v>
      </c>
      <c r="J216" t="n">
        <v>3</v>
      </c>
      <c r="K216" t="n">
        <v>1</v>
      </c>
      <c r="L216" t="n">
        <v>1</v>
      </c>
      <c r="M216" t="n">
        <v>0</v>
      </c>
      <c r="N216" t="n">
        <v>0</v>
      </c>
      <c r="O216" t="n">
        <v>0</v>
      </c>
      <c r="P216" t="n">
        <v>0</v>
      </c>
      <c r="Q216" t="n">
        <v>1</v>
      </c>
      <c r="R216" t="n">
        <v>0</v>
      </c>
      <c r="S216" t="n">
        <v>4</v>
      </c>
      <c r="T216" t="n">
        <v>4</v>
      </c>
      <c r="U216" t="n">
        <v>4</v>
      </c>
      <c r="V216" s="2" t="inlineStr">
        <is>
          <t>Gulsparv
Mindre märgborre
Spillkråka
Tofsmes</t>
        </is>
      </c>
      <c r="W216">
        <f>HYPERLINK("https://klasma.github.io/Logging_0127/artfynd/A 24799-2026 artfynd.xlsx", "A 24799-2026")</f>
        <v/>
      </c>
      <c r="X216">
        <f>HYPERLINK("https://klasma.github.io/Logging_0127/kartor/A 24799-2026 karta.png", "A 24799-2026")</f>
        <v/>
      </c>
      <c r="Y216">
        <f>HYPERLINK("https://klasma.github.io/Logging_0127/kartor_geotiff/A 24799-2026 georefererad karta.tif", "A 24799-2026")</f>
        <v/>
      </c>
      <c r="AA216">
        <f>HYPERLINK("https://klasma.github.io/Logging_0127/klagomål/A 24799-2026 FSC-klagomål.docx", "A 24799-2026")</f>
        <v/>
      </c>
      <c r="AB216">
        <f>HYPERLINK("https://klasma.github.io/Logging_0127/klagomålsmail/A 24799-2026 FSC-klagomål mail.docx", "A 24799-2026")</f>
        <v/>
      </c>
      <c r="AC216">
        <f>HYPERLINK("https://klasma.github.io/Logging_0127/tillsyn/A 24799-2026 tillsynsbegäran.docx", "A 24799-2026")</f>
        <v/>
      </c>
      <c r="AD216">
        <f>HYPERLINK("https://klasma.github.io/Logging_0127/tillsynsmail/A 24799-2026 tillsynsbegäran mail.docx", "A 24799-2026")</f>
        <v/>
      </c>
      <c r="AE216">
        <f>HYPERLINK("https://klasma.github.io/Logging_0127/fåglar/A 24799-2026 prioriterade fågelarter.docx", "A 24799-2026")</f>
        <v/>
      </c>
    </row>
    <row r="217" ht="15" customHeight="1">
      <c r="A217" t="inlineStr">
        <is>
          <t>A 44709-2022</t>
        </is>
      </c>
      <c r="B217" t="inlineStr">
        <is>
          <t>avverkningsanmälan</t>
        </is>
      </c>
      <c r="C217" t="inlineStr">
        <is>
          <t>Föryngringsavverkning</t>
        </is>
      </c>
      <c r="D217" s="1" t="n">
        <v>44839</v>
      </c>
      <c r="E217" s="1" t="n">
        <v>46326</v>
      </c>
      <c r="F217" t="inlineStr">
        <is>
          <t>STOCKHOLMS LÄN</t>
        </is>
      </c>
      <c r="G217" t="inlineStr">
        <is>
          <t>NORRTÄLJE</t>
        </is>
      </c>
      <c r="I217" t="n">
        <v>16.3</v>
      </c>
      <c r="J217" t="n">
        <v>3</v>
      </c>
      <c r="K217" t="n">
        <v>0</v>
      </c>
      <c r="L217" t="n">
        <v>2</v>
      </c>
      <c r="M217" t="n">
        <v>0</v>
      </c>
      <c r="N217" t="n">
        <v>0</v>
      </c>
      <c r="O217" t="n">
        <v>0</v>
      </c>
      <c r="P217" t="n">
        <v>0</v>
      </c>
      <c r="Q217" t="n">
        <v>2</v>
      </c>
      <c r="R217" t="n">
        <v>0</v>
      </c>
      <c r="S217" t="n">
        <v>4</v>
      </c>
      <c r="T217" t="n">
        <v>4</v>
      </c>
      <c r="U217" t="n">
        <v>4</v>
      </c>
      <c r="V217" s="2" t="inlineStr">
        <is>
          <t>Enkelbeckasin
Jungfrulin
Spillkråka
Orre</t>
        </is>
      </c>
      <c r="W217">
        <f>HYPERLINK("https://klasma.github.io/Logging_0188/artfynd/A 44709-2022 artfynd.xlsx", "A 44709-2022")</f>
        <v/>
      </c>
      <c r="X217">
        <f>HYPERLINK("https://klasma.github.io/Logging_0188/kartor/A 44709-2022 karta.png", "A 44709-2022")</f>
        <v/>
      </c>
      <c r="Y217">
        <f>HYPERLINK("https://klasma.github.io/Logging_0188/kartor_geotiff/A 44709-2022 georefererad karta.tif", "A 44709-2022")</f>
        <v/>
      </c>
      <c r="AA217">
        <f>HYPERLINK("https://klasma.github.io/Logging_0188/klagomål/A 44709-2022 FSC-klagomål.docx", "A 44709-2022")</f>
        <v/>
      </c>
      <c r="AB217">
        <f>HYPERLINK("https://klasma.github.io/Logging_0188/klagomålsmail/A 44709-2022 FSC-klagomål mail.docx", "A 44709-2022")</f>
        <v/>
      </c>
      <c r="AC217">
        <f>HYPERLINK("https://klasma.github.io/Logging_0188/tillsyn/A 44709-2022 tillsynsbegäran.docx", "A 44709-2022")</f>
        <v/>
      </c>
      <c r="AD217">
        <f>HYPERLINK("https://klasma.github.io/Logging_0188/tillsynsmail/A 44709-2022 tillsynsbegäran mail.docx", "A 44709-2022")</f>
        <v/>
      </c>
      <c r="AE217">
        <f>HYPERLINK("https://klasma.github.io/Logging_0188/fåglar/A 44709-2022 prioriterade fågelarter.docx", "A 44709-2022")</f>
        <v/>
      </c>
    </row>
    <row r="218" ht="15" customHeight="1">
      <c r="A218" t="inlineStr">
        <is>
          <t>A 32103-2022</t>
        </is>
      </c>
      <c r="B218" t="inlineStr">
        <is>
          <t>avverkningsanmälan</t>
        </is>
      </c>
      <c r="C218" t="inlineStr">
        <is>
          <t>Föryngringsavverkning</t>
        </is>
      </c>
      <c r="D218" s="1" t="n">
        <v>44778</v>
      </c>
      <c r="E218" s="1" t="n">
        <v>46326</v>
      </c>
      <c r="F218" t="inlineStr">
        <is>
          <t>STOCKHOLMS LÄN</t>
        </is>
      </c>
      <c r="G218" t="inlineStr">
        <is>
          <t>NORRTÄLJE</t>
        </is>
      </c>
      <c r="I218" t="n">
        <v>3.4</v>
      </c>
      <c r="J218" t="n">
        <v>4</v>
      </c>
      <c r="K218" t="n">
        <v>0</v>
      </c>
      <c r="L218" t="n">
        <v>1</v>
      </c>
      <c r="M218" t="n">
        <v>1</v>
      </c>
      <c r="N218" t="n">
        <v>1</v>
      </c>
      <c r="O218" t="n">
        <v>0</v>
      </c>
      <c r="P218" t="n">
        <v>0</v>
      </c>
      <c r="Q218" t="n">
        <v>3</v>
      </c>
      <c r="R218" t="n">
        <v>2</v>
      </c>
      <c r="S218" t="n">
        <v>4</v>
      </c>
      <c r="T218" t="n">
        <v>4</v>
      </c>
      <c r="U218" t="n">
        <v>4</v>
      </c>
      <c r="V218" s="2" t="inlineStr">
        <is>
          <t>Kornknarr
Gräshoppsångare
Rörsångare
Näktergal</t>
        </is>
      </c>
      <c r="W218">
        <f>HYPERLINK("https://klasma.github.io/Logging_0188/artfynd/A 32103-2022 artfynd.xlsx", "A 32103-2022")</f>
        <v/>
      </c>
      <c r="X218">
        <f>HYPERLINK("https://klasma.github.io/Logging_0188/kartor/A 32103-2022 karta.png", "A 32103-2022")</f>
        <v/>
      </c>
      <c r="Y218">
        <f>HYPERLINK("https://klasma.github.io/Logging_0188/kartor_geotiff/A 32103-2022 georefererad karta.tif", "A 32103-2022")</f>
        <v/>
      </c>
      <c r="AA218">
        <f>HYPERLINK("https://klasma.github.io/Logging_0188/klagomål/A 32103-2022 FSC-klagomål.docx", "A 32103-2022")</f>
        <v/>
      </c>
      <c r="AB218">
        <f>HYPERLINK("https://klasma.github.io/Logging_0188/klagomålsmail/A 32103-2022 FSC-klagomål mail.docx", "A 32103-2022")</f>
        <v/>
      </c>
      <c r="AC218">
        <f>HYPERLINK("https://klasma.github.io/Logging_0188/tillsyn/A 32103-2022 tillsynsbegäran.docx", "A 32103-2022")</f>
        <v/>
      </c>
      <c r="AD218">
        <f>HYPERLINK("https://klasma.github.io/Logging_0188/tillsynsmail/A 32103-2022 tillsynsbegäran mail.docx", "A 32103-2022")</f>
        <v/>
      </c>
      <c r="AE218">
        <f>HYPERLINK("https://klasma.github.io/Logging_0188/fåglar/A 32103-2022 prioriterade fågelarter.docx", "A 32103-2022")</f>
        <v/>
      </c>
    </row>
    <row r="219" ht="15" customHeight="1">
      <c r="A219" t="inlineStr">
        <is>
          <t>A 32979-2026</t>
        </is>
      </c>
      <c r="B219" t="inlineStr">
        <is>
          <t>avverkningsanmälan</t>
        </is>
      </c>
      <c r="C219" t="inlineStr">
        <is>
          <t>Föryngringsavverkning</t>
        </is>
      </c>
      <c r="D219" s="1" t="n">
        <v>46241</v>
      </c>
      <c r="E219" s="1" t="n">
        <v>46326</v>
      </c>
      <c r="F219" t="inlineStr">
        <is>
          <t>STOCKHOLMS LÄN</t>
        </is>
      </c>
      <c r="G219" t="inlineStr">
        <is>
          <t>EKERÖ</t>
        </is>
      </c>
      <c r="H219" t="inlineStr">
        <is>
          <t>Övriga statliga verk och myndigheter</t>
        </is>
      </c>
      <c r="I219" t="n">
        <v>6.2</v>
      </c>
      <c r="J219" t="n">
        <v>3</v>
      </c>
      <c r="K219" t="n">
        <v>0</v>
      </c>
      <c r="L219" t="n">
        <v>1</v>
      </c>
      <c r="M219" t="n">
        <v>0</v>
      </c>
      <c r="N219" t="n">
        <v>0</v>
      </c>
      <c r="O219" t="n">
        <v>0</v>
      </c>
      <c r="P219" t="n">
        <v>0</v>
      </c>
      <c r="Q219" t="n">
        <v>1</v>
      </c>
      <c r="R219" t="n">
        <v>0</v>
      </c>
      <c r="S219" t="n">
        <v>4</v>
      </c>
      <c r="T219" t="n">
        <v>13</v>
      </c>
      <c r="U219" t="n">
        <v>0</v>
      </c>
      <c r="V219" s="2" t="inlineStr">
        <is>
          <t>Mindre tåtelsmygare
Grönsiska
Kungsfågel
Svartvit flugsnappare</t>
        </is>
      </c>
      <c r="W219">
        <f>HYPERLINK("https://klasma.github.io/Logging_0125/artfynd/A 32979-2026 artfynd.xlsx", "A 32979-2026")</f>
        <v/>
      </c>
      <c r="X219">
        <f>HYPERLINK("https://klasma.github.io/Logging_0125/kartor/A 32979-2026 karta.png", "A 32979-2026")</f>
        <v/>
      </c>
      <c r="Y219">
        <f>HYPERLINK("https://klasma.github.io/Logging_0125/kartor_geotiff/A 32979-2026 georefererad karta.tif", "A 32979-2026")</f>
        <v/>
      </c>
      <c r="AA219">
        <f>HYPERLINK("https://klasma.github.io/Logging_0125/klagomål/A 32979-2026 FSC-klagomål.docx", "A 32979-2026")</f>
        <v/>
      </c>
      <c r="AB219">
        <f>HYPERLINK("https://klasma.github.io/Logging_0125/klagomålsmail/A 32979-2026 FSC-klagomål mail.docx", "A 32979-2026")</f>
        <v/>
      </c>
      <c r="AC219">
        <f>HYPERLINK("https://klasma.github.io/Logging_0125/tillsyn/A 32979-2026 tillsynsbegäran.docx", "A 32979-2026")</f>
        <v/>
      </c>
      <c r="AD219">
        <f>HYPERLINK("https://klasma.github.io/Logging_0125/tillsynsmail/A 32979-2026 tillsynsbegäran mail.docx", "A 32979-2026")</f>
        <v/>
      </c>
    </row>
    <row r="220" ht="15" customHeight="1">
      <c r="A220" t="inlineStr">
        <is>
          <t>A 37244-2024</t>
        </is>
      </c>
      <c r="B220" t="inlineStr">
        <is>
          <t>avverkningsanmälan</t>
        </is>
      </c>
      <c r="C220" t="inlineStr">
        <is>
          <t>Föryngringsavverkning</t>
        </is>
      </c>
      <c r="D220" s="1" t="n">
        <v>45540</v>
      </c>
      <c r="E220" s="1" t="n">
        <v>46326</v>
      </c>
      <c r="F220" t="inlineStr">
        <is>
          <t>STOCKHOLMS LÄN</t>
        </is>
      </c>
      <c r="G220" t="inlineStr">
        <is>
          <t>ÖSTERÅKER</t>
        </is>
      </c>
      <c r="I220" t="n">
        <v>2.6</v>
      </c>
      <c r="J220" t="n">
        <v>1</v>
      </c>
      <c r="K220" t="n">
        <v>1</v>
      </c>
      <c r="L220" t="n">
        <v>3</v>
      </c>
      <c r="M220" t="n">
        <v>0</v>
      </c>
      <c r="N220" t="n">
        <v>0</v>
      </c>
      <c r="O220" t="n">
        <v>0</v>
      </c>
      <c r="P220" t="n">
        <v>0</v>
      </c>
      <c r="Q220" t="n">
        <v>3</v>
      </c>
      <c r="R220" t="n">
        <v>0</v>
      </c>
      <c r="S220" t="n">
        <v>4</v>
      </c>
      <c r="T220" t="n">
        <v>5</v>
      </c>
      <c r="U220" t="n">
        <v>1</v>
      </c>
      <c r="V220" s="2" t="inlineStr">
        <is>
          <t>Tallticka
Talltita
Vedskivlav
Grovticka</t>
        </is>
      </c>
      <c r="W220">
        <f>HYPERLINK("https://klasma.github.io/Logging_0117/artfynd/A 37244-2024 artfynd.xlsx", "A 37244-2024")</f>
        <v/>
      </c>
      <c r="X220">
        <f>HYPERLINK("https://klasma.github.io/Logging_0117/kartor/A 37244-2024 karta.png", "A 37244-2024")</f>
        <v/>
      </c>
      <c r="Y220">
        <f>HYPERLINK("https://klasma.github.io/Logging_0117/kartor_geotiff/A 37244-2024 georefererad karta.tif", "A 37244-2024")</f>
        <v/>
      </c>
      <c r="AA220">
        <f>HYPERLINK("https://klasma.github.io/Logging_0117/klagomål/A 37244-2024 FSC-klagomål.docx", "A 37244-2024")</f>
        <v/>
      </c>
      <c r="AB220">
        <f>HYPERLINK("https://klasma.github.io/Logging_0117/klagomålsmail/A 37244-2024 FSC-klagomål mail.docx", "A 37244-2024")</f>
        <v/>
      </c>
      <c r="AC220">
        <f>HYPERLINK("https://klasma.github.io/Logging_0117/tillsyn/A 37244-2024 tillsynsbegäran.docx", "A 37244-2024")</f>
        <v/>
      </c>
      <c r="AD220">
        <f>HYPERLINK("https://klasma.github.io/Logging_0117/tillsynsmail/A 37244-2024 tillsynsbegäran mail.docx", "A 37244-2024")</f>
        <v/>
      </c>
      <c r="AE220">
        <f>HYPERLINK("https://klasma.github.io/Logging_0117/fåglar/A 37244-2024 prioriterade fågelarter.docx", "A 37244-2024")</f>
        <v/>
      </c>
    </row>
    <row r="221" ht="15" customHeight="1">
      <c r="A221" t="inlineStr">
        <is>
          <t>A 22400-2025</t>
        </is>
      </c>
      <c r="B221" t="inlineStr">
        <is>
          <t>avverkningsanmälan</t>
        </is>
      </c>
      <c r="C221" t="inlineStr">
        <is>
          <t>Föryngringsavverkning</t>
        </is>
      </c>
      <c r="D221" s="1" t="n">
        <v>45786</v>
      </c>
      <c r="E221" s="1" t="n">
        <v>46326</v>
      </c>
      <c r="F221" t="inlineStr">
        <is>
          <t>STOCKHOLMS LÄN</t>
        </is>
      </c>
      <c r="G221" t="inlineStr">
        <is>
          <t>SIGTUNA</t>
        </is>
      </c>
      <c r="I221" t="n">
        <v>8.9</v>
      </c>
      <c r="J221" t="n">
        <v>3</v>
      </c>
      <c r="K221" t="n">
        <v>0</v>
      </c>
      <c r="L221" t="n">
        <v>1</v>
      </c>
      <c r="M221" t="n">
        <v>0</v>
      </c>
      <c r="N221" t="n">
        <v>0</v>
      </c>
      <c r="O221" t="n">
        <v>0</v>
      </c>
      <c r="P221" t="n">
        <v>0</v>
      </c>
      <c r="Q221" t="n">
        <v>1</v>
      </c>
      <c r="R221" t="n">
        <v>0</v>
      </c>
      <c r="S221" t="n">
        <v>4</v>
      </c>
      <c r="T221" t="n">
        <v>4</v>
      </c>
      <c r="U221" t="n">
        <v>2</v>
      </c>
      <c r="V221" s="2" t="inlineStr">
        <is>
          <t>Slåtterfibbla
Spillkråka
Trädlärka
Nattviol</t>
        </is>
      </c>
      <c r="W221">
        <f>HYPERLINK("https://klasma.github.io/Logging_0191/artfynd/A 22400-2025 artfynd.xlsx", "A 22400-2025")</f>
        <v/>
      </c>
      <c r="X221">
        <f>HYPERLINK("https://klasma.github.io/Logging_0191/kartor/A 22400-2025 karta.png", "A 22400-2025")</f>
        <v/>
      </c>
      <c r="Y221">
        <f>HYPERLINK("https://klasma.github.io/Logging_0191/kartor_geotiff/A 22400-2025 georefererad karta.tif", "A 22400-2025")</f>
        <v/>
      </c>
      <c r="AA221">
        <f>HYPERLINK("https://klasma.github.io/Logging_0191/klagomål/A 22400-2025 FSC-klagomål.docx", "A 22400-2025")</f>
        <v/>
      </c>
      <c r="AB221">
        <f>HYPERLINK("https://klasma.github.io/Logging_0191/klagomålsmail/A 22400-2025 FSC-klagomål mail.docx", "A 22400-2025")</f>
        <v/>
      </c>
      <c r="AC221">
        <f>HYPERLINK("https://klasma.github.io/Logging_0191/tillsyn/A 22400-2025 tillsynsbegäran.docx", "A 22400-2025")</f>
        <v/>
      </c>
      <c r="AD221">
        <f>HYPERLINK("https://klasma.github.io/Logging_0191/tillsynsmail/A 22400-2025 tillsynsbegäran mail.docx", "A 22400-2025")</f>
        <v/>
      </c>
      <c r="AE221">
        <f>HYPERLINK("https://klasma.github.io/Logging_0191/fåglar/A 22400-2025 prioriterade fågelarter.docx", "A 22400-2025")</f>
        <v/>
      </c>
    </row>
    <row r="222" ht="15" customHeight="1">
      <c r="A222" t="inlineStr">
        <is>
          <t>A 37039-2026</t>
        </is>
      </c>
      <c r="B222" t="inlineStr">
        <is>
          <t>avverkningsanmälan</t>
        </is>
      </c>
      <c r="C222" t="inlineStr">
        <is>
          <t>Avverkning för att bevara och utveckla /försöksver</t>
        </is>
      </c>
      <c r="D222" s="1" t="n">
        <v>46273</v>
      </c>
      <c r="E222" s="1" t="n">
        <v>46326</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73783-2021</t>
        </is>
      </c>
      <c r="B223" t="inlineStr">
        <is>
          <t>avverkningsanmälan</t>
        </is>
      </c>
      <c r="C223" t="inlineStr">
        <is>
          <t>Föryngringsavverkning</t>
        </is>
      </c>
      <c r="D223" s="1" t="n">
        <v>44552</v>
      </c>
      <c r="E223" s="1" t="n">
        <v>46326</v>
      </c>
      <c r="F223" t="inlineStr">
        <is>
          <t>STOCKHOLMS LÄN</t>
        </is>
      </c>
      <c r="G223" t="inlineStr">
        <is>
          <t>UPPLANDS-BRO</t>
        </is>
      </c>
      <c r="I223" t="n">
        <v>5.9</v>
      </c>
      <c r="J223" t="n">
        <v>0</v>
      </c>
      <c r="K223" t="n">
        <v>0</v>
      </c>
      <c r="L223" t="n">
        <v>4</v>
      </c>
      <c r="M223" t="n">
        <v>0</v>
      </c>
      <c r="N223" t="n">
        <v>0</v>
      </c>
      <c r="O223" t="n">
        <v>0</v>
      </c>
      <c r="P223" t="n">
        <v>0</v>
      </c>
      <c r="Q223" t="n">
        <v>4</v>
      </c>
      <c r="R223" t="n">
        <v>0</v>
      </c>
      <c r="S223" t="n">
        <v>4</v>
      </c>
      <c r="T223" t="n">
        <v>6</v>
      </c>
      <c r="U223" t="n">
        <v>1</v>
      </c>
      <c r="V223" s="2" t="inlineStr">
        <is>
          <t>Blek fingersvamp
Dofttaggsvamp
Skarp dropptaggsvamp
Svartvit taggsvamp</t>
        </is>
      </c>
      <c r="W223">
        <f>HYPERLINK("https://klasma.github.io/Logging_0139/artfynd/A 73783-2021 artfynd.xlsx", "A 73783-2021")</f>
        <v/>
      </c>
      <c r="X223">
        <f>HYPERLINK("https://klasma.github.io/Logging_0139/kartor/A 73783-2021 karta.png", "A 73783-2021")</f>
        <v/>
      </c>
      <c r="Y223">
        <f>HYPERLINK("https://klasma.github.io/Logging_0139/kartor_geotiff/A 73783-2021 georefererad karta.tif", "A 73783-2021")</f>
        <v/>
      </c>
      <c r="AA223">
        <f>HYPERLINK("https://klasma.github.io/Logging_0139/klagomål/A 73783-2021 FSC-klagomål.docx", "A 73783-2021")</f>
        <v/>
      </c>
      <c r="AB223">
        <f>HYPERLINK("https://klasma.github.io/Logging_0139/klagomålsmail/A 73783-2021 FSC-klagomål mail.docx", "A 73783-2021")</f>
        <v/>
      </c>
      <c r="AC223">
        <f>HYPERLINK("https://klasma.github.io/Logging_0139/tillsyn/A 73783-2021 tillsynsbegäran.docx", "A 73783-2021")</f>
        <v/>
      </c>
      <c r="AD223">
        <f>HYPERLINK("https://klasma.github.io/Logging_0139/tillsynsmail/A 73783-2021 tillsynsbegäran mail.docx", "A 73783-2021")</f>
        <v/>
      </c>
    </row>
    <row r="224" ht="15" customHeight="1">
      <c r="A224" t="inlineStr">
        <is>
          <t>S 2223-2021</t>
        </is>
      </c>
      <c r="B224" t="inlineStr">
        <is>
          <t>samrådsanmälan</t>
        </is>
      </c>
      <c r="C224" t="inlineStr">
        <is>
          <t>Åtgärd i nyckelbiotop</t>
        </is>
      </c>
      <c r="D224" s="1" t="n">
        <v>44334</v>
      </c>
      <c r="E224" s="1" t="n">
        <v>46326</v>
      </c>
      <c r="F224" t="inlineStr">
        <is>
          <t>STOCKHOLMS LÄN</t>
        </is>
      </c>
      <c r="G224" t="inlineStr">
        <is>
          <t>LIDINGÖ</t>
        </is>
      </c>
      <c r="I224" t="n">
        <v>11</v>
      </c>
      <c r="J224" t="n">
        <v>0</v>
      </c>
      <c r="K224" t="n">
        <v>1</v>
      </c>
      <c r="L224" t="n">
        <v>3</v>
      </c>
      <c r="M224" t="n">
        <v>0</v>
      </c>
      <c r="N224" t="n">
        <v>0</v>
      </c>
      <c r="O224" t="n">
        <v>0</v>
      </c>
      <c r="P224" t="n">
        <v>0</v>
      </c>
      <c r="Q224" t="n">
        <v>3</v>
      </c>
      <c r="R224" t="n">
        <v>0</v>
      </c>
      <c r="S224" t="n">
        <v>4</v>
      </c>
      <c r="T224" t="n">
        <v>7</v>
      </c>
      <c r="U224" t="n">
        <v>2</v>
      </c>
      <c r="V224" s="2" t="inlineStr">
        <is>
          <t>Blekticka
Rutskinn
Scharlakansvaxing
Hasselticka</t>
        </is>
      </c>
      <c r="W224">
        <f>HYPERLINK("https://klasma.github.io/Logging_0186/artfynd/S 2223-2021 artfynd.xlsx", "S 2223-2021")</f>
        <v/>
      </c>
      <c r="X224">
        <f>HYPERLINK("https://klasma.github.io/Logging_0186/kartor/S 2223-2021 karta.png", "S 2223-2021")</f>
        <v/>
      </c>
      <c r="Y224">
        <f>HYPERLINK("https://klasma.github.io/Logging_0186/kartor_geotiff/S 2223-2021 georefererad karta.tif", "S 2223-2021")</f>
        <v/>
      </c>
      <c r="AA224">
        <f>HYPERLINK("https://klasma.github.io/Logging_0186/klagomål/S 2223-2021 FSC-klagomål.docx", "S 2223-2021")</f>
        <v/>
      </c>
      <c r="AB224">
        <f>HYPERLINK("https://klasma.github.io/Logging_0186/klagomålsmail/S 2223-2021 FSC-klagomål mail.docx", "S 2223-2021")</f>
        <v/>
      </c>
      <c r="AC224">
        <f>HYPERLINK("https://klasma.github.io/Logging_0186/tillsyn/S 2223-2021 tillsynsbegäran.docx", "S 2223-2021")</f>
        <v/>
      </c>
      <c r="AD224">
        <f>HYPERLINK("https://klasma.github.io/Logging_0186/tillsynsmail/S 2223-2021 tillsynsbegäran mail.docx", "S 2223-2021")</f>
        <v/>
      </c>
    </row>
    <row r="225" ht="15" customHeight="1">
      <c r="A225" t="inlineStr">
        <is>
          <t>S 2204-2022</t>
        </is>
      </c>
      <c r="B225" t="inlineStr">
        <is>
          <t>samrådsanmälan</t>
        </is>
      </c>
      <c r="C225" t="inlineStr">
        <is>
          <t>Åtgärd i nyckelbiotop</t>
        </is>
      </c>
      <c r="D225" s="1" t="n">
        <v>44679</v>
      </c>
      <c r="E225" s="1" t="n">
        <v>46326</v>
      </c>
      <c r="F225" t="inlineStr">
        <is>
          <t>STOCKHOLMS LÄN</t>
        </is>
      </c>
      <c r="G225" t="inlineStr">
        <is>
          <t>NORRTÄLJE</t>
        </is>
      </c>
      <c r="I225" t="n">
        <v>1.1</v>
      </c>
      <c r="J225" t="n">
        <v>0</v>
      </c>
      <c r="K225" t="n">
        <v>0</v>
      </c>
      <c r="L225" t="n">
        <v>2</v>
      </c>
      <c r="M225" t="n">
        <v>0</v>
      </c>
      <c r="N225" t="n">
        <v>2</v>
      </c>
      <c r="O225" t="n">
        <v>0</v>
      </c>
      <c r="P225" t="n">
        <v>0</v>
      </c>
      <c r="Q225" t="n">
        <v>4</v>
      </c>
      <c r="R225" t="n">
        <v>2</v>
      </c>
      <c r="S225" t="n">
        <v>4</v>
      </c>
      <c r="T225" t="n">
        <v>6</v>
      </c>
      <c r="U225" t="n">
        <v>0</v>
      </c>
      <c r="V225" s="2" t="inlineStr">
        <is>
          <t>Raggtaggsvamp
Violgubbe
Kandelabersvamp
Orange taggsvamp</t>
        </is>
      </c>
      <c r="W225">
        <f>HYPERLINK("https://klasma.github.io/Logging_0188/artfynd/S 2204-2022 artfynd.xlsx", "S 2204-2022")</f>
        <v/>
      </c>
      <c r="X225">
        <f>HYPERLINK("https://klasma.github.io/Logging_0188/kartor/S 2204-2022 karta.png", "S 2204-2022")</f>
        <v/>
      </c>
      <c r="Y225">
        <f>HYPERLINK("https://klasma.github.io/Logging_0188/kartor_geotiff/S 2204-2022 georefererad karta.tif", "S 2204-2022")</f>
        <v/>
      </c>
      <c r="AA225">
        <f>HYPERLINK("https://klasma.github.io/Logging_0188/klagomål/S 2204-2022 FSC-klagomål.docx", "S 2204-2022")</f>
        <v/>
      </c>
      <c r="AB225">
        <f>HYPERLINK("https://klasma.github.io/Logging_0188/klagomålsmail/S 2204-2022 FSC-klagomål mail.docx", "S 2204-2022")</f>
        <v/>
      </c>
      <c r="AC225">
        <f>HYPERLINK("https://klasma.github.io/Logging_0188/tillsyn/S 2204-2022 tillsynsbegäran.docx", "S 2204-2022")</f>
        <v/>
      </c>
      <c r="AD225">
        <f>HYPERLINK("https://klasma.github.io/Logging_0188/tillsynsmail/S 2204-2022 tillsynsbegäran mail.docx", "S 2204-2022")</f>
        <v/>
      </c>
    </row>
    <row r="226" ht="15" customHeight="1">
      <c r="A226" t="inlineStr">
        <is>
          <t>S 6469-2022</t>
        </is>
      </c>
      <c r="B226" t="inlineStr">
        <is>
          <t>samrådsanmälan</t>
        </is>
      </c>
      <c r="C226" t="inlineStr">
        <is>
          <t>Annan skogsbruksåtgärd</t>
        </is>
      </c>
      <c r="D226" s="1" t="n">
        <v>44880</v>
      </c>
      <c r="E226" s="1" t="n">
        <v>46326</v>
      </c>
      <c r="F226" t="inlineStr">
        <is>
          <t>STOCKHOLMS LÄN</t>
        </is>
      </c>
      <c r="G226" t="inlineStr">
        <is>
          <t>NORRTÄLJE</t>
        </is>
      </c>
      <c r="H226" t="inlineStr">
        <is>
          <t>Kommuner</t>
        </is>
      </c>
      <c r="I226" t="n">
        <v>3.1</v>
      </c>
      <c r="J226" t="n">
        <v>4</v>
      </c>
      <c r="K226" t="n">
        <v>0</v>
      </c>
      <c r="L226" t="n">
        <v>1</v>
      </c>
      <c r="M226" t="n">
        <v>0</v>
      </c>
      <c r="N226" t="n">
        <v>0</v>
      </c>
      <c r="O226" t="n">
        <v>0</v>
      </c>
      <c r="P226" t="n">
        <v>0</v>
      </c>
      <c r="Q226" t="n">
        <v>1</v>
      </c>
      <c r="R226" t="n">
        <v>0</v>
      </c>
      <c r="S226" t="n">
        <v>4</v>
      </c>
      <c r="T226" t="n">
        <v>4</v>
      </c>
      <c r="U226" t="n">
        <v>0</v>
      </c>
      <c r="V226" s="2" t="inlineStr">
        <is>
          <t>Brunlångöra
Blåsippa
Dvärgpipistrell
Större brunfladdermus</t>
        </is>
      </c>
      <c r="W226">
        <f>HYPERLINK("https://klasma.github.io/Logging_0188/artfynd/S 6469-2022 artfynd.xlsx", "S 6469-2022")</f>
        <v/>
      </c>
      <c r="X226">
        <f>HYPERLINK("https://klasma.github.io/Logging_0188/kartor/S 6469-2022 karta.png", "S 6469-2022")</f>
        <v/>
      </c>
      <c r="Y226">
        <f>HYPERLINK("https://klasma.github.io/Logging_0188/kartor_geotiff/S 6469-2022 georefererad karta.tif", "S 6469-2022")</f>
        <v/>
      </c>
      <c r="AA226">
        <f>HYPERLINK("https://klasma.github.io/Logging_0188/klagomål/S 6469-2022 FSC-klagomål.docx", "S 6469-2022")</f>
        <v/>
      </c>
      <c r="AB226">
        <f>HYPERLINK("https://klasma.github.io/Logging_0188/klagomålsmail/S 6469-2022 FSC-klagomål mail.docx", "S 6469-2022")</f>
        <v/>
      </c>
      <c r="AC226">
        <f>HYPERLINK("https://klasma.github.io/Logging_0188/tillsyn/S 6469-2022 tillsynsbegäran.docx", "S 6469-2022")</f>
        <v/>
      </c>
      <c r="AD226">
        <f>HYPERLINK("https://klasma.github.io/Logging_0188/tillsynsmail/S 6469-2022 tillsynsbegäran mail.docx", "S 6469-2022")</f>
        <v/>
      </c>
    </row>
    <row r="227" ht="15" customHeight="1">
      <c r="A227" t="inlineStr">
        <is>
          <t>S 9808-2021</t>
        </is>
      </c>
      <c r="B227" t="inlineStr">
        <is>
          <t>samrådsanmälan</t>
        </is>
      </c>
      <c r="C227" t="inlineStr">
        <is>
          <t>Åtgärd i nyckelbiotop</t>
        </is>
      </c>
      <c r="D227" s="1" t="n">
        <v>44530</v>
      </c>
      <c r="E227" s="1" t="n">
        <v>46326</v>
      </c>
      <c r="F227" t="inlineStr">
        <is>
          <t>STOCKHOLMS LÄN</t>
        </is>
      </c>
      <c r="G227" t="inlineStr">
        <is>
          <t>NORRTÄLJE</t>
        </is>
      </c>
      <c r="I227" t="n">
        <v>4.3</v>
      </c>
      <c r="J227" t="n">
        <v>1</v>
      </c>
      <c r="K227" t="n">
        <v>3</v>
      </c>
      <c r="L227" t="n">
        <v>1</v>
      </c>
      <c r="M227" t="n">
        <v>0</v>
      </c>
      <c r="N227" t="n">
        <v>0</v>
      </c>
      <c r="O227" t="n">
        <v>0</v>
      </c>
      <c r="P227" t="n">
        <v>0</v>
      </c>
      <c r="Q227" t="n">
        <v>1</v>
      </c>
      <c r="R227" t="n">
        <v>0</v>
      </c>
      <c r="S227" t="n">
        <v>4</v>
      </c>
      <c r="T227" t="n">
        <v>4</v>
      </c>
      <c r="U227" t="n">
        <v>0</v>
      </c>
      <c r="V227" s="2" t="inlineStr">
        <is>
          <t>Ullticka
Granbarkgnagare
Nästrot
Vätteros</t>
        </is>
      </c>
      <c r="W227">
        <f>HYPERLINK("https://klasma.github.io/Logging_0188/artfynd/S 9808-2021 artfynd.xlsx", "S 9808-2021")</f>
        <v/>
      </c>
      <c r="X227">
        <f>HYPERLINK("https://klasma.github.io/Logging_0188/kartor/S 9808-2021 karta.png", "S 9808-2021")</f>
        <v/>
      </c>
      <c r="Y227">
        <f>HYPERLINK("https://klasma.github.io/Logging_0188/kartor_geotiff/S 9808-2021 georefererad karta.tif", "S 9808-2021")</f>
        <v/>
      </c>
      <c r="AA227">
        <f>HYPERLINK("https://klasma.github.io/Logging_0188/klagomål/S 9808-2021 FSC-klagomål.docx", "S 9808-2021")</f>
        <v/>
      </c>
      <c r="AB227">
        <f>HYPERLINK("https://klasma.github.io/Logging_0188/klagomålsmail/S 9808-2021 FSC-klagomål mail.docx", "S 9808-2021")</f>
        <v/>
      </c>
      <c r="AC227">
        <f>HYPERLINK("https://klasma.github.io/Logging_0188/tillsyn/S 9808-2021 tillsynsbegäran.docx", "S 9808-2021")</f>
        <v/>
      </c>
      <c r="AD227">
        <f>HYPERLINK("https://klasma.github.io/Logging_0188/tillsynsmail/S 9808-2021 tillsynsbegäran mail.docx", "S 9808-2021")</f>
        <v/>
      </c>
    </row>
    <row r="228" ht="15" customHeight="1">
      <c r="A228" t="inlineStr">
        <is>
          <t>S 670-2023</t>
        </is>
      </c>
      <c r="B228" t="inlineStr">
        <is>
          <t>samrådsanmälan</t>
        </is>
      </c>
      <c r="C228" t="inlineStr">
        <is>
          <t>Annan skogsbruksåtgärd</t>
        </is>
      </c>
      <c r="D228" s="1" t="n">
        <v>44974</v>
      </c>
      <c r="E228" s="1" t="n">
        <v>46326</v>
      </c>
      <c r="F228" t="inlineStr">
        <is>
          <t>STOCKHOLMS LÄN</t>
        </is>
      </c>
      <c r="G228" t="inlineStr">
        <is>
          <t>TÄBY</t>
        </is>
      </c>
      <c r="H228" t="inlineStr">
        <is>
          <t>Kommuner</t>
        </is>
      </c>
      <c r="I228" t="n">
        <v>1.6</v>
      </c>
      <c r="J228" t="n">
        <v>4</v>
      </c>
      <c r="K228" t="n">
        <v>0</v>
      </c>
      <c r="L228" t="n">
        <v>2</v>
      </c>
      <c r="M228" t="n">
        <v>0</v>
      </c>
      <c r="N228" t="n">
        <v>0</v>
      </c>
      <c r="O228" t="n">
        <v>0</v>
      </c>
      <c r="P228" t="n">
        <v>0</v>
      </c>
      <c r="Q228" t="n">
        <v>2</v>
      </c>
      <c r="R228" t="n">
        <v>0</v>
      </c>
      <c r="S228" t="n">
        <v>4</v>
      </c>
      <c r="T228" t="n">
        <v>4</v>
      </c>
      <c r="U228" t="n">
        <v>4</v>
      </c>
      <c r="V228" s="2" t="inlineStr">
        <is>
          <t>Mindre hackspett
Strandskata
Gröngöling
Svartvit flugsnappare</t>
        </is>
      </c>
      <c r="W228">
        <f>HYPERLINK("https://klasma.github.io/Logging_0160/artfynd/S 670-2023 artfynd.xlsx", "S 670-2023")</f>
        <v/>
      </c>
      <c r="X228">
        <f>HYPERLINK("https://klasma.github.io/Logging_0160/kartor/S 670-2023 karta.png", "S 670-2023")</f>
        <v/>
      </c>
      <c r="Y228">
        <f>HYPERLINK("https://klasma.github.io/Logging_0160/kartor_geotiff/S 670-2023 georefererad karta.tif", "S 670-2023")</f>
        <v/>
      </c>
      <c r="AA228">
        <f>HYPERLINK("https://klasma.github.io/Logging_0160/klagomål/S 670-2023 FSC-klagomål.docx", "S 670-2023")</f>
        <v/>
      </c>
      <c r="AB228">
        <f>HYPERLINK("https://klasma.github.io/Logging_0160/klagomålsmail/S 670-2023 FSC-klagomål mail.docx", "S 670-2023")</f>
        <v/>
      </c>
      <c r="AC228">
        <f>HYPERLINK("https://klasma.github.io/Logging_0160/tillsyn/S 670-2023 tillsynsbegäran.docx", "S 670-2023")</f>
        <v/>
      </c>
      <c r="AD228">
        <f>HYPERLINK("https://klasma.github.io/Logging_0160/tillsynsmail/S 670-2023 tillsynsbegäran mail.docx", "S 670-2023")</f>
        <v/>
      </c>
      <c r="AE228">
        <f>HYPERLINK("https://klasma.github.io/Logging_0160/fåglar/S 670-2023 prioriterade fågelarter.docx", "S 670-2023")</f>
        <v/>
      </c>
    </row>
    <row r="229" ht="15" customHeight="1">
      <c r="A229" t="inlineStr">
        <is>
          <t>S 1038-2025</t>
        </is>
      </c>
      <c r="B229" t="inlineStr">
        <is>
          <t>samrådsanmälan</t>
        </is>
      </c>
      <c r="C229" t="inlineStr">
        <is>
          <t>Annan skogsbruksåtgärd</t>
        </is>
      </c>
      <c r="D229" s="1" t="n">
        <v>45748</v>
      </c>
      <c r="E229" s="1" t="n">
        <v>46326</v>
      </c>
      <c r="F229" t="inlineStr">
        <is>
          <t>STOCKHOLMS LÄN</t>
        </is>
      </c>
      <c r="G229" t="inlineStr">
        <is>
          <t>BOTKYRKA</t>
        </is>
      </c>
      <c r="I229" t="n">
        <v>0.5</v>
      </c>
      <c r="J229" t="n">
        <v>1</v>
      </c>
      <c r="K229" t="n">
        <v>0</v>
      </c>
      <c r="L229" t="n">
        <v>2</v>
      </c>
      <c r="M229" t="n">
        <v>0</v>
      </c>
      <c r="N229" t="n">
        <v>1</v>
      </c>
      <c r="O229" t="n">
        <v>0</v>
      </c>
      <c r="P229" t="n">
        <v>0</v>
      </c>
      <c r="Q229" t="n">
        <v>3</v>
      </c>
      <c r="R229" t="n">
        <v>1</v>
      </c>
      <c r="S229" t="n">
        <v>4</v>
      </c>
      <c r="T229" t="n">
        <v>7</v>
      </c>
      <c r="U229" t="n">
        <v>0</v>
      </c>
      <c r="V229" s="2" t="inlineStr">
        <is>
          <t>Koppartaggsvamp
Orange taggsvamp
Tallticka
Spillkråka</t>
        </is>
      </c>
      <c r="W229">
        <f>HYPERLINK("https://klasma.github.io/Logging_0127/artfynd/S 1038-2025 artfynd.xlsx", "S 1038-2025")</f>
        <v/>
      </c>
      <c r="X229">
        <f>HYPERLINK("https://klasma.github.io/Logging_0127/kartor/S 1038-2025 karta.png", "S 1038-2025")</f>
        <v/>
      </c>
      <c r="Y229">
        <f>HYPERLINK("https://klasma.github.io/Logging_0127/kartor_geotiff/S 1038-2025 georefererad karta.tif", "S 1038-2025")</f>
        <v/>
      </c>
      <c r="AA229">
        <f>HYPERLINK("https://klasma.github.io/Logging_0127/klagomål/S 1038-2025 FSC-klagomål.docx", "S 1038-2025")</f>
        <v/>
      </c>
      <c r="AB229">
        <f>HYPERLINK("https://klasma.github.io/Logging_0127/klagomålsmail/S 1038-2025 FSC-klagomål mail.docx", "S 1038-2025")</f>
        <v/>
      </c>
      <c r="AC229">
        <f>HYPERLINK("https://klasma.github.io/Logging_0127/tillsyn/S 1038-2025 tillsynsbegäran.docx", "S 1038-2025")</f>
        <v/>
      </c>
      <c r="AD229">
        <f>HYPERLINK("https://klasma.github.io/Logging_0127/tillsynsmail/S 1038-2025 tillsynsbegäran mail.docx", "S 1038-2025")</f>
        <v/>
      </c>
      <c r="AE229">
        <f>HYPERLINK("https://klasma.github.io/Logging_0127/fåglar/S 1038-2025 prioriterade fågelarter.docx", "S 1038-2025")</f>
        <v/>
      </c>
    </row>
    <row r="230" ht="15" customHeight="1">
      <c r="A230" t="inlineStr">
        <is>
          <t>S 1862-2026</t>
        </is>
      </c>
      <c r="B230" t="inlineStr">
        <is>
          <t>samrådsanmälan</t>
        </is>
      </c>
      <c r="C230" t="inlineStr">
        <is>
          <t>Annan skogsbruksåtgärd</t>
        </is>
      </c>
      <c r="D230" s="1" t="n">
        <v>46198</v>
      </c>
      <c r="E230" s="1" t="n">
        <v>46326</v>
      </c>
      <c r="F230" t="inlineStr">
        <is>
          <t>STOCKHOLMS LÄN</t>
        </is>
      </c>
      <c r="G230" t="inlineStr">
        <is>
          <t>NYNÄSHAMN</t>
        </is>
      </c>
      <c r="I230" t="n">
        <v>2.8</v>
      </c>
      <c r="J230" t="n">
        <v>0</v>
      </c>
      <c r="K230" t="n">
        <v>2</v>
      </c>
      <c r="L230" t="n">
        <v>1</v>
      </c>
      <c r="M230" t="n">
        <v>1</v>
      </c>
      <c r="N230" t="n">
        <v>0</v>
      </c>
      <c r="O230" t="n">
        <v>0</v>
      </c>
      <c r="P230" t="n">
        <v>0</v>
      </c>
      <c r="Q230" t="n">
        <v>2</v>
      </c>
      <c r="R230" t="n">
        <v>1</v>
      </c>
      <c r="S230" t="n">
        <v>4</v>
      </c>
      <c r="T230" t="n">
        <v>9</v>
      </c>
      <c r="U230" t="n">
        <v>0</v>
      </c>
      <c r="V230" s="2" t="inlineStr">
        <is>
          <t>Skogskorn
Vårärt
Hässleklocka
Strävlosta</t>
        </is>
      </c>
      <c r="W230">
        <f>HYPERLINK("https://klasma.github.io/Logging_0192/artfynd/S 1862-2026 artfynd.xlsx", "S 1862-2026")</f>
        <v/>
      </c>
      <c r="X230">
        <f>HYPERLINK("https://klasma.github.io/Logging_0192/kartor/S 1862-2026 karta.png", "S 1862-2026")</f>
        <v/>
      </c>
      <c r="Y230">
        <f>HYPERLINK("https://klasma.github.io/Logging_0192/kartor_geotiff/S 1862-2026 georefererad karta.tif", "S 1862-2026")</f>
        <v/>
      </c>
      <c r="AA230">
        <f>HYPERLINK("https://klasma.github.io/Logging_0192/klagomål/S 1862-2026 FSC-klagomål.docx", "S 1862-2026")</f>
        <v/>
      </c>
      <c r="AB230">
        <f>HYPERLINK("https://klasma.github.io/Logging_0192/klagomålsmail/S 1862-2026 FSC-klagomål mail.docx", "S 1862-2026")</f>
        <v/>
      </c>
      <c r="AC230">
        <f>HYPERLINK("https://klasma.github.io/Logging_0192/tillsyn/S 1862-2026 tillsynsbegäran.docx", "S 1862-2026")</f>
        <v/>
      </c>
      <c r="AD230">
        <f>HYPERLINK("https://klasma.github.io/Logging_0192/tillsynsmail/S 1862-2026 tillsynsbegäran mail.docx", "S 1862-2026")</f>
        <v/>
      </c>
    </row>
    <row r="231" ht="15" customHeight="1">
      <c r="A231" t="inlineStr">
        <is>
          <t>A 68700-2021</t>
        </is>
      </c>
      <c r="B231" t="inlineStr">
        <is>
          <t>avverkningsanmälan</t>
        </is>
      </c>
      <c r="C231" t="inlineStr">
        <is>
          <t>Föryngringsavverkning</t>
        </is>
      </c>
      <c r="D231" s="1" t="n">
        <v>44529</v>
      </c>
      <c r="E231" s="1" t="n">
        <v>46326</v>
      </c>
      <c r="F231" t="inlineStr">
        <is>
          <t>STOCKHOLMS LÄN</t>
        </is>
      </c>
      <c r="G231" t="inlineStr">
        <is>
          <t>SALEM</t>
        </is>
      </c>
      <c r="H231" t="inlineStr">
        <is>
          <t>Kommuner</t>
        </is>
      </c>
      <c r="I231" t="n">
        <v>5.3</v>
      </c>
      <c r="J231" t="n">
        <v>2</v>
      </c>
      <c r="K231" t="n">
        <v>1</v>
      </c>
      <c r="L231" t="n">
        <v>0</v>
      </c>
      <c r="M231" t="n">
        <v>0</v>
      </c>
      <c r="N231" t="n">
        <v>0</v>
      </c>
      <c r="O231" t="n">
        <v>0</v>
      </c>
      <c r="P231" t="n">
        <v>0</v>
      </c>
      <c r="Q231" t="n">
        <v>0</v>
      </c>
      <c r="R231" t="n">
        <v>0</v>
      </c>
      <c r="S231" t="n">
        <v>3</v>
      </c>
      <c r="T231" t="n">
        <v>3</v>
      </c>
      <c r="U231" t="n">
        <v>2</v>
      </c>
      <c r="V231" s="2" t="inlineStr">
        <is>
          <t>Blåmossa
Spillkråka
Kungsfågel</t>
        </is>
      </c>
      <c r="W231">
        <f>HYPERLINK("https://klasma.github.io/Logging_0128/artfynd/A 68700-2021 artfynd.xlsx", "A 68700-2021")</f>
        <v/>
      </c>
      <c r="X231">
        <f>HYPERLINK("https://klasma.github.io/Logging_0128/kartor/A 68700-2021 karta.png", "A 68700-2021")</f>
        <v/>
      </c>
      <c r="Y231">
        <f>HYPERLINK("https://klasma.github.io/Logging_0128/kartor_geotiff/A 68700-2021 georefererad karta.tif", "A 68700-2021")</f>
        <v/>
      </c>
      <c r="AA231">
        <f>HYPERLINK("https://klasma.github.io/Logging_0128/klagomål/A 68700-2021 FSC-klagomål.docx", "A 68700-2021")</f>
        <v/>
      </c>
      <c r="AB231">
        <f>HYPERLINK("https://klasma.github.io/Logging_0128/klagomålsmail/A 68700-2021 FSC-klagomål mail.docx", "A 68700-2021")</f>
        <v/>
      </c>
      <c r="AC231">
        <f>HYPERLINK("https://klasma.github.io/Logging_0128/tillsyn/A 68700-2021 tillsynsbegäran.docx", "A 68700-2021")</f>
        <v/>
      </c>
      <c r="AD231">
        <f>HYPERLINK("https://klasma.github.io/Logging_0128/tillsynsmail/A 68700-2021 tillsynsbegäran mail.docx", "A 68700-2021")</f>
        <v/>
      </c>
      <c r="AE231">
        <f>HYPERLINK("https://klasma.github.io/Logging_0128/fåglar/A 68700-2021 prioriterade fågelarter.docx", "A 68700-2021")</f>
        <v/>
      </c>
    </row>
    <row r="232" ht="15" customHeight="1">
      <c r="A232" t="inlineStr">
        <is>
          <t>A 11803-2022</t>
        </is>
      </c>
      <c r="B232" t="inlineStr">
        <is>
          <t>avverkningsanmälan</t>
        </is>
      </c>
      <c r="C232" t="inlineStr">
        <is>
          <t>Föryngringsavverkning</t>
        </is>
      </c>
      <c r="D232" s="1" t="n">
        <v>44634</v>
      </c>
      <c r="E232" s="1" t="n">
        <v>46326</v>
      </c>
      <c r="F232" t="inlineStr">
        <is>
          <t>STOCKHOLMS LÄN</t>
        </is>
      </c>
      <c r="G232" t="inlineStr">
        <is>
          <t>EKERÖ</t>
        </is>
      </c>
      <c r="I232" t="n">
        <v>2.7</v>
      </c>
      <c r="J232" t="n">
        <v>1</v>
      </c>
      <c r="K232" t="n">
        <v>0</v>
      </c>
      <c r="L232" t="n">
        <v>2</v>
      </c>
      <c r="M232" t="n">
        <v>0</v>
      </c>
      <c r="N232" t="n">
        <v>0</v>
      </c>
      <c r="O232" t="n">
        <v>0</v>
      </c>
      <c r="P232" t="n">
        <v>0</v>
      </c>
      <c r="Q232" t="n">
        <v>2</v>
      </c>
      <c r="R232" t="n">
        <v>0</v>
      </c>
      <c r="S232" t="n">
        <v>3</v>
      </c>
      <c r="T232" t="n">
        <v>3</v>
      </c>
      <c r="U232" t="n">
        <v>0</v>
      </c>
      <c r="V232" s="2" t="inlineStr">
        <is>
          <t>Backklöver
Solvända
Gullviva</t>
        </is>
      </c>
      <c r="W232">
        <f>HYPERLINK("https://klasma.github.io/Logging_0125/artfynd/A 11803-2022 artfynd.xlsx", "A 11803-2022")</f>
        <v/>
      </c>
      <c r="X232">
        <f>HYPERLINK("https://klasma.github.io/Logging_0125/kartor/A 11803-2022 karta.png", "A 11803-2022")</f>
        <v/>
      </c>
      <c r="Y232">
        <f>HYPERLINK("https://klasma.github.io/Logging_0125/kartor_geotiff/A 11803-2022 georefererad karta.tif", "A 11803-2022")</f>
        <v/>
      </c>
      <c r="AA232">
        <f>HYPERLINK("https://klasma.github.io/Logging_0125/klagomål/A 11803-2022 FSC-klagomål.docx", "A 11803-2022")</f>
        <v/>
      </c>
      <c r="AB232">
        <f>HYPERLINK("https://klasma.github.io/Logging_0125/klagomålsmail/A 11803-2022 FSC-klagomål mail.docx", "A 11803-2022")</f>
        <v/>
      </c>
      <c r="AC232">
        <f>HYPERLINK("https://klasma.github.io/Logging_0125/tillsyn/A 11803-2022 tillsynsbegäran.docx", "A 11803-2022")</f>
        <v/>
      </c>
      <c r="AD232">
        <f>HYPERLINK("https://klasma.github.io/Logging_0125/tillsynsmail/A 11803-2022 tillsynsbegäran mail.docx", "A 11803-2022")</f>
        <v/>
      </c>
    </row>
    <row r="233" ht="15" customHeight="1">
      <c r="A233" t="inlineStr">
        <is>
          <t>A 21888-2022</t>
        </is>
      </c>
      <c r="B233" t="inlineStr">
        <is>
          <t>avverkningsanmälan</t>
        </is>
      </c>
      <c r="C233" t="inlineStr">
        <is>
          <t>Föryngringsavverkning</t>
        </is>
      </c>
      <c r="D233" s="1" t="n">
        <v>44709</v>
      </c>
      <c r="E233" s="1" t="n">
        <v>46326</v>
      </c>
      <c r="F233" t="inlineStr">
        <is>
          <t>STOCKHOLMS LÄN</t>
        </is>
      </c>
      <c r="G233" t="inlineStr">
        <is>
          <t>NACKA</t>
        </is>
      </c>
      <c r="I233" t="n">
        <v>2.4</v>
      </c>
      <c r="J233" t="n">
        <v>1</v>
      </c>
      <c r="K233" t="n">
        <v>1</v>
      </c>
      <c r="L233" t="n">
        <v>1</v>
      </c>
      <c r="M233" t="n">
        <v>0</v>
      </c>
      <c r="N233" t="n">
        <v>0</v>
      </c>
      <c r="O233" t="n">
        <v>0</v>
      </c>
      <c r="P233" t="n">
        <v>0</v>
      </c>
      <c r="Q233" t="n">
        <v>1</v>
      </c>
      <c r="R233" t="n">
        <v>0</v>
      </c>
      <c r="S233" t="n">
        <v>3</v>
      </c>
      <c r="T233" t="n">
        <v>3</v>
      </c>
      <c r="U233" t="n">
        <v>3</v>
      </c>
      <c r="V233" s="2" t="inlineStr">
        <is>
          <t>Kandelabersvamp
Hagfingersvamp
Gröngöling</t>
        </is>
      </c>
      <c r="W233">
        <f>HYPERLINK("https://klasma.github.io/Logging_0182/artfynd/A 21888-2022 artfynd.xlsx", "A 21888-2022")</f>
        <v/>
      </c>
      <c r="X233">
        <f>HYPERLINK("https://klasma.github.io/Logging_0182/kartor/A 21888-2022 karta.png", "A 21888-2022")</f>
        <v/>
      </c>
      <c r="Y233">
        <f>HYPERLINK("https://klasma.github.io/Logging_0182/kartor_geotiff/A 21888-2022 georefererad karta.tif", "A 21888-2022")</f>
        <v/>
      </c>
      <c r="AA233">
        <f>HYPERLINK("https://klasma.github.io/Logging_0182/klagomål/A 21888-2022 FSC-klagomål.docx", "A 21888-2022")</f>
        <v/>
      </c>
      <c r="AB233">
        <f>HYPERLINK("https://klasma.github.io/Logging_0182/klagomålsmail/A 21888-2022 FSC-klagomål mail.docx", "A 21888-2022")</f>
        <v/>
      </c>
      <c r="AC233">
        <f>HYPERLINK("https://klasma.github.io/Logging_0182/tillsyn/A 21888-2022 tillsynsbegäran.docx", "A 21888-2022")</f>
        <v/>
      </c>
      <c r="AD233">
        <f>HYPERLINK("https://klasma.github.io/Logging_0182/tillsynsmail/A 21888-2022 tillsynsbegäran mail.docx", "A 21888-2022")</f>
        <v/>
      </c>
    </row>
    <row r="234" ht="15" customHeight="1">
      <c r="A234" t="inlineStr">
        <is>
          <t>A 32508-2022</t>
        </is>
      </c>
      <c r="B234" t="inlineStr">
        <is>
          <t>avverkningsanmälan</t>
        </is>
      </c>
      <c r="C234" t="inlineStr">
        <is>
          <t>Avverkning för annat ändamål</t>
        </is>
      </c>
      <c r="D234" s="1" t="n">
        <v>44782</v>
      </c>
      <c r="E234" s="1" t="n">
        <v>46326</v>
      </c>
      <c r="F234" t="inlineStr">
        <is>
          <t>STOCKHOLMS LÄN</t>
        </is>
      </c>
      <c r="G234" t="inlineStr">
        <is>
          <t>HUDDINGE</t>
        </is>
      </c>
      <c r="H234" t="inlineStr">
        <is>
          <t>Kommuner</t>
        </is>
      </c>
      <c r="I234" t="n">
        <v>4.7</v>
      </c>
      <c r="J234" t="n">
        <v>2</v>
      </c>
      <c r="K234" t="n">
        <v>1</v>
      </c>
      <c r="L234" t="n">
        <v>0</v>
      </c>
      <c r="M234" t="n">
        <v>0</v>
      </c>
      <c r="N234" t="n">
        <v>0</v>
      </c>
      <c r="O234" t="n">
        <v>0</v>
      </c>
      <c r="P234" t="n">
        <v>0</v>
      </c>
      <c r="Q234" t="n">
        <v>0</v>
      </c>
      <c r="R234" t="n">
        <v>0</v>
      </c>
      <c r="S234" t="n">
        <v>3</v>
      </c>
      <c r="T234" t="n">
        <v>5</v>
      </c>
      <c r="U234" t="n">
        <v>3</v>
      </c>
      <c r="V234" s="2" t="inlineStr">
        <is>
          <t>Strutbräken
Blåsippa
Kopparödla</t>
        </is>
      </c>
      <c r="W234">
        <f>HYPERLINK("https://klasma.github.io/Logging_0126/artfynd/A 32508-2022 artfynd.xlsx", "A 32508-2022")</f>
        <v/>
      </c>
      <c r="X234">
        <f>HYPERLINK("https://klasma.github.io/Logging_0126/kartor/A 32508-2022 karta.png", "A 32508-2022")</f>
        <v/>
      </c>
      <c r="Y234">
        <f>HYPERLINK("https://klasma.github.io/Logging_0126/kartor_geotiff/A 32508-2022 georefererad karta.tif", "A 32508-2022")</f>
        <v/>
      </c>
      <c r="AA234">
        <f>HYPERLINK("https://klasma.github.io/Logging_0126/klagomål/A 32508-2022 FSC-klagomål.docx", "A 32508-2022")</f>
        <v/>
      </c>
      <c r="AB234">
        <f>HYPERLINK("https://klasma.github.io/Logging_0126/klagomålsmail/A 32508-2022 FSC-klagomål mail.docx", "A 32508-2022")</f>
        <v/>
      </c>
      <c r="AC234">
        <f>HYPERLINK("https://klasma.github.io/Logging_0126/tillsyn/A 32508-2022 tillsynsbegäran.docx", "A 32508-2022")</f>
        <v/>
      </c>
      <c r="AD234">
        <f>HYPERLINK("https://klasma.github.io/Logging_0126/tillsynsmail/A 32508-2022 tillsynsbegäran mail.docx", "A 32508-2022")</f>
        <v/>
      </c>
    </row>
    <row r="235" ht="15" customHeight="1">
      <c r="A235" t="inlineStr">
        <is>
          <t>A 45113-2022</t>
        </is>
      </c>
      <c r="B235" t="inlineStr">
        <is>
          <t>avverkningsanmälan</t>
        </is>
      </c>
      <c r="C235" t="inlineStr">
        <is>
          <t>Föryngringsavverkning</t>
        </is>
      </c>
      <c r="D235" s="1" t="n">
        <v>44843</v>
      </c>
      <c r="E235" s="1" t="n">
        <v>46326</v>
      </c>
      <c r="F235" t="inlineStr">
        <is>
          <t>STOCKHOLMS LÄN</t>
        </is>
      </c>
      <c r="G235" t="inlineStr">
        <is>
          <t>NORRTÄLJE</t>
        </is>
      </c>
      <c r="I235" t="n">
        <v>1.7</v>
      </c>
      <c r="J235" t="n">
        <v>0</v>
      </c>
      <c r="K235" t="n">
        <v>1</v>
      </c>
      <c r="L235" t="n">
        <v>1</v>
      </c>
      <c r="M235" t="n">
        <v>1</v>
      </c>
      <c r="N235" t="n">
        <v>0</v>
      </c>
      <c r="O235" t="n">
        <v>0</v>
      </c>
      <c r="P235" t="n">
        <v>0</v>
      </c>
      <c r="Q235" t="n">
        <v>2</v>
      </c>
      <c r="R235" t="n">
        <v>1</v>
      </c>
      <c r="S235" t="n">
        <v>3</v>
      </c>
      <c r="T235" t="n">
        <v>3</v>
      </c>
      <c r="U235" t="n">
        <v>0</v>
      </c>
      <c r="V235" s="2" t="inlineStr">
        <is>
          <t>Violett fingersvamp
Kandelabersvamp
Slät lönnlav</t>
        </is>
      </c>
      <c r="W235">
        <f>HYPERLINK("https://klasma.github.io/Logging_0188/artfynd/A 45113-2022 artfynd.xlsx", "A 45113-2022")</f>
        <v/>
      </c>
      <c r="X235">
        <f>HYPERLINK("https://klasma.github.io/Logging_0188/kartor/A 45113-2022 karta.png", "A 45113-2022")</f>
        <v/>
      </c>
      <c r="Y235">
        <f>HYPERLINK("https://klasma.github.io/Logging_0188/kartor_geotiff/A 45113-2022 georefererad karta.tif", "A 45113-2022")</f>
        <v/>
      </c>
      <c r="AA235">
        <f>HYPERLINK("https://klasma.github.io/Logging_0188/klagomål/A 45113-2022 FSC-klagomål.docx", "A 45113-2022")</f>
        <v/>
      </c>
      <c r="AB235">
        <f>HYPERLINK("https://klasma.github.io/Logging_0188/klagomålsmail/A 45113-2022 FSC-klagomål mail.docx", "A 45113-2022")</f>
        <v/>
      </c>
      <c r="AC235">
        <f>HYPERLINK("https://klasma.github.io/Logging_0188/tillsyn/A 45113-2022 tillsynsbegäran.docx", "A 45113-2022")</f>
        <v/>
      </c>
      <c r="AD235">
        <f>HYPERLINK("https://klasma.github.io/Logging_0188/tillsynsmail/A 45113-2022 tillsynsbegäran mail.docx", "A 45113-2022")</f>
        <v/>
      </c>
    </row>
    <row r="236" ht="15" customHeight="1">
      <c r="A236" t="inlineStr">
        <is>
          <t>A 9268-2023</t>
        </is>
      </c>
      <c r="B236" t="inlineStr">
        <is>
          <t>avverkningsanmälan</t>
        </is>
      </c>
      <c r="C236" t="inlineStr">
        <is>
          <t>Föryngringsavverkning</t>
        </is>
      </c>
      <c r="D236" s="1" t="n">
        <v>44980</v>
      </c>
      <c r="E236" s="1" t="n">
        <v>46326</v>
      </c>
      <c r="F236" t="inlineStr">
        <is>
          <t>STOCKHOLMS LÄN</t>
        </is>
      </c>
      <c r="G236" t="inlineStr">
        <is>
          <t>NYNÄSHAMN</t>
        </is>
      </c>
      <c r="I236" t="n">
        <v>4.9</v>
      </c>
      <c r="J236" t="n">
        <v>0</v>
      </c>
      <c r="K236" t="n">
        <v>2</v>
      </c>
      <c r="L236" t="n">
        <v>1</v>
      </c>
      <c r="M236" t="n">
        <v>0</v>
      </c>
      <c r="N236" t="n">
        <v>0</v>
      </c>
      <c r="O236" t="n">
        <v>0</v>
      </c>
      <c r="P236" t="n">
        <v>0</v>
      </c>
      <c r="Q236" t="n">
        <v>1</v>
      </c>
      <c r="R236" t="n">
        <v>0</v>
      </c>
      <c r="S236" t="n">
        <v>3</v>
      </c>
      <c r="T236" t="n">
        <v>3</v>
      </c>
      <c r="U236" t="n">
        <v>3</v>
      </c>
      <c r="V236" s="2" t="inlineStr">
        <is>
          <t>Tallticka
Blodticka
Mindre märgborre</t>
        </is>
      </c>
      <c r="W236">
        <f>HYPERLINK("https://klasma.github.io/Logging_0192/artfynd/A 9268-2023 artfynd.xlsx", "A 9268-2023")</f>
        <v/>
      </c>
      <c r="X236">
        <f>HYPERLINK("https://klasma.github.io/Logging_0192/kartor/A 9268-2023 karta.png", "A 9268-2023")</f>
        <v/>
      </c>
      <c r="Y236">
        <f>HYPERLINK("https://klasma.github.io/Logging_0192/kartor_geotiff/A 9268-2023 georefererad karta.tif", "A 9268-2023")</f>
        <v/>
      </c>
      <c r="AA236">
        <f>HYPERLINK("https://klasma.github.io/Logging_0192/klagomål/A 9268-2023 FSC-klagomål.docx", "A 9268-2023")</f>
        <v/>
      </c>
      <c r="AB236">
        <f>HYPERLINK("https://klasma.github.io/Logging_0192/klagomålsmail/A 9268-2023 FSC-klagomål mail.docx", "A 9268-2023")</f>
        <v/>
      </c>
      <c r="AC236">
        <f>HYPERLINK("https://klasma.github.io/Logging_0192/tillsyn/A 9268-2023 tillsynsbegäran.docx", "A 9268-2023")</f>
        <v/>
      </c>
      <c r="AD236">
        <f>HYPERLINK("https://klasma.github.io/Logging_0192/tillsynsmail/A 9268-2023 tillsynsbegäran mail.docx", "A 9268-2023")</f>
        <v/>
      </c>
    </row>
    <row r="237" ht="15" customHeight="1">
      <c r="A237" t="inlineStr">
        <is>
          <t>A 24254-2023</t>
        </is>
      </c>
      <c r="B237" t="inlineStr">
        <is>
          <t>avverkningsanmälan</t>
        </is>
      </c>
      <c r="C237" t="inlineStr">
        <is>
          <t>Föryngringsavverkning</t>
        </is>
      </c>
      <c r="D237" s="1" t="n">
        <v>45076</v>
      </c>
      <c r="E237" s="1" t="n">
        <v>46326</v>
      </c>
      <c r="F237" t="inlineStr">
        <is>
          <t>STOCKHOLMS LÄN</t>
        </is>
      </c>
      <c r="G237" t="inlineStr">
        <is>
          <t>HUDDINGE</t>
        </is>
      </c>
      <c r="I237" t="n">
        <v>1.2</v>
      </c>
      <c r="J237" t="n">
        <v>0</v>
      </c>
      <c r="K237" t="n">
        <v>0</v>
      </c>
      <c r="L237" t="n">
        <v>2</v>
      </c>
      <c r="M237" t="n">
        <v>0</v>
      </c>
      <c r="N237" t="n">
        <v>1</v>
      </c>
      <c r="O237" t="n">
        <v>0</v>
      </c>
      <c r="P237" t="n">
        <v>0</v>
      </c>
      <c r="Q237" t="n">
        <v>3</v>
      </c>
      <c r="R237" t="n">
        <v>1</v>
      </c>
      <c r="S237" t="n">
        <v>3</v>
      </c>
      <c r="T237" t="n">
        <v>3</v>
      </c>
      <c r="U237" t="n">
        <v>3</v>
      </c>
      <c r="V237" s="2" t="inlineStr">
        <is>
          <t>Tallharticka
Kandelabersvamp
Vit vedfingersvamp</t>
        </is>
      </c>
      <c r="W237">
        <f>HYPERLINK("https://klasma.github.io/Logging_0126/artfynd/A 24254-2023 artfynd.xlsx", "A 24254-2023")</f>
        <v/>
      </c>
      <c r="X237">
        <f>HYPERLINK("https://klasma.github.io/Logging_0126/kartor/A 24254-2023 karta.png", "A 24254-2023")</f>
        <v/>
      </c>
      <c r="Y237">
        <f>HYPERLINK("https://klasma.github.io/Logging_0126/kartor_geotiff/A 24254-2023 georefererad karta.tif", "A 24254-2023")</f>
        <v/>
      </c>
      <c r="AA237">
        <f>HYPERLINK("https://klasma.github.io/Logging_0126/klagomål/A 24254-2023 FSC-klagomål.docx", "A 24254-2023")</f>
        <v/>
      </c>
      <c r="AB237">
        <f>HYPERLINK("https://klasma.github.io/Logging_0126/klagomålsmail/A 24254-2023 FSC-klagomål mail.docx", "A 24254-2023")</f>
        <v/>
      </c>
      <c r="AC237">
        <f>HYPERLINK("https://klasma.github.io/Logging_0126/tillsyn/A 24254-2023 tillsynsbegäran.docx", "A 24254-2023")</f>
        <v/>
      </c>
      <c r="AD237">
        <f>HYPERLINK("https://klasma.github.io/Logging_0126/tillsynsmail/A 24254-2023 tillsynsbegäran mail.docx", "A 24254-2023")</f>
        <v/>
      </c>
    </row>
    <row r="238" ht="15" customHeight="1">
      <c r="A238" t="inlineStr">
        <is>
          <t>A 55586-2023</t>
        </is>
      </c>
      <c r="B238" t="inlineStr">
        <is>
          <t>avverkningsanmälan</t>
        </is>
      </c>
      <c r="C238" t="inlineStr">
        <is>
          <t>Föryngringsavverkning</t>
        </is>
      </c>
      <c r="D238" s="1" t="n">
        <v>45232</v>
      </c>
      <c r="E238" s="1" t="n">
        <v>46326</v>
      </c>
      <c r="F238" t="inlineStr">
        <is>
          <t>STOCKHOLMS LÄN</t>
        </is>
      </c>
      <c r="G238" t="inlineStr">
        <is>
          <t>UPPLANDS-BRO</t>
        </is>
      </c>
      <c r="H238" t="inlineStr">
        <is>
          <t>Övriga statliga verk och myndigheter</t>
        </is>
      </c>
      <c r="I238" t="n">
        <v>38.9</v>
      </c>
      <c r="J238" t="n">
        <v>2</v>
      </c>
      <c r="K238" t="n">
        <v>1</v>
      </c>
      <c r="L238" t="n">
        <v>1</v>
      </c>
      <c r="M238" t="n">
        <v>0</v>
      </c>
      <c r="N238" t="n">
        <v>0</v>
      </c>
      <c r="O238" t="n">
        <v>0</v>
      </c>
      <c r="P238" t="n">
        <v>0</v>
      </c>
      <c r="Q238" t="n">
        <v>1</v>
      </c>
      <c r="R238" t="n">
        <v>0</v>
      </c>
      <c r="S238" t="n">
        <v>3</v>
      </c>
      <c r="T238" t="n">
        <v>4</v>
      </c>
      <c r="U238" t="n">
        <v>2</v>
      </c>
      <c r="V238" s="2" t="inlineStr">
        <is>
          <t>Fyrflikig jordstjärna
Nästrot
Blåsippa</t>
        </is>
      </c>
      <c r="W238">
        <f>HYPERLINK("https://klasma.github.io/Logging_0139/artfynd/A 55586-2023 artfynd.xlsx", "A 55586-2023")</f>
        <v/>
      </c>
      <c r="X238">
        <f>HYPERLINK("https://klasma.github.io/Logging_0139/kartor/A 55586-2023 karta.png", "A 55586-2023")</f>
        <v/>
      </c>
      <c r="Y238">
        <f>HYPERLINK("https://klasma.github.io/Logging_0139/kartor_geotiff/A 55586-2023 georefererad karta.tif", "A 55586-2023")</f>
        <v/>
      </c>
      <c r="AA238">
        <f>HYPERLINK("https://klasma.github.io/Logging_0139/klagomål/A 55586-2023 FSC-klagomål.docx", "A 55586-2023")</f>
        <v/>
      </c>
      <c r="AB238">
        <f>HYPERLINK("https://klasma.github.io/Logging_0139/klagomålsmail/A 55586-2023 FSC-klagomål mail.docx", "A 55586-2023")</f>
        <v/>
      </c>
      <c r="AC238">
        <f>HYPERLINK("https://klasma.github.io/Logging_0139/tillsyn/A 55586-2023 tillsynsbegäran.docx", "A 55586-2023")</f>
        <v/>
      </c>
      <c r="AD238">
        <f>HYPERLINK("https://klasma.github.io/Logging_0139/tillsynsmail/A 55586-2023 tillsynsbegäran mail.docx", "A 55586-2023")</f>
        <v/>
      </c>
    </row>
    <row r="239" ht="15" customHeight="1">
      <c r="A239" t="inlineStr">
        <is>
          <t>A 13237-2023</t>
        </is>
      </c>
      <c r="B239" t="inlineStr">
        <is>
          <t>avverkningsanmälan</t>
        </is>
      </c>
      <c r="C239" t="inlineStr">
        <is>
          <t>Föryngringsavverkning</t>
        </is>
      </c>
      <c r="D239" s="1" t="n">
        <v>45002</v>
      </c>
      <c r="E239" s="1" t="n">
        <v>46326</v>
      </c>
      <c r="F239" t="inlineStr">
        <is>
          <t>STOCKHOLMS LÄN</t>
        </is>
      </c>
      <c r="G239" t="inlineStr">
        <is>
          <t>EKERÖ</t>
        </is>
      </c>
      <c r="H239" t="inlineStr">
        <is>
          <t>Kommuner</t>
        </is>
      </c>
      <c r="I239" t="n">
        <v>9.300000000000001</v>
      </c>
      <c r="J239" t="n">
        <v>0</v>
      </c>
      <c r="K239" t="n">
        <v>2</v>
      </c>
      <c r="L239" t="n">
        <v>1</v>
      </c>
      <c r="M239" t="n">
        <v>0</v>
      </c>
      <c r="N239" t="n">
        <v>0</v>
      </c>
      <c r="O239" t="n">
        <v>0</v>
      </c>
      <c r="P239" t="n">
        <v>0</v>
      </c>
      <c r="Q239" t="n">
        <v>1</v>
      </c>
      <c r="R239" t="n">
        <v>0</v>
      </c>
      <c r="S239" t="n">
        <v>3</v>
      </c>
      <c r="T239" t="n">
        <v>7</v>
      </c>
      <c r="U239" t="n">
        <v>0</v>
      </c>
      <c r="V239" s="2" t="inlineStr">
        <is>
          <t>Tallticka
Granbarkgnagare
Grönpyrola</t>
        </is>
      </c>
      <c r="W239">
        <f>HYPERLINK("https://klasma.github.io/Logging_0125/artfynd/A 13237-2023 artfynd.xlsx", "A 13237-2023")</f>
        <v/>
      </c>
      <c r="X239">
        <f>HYPERLINK("https://klasma.github.io/Logging_0125/kartor/A 13237-2023 karta.png", "A 13237-2023")</f>
        <v/>
      </c>
      <c r="Y239">
        <f>HYPERLINK("https://klasma.github.io/Logging_0125/kartor_geotiff/A 13237-2023 georefererad karta.tif", "A 13237-2023")</f>
        <v/>
      </c>
      <c r="AA239">
        <f>HYPERLINK("https://klasma.github.io/Logging_0125/klagomål/A 13237-2023 FSC-klagomål.docx", "A 13237-2023")</f>
        <v/>
      </c>
      <c r="AB239">
        <f>HYPERLINK("https://klasma.github.io/Logging_0125/klagomålsmail/A 13237-2023 FSC-klagomål mail.docx", "A 13237-2023")</f>
        <v/>
      </c>
      <c r="AC239">
        <f>HYPERLINK("https://klasma.github.io/Logging_0125/tillsyn/A 13237-2023 tillsynsbegäran.docx", "A 13237-2023")</f>
        <v/>
      </c>
      <c r="AD239">
        <f>HYPERLINK("https://klasma.github.io/Logging_0125/tillsynsmail/A 13237-2023 tillsynsbegäran mail.docx", "A 13237-2023")</f>
        <v/>
      </c>
    </row>
    <row r="240" ht="15" customHeight="1">
      <c r="A240" t="inlineStr">
        <is>
          <t>A 27972-2022</t>
        </is>
      </c>
      <c r="B240" t="inlineStr">
        <is>
          <t>avverkningsanmälan</t>
        </is>
      </c>
      <c r="C240" t="inlineStr">
        <is>
          <t>Föryngringsavverkning</t>
        </is>
      </c>
      <c r="D240" s="1" t="n">
        <v>44744</v>
      </c>
      <c r="E240" s="1" t="n">
        <v>46326</v>
      </c>
      <c r="F240" t="inlineStr">
        <is>
          <t>STOCKHOLMS LÄN</t>
        </is>
      </c>
      <c r="G240" t="inlineStr">
        <is>
          <t>SÖDERTÄLJE</t>
        </is>
      </c>
      <c r="I240" t="n">
        <v>3.4</v>
      </c>
      <c r="J240" t="n">
        <v>2</v>
      </c>
      <c r="K240" t="n">
        <v>0</v>
      </c>
      <c r="L240" t="n">
        <v>0</v>
      </c>
      <c r="M240" t="n">
        <v>0</v>
      </c>
      <c r="N240" t="n">
        <v>1</v>
      </c>
      <c r="O240" t="n">
        <v>0</v>
      </c>
      <c r="P240" t="n">
        <v>0</v>
      </c>
      <c r="Q240" t="n">
        <v>1</v>
      </c>
      <c r="R240" t="n">
        <v>1</v>
      </c>
      <c r="S240" t="n">
        <v>3</v>
      </c>
      <c r="T240" t="n">
        <v>3</v>
      </c>
      <c r="U240" t="n">
        <v>0</v>
      </c>
      <c r="V240" s="2" t="inlineStr">
        <is>
          <t>Ask
Dubbelnycklar
Kärrknipprot</t>
        </is>
      </c>
      <c r="W240">
        <f>HYPERLINK("https://klasma.github.io/Logging_0181/artfynd/A 27972-2022 artfynd.xlsx", "A 27972-2022")</f>
        <v/>
      </c>
      <c r="X240">
        <f>HYPERLINK("https://klasma.github.io/Logging_0181/kartor/A 27972-2022 karta.png", "A 27972-2022")</f>
        <v/>
      </c>
      <c r="Y240">
        <f>HYPERLINK("https://klasma.github.io/Logging_0181/kartor_geotiff/A 27972-2022 georefererad karta.tif", "A 27972-2022")</f>
        <v/>
      </c>
      <c r="AA240">
        <f>HYPERLINK("https://klasma.github.io/Logging_0181/klagomål/A 27972-2022 FSC-klagomål.docx", "A 27972-2022")</f>
        <v/>
      </c>
      <c r="AB240">
        <f>HYPERLINK("https://klasma.github.io/Logging_0181/klagomålsmail/A 27972-2022 FSC-klagomål mail.docx", "A 27972-2022")</f>
        <v/>
      </c>
      <c r="AC240">
        <f>HYPERLINK("https://klasma.github.io/Logging_0181/tillsyn/A 27972-2022 tillsynsbegäran.docx", "A 27972-2022")</f>
        <v/>
      </c>
      <c r="AD240">
        <f>HYPERLINK("https://klasma.github.io/Logging_0181/tillsynsmail/A 27972-2022 tillsynsbegäran mail.docx", "A 27972-2022")</f>
        <v/>
      </c>
    </row>
    <row r="241" ht="15" customHeight="1">
      <c r="A241" t="inlineStr">
        <is>
          <t>A 30693-2022</t>
        </is>
      </c>
      <c r="B241" t="inlineStr">
        <is>
          <t>avverkningsanmälan</t>
        </is>
      </c>
      <c r="C241" t="inlineStr">
        <is>
          <t>Föryngringsavverkning</t>
        </is>
      </c>
      <c r="D241" s="1" t="n">
        <v>44763</v>
      </c>
      <c r="E241" s="1" t="n">
        <v>46326</v>
      </c>
      <c r="F241" t="inlineStr">
        <is>
          <t>STOCKHOLMS LÄN</t>
        </is>
      </c>
      <c r="G241" t="inlineStr">
        <is>
          <t>NORRTÄLJE</t>
        </is>
      </c>
      <c r="H241" t="inlineStr">
        <is>
          <t>Sveaskog</t>
        </is>
      </c>
      <c r="I241" t="n">
        <v>3.4</v>
      </c>
      <c r="J241" t="n">
        <v>3</v>
      </c>
      <c r="K241" t="n">
        <v>0</v>
      </c>
      <c r="L241" t="n">
        <v>1</v>
      </c>
      <c r="M241" t="n">
        <v>0</v>
      </c>
      <c r="N241" t="n">
        <v>0</v>
      </c>
      <c r="O241" t="n">
        <v>0</v>
      </c>
      <c r="P241" t="n">
        <v>0</v>
      </c>
      <c r="Q241" t="n">
        <v>1</v>
      </c>
      <c r="R241" t="n">
        <v>0</v>
      </c>
      <c r="S241" t="n">
        <v>3</v>
      </c>
      <c r="T241" t="n">
        <v>3</v>
      </c>
      <c r="U241" t="n">
        <v>3</v>
      </c>
      <c r="V241" s="2" t="inlineStr">
        <is>
          <t>Gulsparv
Slaguggla
Gullviva</t>
        </is>
      </c>
      <c r="W241">
        <f>HYPERLINK("https://klasma.github.io/Logging_0188/artfynd/A 30693-2022 artfynd.xlsx", "A 30693-2022")</f>
        <v/>
      </c>
      <c r="X241">
        <f>HYPERLINK("https://klasma.github.io/Logging_0188/kartor/A 30693-2022 karta.png", "A 30693-2022")</f>
        <v/>
      </c>
      <c r="Y241">
        <f>HYPERLINK("https://klasma.github.io/Logging_0188/kartor_geotiff/A 30693-2022 georefererad karta.tif", "A 30693-2022")</f>
        <v/>
      </c>
      <c r="AA241">
        <f>HYPERLINK("https://klasma.github.io/Logging_0188/klagomål/A 30693-2022 FSC-klagomål.docx", "A 30693-2022")</f>
        <v/>
      </c>
      <c r="AB241">
        <f>HYPERLINK("https://klasma.github.io/Logging_0188/klagomålsmail/A 30693-2022 FSC-klagomål mail.docx", "A 30693-2022")</f>
        <v/>
      </c>
      <c r="AC241">
        <f>HYPERLINK("https://klasma.github.io/Logging_0188/tillsyn/A 30693-2022 tillsynsbegäran.docx", "A 30693-2022")</f>
        <v/>
      </c>
      <c r="AD241">
        <f>HYPERLINK("https://klasma.github.io/Logging_0188/tillsynsmail/A 30693-2022 tillsynsbegäran mail.docx", "A 30693-2022")</f>
        <v/>
      </c>
      <c r="AE241">
        <f>HYPERLINK("https://klasma.github.io/Logging_0188/fåglar/A 30693-2022 prioriterade fågelarter.docx", "A 30693-2022")</f>
        <v/>
      </c>
    </row>
    <row r="242" ht="15" customHeight="1">
      <c r="A242" t="inlineStr">
        <is>
          <t>A 31281-2022</t>
        </is>
      </c>
      <c r="B242" t="inlineStr">
        <is>
          <t>avverkningsanmälan</t>
        </is>
      </c>
      <c r="C242" t="inlineStr">
        <is>
          <t>Föryngringsavverkning</t>
        </is>
      </c>
      <c r="D242" s="1" t="n">
        <v>44771</v>
      </c>
      <c r="E242" s="1" t="n">
        <v>46326</v>
      </c>
      <c r="F242" t="inlineStr">
        <is>
          <t>STOCKHOLMS LÄN</t>
        </is>
      </c>
      <c r="G242" t="inlineStr">
        <is>
          <t>NORRTÄLJE</t>
        </is>
      </c>
      <c r="H242" t="inlineStr">
        <is>
          <t>Holmen skog AB</t>
        </is>
      </c>
      <c r="I242" t="n">
        <v>5.2</v>
      </c>
      <c r="J242" t="n">
        <v>3</v>
      </c>
      <c r="K242" t="n">
        <v>0</v>
      </c>
      <c r="L242" t="n">
        <v>0</v>
      </c>
      <c r="M242" t="n">
        <v>0</v>
      </c>
      <c r="N242" t="n">
        <v>0</v>
      </c>
      <c r="O242" t="n">
        <v>0</v>
      </c>
      <c r="P242" t="n">
        <v>0</v>
      </c>
      <c r="Q242" t="n">
        <v>0</v>
      </c>
      <c r="R242" t="n">
        <v>0</v>
      </c>
      <c r="S242" t="n">
        <v>3</v>
      </c>
      <c r="T242" t="n">
        <v>3</v>
      </c>
      <c r="U242" t="n">
        <v>2</v>
      </c>
      <c r="V242" s="2" t="inlineStr">
        <is>
          <t>Nattskärra
Kråka
Näktergal</t>
        </is>
      </c>
      <c r="W242">
        <f>HYPERLINK("https://klasma.github.io/Logging_0188/artfynd/A 31281-2022 artfynd.xlsx", "A 31281-2022")</f>
        <v/>
      </c>
      <c r="X242">
        <f>HYPERLINK("https://klasma.github.io/Logging_0188/kartor/A 31281-2022 karta.png", "A 31281-2022")</f>
        <v/>
      </c>
      <c r="Y242">
        <f>HYPERLINK("https://klasma.github.io/Logging_0188/kartor_geotiff/A 31281-2022 georefererad karta.tif", "A 31281-2022")</f>
        <v/>
      </c>
      <c r="AA242">
        <f>HYPERLINK("https://klasma.github.io/Logging_0188/klagomål/A 31281-2022 FSC-klagomål.docx", "A 31281-2022")</f>
        <v/>
      </c>
      <c r="AB242">
        <f>HYPERLINK("https://klasma.github.io/Logging_0188/klagomålsmail/A 31281-2022 FSC-klagomål mail.docx", "A 31281-2022")</f>
        <v/>
      </c>
      <c r="AC242">
        <f>HYPERLINK("https://klasma.github.io/Logging_0188/tillsyn/A 31281-2022 tillsynsbegäran.docx", "A 31281-2022")</f>
        <v/>
      </c>
      <c r="AD242">
        <f>HYPERLINK("https://klasma.github.io/Logging_0188/tillsynsmail/A 31281-2022 tillsynsbegäran mail.docx", "A 31281-2022")</f>
        <v/>
      </c>
      <c r="AE242">
        <f>HYPERLINK("https://klasma.github.io/Logging_0188/fåglar/A 31281-2022 prioriterade fågelarter.docx", "A 31281-2022")</f>
        <v/>
      </c>
    </row>
    <row r="243" ht="15" customHeight="1">
      <c r="A243" t="inlineStr">
        <is>
          <t>A 1697-2023</t>
        </is>
      </c>
      <c r="B243" t="inlineStr">
        <is>
          <t>avverkningsanmälan</t>
        </is>
      </c>
      <c r="C243" t="inlineStr">
        <is>
          <t>Föryngringsavverkning</t>
        </is>
      </c>
      <c r="D243" s="1" t="n">
        <v>44938</v>
      </c>
      <c r="E243" s="1" t="n">
        <v>46326</v>
      </c>
      <c r="F243" t="inlineStr">
        <is>
          <t>STOCKHOLMS LÄN</t>
        </is>
      </c>
      <c r="G243" t="inlineStr">
        <is>
          <t>BOTKYRKA</t>
        </is>
      </c>
      <c r="I243" t="n">
        <v>1.1</v>
      </c>
      <c r="J243" t="n">
        <v>1</v>
      </c>
      <c r="K243" t="n">
        <v>2</v>
      </c>
      <c r="L243" t="n">
        <v>1</v>
      </c>
      <c r="M243" t="n">
        <v>0</v>
      </c>
      <c r="N243" t="n">
        <v>0</v>
      </c>
      <c r="O243" t="n">
        <v>0</v>
      </c>
      <c r="P243" t="n">
        <v>0</v>
      </c>
      <c r="Q243" t="n">
        <v>1</v>
      </c>
      <c r="R243" t="n">
        <v>0</v>
      </c>
      <c r="S243" t="n">
        <v>3</v>
      </c>
      <c r="T243" t="n">
        <v>3</v>
      </c>
      <c r="U243" t="n">
        <v>1</v>
      </c>
      <c r="V243" s="2" t="inlineStr">
        <is>
          <t>Lunglav
Bårdlav
Grön sköldmossa</t>
        </is>
      </c>
      <c r="W243">
        <f>HYPERLINK("https://klasma.github.io/Logging_0127/artfynd/A 1697-2023 artfynd.xlsx", "A 1697-2023")</f>
        <v/>
      </c>
      <c r="X243">
        <f>HYPERLINK("https://klasma.github.io/Logging_0127/kartor/A 1697-2023 karta.png", "A 1697-2023")</f>
        <v/>
      </c>
      <c r="Y243">
        <f>HYPERLINK("https://klasma.github.io/Logging_0127/kartor_geotiff/A 1697-2023 georefererad karta.tif", "A 1697-2023")</f>
        <v/>
      </c>
      <c r="AA243">
        <f>HYPERLINK("https://klasma.github.io/Logging_0127/klagomål/A 1697-2023 FSC-klagomål.docx", "A 1697-2023")</f>
        <v/>
      </c>
      <c r="AB243">
        <f>HYPERLINK("https://klasma.github.io/Logging_0127/klagomålsmail/A 1697-2023 FSC-klagomål mail.docx", "A 1697-2023")</f>
        <v/>
      </c>
      <c r="AC243">
        <f>HYPERLINK("https://klasma.github.io/Logging_0127/tillsyn/A 1697-2023 tillsynsbegäran.docx", "A 1697-2023")</f>
        <v/>
      </c>
      <c r="AD243">
        <f>HYPERLINK("https://klasma.github.io/Logging_0127/tillsynsmail/A 1697-2023 tillsynsbegäran mail.docx", "A 1697-2023")</f>
        <v/>
      </c>
    </row>
    <row r="244" ht="15" customHeight="1">
      <c r="A244" t="inlineStr">
        <is>
          <t>A 33166-2023</t>
        </is>
      </c>
      <c r="B244" t="inlineStr">
        <is>
          <t>avverkningsanmälan</t>
        </is>
      </c>
      <c r="C244" t="inlineStr">
        <is>
          <t>Föryngringsavverkning</t>
        </is>
      </c>
      <c r="D244" s="1" t="n">
        <v>45126</v>
      </c>
      <c r="E244" s="1" t="n">
        <v>46326</v>
      </c>
      <c r="F244" t="inlineStr">
        <is>
          <t>STOCKHOLMS LÄN</t>
        </is>
      </c>
      <c r="G244" t="inlineStr">
        <is>
          <t>VÄRMDÖ</t>
        </is>
      </c>
      <c r="I244" t="n">
        <v>3.8</v>
      </c>
      <c r="J244" t="n">
        <v>0</v>
      </c>
      <c r="K244" t="n">
        <v>0</v>
      </c>
      <c r="L244" t="n">
        <v>3</v>
      </c>
      <c r="M244" t="n">
        <v>0</v>
      </c>
      <c r="N244" t="n">
        <v>0</v>
      </c>
      <c r="O244" t="n">
        <v>0</v>
      </c>
      <c r="P244" t="n">
        <v>0</v>
      </c>
      <c r="Q244" t="n">
        <v>3</v>
      </c>
      <c r="R244" t="n">
        <v>0</v>
      </c>
      <c r="S244" t="n">
        <v>3</v>
      </c>
      <c r="T244" t="n">
        <v>3</v>
      </c>
      <c r="U244" t="n">
        <v>0</v>
      </c>
      <c r="V244" s="2" t="inlineStr">
        <is>
          <t>Gullklöver
Jungfrulin
Vippärt</t>
        </is>
      </c>
      <c r="W244">
        <f>HYPERLINK("https://klasma.github.io/Logging_0120/artfynd/A 33166-2023 artfynd.xlsx", "A 33166-2023")</f>
        <v/>
      </c>
      <c r="X244">
        <f>HYPERLINK("https://klasma.github.io/Logging_0120/kartor/A 33166-2023 karta.png", "A 33166-2023")</f>
        <v/>
      </c>
      <c r="Y244">
        <f>HYPERLINK("https://klasma.github.io/Logging_0120/kartor_geotiff/A 33166-2023 georefererad karta.tif", "A 33166-2023")</f>
        <v/>
      </c>
      <c r="AA244">
        <f>HYPERLINK("https://klasma.github.io/Logging_0120/klagomål/A 33166-2023 FSC-klagomål.docx", "A 33166-2023")</f>
        <v/>
      </c>
      <c r="AB244">
        <f>HYPERLINK("https://klasma.github.io/Logging_0120/klagomålsmail/A 33166-2023 FSC-klagomål mail.docx", "A 33166-2023")</f>
        <v/>
      </c>
      <c r="AC244">
        <f>HYPERLINK("https://klasma.github.io/Logging_0120/tillsyn/A 33166-2023 tillsynsbegäran.docx", "A 33166-2023")</f>
        <v/>
      </c>
      <c r="AD244">
        <f>HYPERLINK("https://klasma.github.io/Logging_0120/tillsynsmail/A 33166-2023 tillsynsbegäran mail.docx", "A 33166-2023")</f>
        <v/>
      </c>
    </row>
    <row r="245" ht="15" customHeight="1">
      <c r="A245" t="inlineStr">
        <is>
          <t>A 364-2026</t>
        </is>
      </c>
      <c r="B245" t="inlineStr">
        <is>
          <t>avverkningsanmälan</t>
        </is>
      </c>
      <c r="C245" t="inlineStr">
        <is>
          <t>Föryngringsavverkning</t>
        </is>
      </c>
      <c r="D245" s="1" t="n">
        <v>46027</v>
      </c>
      <c r="E245" s="1" t="n">
        <v>46326</v>
      </c>
      <c r="F245" t="inlineStr">
        <is>
          <t>STOCKHOLMS LÄN</t>
        </is>
      </c>
      <c r="G245" t="inlineStr">
        <is>
          <t>NORRTÄLJE</t>
        </is>
      </c>
      <c r="H245" t="inlineStr">
        <is>
          <t>Holmen skog AB</t>
        </is>
      </c>
      <c r="I245" t="n">
        <v>4.3</v>
      </c>
      <c r="J245" t="n">
        <v>2</v>
      </c>
      <c r="K245" t="n">
        <v>1</v>
      </c>
      <c r="L245" t="n">
        <v>1</v>
      </c>
      <c r="M245" t="n">
        <v>0</v>
      </c>
      <c r="N245" t="n">
        <v>1</v>
      </c>
      <c r="O245" t="n">
        <v>0</v>
      </c>
      <c r="P245" t="n">
        <v>0</v>
      </c>
      <c r="Q245" t="n">
        <v>2</v>
      </c>
      <c r="R245" t="n">
        <v>1</v>
      </c>
      <c r="S245" t="n">
        <v>3</v>
      </c>
      <c r="T245" t="n">
        <v>162</v>
      </c>
      <c r="U245" t="n">
        <v>24</v>
      </c>
      <c r="V245" s="2" t="inlineStr">
        <is>
          <t>Asknätfjäril
Vårärt
Guckusko</t>
        </is>
      </c>
      <c r="W245">
        <f>HYPERLINK("https://klasma.github.io/Logging_0188/artfynd/A 364-2026 artfynd.xlsx", "A 364-2026")</f>
        <v/>
      </c>
      <c r="X245">
        <f>HYPERLINK("https://klasma.github.io/Logging_0188/kartor/A 364-2026 karta.png", "A 364-2026")</f>
        <v/>
      </c>
      <c r="Y245">
        <f>HYPERLINK("https://klasma.github.io/Logging_0188/kartor_geotiff/A 364-2026 georefererad karta.tif", "A 364-2026")</f>
        <v/>
      </c>
      <c r="AA245">
        <f>HYPERLINK("https://klasma.github.io/Logging_0188/klagomål/A 364-2026 FSC-klagomål.docx", "A 364-2026")</f>
        <v/>
      </c>
      <c r="AB245">
        <f>HYPERLINK("https://klasma.github.io/Logging_0188/klagomålsmail/A 364-2026 FSC-klagomål mail.docx", "A 364-2026")</f>
        <v/>
      </c>
      <c r="AC245">
        <f>HYPERLINK("https://klasma.github.io/Logging_0188/tillsyn/A 364-2026 tillsynsbegäran.docx", "A 364-2026")</f>
        <v/>
      </c>
      <c r="AD245">
        <f>HYPERLINK("https://klasma.github.io/Logging_0188/tillsynsmail/A 364-2026 tillsynsbegäran mail.docx", "A 364-2026")</f>
        <v/>
      </c>
    </row>
    <row r="246" ht="15" customHeight="1">
      <c r="A246" t="inlineStr">
        <is>
          <t>A 27948-2025</t>
        </is>
      </c>
      <c r="B246" t="inlineStr">
        <is>
          <t>avverkningsanmälan</t>
        </is>
      </c>
      <c r="C246" t="inlineStr">
        <is>
          <t>Föryngringsavverkning</t>
        </is>
      </c>
      <c r="D246" s="1" t="n">
        <v>45817</v>
      </c>
      <c r="E246" s="1" t="n">
        <v>46326</v>
      </c>
      <c r="F246" t="inlineStr">
        <is>
          <t>STOCKHOLMS LÄN</t>
        </is>
      </c>
      <c r="G246" t="inlineStr">
        <is>
          <t>ÖSTERÅKER</t>
        </is>
      </c>
      <c r="I246" t="n">
        <v>5.6</v>
      </c>
      <c r="J246" t="n">
        <v>3</v>
      </c>
      <c r="K246" t="n">
        <v>0</v>
      </c>
      <c r="L246" t="n">
        <v>1</v>
      </c>
      <c r="M246" t="n">
        <v>1</v>
      </c>
      <c r="N246" t="n">
        <v>0</v>
      </c>
      <c r="O246" t="n">
        <v>0</v>
      </c>
      <c r="P246" t="n">
        <v>0</v>
      </c>
      <c r="Q246" t="n">
        <v>2</v>
      </c>
      <c r="R246" t="n">
        <v>1</v>
      </c>
      <c r="S246" t="n">
        <v>3</v>
      </c>
      <c r="T246" t="n">
        <v>3</v>
      </c>
      <c r="U246" t="n">
        <v>0</v>
      </c>
      <c r="V246" s="2" t="inlineStr">
        <is>
          <t>Tornseglare
Ladusvala
Törnskata</t>
        </is>
      </c>
      <c r="W246">
        <f>HYPERLINK("https://klasma.github.io/Logging_0117/artfynd/A 27948-2025 artfynd.xlsx", "A 27948-2025")</f>
        <v/>
      </c>
      <c r="X246">
        <f>HYPERLINK("https://klasma.github.io/Logging_0117/kartor/A 27948-2025 karta.png", "A 27948-2025")</f>
        <v/>
      </c>
      <c r="Y246">
        <f>HYPERLINK("https://klasma.github.io/Logging_0117/kartor_geotiff/A 27948-2025 georefererad karta.tif", "A 27948-2025")</f>
        <v/>
      </c>
      <c r="AA246">
        <f>HYPERLINK("https://klasma.github.io/Logging_0117/klagomål/A 27948-2025 FSC-klagomål.docx", "A 27948-2025")</f>
        <v/>
      </c>
      <c r="AB246">
        <f>HYPERLINK("https://klasma.github.io/Logging_0117/klagomålsmail/A 27948-2025 FSC-klagomål mail.docx", "A 27948-2025")</f>
        <v/>
      </c>
      <c r="AC246">
        <f>HYPERLINK("https://klasma.github.io/Logging_0117/tillsyn/A 27948-2025 tillsynsbegäran.docx", "A 27948-2025")</f>
        <v/>
      </c>
      <c r="AD246">
        <f>HYPERLINK("https://klasma.github.io/Logging_0117/tillsynsmail/A 27948-2025 tillsynsbegäran mail.docx", "A 27948-2025")</f>
        <v/>
      </c>
      <c r="AE246">
        <f>HYPERLINK("https://klasma.github.io/Logging_0117/fåglar/A 27948-2025 prioriterade fågelarter.docx", "A 27948-2025")</f>
        <v/>
      </c>
    </row>
    <row r="247" ht="15" customHeight="1">
      <c r="A247" t="inlineStr">
        <is>
          <t>A 48717-2024</t>
        </is>
      </c>
      <c r="B247" t="inlineStr">
        <is>
          <t>avverkningsanmälan</t>
        </is>
      </c>
      <c r="C247" t="inlineStr">
        <is>
          <t>Föryngringsavverkning</t>
        </is>
      </c>
      <c r="D247" s="1" t="n">
        <v>45593</v>
      </c>
      <c r="E247" s="1" t="n">
        <v>46326</v>
      </c>
      <c r="F247" t="inlineStr">
        <is>
          <t>STOCKHOLMS LÄN</t>
        </is>
      </c>
      <c r="G247" t="inlineStr">
        <is>
          <t>VALLENTUNA</t>
        </is>
      </c>
      <c r="I247" t="n">
        <v>6.2</v>
      </c>
      <c r="J247" t="n">
        <v>2</v>
      </c>
      <c r="K247" t="n">
        <v>0</v>
      </c>
      <c r="L247" t="n">
        <v>1</v>
      </c>
      <c r="M247" t="n">
        <v>0</v>
      </c>
      <c r="N247" t="n">
        <v>0</v>
      </c>
      <c r="O247" t="n">
        <v>0</v>
      </c>
      <c r="P247" t="n">
        <v>0</v>
      </c>
      <c r="Q247" t="n">
        <v>1</v>
      </c>
      <c r="R247" t="n">
        <v>0</v>
      </c>
      <c r="S247" t="n">
        <v>3</v>
      </c>
      <c r="T247" t="n">
        <v>4</v>
      </c>
      <c r="U247" t="n">
        <v>2</v>
      </c>
      <c r="V247" s="2" t="inlineStr">
        <is>
          <t>Ullticka
Tjäder
Kungsfågel</t>
        </is>
      </c>
      <c r="W247">
        <f>HYPERLINK("https://klasma.github.io/Logging_0115/artfynd/A 48717-2024 artfynd.xlsx", "A 48717-2024")</f>
        <v/>
      </c>
      <c r="X247">
        <f>HYPERLINK("https://klasma.github.io/Logging_0115/kartor/A 48717-2024 karta.png", "A 48717-2024")</f>
        <v/>
      </c>
      <c r="Y247">
        <f>HYPERLINK("https://klasma.github.io/Logging_0115/kartor_geotiff/A 48717-2024 georefererad karta.tif", "A 48717-2024")</f>
        <v/>
      </c>
      <c r="AA247">
        <f>HYPERLINK("https://klasma.github.io/Logging_0115/klagomål/A 48717-2024 FSC-klagomål.docx", "A 48717-2024")</f>
        <v/>
      </c>
      <c r="AB247">
        <f>HYPERLINK("https://klasma.github.io/Logging_0115/klagomålsmail/A 48717-2024 FSC-klagomål mail.docx", "A 48717-2024")</f>
        <v/>
      </c>
      <c r="AC247">
        <f>HYPERLINK("https://klasma.github.io/Logging_0115/tillsyn/A 48717-2024 tillsynsbegäran.docx", "A 48717-2024")</f>
        <v/>
      </c>
      <c r="AD247">
        <f>HYPERLINK("https://klasma.github.io/Logging_0115/tillsynsmail/A 48717-2024 tillsynsbegäran mail.docx", "A 48717-2024")</f>
        <v/>
      </c>
      <c r="AE247">
        <f>HYPERLINK("https://klasma.github.io/Logging_0115/fåglar/A 48717-2024 prioriterade fågelarter.docx", "A 48717-2024")</f>
        <v/>
      </c>
    </row>
    <row r="248" ht="15" customHeight="1">
      <c r="A248" t="inlineStr">
        <is>
          <t>A 3677-2026</t>
        </is>
      </c>
      <c r="B248" t="inlineStr">
        <is>
          <t>avverkningsanmälan</t>
        </is>
      </c>
      <c r="C248" t="inlineStr">
        <is>
          <t>Föryngringsavverkning</t>
        </is>
      </c>
      <c r="D248" s="1" t="n">
        <v>46043</v>
      </c>
      <c r="E248" s="1" t="n">
        <v>46326</v>
      </c>
      <c r="F248" t="inlineStr">
        <is>
          <t>STOCKHOLMS LÄN</t>
        </is>
      </c>
      <c r="G248" t="inlineStr">
        <is>
          <t>SIGTUNA</t>
        </is>
      </c>
      <c r="I248" t="n">
        <v>2.5</v>
      </c>
      <c r="J248" t="n">
        <v>3</v>
      </c>
      <c r="K248" t="n">
        <v>0</v>
      </c>
      <c r="L248" t="n">
        <v>0</v>
      </c>
      <c r="M248" t="n">
        <v>0</v>
      </c>
      <c r="N248" t="n">
        <v>0</v>
      </c>
      <c r="O248" t="n">
        <v>0</v>
      </c>
      <c r="P248" t="n">
        <v>0</v>
      </c>
      <c r="Q248" t="n">
        <v>0</v>
      </c>
      <c r="R248" t="n">
        <v>0</v>
      </c>
      <c r="S248" t="n">
        <v>3</v>
      </c>
      <c r="T248" t="n">
        <v>3</v>
      </c>
      <c r="U248" t="n">
        <v>0</v>
      </c>
      <c r="V248" s="2" t="inlineStr">
        <is>
          <t>Blåsippa
Grönsiska
Gullviva</t>
        </is>
      </c>
      <c r="W248">
        <f>HYPERLINK("https://klasma.github.io/Logging_0191/artfynd/A 3677-2026 artfynd.xlsx", "A 3677-2026")</f>
        <v/>
      </c>
      <c r="X248">
        <f>HYPERLINK("https://klasma.github.io/Logging_0191/kartor/A 3677-2026 karta.png", "A 3677-2026")</f>
        <v/>
      </c>
      <c r="Y248">
        <f>HYPERLINK("https://klasma.github.io/Logging_0191/kartor_geotiff/A 3677-2026 georefererad karta.tif", "A 3677-2026")</f>
        <v/>
      </c>
      <c r="AA248">
        <f>HYPERLINK("https://klasma.github.io/Logging_0191/klagomål/A 3677-2026 FSC-klagomål.docx", "A 3677-2026")</f>
        <v/>
      </c>
      <c r="AB248">
        <f>HYPERLINK("https://klasma.github.io/Logging_0191/klagomålsmail/A 3677-2026 FSC-klagomål mail.docx", "A 3677-2026")</f>
        <v/>
      </c>
      <c r="AC248">
        <f>HYPERLINK("https://klasma.github.io/Logging_0191/tillsyn/A 3677-2026 tillsynsbegäran.docx", "A 3677-2026")</f>
        <v/>
      </c>
      <c r="AD248">
        <f>HYPERLINK("https://klasma.github.io/Logging_0191/tillsynsmail/A 3677-2026 tillsynsbegäran mail.docx", "A 3677-2026")</f>
        <v/>
      </c>
    </row>
    <row r="249" ht="15" customHeight="1">
      <c r="A249" t="inlineStr">
        <is>
          <t>A 31577-2025</t>
        </is>
      </c>
      <c r="B249" t="inlineStr">
        <is>
          <t>avverkningsanmälan</t>
        </is>
      </c>
      <c r="C249" t="inlineStr">
        <is>
          <t>Föryngringsavverkning</t>
        </is>
      </c>
      <c r="D249" s="1" t="n">
        <v>45833</v>
      </c>
      <c r="E249" s="1" t="n">
        <v>46326</v>
      </c>
      <c r="F249" t="inlineStr">
        <is>
          <t>STOCKHOLMS LÄN</t>
        </is>
      </c>
      <c r="G249" t="inlineStr">
        <is>
          <t>VÄRMDÖ</t>
        </is>
      </c>
      <c r="I249" t="n">
        <v>2.3</v>
      </c>
      <c r="J249" t="n">
        <v>1</v>
      </c>
      <c r="K249" t="n">
        <v>1</v>
      </c>
      <c r="L249" t="n">
        <v>2</v>
      </c>
      <c r="M249" t="n">
        <v>0</v>
      </c>
      <c r="N249" t="n">
        <v>0</v>
      </c>
      <c r="O249" t="n">
        <v>0</v>
      </c>
      <c r="P249" t="n">
        <v>0</v>
      </c>
      <c r="Q249" t="n">
        <v>2</v>
      </c>
      <c r="R249" t="n">
        <v>0</v>
      </c>
      <c r="S249" t="n">
        <v>3</v>
      </c>
      <c r="T249" t="n">
        <v>3</v>
      </c>
      <c r="U249" t="n">
        <v>0</v>
      </c>
      <c r="V249" s="2" t="inlineStr">
        <is>
          <t>Klofibbla
Sårläka
Nästrot</t>
        </is>
      </c>
      <c r="W249">
        <f>HYPERLINK("https://klasma.github.io/Logging_0120/artfynd/A 31577-2025 artfynd.xlsx", "A 31577-2025")</f>
        <v/>
      </c>
      <c r="X249">
        <f>HYPERLINK("https://klasma.github.io/Logging_0120/kartor/A 31577-2025 karta.png", "A 31577-2025")</f>
        <v/>
      </c>
      <c r="Y249">
        <f>HYPERLINK("https://klasma.github.io/Logging_0120/kartor_geotiff/A 31577-2025 georefererad karta.tif", "A 31577-2025")</f>
        <v/>
      </c>
      <c r="AA249">
        <f>HYPERLINK("https://klasma.github.io/Logging_0120/klagomål/A 31577-2025 FSC-klagomål.docx", "A 31577-2025")</f>
        <v/>
      </c>
      <c r="AB249">
        <f>HYPERLINK("https://klasma.github.io/Logging_0120/klagomålsmail/A 31577-2025 FSC-klagomål mail.docx", "A 31577-2025")</f>
        <v/>
      </c>
      <c r="AC249">
        <f>HYPERLINK("https://klasma.github.io/Logging_0120/tillsyn/A 31577-2025 tillsynsbegäran.docx", "A 31577-2025")</f>
        <v/>
      </c>
      <c r="AD249">
        <f>HYPERLINK("https://klasma.github.io/Logging_0120/tillsynsmail/A 31577-2025 tillsynsbegäran mail.docx", "A 31577-2025")</f>
        <v/>
      </c>
    </row>
    <row r="250" ht="15" customHeight="1">
      <c r="A250" t="inlineStr">
        <is>
          <t>A 24384-2023</t>
        </is>
      </c>
      <c r="B250" t="inlineStr">
        <is>
          <t>avverkningsanmälan</t>
        </is>
      </c>
      <c r="C250" t="inlineStr">
        <is>
          <t>Föryngringsavverkning</t>
        </is>
      </c>
      <c r="D250" s="1" t="n">
        <v>45076</v>
      </c>
      <c r="E250" s="1" t="n">
        <v>46326</v>
      </c>
      <c r="F250" t="inlineStr">
        <is>
          <t>STOCKHOLMS LÄN</t>
        </is>
      </c>
      <c r="G250" t="inlineStr">
        <is>
          <t>HUDDINGE</t>
        </is>
      </c>
      <c r="I250" t="n">
        <v>1</v>
      </c>
      <c r="J250" t="n">
        <v>1</v>
      </c>
      <c r="K250" t="n">
        <v>0</v>
      </c>
      <c r="L250" t="n">
        <v>2</v>
      </c>
      <c r="M250" t="n">
        <v>0</v>
      </c>
      <c r="N250" t="n">
        <v>0</v>
      </c>
      <c r="O250" t="n">
        <v>0</v>
      </c>
      <c r="P250" t="n">
        <v>0</v>
      </c>
      <c r="Q250" t="n">
        <v>2</v>
      </c>
      <c r="R250" t="n">
        <v>0</v>
      </c>
      <c r="S250" t="n">
        <v>3</v>
      </c>
      <c r="T250" t="n">
        <v>4</v>
      </c>
      <c r="U250" t="n">
        <v>4</v>
      </c>
      <c r="V250" s="2" t="inlineStr">
        <is>
          <t>Kolflarnlav
Vedskivlav
Spillkråka</t>
        </is>
      </c>
      <c r="W250">
        <f>HYPERLINK("https://klasma.github.io/Logging_0126/artfynd/A 24384-2023 artfynd.xlsx", "A 24384-2023")</f>
        <v/>
      </c>
      <c r="X250">
        <f>HYPERLINK("https://klasma.github.io/Logging_0126/kartor/A 24384-2023 karta.png", "A 24384-2023")</f>
        <v/>
      </c>
      <c r="Y250">
        <f>HYPERLINK("https://klasma.github.io/Logging_0126/kartor_geotiff/A 24384-2023 georefererad karta.tif", "A 24384-2023")</f>
        <v/>
      </c>
      <c r="AA250">
        <f>HYPERLINK("https://klasma.github.io/Logging_0126/klagomål/A 24384-2023 FSC-klagomål.docx", "A 24384-2023")</f>
        <v/>
      </c>
      <c r="AB250">
        <f>HYPERLINK("https://klasma.github.io/Logging_0126/klagomålsmail/A 24384-2023 FSC-klagomål mail.docx", "A 24384-2023")</f>
        <v/>
      </c>
      <c r="AC250">
        <f>HYPERLINK("https://klasma.github.io/Logging_0126/tillsyn/A 24384-2023 tillsynsbegäran.docx", "A 24384-2023")</f>
        <v/>
      </c>
      <c r="AD250">
        <f>HYPERLINK("https://klasma.github.io/Logging_0126/tillsynsmail/A 24384-2023 tillsynsbegäran mail.docx", "A 24384-2023")</f>
        <v/>
      </c>
      <c r="AE250">
        <f>HYPERLINK("https://klasma.github.io/Logging_0126/fåglar/A 24384-2023 prioriterade fågelarter.docx", "A 24384-2023")</f>
        <v/>
      </c>
    </row>
    <row r="251" ht="15" customHeight="1">
      <c r="A251" t="inlineStr">
        <is>
          <t>A 23829-2023</t>
        </is>
      </c>
      <c r="B251" t="inlineStr">
        <is>
          <t>avverkningsanmälan</t>
        </is>
      </c>
      <c r="C251" t="inlineStr">
        <is>
          <t>Föryngringsavverkning</t>
        </is>
      </c>
      <c r="D251" s="1" t="n">
        <v>45078</v>
      </c>
      <c r="E251" s="1" t="n">
        <v>46326</v>
      </c>
      <c r="F251" t="inlineStr">
        <is>
          <t>STOCKHOLMS LÄN</t>
        </is>
      </c>
      <c r="G251" t="inlineStr">
        <is>
          <t>BOTKYRKA</t>
        </is>
      </c>
      <c r="H251" t="inlineStr">
        <is>
          <t>Kommuner</t>
        </is>
      </c>
      <c r="I251" t="n">
        <v>3.7</v>
      </c>
      <c r="J251" t="n">
        <v>1</v>
      </c>
      <c r="K251" t="n">
        <v>0</v>
      </c>
      <c r="L251" t="n">
        <v>2</v>
      </c>
      <c r="M251" t="n">
        <v>0</v>
      </c>
      <c r="N251" t="n">
        <v>0</v>
      </c>
      <c r="O251" t="n">
        <v>0</v>
      </c>
      <c r="P251" t="n">
        <v>0</v>
      </c>
      <c r="Q251" t="n">
        <v>2</v>
      </c>
      <c r="R251" t="n">
        <v>0</v>
      </c>
      <c r="S251" t="n">
        <v>3</v>
      </c>
      <c r="T251" t="n">
        <v>3</v>
      </c>
      <c r="U251" t="n">
        <v>0</v>
      </c>
      <c r="V251" s="2" t="inlineStr">
        <is>
          <t>Fjällig taggsvamp s.str.
Tallticka
Fläcknycklar</t>
        </is>
      </c>
      <c r="W251">
        <f>HYPERLINK("https://klasma.github.io/Logging_0127/artfynd/A 23829-2023 artfynd.xlsx", "A 23829-2023")</f>
        <v/>
      </c>
      <c r="X251">
        <f>HYPERLINK("https://klasma.github.io/Logging_0127/kartor/A 23829-2023 karta.png", "A 23829-2023")</f>
        <v/>
      </c>
      <c r="Y251">
        <f>HYPERLINK("https://klasma.github.io/Logging_0127/kartor_geotiff/A 23829-2023 georefererad karta.tif", "A 23829-2023")</f>
        <v/>
      </c>
      <c r="AA251">
        <f>HYPERLINK("https://klasma.github.io/Logging_0127/klagomål/A 23829-2023 FSC-klagomål.docx", "A 23829-2023")</f>
        <v/>
      </c>
      <c r="AB251">
        <f>HYPERLINK("https://klasma.github.io/Logging_0127/klagomålsmail/A 23829-2023 FSC-klagomål mail.docx", "A 23829-2023")</f>
        <v/>
      </c>
      <c r="AC251">
        <f>HYPERLINK("https://klasma.github.io/Logging_0127/tillsyn/A 23829-2023 tillsynsbegäran.docx", "A 23829-2023")</f>
        <v/>
      </c>
      <c r="AD251">
        <f>HYPERLINK("https://klasma.github.io/Logging_0127/tillsynsmail/A 23829-2023 tillsynsbegäran mail.docx", "A 23829-2023")</f>
        <v/>
      </c>
    </row>
    <row r="252" ht="15" customHeight="1">
      <c r="A252" t="inlineStr">
        <is>
          <t>A 9745-2022</t>
        </is>
      </c>
      <c r="B252" t="inlineStr">
        <is>
          <t>avverkningsanmälan</t>
        </is>
      </c>
      <c r="C252" t="inlineStr">
        <is>
          <t>Föryngringsavverkning</t>
        </is>
      </c>
      <c r="D252" s="1" t="n">
        <v>44618</v>
      </c>
      <c r="E252" s="1" t="n">
        <v>46326</v>
      </c>
      <c r="F252" t="inlineStr">
        <is>
          <t>STOCKHOLMS LÄN</t>
        </is>
      </c>
      <c r="G252" t="inlineStr">
        <is>
          <t>VALLENTUNA</t>
        </is>
      </c>
      <c r="I252" t="n">
        <v>5.9</v>
      </c>
      <c r="J252" t="n">
        <v>1</v>
      </c>
      <c r="K252" t="n">
        <v>2</v>
      </c>
      <c r="L252" t="n">
        <v>0</v>
      </c>
      <c r="M252" t="n">
        <v>0</v>
      </c>
      <c r="N252" t="n">
        <v>0</v>
      </c>
      <c r="O252" t="n">
        <v>0</v>
      </c>
      <c r="P252" t="n">
        <v>0</v>
      </c>
      <c r="Q252" t="n">
        <v>0</v>
      </c>
      <c r="R252" t="n">
        <v>0</v>
      </c>
      <c r="S252" t="n">
        <v>3</v>
      </c>
      <c r="T252" t="n">
        <v>4</v>
      </c>
      <c r="U252" t="n">
        <v>4</v>
      </c>
      <c r="V252" s="2" t="inlineStr">
        <is>
          <t>Björksplintborre
Vedticka
Spillkråka</t>
        </is>
      </c>
      <c r="W252">
        <f>HYPERLINK("https://klasma.github.io/Logging_0115/artfynd/A 9745-2022 artfynd.xlsx", "A 9745-2022")</f>
        <v/>
      </c>
      <c r="X252">
        <f>HYPERLINK("https://klasma.github.io/Logging_0115/kartor/A 9745-2022 karta.png", "A 9745-2022")</f>
        <v/>
      </c>
      <c r="Y252">
        <f>HYPERLINK("https://klasma.github.io/Logging_0115/kartor_geotiff/A 9745-2022 georefererad karta.tif", "A 9745-2022")</f>
        <v/>
      </c>
      <c r="AA252">
        <f>HYPERLINK("https://klasma.github.io/Logging_0115/klagomål/A 9745-2022 FSC-klagomål.docx", "A 9745-2022")</f>
        <v/>
      </c>
      <c r="AB252">
        <f>HYPERLINK("https://klasma.github.io/Logging_0115/klagomålsmail/A 9745-2022 FSC-klagomål mail.docx", "A 9745-2022")</f>
        <v/>
      </c>
      <c r="AC252">
        <f>HYPERLINK("https://klasma.github.io/Logging_0115/tillsyn/A 9745-2022 tillsynsbegäran.docx", "A 9745-2022")</f>
        <v/>
      </c>
      <c r="AD252">
        <f>HYPERLINK("https://klasma.github.io/Logging_0115/tillsynsmail/A 9745-2022 tillsynsbegäran mail.docx", "A 9745-2022")</f>
        <v/>
      </c>
      <c r="AE252">
        <f>HYPERLINK("https://klasma.github.io/Logging_0115/fåglar/A 9745-2022 prioriterade fågelarter.docx", "A 9745-2022")</f>
        <v/>
      </c>
    </row>
    <row r="253" ht="15" customHeight="1">
      <c r="A253" t="inlineStr">
        <is>
          <t>A 62013-2023</t>
        </is>
      </c>
      <c r="B253" t="inlineStr">
        <is>
          <t>avverkningsanmälan</t>
        </is>
      </c>
      <c r="C253" t="inlineStr">
        <is>
          <t>Föryngringsavverkning</t>
        </is>
      </c>
      <c r="D253" s="1" t="n">
        <v>45266</v>
      </c>
      <c r="E253" s="1" t="n">
        <v>46326</v>
      </c>
      <c r="F253" t="inlineStr">
        <is>
          <t>STOCKHOLMS LÄN</t>
        </is>
      </c>
      <c r="G253" t="inlineStr">
        <is>
          <t>NYNÄSHAMN</t>
        </is>
      </c>
      <c r="I253" t="n">
        <v>1.6</v>
      </c>
      <c r="J253" t="n">
        <v>3</v>
      </c>
      <c r="K253" t="n">
        <v>1</v>
      </c>
      <c r="L253" t="n">
        <v>0</v>
      </c>
      <c r="M253" t="n">
        <v>0</v>
      </c>
      <c r="N253" t="n">
        <v>0</v>
      </c>
      <c r="O253" t="n">
        <v>0</v>
      </c>
      <c r="P253" t="n">
        <v>0</v>
      </c>
      <c r="Q253" t="n">
        <v>0</v>
      </c>
      <c r="R253" t="n">
        <v>0</v>
      </c>
      <c r="S253" t="n">
        <v>3</v>
      </c>
      <c r="T253" t="n">
        <v>3</v>
      </c>
      <c r="U253" t="n">
        <v>1</v>
      </c>
      <c r="V253" s="2" t="inlineStr">
        <is>
          <t>Skogsknipprot
Törnskata
Gullviva</t>
        </is>
      </c>
      <c r="W253">
        <f>HYPERLINK("https://klasma.github.io/Logging_0192/artfynd/A 62013-2023 artfynd.xlsx", "A 62013-2023")</f>
        <v/>
      </c>
      <c r="X253">
        <f>HYPERLINK("https://klasma.github.io/Logging_0192/kartor/A 62013-2023 karta.png", "A 62013-2023")</f>
        <v/>
      </c>
      <c r="Y253">
        <f>HYPERLINK("https://klasma.github.io/Logging_0192/kartor_geotiff/A 62013-2023 georefererad karta.tif", "A 62013-2023")</f>
        <v/>
      </c>
      <c r="AA253">
        <f>HYPERLINK("https://klasma.github.io/Logging_0192/klagomål/A 62013-2023 FSC-klagomål.docx", "A 62013-2023")</f>
        <v/>
      </c>
      <c r="AB253">
        <f>HYPERLINK("https://klasma.github.io/Logging_0192/klagomålsmail/A 62013-2023 FSC-klagomål mail.docx", "A 62013-2023")</f>
        <v/>
      </c>
      <c r="AC253">
        <f>HYPERLINK("https://klasma.github.io/Logging_0192/tillsyn/A 62013-2023 tillsynsbegäran.docx", "A 62013-2023")</f>
        <v/>
      </c>
      <c r="AD253">
        <f>HYPERLINK("https://klasma.github.io/Logging_0192/tillsynsmail/A 62013-2023 tillsynsbegäran mail.docx", "A 62013-2023")</f>
        <v/>
      </c>
      <c r="AE253">
        <f>HYPERLINK("https://klasma.github.io/Logging_0192/fåglar/A 62013-2023 prioriterade fågelarter.docx", "A 62013-2023")</f>
        <v/>
      </c>
    </row>
    <row r="254" ht="15" customHeight="1">
      <c r="A254" t="inlineStr">
        <is>
          <t>A 48342-2025</t>
        </is>
      </c>
      <c r="B254" t="inlineStr">
        <is>
          <t>avverkningsanmälan</t>
        </is>
      </c>
      <c r="C254" t="inlineStr">
        <is>
          <t>Föryngringsavverkning</t>
        </is>
      </c>
      <c r="D254" s="1" t="n">
        <v>45933</v>
      </c>
      <c r="E254" s="1" t="n">
        <v>46326</v>
      </c>
      <c r="F254" t="inlineStr">
        <is>
          <t>STOCKHOLMS LÄN</t>
        </is>
      </c>
      <c r="G254" t="inlineStr">
        <is>
          <t>SÖDERTÄLJE</t>
        </is>
      </c>
      <c r="H254" t="inlineStr">
        <is>
          <t>Övriga statliga verk och myndigheter</t>
        </is>
      </c>
      <c r="I254" t="n">
        <v>0.5</v>
      </c>
      <c r="J254" t="n">
        <v>1</v>
      </c>
      <c r="K254" t="n">
        <v>0</v>
      </c>
      <c r="L254" t="n">
        <v>1</v>
      </c>
      <c r="M254" t="n">
        <v>1</v>
      </c>
      <c r="N254" t="n">
        <v>0</v>
      </c>
      <c r="O254" t="n">
        <v>0</v>
      </c>
      <c r="P254" t="n">
        <v>0</v>
      </c>
      <c r="Q254" t="n">
        <v>2</v>
      </c>
      <c r="R254" t="n">
        <v>1</v>
      </c>
      <c r="S254" t="n">
        <v>3</v>
      </c>
      <c r="T254" t="n">
        <v>3</v>
      </c>
      <c r="U254" t="n">
        <v>0</v>
      </c>
      <c r="V254" s="2" t="inlineStr">
        <is>
          <t>Gul taggsvamp
Fjällig taggsvamp s.str.
Spillkråka</t>
        </is>
      </c>
      <c r="W254">
        <f>HYPERLINK("https://klasma.github.io/Logging_0181/artfynd/A 48342-2025 artfynd.xlsx", "A 48342-2025")</f>
        <v/>
      </c>
      <c r="X254">
        <f>HYPERLINK("https://klasma.github.io/Logging_0181/kartor/A 48342-2025 karta.png", "A 48342-2025")</f>
        <v/>
      </c>
      <c r="Y254">
        <f>HYPERLINK("https://klasma.github.io/Logging_0181/kartor_geotiff/A 48342-2025 georefererad karta.tif", "A 48342-2025")</f>
        <v/>
      </c>
      <c r="AA254">
        <f>HYPERLINK("https://klasma.github.io/Logging_0181/klagomål/A 48342-2025 FSC-klagomål.docx", "A 48342-2025")</f>
        <v/>
      </c>
      <c r="AB254">
        <f>HYPERLINK("https://klasma.github.io/Logging_0181/klagomålsmail/A 48342-2025 FSC-klagomål mail.docx", "A 48342-2025")</f>
        <v/>
      </c>
      <c r="AC254">
        <f>HYPERLINK("https://klasma.github.io/Logging_0181/tillsyn/A 48342-2025 tillsynsbegäran.docx", "A 48342-2025")</f>
        <v/>
      </c>
      <c r="AD254">
        <f>HYPERLINK("https://klasma.github.io/Logging_0181/tillsynsmail/A 48342-2025 tillsynsbegäran mail.docx", "A 48342-2025")</f>
        <v/>
      </c>
      <c r="AE254">
        <f>HYPERLINK("https://klasma.github.io/Logging_0181/fåglar/A 48342-2025 prioriterade fågelarter.docx", "A 48342-2025")</f>
        <v/>
      </c>
    </row>
    <row r="255" ht="15" customHeight="1">
      <c r="A255" t="inlineStr">
        <is>
          <t>A 49131-2025</t>
        </is>
      </c>
      <c r="B255" t="inlineStr">
        <is>
          <t>avverkningsanmälan</t>
        </is>
      </c>
      <c r="C255" t="inlineStr">
        <is>
          <t>Föryngringsavverkning</t>
        </is>
      </c>
      <c r="D255" s="1" t="n">
        <v>45937</v>
      </c>
      <c r="E255" s="1" t="n">
        <v>46326</v>
      </c>
      <c r="F255" t="inlineStr">
        <is>
          <t>STOCKHOLMS LÄN</t>
        </is>
      </c>
      <c r="G255" t="inlineStr">
        <is>
          <t>EKERÖ</t>
        </is>
      </c>
      <c r="I255" t="n">
        <v>0.9</v>
      </c>
      <c r="J255" t="n">
        <v>0</v>
      </c>
      <c r="K255" t="n">
        <v>0</v>
      </c>
      <c r="L255" t="n">
        <v>2</v>
      </c>
      <c r="M255" t="n">
        <v>1</v>
      </c>
      <c r="N255" t="n">
        <v>0</v>
      </c>
      <c r="O255" t="n">
        <v>0</v>
      </c>
      <c r="P255" t="n">
        <v>0</v>
      </c>
      <c r="Q255" t="n">
        <v>3</v>
      </c>
      <c r="R255" t="n">
        <v>1</v>
      </c>
      <c r="S255" t="n">
        <v>3</v>
      </c>
      <c r="T255" t="n">
        <v>3</v>
      </c>
      <c r="U255" t="n">
        <v>3</v>
      </c>
      <c r="V255" s="2" t="inlineStr">
        <is>
          <t>Jättemusseron
Motaggsvamp
Svartvit taggsvamp</t>
        </is>
      </c>
      <c r="W255">
        <f>HYPERLINK("https://klasma.github.io/Logging_0125/artfynd/A 49131-2025 artfynd.xlsx", "A 49131-2025")</f>
        <v/>
      </c>
      <c r="X255">
        <f>HYPERLINK("https://klasma.github.io/Logging_0125/kartor/A 49131-2025 karta.png", "A 49131-2025")</f>
        <v/>
      </c>
      <c r="Y255">
        <f>HYPERLINK("https://klasma.github.io/Logging_0125/kartor_geotiff/A 49131-2025 georefererad karta.tif", "A 49131-2025")</f>
        <v/>
      </c>
      <c r="AA255">
        <f>HYPERLINK("https://klasma.github.io/Logging_0125/klagomål/A 49131-2025 FSC-klagomål.docx", "A 49131-2025")</f>
        <v/>
      </c>
      <c r="AB255">
        <f>HYPERLINK("https://klasma.github.io/Logging_0125/klagomålsmail/A 49131-2025 FSC-klagomål mail.docx", "A 49131-2025")</f>
        <v/>
      </c>
      <c r="AC255">
        <f>HYPERLINK("https://klasma.github.io/Logging_0125/tillsyn/A 49131-2025 tillsynsbegäran.docx", "A 49131-2025")</f>
        <v/>
      </c>
      <c r="AD255">
        <f>HYPERLINK("https://klasma.github.io/Logging_0125/tillsynsmail/A 49131-2025 tillsynsbegäran mail.docx", "A 49131-2025")</f>
        <v/>
      </c>
    </row>
    <row r="256" ht="15" customHeight="1">
      <c r="A256" t="inlineStr">
        <is>
          <t>A 2990-2023</t>
        </is>
      </c>
      <c r="B256" t="inlineStr">
        <is>
          <t>avverkningsanmälan</t>
        </is>
      </c>
      <c r="C256" t="inlineStr">
        <is>
          <t>Föryngringsavverkning</t>
        </is>
      </c>
      <c r="D256" s="1" t="n">
        <v>44945</v>
      </c>
      <c r="E256" s="1" t="n">
        <v>46326</v>
      </c>
      <c r="F256" t="inlineStr">
        <is>
          <t>STOCKHOLMS LÄN</t>
        </is>
      </c>
      <c r="G256" t="inlineStr">
        <is>
          <t>SALEM</t>
        </is>
      </c>
      <c r="H256" t="inlineStr">
        <is>
          <t>Kommuner</t>
        </is>
      </c>
      <c r="I256" t="n">
        <v>4.1</v>
      </c>
      <c r="J256" t="n">
        <v>2</v>
      </c>
      <c r="K256" t="n">
        <v>1</v>
      </c>
      <c r="L256" t="n">
        <v>0</v>
      </c>
      <c r="M256" t="n">
        <v>0</v>
      </c>
      <c r="N256" t="n">
        <v>0</v>
      </c>
      <c r="O256" t="n">
        <v>0</v>
      </c>
      <c r="P256" t="n">
        <v>0</v>
      </c>
      <c r="Q256" t="n">
        <v>0</v>
      </c>
      <c r="R256" t="n">
        <v>0</v>
      </c>
      <c r="S256" t="n">
        <v>3</v>
      </c>
      <c r="T256" t="n">
        <v>4</v>
      </c>
      <c r="U256" t="n">
        <v>0</v>
      </c>
      <c r="V256" s="2" t="inlineStr">
        <is>
          <t>Granbarkgnagare
Större vattensalamander
Mindre vattensalamander</t>
        </is>
      </c>
      <c r="W256">
        <f>HYPERLINK("https://klasma.github.io/Logging_0128/artfynd/A 2990-2023 artfynd.xlsx", "A 2990-2023")</f>
        <v/>
      </c>
      <c r="X256">
        <f>HYPERLINK("https://klasma.github.io/Logging_0128/kartor/A 2990-2023 karta.png", "A 2990-2023")</f>
        <v/>
      </c>
      <c r="Y256">
        <f>HYPERLINK("https://klasma.github.io/Logging_0128/kartor_geotiff/A 2990-2023 georefererad karta.tif", "A 2990-2023")</f>
        <v/>
      </c>
      <c r="AA256">
        <f>HYPERLINK("https://klasma.github.io/Logging_0128/klagomål/A 2990-2023 FSC-klagomål.docx", "A 2990-2023")</f>
        <v/>
      </c>
      <c r="AB256">
        <f>HYPERLINK("https://klasma.github.io/Logging_0128/klagomålsmail/A 2990-2023 FSC-klagomål mail.docx", "A 2990-2023")</f>
        <v/>
      </c>
      <c r="AC256">
        <f>HYPERLINK("https://klasma.github.io/Logging_0128/tillsyn/A 2990-2023 tillsynsbegäran.docx", "A 2990-2023")</f>
        <v/>
      </c>
      <c r="AD256">
        <f>HYPERLINK("https://klasma.github.io/Logging_0128/tillsynsmail/A 2990-2023 tillsynsbegäran mail.docx", "A 2990-2023")</f>
        <v/>
      </c>
    </row>
    <row r="257" ht="15" customHeight="1">
      <c r="A257" t="inlineStr">
        <is>
          <t>A 52776-2025</t>
        </is>
      </c>
      <c r="B257" t="inlineStr">
        <is>
          <t>avverkningsanmälan</t>
        </is>
      </c>
      <c r="C257" t="inlineStr">
        <is>
          <t>Föryngringsavverkning</t>
        </is>
      </c>
      <c r="D257" s="1" t="n">
        <v>45957</v>
      </c>
      <c r="E257" s="1" t="n">
        <v>46326</v>
      </c>
      <c r="F257" t="inlineStr">
        <is>
          <t>STOCKHOLMS LÄN</t>
        </is>
      </c>
      <c r="G257" t="inlineStr">
        <is>
          <t>NORRTÄLJE</t>
        </is>
      </c>
      <c r="H257" t="inlineStr">
        <is>
          <t>Sveaskog</t>
        </is>
      </c>
      <c r="I257" t="n">
        <v>2.5</v>
      </c>
      <c r="J257" t="n">
        <v>3</v>
      </c>
      <c r="K257" t="n">
        <v>0</v>
      </c>
      <c r="L257" t="n">
        <v>0</v>
      </c>
      <c r="M257" t="n">
        <v>0</v>
      </c>
      <c r="N257" t="n">
        <v>0</v>
      </c>
      <c r="O257" t="n">
        <v>0</v>
      </c>
      <c r="P257" t="n">
        <v>0</v>
      </c>
      <c r="Q257" t="n">
        <v>0</v>
      </c>
      <c r="R257" t="n">
        <v>0</v>
      </c>
      <c r="S257" t="n">
        <v>3</v>
      </c>
      <c r="T257" t="n">
        <v>3</v>
      </c>
      <c r="U257" t="n">
        <v>0</v>
      </c>
      <c r="V257" s="2" t="inlineStr">
        <is>
          <t>Slaguggla
Sångsvan
Trana</t>
        </is>
      </c>
      <c r="W257">
        <f>HYPERLINK("https://klasma.github.io/Logging_0188/artfynd/A 52776-2025 artfynd.xlsx", "A 52776-2025")</f>
        <v/>
      </c>
      <c r="X257">
        <f>HYPERLINK("https://klasma.github.io/Logging_0188/kartor/A 52776-2025 karta.png", "A 52776-2025")</f>
        <v/>
      </c>
      <c r="Y257">
        <f>HYPERLINK("https://klasma.github.io/Logging_0188/kartor_geotiff/A 52776-2025 georefererad karta.tif", "A 52776-2025")</f>
        <v/>
      </c>
      <c r="AA257">
        <f>HYPERLINK("https://klasma.github.io/Logging_0188/klagomål/A 52776-2025 FSC-klagomål.docx", "A 52776-2025")</f>
        <v/>
      </c>
      <c r="AB257">
        <f>HYPERLINK("https://klasma.github.io/Logging_0188/klagomålsmail/A 52776-2025 FSC-klagomål mail.docx", "A 52776-2025")</f>
        <v/>
      </c>
      <c r="AC257">
        <f>HYPERLINK("https://klasma.github.io/Logging_0188/tillsyn/A 52776-2025 tillsynsbegäran.docx", "A 52776-2025")</f>
        <v/>
      </c>
      <c r="AD257">
        <f>HYPERLINK("https://klasma.github.io/Logging_0188/tillsynsmail/A 52776-2025 tillsynsbegäran mail.docx", "A 52776-2025")</f>
        <v/>
      </c>
      <c r="AE257">
        <f>HYPERLINK("https://klasma.github.io/Logging_0188/fåglar/A 52776-2025 prioriterade fågelarter.docx", "A 52776-2025")</f>
        <v/>
      </c>
    </row>
    <row r="258" ht="15" customHeight="1">
      <c r="A258" t="inlineStr">
        <is>
          <t>A 9807-2026</t>
        </is>
      </c>
      <c r="B258" t="inlineStr">
        <is>
          <t>avverkningsanmälan</t>
        </is>
      </c>
      <c r="C258" t="inlineStr">
        <is>
          <t>Avverkning för annat ändamål</t>
        </is>
      </c>
      <c r="D258" s="1" t="n">
        <v>46072</v>
      </c>
      <c r="E258" s="1" t="n">
        <v>46326</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12620-2022</t>
        </is>
      </c>
      <c r="B259" t="inlineStr">
        <is>
          <t>avverkningsanmälan</t>
        </is>
      </c>
      <c r="C259" t="inlineStr">
        <is>
          <t>Föryngringsavverkning</t>
        </is>
      </c>
      <c r="D259" s="1" t="n">
        <v>44638</v>
      </c>
      <c r="E259" s="1" t="n">
        <v>46326</v>
      </c>
      <c r="F259" t="inlineStr">
        <is>
          <t>STOCKHOLMS LÄN</t>
        </is>
      </c>
      <c r="G259" t="inlineStr">
        <is>
          <t>ÖSTERÅKER</t>
        </is>
      </c>
      <c r="I259" t="n">
        <v>9.4</v>
      </c>
      <c r="J259" t="n">
        <v>1</v>
      </c>
      <c r="K259" t="n">
        <v>1</v>
      </c>
      <c r="L259" t="n">
        <v>0</v>
      </c>
      <c r="M259" t="n">
        <v>1</v>
      </c>
      <c r="N259" t="n">
        <v>0</v>
      </c>
      <c r="O259" t="n">
        <v>0</v>
      </c>
      <c r="P259" t="n">
        <v>0</v>
      </c>
      <c r="Q259" t="n">
        <v>1</v>
      </c>
      <c r="R259" t="n">
        <v>1</v>
      </c>
      <c r="S259" t="n">
        <v>3</v>
      </c>
      <c r="T259" t="n">
        <v>3</v>
      </c>
      <c r="U259" t="n">
        <v>3</v>
      </c>
      <c r="V259" s="2" t="inlineStr">
        <is>
          <t>Taggfingersvamp
Fällmossa
Blåsippa</t>
        </is>
      </c>
      <c r="W259">
        <f>HYPERLINK("https://klasma.github.io/Logging_0117/artfynd/A 12620-2022 artfynd.xlsx", "A 12620-2022")</f>
        <v/>
      </c>
      <c r="X259">
        <f>HYPERLINK("https://klasma.github.io/Logging_0117/kartor/A 12620-2022 karta.png", "A 12620-2022")</f>
        <v/>
      </c>
      <c r="Y259">
        <f>HYPERLINK("https://klasma.github.io/Logging_0117/kartor_geotiff/A 12620-2022 georefererad karta.tif", "A 12620-2022")</f>
        <v/>
      </c>
      <c r="AA259">
        <f>HYPERLINK("https://klasma.github.io/Logging_0117/klagomål/A 12620-2022 FSC-klagomål.docx", "A 12620-2022")</f>
        <v/>
      </c>
      <c r="AB259">
        <f>HYPERLINK("https://klasma.github.io/Logging_0117/klagomålsmail/A 12620-2022 FSC-klagomål mail.docx", "A 12620-2022")</f>
        <v/>
      </c>
      <c r="AC259">
        <f>HYPERLINK("https://klasma.github.io/Logging_0117/tillsyn/A 12620-2022 tillsynsbegäran.docx", "A 12620-2022")</f>
        <v/>
      </c>
      <c r="AD259">
        <f>HYPERLINK("https://klasma.github.io/Logging_0117/tillsynsmail/A 12620-2022 tillsynsbegäran mail.docx", "A 12620-2022")</f>
        <v/>
      </c>
    </row>
    <row r="260" ht="15" customHeight="1">
      <c r="A260" t="inlineStr">
        <is>
          <t>A 9914-2023</t>
        </is>
      </c>
      <c r="B260" t="inlineStr">
        <is>
          <t>avverkningsanmälan</t>
        </is>
      </c>
      <c r="C260" t="inlineStr">
        <is>
          <t>Föryngringsavverkning</t>
        </is>
      </c>
      <c r="D260" s="1" t="n">
        <v>44985</v>
      </c>
      <c r="E260" s="1" t="n">
        <v>46326</v>
      </c>
      <c r="F260" t="inlineStr">
        <is>
          <t>STOCKHOLMS LÄN</t>
        </is>
      </c>
      <c r="G260" t="inlineStr">
        <is>
          <t>NORRTÄLJE</t>
        </is>
      </c>
      <c r="I260" t="n">
        <v>4.2</v>
      </c>
      <c r="J260" t="n">
        <v>0</v>
      </c>
      <c r="K260" t="n">
        <v>2</v>
      </c>
      <c r="L260" t="n">
        <v>1</v>
      </c>
      <c r="M260" t="n">
        <v>0</v>
      </c>
      <c r="N260" t="n">
        <v>0</v>
      </c>
      <c r="O260" t="n">
        <v>0</v>
      </c>
      <c r="P260" t="n">
        <v>0</v>
      </c>
      <c r="Q260" t="n">
        <v>1</v>
      </c>
      <c r="R260" t="n">
        <v>0</v>
      </c>
      <c r="S260" t="n">
        <v>3</v>
      </c>
      <c r="T260" t="n">
        <v>3</v>
      </c>
      <c r="U260" t="n">
        <v>0</v>
      </c>
      <c r="V260" s="2" t="inlineStr">
        <is>
          <t>Orange taggsvamp
Olivspindling
Zontaggsvamp</t>
        </is>
      </c>
      <c r="W260">
        <f>HYPERLINK("https://klasma.github.io/Logging_0188/artfynd/A 9914-2023 artfynd.xlsx", "A 9914-2023")</f>
        <v/>
      </c>
      <c r="X260">
        <f>HYPERLINK("https://klasma.github.io/Logging_0188/kartor/A 9914-2023 karta.png", "A 9914-2023")</f>
        <v/>
      </c>
      <c r="Y260">
        <f>HYPERLINK("https://klasma.github.io/Logging_0188/kartor_geotiff/A 9914-2023 georefererad karta.tif", "A 9914-2023")</f>
        <v/>
      </c>
      <c r="AA260">
        <f>HYPERLINK("https://klasma.github.io/Logging_0188/klagomål/A 9914-2023 FSC-klagomål.docx", "A 9914-2023")</f>
        <v/>
      </c>
      <c r="AB260">
        <f>HYPERLINK("https://klasma.github.io/Logging_0188/klagomålsmail/A 9914-2023 FSC-klagomål mail.docx", "A 9914-2023")</f>
        <v/>
      </c>
      <c r="AC260">
        <f>HYPERLINK("https://klasma.github.io/Logging_0188/tillsyn/A 9914-2023 tillsynsbegäran.docx", "A 9914-2023")</f>
        <v/>
      </c>
      <c r="AD260">
        <f>HYPERLINK("https://klasma.github.io/Logging_0188/tillsynsmail/A 9914-2023 tillsynsbegäran mail.docx", "A 9914-2023")</f>
        <v/>
      </c>
    </row>
    <row r="261" ht="15" customHeight="1">
      <c r="A261" t="inlineStr">
        <is>
          <t>A 17467-2024</t>
        </is>
      </c>
      <c r="B261" t="inlineStr">
        <is>
          <t>avverkningsanmälan</t>
        </is>
      </c>
      <c r="C261" t="inlineStr">
        <is>
          <t>Föryngringsavverkning</t>
        </is>
      </c>
      <c r="D261" s="1" t="n">
        <v>45415</v>
      </c>
      <c r="E261" s="1" t="n">
        <v>46326</v>
      </c>
      <c r="F261" t="inlineStr">
        <is>
          <t>STOCKHOLMS LÄN</t>
        </is>
      </c>
      <c r="G261" t="inlineStr">
        <is>
          <t>HUDDINGE</t>
        </is>
      </c>
      <c r="I261" t="n">
        <v>14</v>
      </c>
      <c r="J261" t="n">
        <v>1</v>
      </c>
      <c r="K261" t="n">
        <v>1</v>
      </c>
      <c r="L261" t="n">
        <v>1</v>
      </c>
      <c r="M261" t="n">
        <v>1</v>
      </c>
      <c r="N261" t="n">
        <v>0</v>
      </c>
      <c r="O261" t="n">
        <v>0</v>
      </c>
      <c r="P261" t="n">
        <v>0</v>
      </c>
      <c r="Q261" t="n">
        <v>2</v>
      </c>
      <c r="R261" t="n">
        <v>1</v>
      </c>
      <c r="S261" t="n">
        <v>3</v>
      </c>
      <c r="T261" t="n">
        <v>3</v>
      </c>
      <c r="U261" t="n">
        <v>3</v>
      </c>
      <c r="V261" s="2" t="inlineStr">
        <is>
          <t>Knärot
Motaggsvamp
Bronshjon</t>
        </is>
      </c>
      <c r="W261">
        <f>HYPERLINK("https://klasma.github.io/Logging_0126/artfynd/A 17467-2024 artfynd.xlsx", "A 17467-2024")</f>
        <v/>
      </c>
      <c r="X261">
        <f>HYPERLINK("https://klasma.github.io/Logging_0126/kartor/A 17467-2024 karta.png", "A 17467-2024")</f>
        <v/>
      </c>
      <c r="Y261">
        <f>HYPERLINK("https://klasma.github.io/Logging_0126/kartor_geotiff/A 17467-2024 georefererad karta.tif", "A 17467-2024")</f>
        <v/>
      </c>
      <c r="Z261">
        <f>HYPERLINK("https://klasma.github.io/Logging_0126/knärot/A 17467-2024 karta knärot.png", "A 17467-2024")</f>
        <v/>
      </c>
      <c r="AA261">
        <f>HYPERLINK("https://klasma.github.io/Logging_0126/klagomål/A 17467-2024 FSC-klagomål.docx", "A 17467-2024")</f>
        <v/>
      </c>
      <c r="AB261">
        <f>HYPERLINK("https://klasma.github.io/Logging_0126/klagomålsmail/A 17467-2024 FSC-klagomål mail.docx", "A 17467-2024")</f>
        <v/>
      </c>
      <c r="AC261">
        <f>HYPERLINK("https://klasma.github.io/Logging_0126/tillsyn/A 17467-2024 tillsynsbegäran.docx", "A 17467-2024")</f>
        <v/>
      </c>
      <c r="AD261">
        <f>HYPERLINK("https://klasma.github.io/Logging_0126/tillsynsmail/A 17467-2024 tillsynsbegäran mail.docx", "A 17467-2024")</f>
        <v/>
      </c>
    </row>
    <row r="262" ht="15" customHeight="1">
      <c r="A262" t="inlineStr">
        <is>
          <t>A 40192-2023</t>
        </is>
      </c>
      <c r="B262" t="inlineStr">
        <is>
          <t>avverkningsanmälan</t>
        </is>
      </c>
      <c r="C262" t="inlineStr">
        <is>
          <t>Föryngringsavverkning</t>
        </is>
      </c>
      <c r="D262" s="1" t="n">
        <v>45169</v>
      </c>
      <c r="E262" s="1" t="n">
        <v>46326</v>
      </c>
      <c r="F262" t="inlineStr">
        <is>
          <t>STOCKHOLMS LÄN</t>
        </is>
      </c>
      <c r="G262" t="inlineStr">
        <is>
          <t>NORRTÄLJE</t>
        </is>
      </c>
      <c r="H262" t="inlineStr">
        <is>
          <t>Kyrkan</t>
        </is>
      </c>
      <c r="I262" t="n">
        <v>0.7</v>
      </c>
      <c r="J262" t="n">
        <v>3</v>
      </c>
      <c r="K262" t="n">
        <v>0</v>
      </c>
      <c r="L262" t="n">
        <v>0</v>
      </c>
      <c r="M262" t="n">
        <v>0</v>
      </c>
      <c r="N262" t="n">
        <v>0</v>
      </c>
      <c r="O262" t="n">
        <v>0</v>
      </c>
      <c r="P262" t="n">
        <v>0</v>
      </c>
      <c r="Q262" t="n">
        <v>0</v>
      </c>
      <c r="R262" t="n">
        <v>0</v>
      </c>
      <c r="S262" t="n">
        <v>3</v>
      </c>
      <c r="T262" t="n">
        <v>3</v>
      </c>
      <c r="U262" t="n">
        <v>3</v>
      </c>
      <c r="V262" s="2" t="inlineStr">
        <is>
          <t>Grönsiska
Skogsduva
Törnskata</t>
        </is>
      </c>
      <c r="W262">
        <f>HYPERLINK("https://klasma.github.io/Logging_0188/artfynd/A 40192-2023 artfynd.xlsx", "A 40192-2023")</f>
        <v/>
      </c>
      <c r="X262">
        <f>HYPERLINK("https://klasma.github.io/Logging_0188/kartor/A 40192-2023 karta.png", "A 40192-2023")</f>
        <v/>
      </c>
      <c r="Y262">
        <f>HYPERLINK("https://klasma.github.io/Logging_0188/kartor_geotiff/A 40192-2023 georefererad karta.tif", "A 40192-2023")</f>
        <v/>
      </c>
      <c r="AA262">
        <f>HYPERLINK("https://klasma.github.io/Logging_0188/klagomål/A 40192-2023 FSC-klagomål.docx", "A 40192-2023")</f>
        <v/>
      </c>
      <c r="AB262">
        <f>HYPERLINK("https://klasma.github.io/Logging_0188/klagomålsmail/A 40192-2023 FSC-klagomål mail.docx", "A 40192-2023")</f>
        <v/>
      </c>
      <c r="AC262">
        <f>HYPERLINK("https://klasma.github.io/Logging_0188/tillsyn/A 40192-2023 tillsynsbegäran.docx", "A 40192-2023")</f>
        <v/>
      </c>
      <c r="AD262">
        <f>HYPERLINK("https://klasma.github.io/Logging_0188/tillsynsmail/A 40192-2023 tillsynsbegäran mail.docx", "A 40192-2023")</f>
        <v/>
      </c>
      <c r="AE262">
        <f>HYPERLINK("https://klasma.github.io/Logging_0188/fåglar/A 40192-2023 prioriterade fågelarter.docx", "A 40192-2023")</f>
        <v/>
      </c>
    </row>
    <row r="263" ht="15" customHeight="1">
      <c r="A263" t="inlineStr">
        <is>
          <t>A 62578-2025</t>
        </is>
      </c>
      <c r="B263" t="inlineStr">
        <is>
          <t>avverkningsanmälan</t>
        </is>
      </c>
      <c r="C263" t="inlineStr">
        <is>
          <t>Föryngringsavverkning</t>
        </is>
      </c>
      <c r="D263" s="1" t="n">
        <v>46007</v>
      </c>
      <c r="E263" s="1" t="n">
        <v>46326</v>
      </c>
      <c r="F263" t="inlineStr">
        <is>
          <t>STOCKHOLMS LÄN</t>
        </is>
      </c>
      <c r="G263" t="inlineStr">
        <is>
          <t>ÖSTERÅKER</t>
        </is>
      </c>
      <c r="I263" t="n">
        <v>3.4</v>
      </c>
      <c r="J263" t="n">
        <v>0</v>
      </c>
      <c r="K263" t="n">
        <v>3</v>
      </c>
      <c r="L263" t="n">
        <v>0</v>
      </c>
      <c r="M263" t="n">
        <v>0</v>
      </c>
      <c r="N263" t="n">
        <v>0</v>
      </c>
      <c r="O263" t="n">
        <v>0</v>
      </c>
      <c r="P263" t="n">
        <v>0</v>
      </c>
      <c r="Q263" t="n">
        <v>0</v>
      </c>
      <c r="R263" t="n">
        <v>0</v>
      </c>
      <c r="S263" t="n">
        <v>3</v>
      </c>
      <c r="T263" t="n">
        <v>4</v>
      </c>
      <c r="U263" t="n">
        <v>0</v>
      </c>
      <c r="V263" s="2" t="inlineStr">
        <is>
          <t>Fällmossa
Mindre märgborre
Vedticka</t>
        </is>
      </c>
      <c r="W263">
        <f>HYPERLINK("https://klasma.github.io/Logging_0117/artfynd/A 62578-2025 artfynd.xlsx", "A 62578-2025")</f>
        <v/>
      </c>
      <c r="X263">
        <f>HYPERLINK("https://klasma.github.io/Logging_0117/kartor/A 62578-2025 karta.png", "A 62578-2025")</f>
        <v/>
      </c>
      <c r="Y263">
        <f>HYPERLINK("https://klasma.github.io/Logging_0117/kartor_geotiff/A 62578-2025 georefererad karta.tif", "A 62578-2025")</f>
        <v/>
      </c>
      <c r="AA263">
        <f>HYPERLINK("https://klasma.github.io/Logging_0117/klagomål/A 62578-2025 FSC-klagomål.docx", "A 62578-2025")</f>
        <v/>
      </c>
      <c r="AB263">
        <f>HYPERLINK("https://klasma.github.io/Logging_0117/klagomålsmail/A 62578-2025 FSC-klagomål mail.docx", "A 62578-2025")</f>
        <v/>
      </c>
      <c r="AC263">
        <f>HYPERLINK("https://klasma.github.io/Logging_0117/tillsyn/A 62578-2025 tillsynsbegäran.docx", "A 62578-2025")</f>
        <v/>
      </c>
      <c r="AD263">
        <f>HYPERLINK("https://klasma.github.io/Logging_0117/tillsynsmail/A 62578-2025 tillsynsbegäran mail.docx", "A 62578-2025")</f>
        <v/>
      </c>
    </row>
    <row r="264" ht="15" customHeight="1">
      <c r="A264" t="inlineStr">
        <is>
          <t>A 50618-2022</t>
        </is>
      </c>
      <c r="B264" t="inlineStr">
        <is>
          <t>avverkningsanmälan</t>
        </is>
      </c>
      <c r="C264" t="inlineStr">
        <is>
          <t>Avverkning för annat ändamål</t>
        </is>
      </c>
      <c r="D264" s="1" t="n">
        <v>44866</v>
      </c>
      <c r="E264" s="1" t="n">
        <v>46326</v>
      </c>
      <c r="F264" t="inlineStr">
        <is>
          <t>STOCKHOLMS LÄN</t>
        </is>
      </c>
      <c r="G264" t="inlineStr">
        <is>
          <t>NORRTÄLJE</t>
        </is>
      </c>
      <c r="I264" t="n">
        <v>7.8</v>
      </c>
      <c r="J264" t="n">
        <v>2</v>
      </c>
      <c r="K264" t="n">
        <v>1</v>
      </c>
      <c r="L264" t="n">
        <v>1</v>
      </c>
      <c r="M264" t="n">
        <v>0</v>
      </c>
      <c r="N264" t="n">
        <v>0</v>
      </c>
      <c r="O264" t="n">
        <v>0</v>
      </c>
      <c r="P264" t="n">
        <v>0</v>
      </c>
      <c r="Q264" t="n">
        <v>1</v>
      </c>
      <c r="R264" t="n">
        <v>0</v>
      </c>
      <c r="S264" t="n">
        <v>3</v>
      </c>
      <c r="T264" t="n">
        <v>6</v>
      </c>
      <c r="U264" t="n">
        <v>6</v>
      </c>
      <c r="V264" s="2" t="inlineStr">
        <is>
          <t>Vårärt
Skogsknipprot
Blåsippa</t>
        </is>
      </c>
      <c r="W264">
        <f>HYPERLINK("https://klasma.github.io/Logging_0188/artfynd/A 50618-2022 artfynd.xlsx", "A 50618-2022")</f>
        <v/>
      </c>
      <c r="X264">
        <f>HYPERLINK("https://klasma.github.io/Logging_0188/kartor/A 50618-2022 karta.png", "A 50618-2022")</f>
        <v/>
      </c>
      <c r="Y264">
        <f>HYPERLINK("https://klasma.github.io/Logging_0188/kartor_geotiff/A 50618-2022 georefererad karta.tif", "A 50618-2022")</f>
        <v/>
      </c>
      <c r="AA264">
        <f>HYPERLINK("https://klasma.github.io/Logging_0188/klagomål/A 50618-2022 FSC-klagomål.docx", "A 50618-2022")</f>
        <v/>
      </c>
      <c r="AB264">
        <f>HYPERLINK("https://klasma.github.io/Logging_0188/klagomålsmail/A 50618-2022 FSC-klagomål mail.docx", "A 50618-2022")</f>
        <v/>
      </c>
      <c r="AC264">
        <f>HYPERLINK("https://klasma.github.io/Logging_0188/tillsyn/A 50618-2022 tillsynsbegäran.docx", "A 50618-2022")</f>
        <v/>
      </c>
      <c r="AD264">
        <f>HYPERLINK("https://klasma.github.io/Logging_0188/tillsynsmail/A 50618-2022 tillsynsbegäran mail.docx", "A 50618-2022")</f>
        <v/>
      </c>
    </row>
    <row r="265" ht="15" customHeight="1">
      <c r="A265" t="inlineStr">
        <is>
          <t>A 63543-2025</t>
        </is>
      </c>
      <c r="B265" t="inlineStr">
        <is>
          <t>avverkningsanmälan</t>
        </is>
      </c>
      <c r="C265" t="inlineStr">
        <is>
          <t>Föryngringsavverkning</t>
        </is>
      </c>
      <c r="D265" s="1" t="n">
        <v>46013</v>
      </c>
      <c r="E265" s="1" t="n">
        <v>46326</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t="n">
        <v>0</v>
      </c>
      <c r="V265" s="2" t="inlineStr">
        <is>
          <t>Tallticka
Vedskivlav
Björksplintborre</t>
        </is>
      </c>
      <c r="W265">
        <f>HYPERLINK("https://klasma.github.io/Logging_0115/artfynd/A 63543-2025 artfynd.xlsx", "A 63543-2025")</f>
        <v/>
      </c>
      <c r="X265">
        <f>HYPERLINK("https://klasma.github.io/Logging_0115/kartor/A 63543-2025 karta.png", "A 63543-2025")</f>
        <v/>
      </c>
      <c r="Y265">
        <f>HYPERLINK("https://klasma.github.io/Logging_0115/kartor_geotiff/A 63543-2025 georefererad karta.tif", "A 63543-2025")</f>
        <v/>
      </c>
      <c r="AA265">
        <f>HYPERLINK("https://klasma.github.io/Logging_0115/klagomål/A 63543-2025 FSC-klagomål.docx", "A 63543-2025")</f>
        <v/>
      </c>
      <c r="AB265">
        <f>HYPERLINK("https://klasma.github.io/Logging_0115/klagomålsmail/A 63543-2025 FSC-klagomål mail.docx", "A 63543-2025")</f>
        <v/>
      </c>
      <c r="AC265">
        <f>HYPERLINK("https://klasma.github.io/Logging_0115/tillsyn/A 63543-2025 tillsynsbegäran.docx", "A 63543-2025")</f>
        <v/>
      </c>
      <c r="AD265">
        <f>HYPERLINK("https://klasma.github.io/Logging_0115/tillsynsmail/A 63543-2025 tillsynsbegäran mail.docx", "A 63543-2025")</f>
        <v/>
      </c>
    </row>
    <row r="266" ht="15" customHeight="1">
      <c r="A266" t="inlineStr">
        <is>
          <t>A 66734-2021</t>
        </is>
      </c>
      <c r="B266" t="inlineStr">
        <is>
          <t>avverkningsanmälan</t>
        </is>
      </c>
      <c r="C266" t="inlineStr">
        <is>
          <t>Föryngringsavverkning</t>
        </is>
      </c>
      <c r="D266" s="1" t="n">
        <v>44520</v>
      </c>
      <c r="E266" s="1" t="n">
        <v>46326</v>
      </c>
      <c r="F266" t="inlineStr">
        <is>
          <t>STOCKHOLMS LÄN</t>
        </is>
      </c>
      <c r="G266" t="inlineStr">
        <is>
          <t>SÖDERTÄLJE</t>
        </is>
      </c>
      <c r="I266" t="n">
        <v>1.2</v>
      </c>
      <c r="J266" t="n">
        <v>0</v>
      </c>
      <c r="K266" t="n">
        <v>1</v>
      </c>
      <c r="L266" t="n">
        <v>2</v>
      </c>
      <c r="M266" t="n">
        <v>0</v>
      </c>
      <c r="N266" t="n">
        <v>0</v>
      </c>
      <c r="O266" t="n">
        <v>0</v>
      </c>
      <c r="P266" t="n">
        <v>0</v>
      </c>
      <c r="Q266" t="n">
        <v>2</v>
      </c>
      <c r="R266" t="n">
        <v>0</v>
      </c>
      <c r="S266" t="n">
        <v>3</v>
      </c>
      <c r="T266" t="n">
        <v>3</v>
      </c>
      <c r="U266" t="n">
        <v>0</v>
      </c>
      <c r="V266" s="2" t="inlineStr">
        <is>
          <t>Dropptaggsvamp
Skarp dropptaggsvamp
Svavelriska</t>
        </is>
      </c>
      <c r="W266">
        <f>HYPERLINK("https://klasma.github.io/Logging_0181/artfynd/A 66734-2021 artfynd.xlsx", "A 66734-2021")</f>
        <v/>
      </c>
      <c r="X266">
        <f>HYPERLINK("https://klasma.github.io/Logging_0181/kartor/A 66734-2021 karta.png", "A 66734-2021")</f>
        <v/>
      </c>
      <c r="Y266">
        <f>HYPERLINK("https://klasma.github.io/Logging_0181/kartor_geotiff/A 66734-2021 georefererad karta.tif", "A 66734-2021")</f>
        <v/>
      </c>
      <c r="AA266">
        <f>HYPERLINK("https://klasma.github.io/Logging_0181/klagomål/A 66734-2021 FSC-klagomål.docx", "A 66734-2021")</f>
        <v/>
      </c>
      <c r="AB266">
        <f>HYPERLINK("https://klasma.github.io/Logging_0181/klagomålsmail/A 66734-2021 FSC-klagomål mail.docx", "A 66734-2021")</f>
        <v/>
      </c>
      <c r="AC266">
        <f>HYPERLINK("https://klasma.github.io/Logging_0181/tillsyn/A 66734-2021 tillsynsbegäran.docx", "A 66734-2021")</f>
        <v/>
      </c>
      <c r="AD266">
        <f>HYPERLINK("https://klasma.github.io/Logging_0181/tillsynsmail/A 66734-2021 tillsynsbegäran mail.docx", "A 66734-2021")</f>
        <v/>
      </c>
    </row>
    <row r="267" ht="15" customHeight="1">
      <c r="A267" t="inlineStr">
        <is>
          <t>A 16870-2025</t>
        </is>
      </c>
      <c r="B267" t="inlineStr">
        <is>
          <t>avverkningsanmälan</t>
        </is>
      </c>
      <c r="C267" t="inlineStr">
        <is>
          <t>Avverkning för annat ändamål</t>
        </is>
      </c>
      <c r="D267" s="1" t="n">
        <v>45754</v>
      </c>
      <c r="E267" s="1" t="n">
        <v>46326</v>
      </c>
      <c r="F267" t="inlineStr">
        <is>
          <t>STOCKHOLMS LÄN</t>
        </is>
      </c>
      <c r="G267" t="inlineStr">
        <is>
          <t>NORRTÄLJE</t>
        </is>
      </c>
      <c r="I267" t="n">
        <v>24.6</v>
      </c>
      <c r="J267" t="n">
        <v>1</v>
      </c>
      <c r="K267" t="n">
        <v>0</v>
      </c>
      <c r="L267" t="n">
        <v>0</v>
      </c>
      <c r="M267" t="n">
        <v>0</v>
      </c>
      <c r="N267" t="n">
        <v>0</v>
      </c>
      <c r="O267" t="n">
        <v>0</v>
      </c>
      <c r="P267" t="n">
        <v>0</v>
      </c>
      <c r="Q267" t="n">
        <v>0</v>
      </c>
      <c r="R267" t="n">
        <v>0</v>
      </c>
      <c r="S267" t="n">
        <v>3</v>
      </c>
      <c r="T267" t="n">
        <v>3</v>
      </c>
      <c r="U267" t="n">
        <v>2</v>
      </c>
      <c r="V267" s="2" t="inlineStr">
        <is>
          <t>Getrams
Kärrviol
Vanlig groda</t>
        </is>
      </c>
      <c r="W267">
        <f>HYPERLINK("https://klasma.github.io/Logging_0188/artfynd/A 16870-2025 artfynd.xlsx", "A 16870-2025")</f>
        <v/>
      </c>
      <c r="X267">
        <f>HYPERLINK("https://klasma.github.io/Logging_0188/kartor/A 16870-2025 karta.png", "A 16870-2025")</f>
        <v/>
      </c>
      <c r="Y267">
        <f>HYPERLINK("https://klasma.github.io/Logging_0188/kartor_geotiff/A 16870-2025 georefererad karta.tif", "A 16870-2025")</f>
        <v/>
      </c>
      <c r="AA267">
        <f>HYPERLINK("https://klasma.github.io/Logging_0188/klagomål/A 16870-2025 FSC-klagomål.docx", "A 16870-2025")</f>
        <v/>
      </c>
      <c r="AB267">
        <f>HYPERLINK("https://klasma.github.io/Logging_0188/klagomålsmail/A 16870-2025 FSC-klagomål mail.docx", "A 16870-2025")</f>
        <v/>
      </c>
      <c r="AC267">
        <f>HYPERLINK("https://klasma.github.io/Logging_0188/tillsyn/A 16870-2025 tillsynsbegäran.docx", "A 16870-2025")</f>
        <v/>
      </c>
      <c r="AD267">
        <f>HYPERLINK("https://klasma.github.io/Logging_0188/tillsynsmail/A 16870-2025 tillsynsbegäran mail.docx", "A 16870-2025")</f>
        <v/>
      </c>
    </row>
    <row r="268" ht="15" customHeight="1">
      <c r="A268" t="inlineStr">
        <is>
          <t>A 14365-2025</t>
        </is>
      </c>
      <c r="B268" t="inlineStr">
        <is>
          <t>avverkningsanmälan</t>
        </is>
      </c>
      <c r="C268" t="inlineStr">
        <is>
          <t>Föryngringsavverkning</t>
        </is>
      </c>
      <c r="D268" s="1" t="n">
        <v>45741</v>
      </c>
      <c r="E268" s="1" t="n">
        <v>46326</v>
      </c>
      <c r="F268" t="inlineStr">
        <is>
          <t>STOCKHOLMS LÄN</t>
        </is>
      </c>
      <c r="G268" t="inlineStr">
        <is>
          <t>NORRTÄLJE</t>
        </is>
      </c>
      <c r="I268" t="n">
        <v>2.4</v>
      </c>
      <c r="J268" t="n">
        <v>1</v>
      </c>
      <c r="K268" t="n">
        <v>1</v>
      </c>
      <c r="L268" t="n">
        <v>2</v>
      </c>
      <c r="M268" t="n">
        <v>0</v>
      </c>
      <c r="N268" t="n">
        <v>0</v>
      </c>
      <c r="O268" t="n">
        <v>0</v>
      </c>
      <c r="P268" t="n">
        <v>0</v>
      </c>
      <c r="Q268" t="n">
        <v>2</v>
      </c>
      <c r="R268" t="n">
        <v>0</v>
      </c>
      <c r="S268" t="n">
        <v>3</v>
      </c>
      <c r="T268" t="n">
        <v>3</v>
      </c>
      <c r="U268" t="n">
        <v>1</v>
      </c>
      <c r="V268" s="2" t="inlineStr">
        <is>
          <t>Adam och eva
Jungfrulin
Underviol</t>
        </is>
      </c>
      <c r="W268">
        <f>HYPERLINK("https://klasma.github.io/Logging_0188/artfynd/A 14365-2025 artfynd.xlsx", "A 14365-2025")</f>
        <v/>
      </c>
      <c r="X268">
        <f>HYPERLINK("https://klasma.github.io/Logging_0188/kartor/A 14365-2025 karta.png", "A 14365-2025")</f>
        <v/>
      </c>
      <c r="Y268">
        <f>HYPERLINK("https://klasma.github.io/Logging_0188/kartor_geotiff/A 14365-2025 georefererad karta.tif", "A 14365-2025")</f>
        <v/>
      </c>
      <c r="AA268">
        <f>HYPERLINK("https://klasma.github.io/Logging_0188/klagomål/A 14365-2025 FSC-klagomål.docx", "A 14365-2025")</f>
        <v/>
      </c>
      <c r="AB268">
        <f>HYPERLINK("https://klasma.github.io/Logging_0188/klagomålsmail/A 14365-2025 FSC-klagomål mail.docx", "A 14365-2025")</f>
        <v/>
      </c>
      <c r="AC268">
        <f>HYPERLINK("https://klasma.github.io/Logging_0188/tillsyn/A 14365-2025 tillsynsbegäran.docx", "A 14365-2025")</f>
        <v/>
      </c>
      <c r="AD268">
        <f>HYPERLINK("https://klasma.github.io/Logging_0188/tillsynsmail/A 14365-2025 tillsynsbegäran mail.docx", "A 14365-2025")</f>
        <v/>
      </c>
    </row>
    <row r="269" ht="15" customHeight="1">
      <c r="A269" t="inlineStr">
        <is>
          <t>A 19829-2022</t>
        </is>
      </c>
      <c r="B269" t="inlineStr">
        <is>
          <t>avverkningsanmälan</t>
        </is>
      </c>
      <c r="C269" t="inlineStr">
        <is>
          <t>Föryngringsavverkning</t>
        </is>
      </c>
      <c r="D269" s="1" t="n">
        <v>44695</v>
      </c>
      <c r="E269" s="1" t="n">
        <v>46326</v>
      </c>
      <c r="F269" t="inlineStr">
        <is>
          <t>STOCKHOLMS LÄN</t>
        </is>
      </c>
      <c r="G269" t="inlineStr">
        <is>
          <t>NORRTÄLJE</t>
        </is>
      </c>
      <c r="I269" t="n">
        <v>2</v>
      </c>
      <c r="J269" t="n">
        <v>3</v>
      </c>
      <c r="K269" t="n">
        <v>3</v>
      </c>
      <c r="L269" t="n">
        <v>0</v>
      </c>
      <c r="M269" t="n">
        <v>0</v>
      </c>
      <c r="N269" t="n">
        <v>0</v>
      </c>
      <c r="O269" t="n">
        <v>0</v>
      </c>
      <c r="P269" t="n">
        <v>0</v>
      </c>
      <c r="Q269" t="n">
        <v>0</v>
      </c>
      <c r="R269" t="n">
        <v>0</v>
      </c>
      <c r="S269" t="n">
        <v>3</v>
      </c>
      <c r="T269" t="n">
        <v>4</v>
      </c>
      <c r="U269" t="n">
        <v>4</v>
      </c>
      <c r="V269" s="2" t="inlineStr">
        <is>
          <t>Guckusko
Skogsknipprot
Tvåblad</t>
        </is>
      </c>
      <c r="W269">
        <f>HYPERLINK("https://klasma.github.io/Logging_0188/artfynd/A 19829-2022 artfynd.xlsx", "A 19829-2022")</f>
        <v/>
      </c>
      <c r="X269">
        <f>HYPERLINK("https://klasma.github.io/Logging_0188/kartor/A 19829-2022 karta.png", "A 19829-2022")</f>
        <v/>
      </c>
      <c r="Y269">
        <f>HYPERLINK("https://klasma.github.io/Logging_0188/kartor_geotiff/A 19829-2022 georefererad karta.tif", "A 19829-2022")</f>
        <v/>
      </c>
      <c r="AA269">
        <f>HYPERLINK("https://klasma.github.io/Logging_0188/klagomål/A 19829-2022 FSC-klagomål.docx", "A 19829-2022")</f>
        <v/>
      </c>
      <c r="AB269">
        <f>HYPERLINK("https://klasma.github.io/Logging_0188/klagomålsmail/A 19829-2022 FSC-klagomål mail.docx", "A 19829-2022")</f>
        <v/>
      </c>
      <c r="AC269">
        <f>HYPERLINK("https://klasma.github.io/Logging_0188/tillsyn/A 19829-2022 tillsynsbegäran.docx", "A 19829-2022")</f>
        <v/>
      </c>
      <c r="AD269">
        <f>HYPERLINK("https://klasma.github.io/Logging_0188/tillsynsmail/A 19829-2022 tillsynsbegäran mail.docx", "A 19829-2022")</f>
        <v/>
      </c>
    </row>
    <row r="270" ht="15" customHeight="1">
      <c r="A270" t="inlineStr">
        <is>
          <t>A 23548-2026</t>
        </is>
      </c>
      <c r="B270" t="inlineStr">
        <is>
          <t>avverkningsanmälan</t>
        </is>
      </c>
      <c r="C270" t="inlineStr">
        <is>
          <t>Föryngringsavverkning</t>
        </is>
      </c>
      <c r="D270" s="1" t="n">
        <v>46163</v>
      </c>
      <c r="E270" s="1" t="n">
        <v>46326</v>
      </c>
      <c r="F270" t="inlineStr">
        <is>
          <t>STOCKHOLMS LÄN</t>
        </is>
      </c>
      <c r="G270" t="inlineStr">
        <is>
          <t>NORRTÄLJE</t>
        </is>
      </c>
      <c r="I270" t="n">
        <v>2.3</v>
      </c>
      <c r="J270" t="n">
        <v>2</v>
      </c>
      <c r="K270" t="n">
        <v>0</v>
      </c>
      <c r="L270" t="n">
        <v>1</v>
      </c>
      <c r="M270" t="n">
        <v>0</v>
      </c>
      <c r="N270" t="n">
        <v>0</v>
      </c>
      <c r="O270" t="n">
        <v>0</v>
      </c>
      <c r="P270" t="n">
        <v>0</v>
      </c>
      <c r="Q270" t="n">
        <v>1</v>
      </c>
      <c r="R270" t="n">
        <v>0</v>
      </c>
      <c r="S270" t="n">
        <v>3</v>
      </c>
      <c r="T270" t="n">
        <v>3</v>
      </c>
      <c r="U270" t="n">
        <v>0</v>
      </c>
      <c r="V270" s="2" t="inlineStr">
        <is>
          <t>Backklöver
Nattviol × grönvit nattviol
Ängsnattviol × grönvit nattviol</t>
        </is>
      </c>
      <c r="W270">
        <f>HYPERLINK("https://klasma.github.io/Logging_0188/artfynd/A 23548-2026 artfynd.xlsx", "A 23548-2026")</f>
        <v/>
      </c>
      <c r="X270">
        <f>HYPERLINK("https://klasma.github.io/Logging_0188/kartor/A 23548-2026 karta.png", "A 23548-2026")</f>
        <v/>
      </c>
      <c r="Y270">
        <f>HYPERLINK("https://klasma.github.io/Logging_0188/kartor_geotiff/A 23548-2026 georefererad karta.tif", "A 23548-2026")</f>
        <v/>
      </c>
      <c r="AA270">
        <f>HYPERLINK("https://klasma.github.io/Logging_0188/klagomål/A 23548-2026 FSC-klagomål.docx", "A 23548-2026")</f>
        <v/>
      </c>
      <c r="AB270">
        <f>HYPERLINK("https://klasma.github.io/Logging_0188/klagomålsmail/A 23548-2026 FSC-klagomål mail.docx", "A 23548-2026")</f>
        <v/>
      </c>
      <c r="AC270">
        <f>HYPERLINK("https://klasma.github.io/Logging_0188/tillsyn/A 23548-2026 tillsynsbegäran.docx", "A 23548-2026")</f>
        <v/>
      </c>
      <c r="AD270">
        <f>HYPERLINK("https://klasma.github.io/Logging_0188/tillsynsmail/A 23548-2026 tillsynsbegäran mail.docx", "A 23548-2026")</f>
        <v/>
      </c>
    </row>
    <row r="271" ht="15" customHeight="1">
      <c r="A271" t="inlineStr">
        <is>
          <t>A 52360-2024</t>
        </is>
      </c>
      <c r="B271" t="inlineStr">
        <is>
          <t>avverkningsanmälan</t>
        </is>
      </c>
      <c r="C271" t="inlineStr">
        <is>
          <t>Föryngringsavverkning</t>
        </is>
      </c>
      <c r="D271" s="1" t="n">
        <v>45609</v>
      </c>
      <c r="E271" s="1" t="n">
        <v>46326</v>
      </c>
      <c r="F271" t="inlineStr">
        <is>
          <t>STOCKHOLMS LÄN</t>
        </is>
      </c>
      <c r="G271" t="inlineStr">
        <is>
          <t>NORRTÄLJE</t>
        </is>
      </c>
      <c r="I271" t="n">
        <v>2.2</v>
      </c>
      <c r="J271" t="n">
        <v>2</v>
      </c>
      <c r="K271" t="n">
        <v>1</v>
      </c>
      <c r="L271" t="n">
        <v>0</v>
      </c>
      <c r="M271" t="n">
        <v>0</v>
      </c>
      <c r="N271" t="n">
        <v>0</v>
      </c>
      <c r="O271" t="n">
        <v>0</v>
      </c>
      <c r="P271" t="n">
        <v>0</v>
      </c>
      <c r="Q271" t="n">
        <v>0</v>
      </c>
      <c r="R271" t="n">
        <v>0</v>
      </c>
      <c r="S271" t="n">
        <v>3</v>
      </c>
      <c r="T271" t="n">
        <v>3</v>
      </c>
      <c r="U271" t="n">
        <v>3</v>
      </c>
      <c r="V271" s="2" t="inlineStr">
        <is>
          <t>Brandticka
Blåsippa
Revlummer</t>
        </is>
      </c>
      <c r="W271">
        <f>HYPERLINK("https://klasma.github.io/Logging_0188/artfynd/A 52360-2024 artfynd.xlsx", "A 52360-2024")</f>
        <v/>
      </c>
      <c r="X271">
        <f>HYPERLINK("https://klasma.github.io/Logging_0188/kartor/A 52360-2024 karta.png", "A 52360-2024")</f>
        <v/>
      </c>
      <c r="Y271">
        <f>HYPERLINK("https://klasma.github.io/Logging_0188/kartor_geotiff/A 52360-2024 georefererad karta.tif", "A 52360-2024")</f>
        <v/>
      </c>
      <c r="AA271">
        <f>HYPERLINK("https://klasma.github.io/Logging_0188/klagomål/A 52360-2024 FSC-klagomål.docx", "A 52360-2024")</f>
        <v/>
      </c>
      <c r="AB271">
        <f>HYPERLINK("https://klasma.github.io/Logging_0188/klagomålsmail/A 52360-2024 FSC-klagomål mail.docx", "A 52360-2024")</f>
        <v/>
      </c>
      <c r="AC271">
        <f>HYPERLINK("https://klasma.github.io/Logging_0188/tillsyn/A 52360-2024 tillsynsbegäran.docx", "A 52360-2024")</f>
        <v/>
      </c>
      <c r="AD271">
        <f>HYPERLINK("https://klasma.github.io/Logging_0188/tillsynsmail/A 52360-2024 tillsynsbegäran mail.docx", "A 52360-2024")</f>
        <v/>
      </c>
    </row>
    <row r="272" ht="15" customHeight="1">
      <c r="A272" t="inlineStr">
        <is>
          <t>A 2992-2023</t>
        </is>
      </c>
      <c r="B272" t="inlineStr">
        <is>
          <t>avverkningsanmälan</t>
        </is>
      </c>
      <c r="C272" t="inlineStr">
        <is>
          <t>Föryngringsavverkning</t>
        </is>
      </c>
      <c r="D272" s="1" t="n">
        <v>44945</v>
      </c>
      <c r="E272" s="1" t="n">
        <v>46326</v>
      </c>
      <c r="F272" t="inlineStr">
        <is>
          <t>STOCKHOLMS LÄN</t>
        </is>
      </c>
      <c r="G272" t="inlineStr">
        <is>
          <t>SALEM</t>
        </is>
      </c>
      <c r="H272" t="inlineStr">
        <is>
          <t>Kommuner</t>
        </is>
      </c>
      <c r="I272" t="n">
        <v>1.7</v>
      </c>
      <c r="J272" t="n">
        <v>0</v>
      </c>
      <c r="K272" t="n">
        <v>1</v>
      </c>
      <c r="L272" t="n">
        <v>2</v>
      </c>
      <c r="M272" t="n">
        <v>0</v>
      </c>
      <c r="N272" t="n">
        <v>0</v>
      </c>
      <c r="O272" t="n">
        <v>0</v>
      </c>
      <c r="P272" t="n">
        <v>0</v>
      </c>
      <c r="Q272" t="n">
        <v>2</v>
      </c>
      <c r="R272" t="n">
        <v>0</v>
      </c>
      <c r="S272" t="n">
        <v>3</v>
      </c>
      <c r="T272" t="n">
        <v>3</v>
      </c>
      <c r="U272" t="n">
        <v>2</v>
      </c>
      <c r="V272" s="2" t="inlineStr">
        <is>
          <t>Kandelabersvamp
Rynkskinn
Blåmossa</t>
        </is>
      </c>
      <c r="W272">
        <f>HYPERLINK("https://klasma.github.io/Logging_0128/artfynd/A 2992-2023 artfynd.xlsx", "A 2992-2023")</f>
        <v/>
      </c>
      <c r="X272">
        <f>HYPERLINK("https://klasma.github.io/Logging_0128/kartor/A 2992-2023 karta.png", "A 2992-2023")</f>
        <v/>
      </c>
      <c r="Y272">
        <f>HYPERLINK("https://klasma.github.io/Logging_0128/kartor_geotiff/A 2992-2023 georefererad karta.tif", "A 2992-2023")</f>
        <v/>
      </c>
      <c r="AA272">
        <f>HYPERLINK("https://klasma.github.io/Logging_0128/klagomål/A 2992-2023 FSC-klagomål.docx", "A 2992-2023")</f>
        <v/>
      </c>
      <c r="AB272">
        <f>HYPERLINK("https://klasma.github.io/Logging_0128/klagomålsmail/A 2992-2023 FSC-klagomål mail.docx", "A 2992-2023")</f>
        <v/>
      </c>
      <c r="AC272">
        <f>HYPERLINK("https://klasma.github.io/Logging_0128/tillsyn/A 2992-2023 tillsynsbegäran.docx", "A 2992-2023")</f>
        <v/>
      </c>
      <c r="AD272">
        <f>HYPERLINK("https://klasma.github.io/Logging_0128/tillsynsmail/A 2992-2023 tillsynsbegäran mail.docx", "A 2992-2023")</f>
        <v/>
      </c>
    </row>
    <row r="273" ht="15" customHeight="1">
      <c r="A273" t="inlineStr">
        <is>
          <t>A 25210-2026</t>
        </is>
      </c>
      <c r="B273" t="inlineStr">
        <is>
          <t>avverkningsanmälan</t>
        </is>
      </c>
      <c r="C273" t="inlineStr">
        <is>
          <t>Föryngringsavverkning</t>
        </is>
      </c>
      <c r="D273" s="1" t="n">
        <v>46175</v>
      </c>
      <c r="E273" s="1" t="n">
        <v>46326</v>
      </c>
      <c r="F273" t="inlineStr">
        <is>
          <t>STOCKHOLMS LÄN</t>
        </is>
      </c>
      <c r="G273" t="inlineStr">
        <is>
          <t>HUDDINGE</t>
        </is>
      </c>
      <c r="I273" t="n">
        <v>0.6</v>
      </c>
      <c r="J273" t="n">
        <v>3</v>
      </c>
      <c r="K273" t="n">
        <v>0</v>
      </c>
      <c r="L273" t="n">
        <v>0</v>
      </c>
      <c r="M273" t="n">
        <v>0</v>
      </c>
      <c r="N273" t="n">
        <v>0</v>
      </c>
      <c r="O273" t="n">
        <v>0</v>
      </c>
      <c r="P273" t="n">
        <v>0</v>
      </c>
      <c r="Q273" t="n">
        <v>0</v>
      </c>
      <c r="R273" t="n">
        <v>0</v>
      </c>
      <c r="S273" t="n">
        <v>3</v>
      </c>
      <c r="T273" t="n">
        <v>5</v>
      </c>
      <c r="U273" t="n">
        <v>0</v>
      </c>
      <c r="V273" s="2" t="inlineStr">
        <is>
          <t>Blåsippa
Mindre vattensalamander
Vanlig padda</t>
        </is>
      </c>
      <c r="W273">
        <f>HYPERLINK("https://klasma.github.io/Logging_0126/artfynd/A 25210-2026 artfynd.xlsx", "A 25210-2026")</f>
        <v/>
      </c>
      <c r="X273">
        <f>HYPERLINK("https://klasma.github.io/Logging_0126/kartor/A 25210-2026 karta.png", "A 25210-2026")</f>
        <v/>
      </c>
      <c r="Y273">
        <f>HYPERLINK("https://klasma.github.io/Logging_0126/kartor_geotiff/A 25210-2026 georefererad karta.tif", "A 25210-2026")</f>
        <v/>
      </c>
      <c r="AA273">
        <f>HYPERLINK("https://klasma.github.io/Logging_0126/klagomål/A 25210-2026 FSC-klagomål.docx", "A 25210-2026")</f>
        <v/>
      </c>
      <c r="AB273">
        <f>HYPERLINK("https://klasma.github.io/Logging_0126/klagomålsmail/A 25210-2026 FSC-klagomål mail.docx", "A 25210-2026")</f>
        <v/>
      </c>
      <c r="AC273">
        <f>HYPERLINK("https://klasma.github.io/Logging_0126/tillsyn/A 25210-2026 tillsynsbegäran.docx", "A 25210-2026")</f>
        <v/>
      </c>
      <c r="AD273">
        <f>HYPERLINK("https://klasma.github.io/Logging_0126/tillsynsmail/A 25210-2026 tillsynsbegäran mail.docx", "A 25210-2026")</f>
        <v/>
      </c>
    </row>
    <row r="274" ht="15" customHeight="1">
      <c r="A274" t="inlineStr">
        <is>
          <t>A 25319-2026</t>
        </is>
      </c>
      <c r="B274" t="inlineStr">
        <is>
          <t>avverkningsanmälan</t>
        </is>
      </c>
      <c r="C274" t="inlineStr">
        <is>
          <t>Föryngringsavverkning</t>
        </is>
      </c>
      <c r="D274" s="1" t="n">
        <v>46176</v>
      </c>
      <c r="E274" s="1" t="n">
        <v>46326</v>
      </c>
      <c r="F274" t="inlineStr">
        <is>
          <t>STOCKHOLMS LÄN</t>
        </is>
      </c>
      <c r="G274" t="inlineStr">
        <is>
          <t>BOTKYRKA</t>
        </is>
      </c>
      <c r="I274" t="n">
        <v>1.6</v>
      </c>
      <c r="J274" t="n">
        <v>2</v>
      </c>
      <c r="K274" t="n">
        <v>1</v>
      </c>
      <c r="L274" t="n">
        <v>0</v>
      </c>
      <c r="M274" t="n">
        <v>0</v>
      </c>
      <c r="N274" t="n">
        <v>0</v>
      </c>
      <c r="O274" t="n">
        <v>0</v>
      </c>
      <c r="P274" t="n">
        <v>0</v>
      </c>
      <c r="Q274" t="n">
        <v>0</v>
      </c>
      <c r="R274" t="n">
        <v>0</v>
      </c>
      <c r="S274" t="n">
        <v>3</v>
      </c>
      <c r="T274" t="n">
        <v>4</v>
      </c>
      <c r="U274" t="n">
        <v>4</v>
      </c>
      <c r="V274" s="2" t="inlineStr">
        <is>
          <t>Grovticka
Spillkråka
Tofsmes</t>
        </is>
      </c>
      <c r="W274">
        <f>HYPERLINK("https://klasma.github.io/Logging_0127/artfynd/A 25319-2026 artfynd.xlsx", "A 25319-2026")</f>
        <v/>
      </c>
      <c r="X274">
        <f>HYPERLINK("https://klasma.github.io/Logging_0127/kartor/A 25319-2026 karta.png", "A 25319-2026")</f>
        <v/>
      </c>
      <c r="Y274">
        <f>HYPERLINK("https://klasma.github.io/Logging_0127/kartor_geotiff/A 25319-2026 georefererad karta.tif", "A 25319-2026")</f>
        <v/>
      </c>
      <c r="AA274">
        <f>HYPERLINK("https://klasma.github.io/Logging_0127/klagomål/A 25319-2026 FSC-klagomål.docx", "A 25319-2026")</f>
        <v/>
      </c>
      <c r="AB274">
        <f>HYPERLINK("https://klasma.github.io/Logging_0127/klagomålsmail/A 25319-2026 FSC-klagomål mail.docx", "A 25319-2026")</f>
        <v/>
      </c>
      <c r="AC274">
        <f>HYPERLINK("https://klasma.github.io/Logging_0127/tillsyn/A 25319-2026 tillsynsbegäran.docx", "A 25319-2026")</f>
        <v/>
      </c>
      <c r="AD274">
        <f>HYPERLINK("https://klasma.github.io/Logging_0127/tillsynsmail/A 25319-2026 tillsynsbegäran mail.docx", "A 25319-2026")</f>
        <v/>
      </c>
      <c r="AE274">
        <f>HYPERLINK("https://klasma.github.io/Logging_0127/fåglar/A 25319-2026 prioriterade fågelarter.docx", "A 25319-2026")</f>
        <v/>
      </c>
    </row>
    <row r="275" ht="15" customHeight="1">
      <c r="A275" t="inlineStr">
        <is>
          <t>A 37842-2022</t>
        </is>
      </c>
      <c r="B275" t="inlineStr">
        <is>
          <t>avverkningsanmälan</t>
        </is>
      </c>
      <c r="C275" t="inlineStr">
        <is>
          <t>Avverkning för annat ändamål</t>
        </is>
      </c>
      <c r="D275" s="1" t="n">
        <v>44810</v>
      </c>
      <c r="E275" s="1" t="n">
        <v>46326</v>
      </c>
      <c r="F275" t="inlineStr">
        <is>
          <t>STOCKHOLMS LÄN</t>
        </is>
      </c>
      <c r="G275" t="inlineStr">
        <is>
          <t>SÖDERTÄLJE</t>
        </is>
      </c>
      <c r="I275" t="n">
        <v>0.3</v>
      </c>
      <c r="J275" t="n">
        <v>2</v>
      </c>
      <c r="K275" t="n">
        <v>1</v>
      </c>
      <c r="L275" t="n">
        <v>1</v>
      </c>
      <c r="M275" t="n">
        <v>0</v>
      </c>
      <c r="N275" t="n">
        <v>0</v>
      </c>
      <c r="O275" t="n">
        <v>0</v>
      </c>
      <c r="P275" t="n">
        <v>0</v>
      </c>
      <c r="Q275" t="n">
        <v>1</v>
      </c>
      <c r="R275" t="n">
        <v>0</v>
      </c>
      <c r="S275" t="n">
        <v>3</v>
      </c>
      <c r="T275" t="n">
        <v>3</v>
      </c>
      <c r="U275" t="n">
        <v>0</v>
      </c>
      <c r="V275" s="2" t="inlineStr">
        <is>
          <t>Sårläka
Nästrot
Blåsippa</t>
        </is>
      </c>
      <c r="W275">
        <f>HYPERLINK("https://klasma.github.io/Logging_0181/artfynd/A 37842-2022 artfynd.xlsx", "A 37842-2022")</f>
        <v/>
      </c>
      <c r="X275">
        <f>HYPERLINK("https://klasma.github.io/Logging_0181/kartor/A 37842-2022 karta.png", "A 37842-2022")</f>
        <v/>
      </c>
      <c r="Y275">
        <f>HYPERLINK("https://klasma.github.io/Logging_0181/kartor_geotiff/A 37842-2022 georefererad karta.tif", "A 37842-2022")</f>
        <v/>
      </c>
      <c r="AA275">
        <f>HYPERLINK("https://klasma.github.io/Logging_0181/klagomål/A 37842-2022 FSC-klagomål.docx", "A 37842-2022")</f>
        <v/>
      </c>
      <c r="AB275">
        <f>HYPERLINK("https://klasma.github.io/Logging_0181/klagomålsmail/A 37842-2022 FSC-klagomål mail.docx", "A 37842-2022")</f>
        <v/>
      </c>
      <c r="AC275">
        <f>HYPERLINK("https://klasma.github.io/Logging_0181/tillsyn/A 37842-2022 tillsynsbegäran.docx", "A 37842-2022")</f>
        <v/>
      </c>
      <c r="AD275">
        <f>HYPERLINK("https://klasma.github.io/Logging_0181/tillsynsmail/A 37842-2022 tillsynsbegäran mail.docx", "A 37842-2022")</f>
        <v/>
      </c>
    </row>
    <row r="276" ht="15" customHeight="1">
      <c r="A276" t="inlineStr">
        <is>
          <t>A 20185-2022</t>
        </is>
      </c>
      <c r="B276" t="inlineStr">
        <is>
          <t>avverkningsanmälan</t>
        </is>
      </c>
      <c r="C276" t="inlineStr">
        <is>
          <t>Föryngringsavverkning</t>
        </is>
      </c>
      <c r="D276" s="1" t="n">
        <v>44698</v>
      </c>
      <c r="E276" s="1" t="n">
        <v>46326</v>
      </c>
      <c r="F276" t="inlineStr">
        <is>
          <t>STOCKHOLMS LÄN</t>
        </is>
      </c>
      <c r="G276" t="inlineStr">
        <is>
          <t>NORRTÄLJE</t>
        </is>
      </c>
      <c r="I276" t="n">
        <v>8.4</v>
      </c>
      <c r="J276" t="n">
        <v>1</v>
      </c>
      <c r="K276" t="n">
        <v>2</v>
      </c>
      <c r="L276" t="n">
        <v>0</v>
      </c>
      <c r="M276" t="n">
        <v>0</v>
      </c>
      <c r="N276" t="n">
        <v>0</v>
      </c>
      <c r="O276" t="n">
        <v>0</v>
      </c>
      <c r="P276" t="n">
        <v>0</v>
      </c>
      <c r="Q276" t="n">
        <v>0</v>
      </c>
      <c r="R276" t="n">
        <v>0</v>
      </c>
      <c r="S276" t="n">
        <v>3</v>
      </c>
      <c r="T276" t="n">
        <v>3</v>
      </c>
      <c r="U276" t="n">
        <v>1</v>
      </c>
      <c r="V276" s="2" t="inlineStr">
        <is>
          <t>Gullgröppa
Vedticka
Tallbit</t>
        </is>
      </c>
      <c r="W276">
        <f>HYPERLINK("https://klasma.github.io/Logging_0188/artfynd/A 20185-2022 artfynd.xlsx", "A 20185-2022")</f>
        <v/>
      </c>
      <c r="X276">
        <f>HYPERLINK("https://klasma.github.io/Logging_0188/kartor/A 20185-2022 karta.png", "A 20185-2022")</f>
        <v/>
      </c>
      <c r="Y276">
        <f>HYPERLINK("https://klasma.github.io/Logging_0188/kartor_geotiff/A 20185-2022 georefererad karta.tif", "A 20185-2022")</f>
        <v/>
      </c>
      <c r="AA276">
        <f>HYPERLINK("https://klasma.github.io/Logging_0188/klagomål/A 20185-2022 FSC-klagomål.docx", "A 20185-2022")</f>
        <v/>
      </c>
      <c r="AB276">
        <f>HYPERLINK("https://klasma.github.io/Logging_0188/klagomålsmail/A 20185-2022 FSC-klagomål mail.docx", "A 20185-2022")</f>
        <v/>
      </c>
      <c r="AC276">
        <f>HYPERLINK("https://klasma.github.io/Logging_0188/tillsyn/A 20185-2022 tillsynsbegäran.docx", "A 20185-2022")</f>
        <v/>
      </c>
      <c r="AD276">
        <f>HYPERLINK("https://klasma.github.io/Logging_0188/tillsynsmail/A 20185-2022 tillsynsbegäran mail.docx", "A 20185-2022")</f>
        <v/>
      </c>
      <c r="AE276">
        <f>HYPERLINK("https://klasma.github.io/Logging_0188/fåglar/A 20185-2022 prioriterade fågelarter.docx", "A 20185-2022")</f>
        <v/>
      </c>
    </row>
    <row r="277" ht="15" customHeight="1">
      <c r="A277" t="inlineStr">
        <is>
          <t>A 26525-2026</t>
        </is>
      </c>
      <c r="B277" t="inlineStr">
        <is>
          <t>avverkningsanmälan</t>
        </is>
      </c>
      <c r="C277" t="inlineStr">
        <is>
          <t>Föryngringsavverkning</t>
        </is>
      </c>
      <c r="D277" s="1" t="n">
        <v>46183</v>
      </c>
      <c r="E277" s="1" t="n">
        <v>46326</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t="n">
        <v>0</v>
      </c>
      <c r="V277" s="2" t="inlineStr">
        <is>
          <t>Fjällig taggsvamp s.str.
Skarp dropptaggsvamp
Olivspindling</t>
        </is>
      </c>
      <c r="W277">
        <f>HYPERLINK("https://klasma.github.io/Logging_0188/artfynd/A 26525-2026 artfynd.xlsx", "A 26525-2026")</f>
        <v/>
      </c>
      <c r="X277">
        <f>HYPERLINK("https://klasma.github.io/Logging_0188/kartor/A 26525-2026 karta.png", "A 26525-2026")</f>
        <v/>
      </c>
      <c r="Y277">
        <f>HYPERLINK("https://klasma.github.io/Logging_0188/kartor_geotiff/A 26525-2026 georefererad karta.tif", "A 26525-2026")</f>
        <v/>
      </c>
      <c r="AA277">
        <f>HYPERLINK("https://klasma.github.io/Logging_0188/klagomål/A 26525-2026 FSC-klagomål.docx", "A 26525-2026")</f>
        <v/>
      </c>
      <c r="AB277">
        <f>HYPERLINK("https://klasma.github.io/Logging_0188/klagomålsmail/A 26525-2026 FSC-klagomål mail.docx", "A 26525-2026")</f>
        <v/>
      </c>
      <c r="AC277">
        <f>HYPERLINK("https://klasma.github.io/Logging_0188/tillsyn/A 26525-2026 tillsynsbegäran.docx", "A 26525-2026")</f>
        <v/>
      </c>
      <c r="AD277">
        <f>HYPERLINK("https://klasma.github.io/Logging_0188/tillsynsmail/A 26525-2026 tillsynsbegäran mail.docx", "A 26525-2026")</f>
        <v/>
      </c>
    </row>
    <row r="278" ht="15" customHeight="1">
      <c r="A278" t="inlineStr">
        <is>
          <t>A 26399-2026</t>
        </is>
      </c>
      <c r="B278" t="inlineStr">
        <is>
          <t>avverkningsanmälan</t>
        </is>
      </c>
      <c r="C278" t="inlineStr">
        <is>
          <t>Föryngringsavverkning</t>
        </is>
      </c>
      <c r="D278" s="1" t="n">
        <v>46183</v>
      </c>
      <c r="E278" s="1" t="n">
        <v>46326</v>
      </c>
      <c r="F278" t="inlineStr">
        <is>
          <t>STOCKHOLMS LÄN</t>
        </is>
      </c>
      <c r="G278" t="inlineStr">
        <is>
          <t>NORRTÄLJE</t>
        </is>
      </c>
      <c r="I278" t="n">
        <v>7.4</v>
      </c>
      <c r="J278" t="n">
        <v>1</v>
      </c>
      <c r="K278" t="n">
        <v>1</v>
      </c>
      <c r="L278" t="n">
        <v>1</v>
      </c>
      <c r="M278" t="n">
        <v>0</v>
      </c>
      <c r="N278" t="n">
        <v>1</v>
      </c>
      <c r="O278" t="n">
        <v>0</v>
      </c>
      <c r="P278" t="n">
        <v>0</v>
      </c>
      <c r="Q278" t="n">
        <v>2</v>
      </c>
      <c r="R278" t="n">
        <v>1</v>
      </c>
      <c r="S278" t="n">
        <v>3</v>
      </c>
      <c r="T278" t="n">
        <v>3</v>
      </c>
      <c r="U278" t="n">
        <v>0</v>
      </c>
      <c r="V278" s="2" t="inlineStr">
        <is>
          <t>Asknätfjäril
Spinnfingersvamp
Stor aspticka</t>
        </is>
      </c>
      <c r="W278">
        <f>HYPERLINK("https://klasma.github.io/Logging_0188/artfynd/A 26399-2026 artfynd.xlsx", "A 26399-2026")</f>
        <v/>
      </c>
      <c r="X278">
        <f>HYPERLINK("https://klasma.github.io/Logging_0188/kartor/A 26399-2026 karta.png", "A 26399-2026")</f>
        <v/>
      </c>
      <c r="Y278">
        <f>HYPERLINK("https://klasma.github.io/Logging_0188/kartor_geotiff/A 26399-2026 georefererad karta.tif", "A 26399-2026")</f>
        <v/>
      </c>
      <c r="AA278">
        <f>HYPERLINK("https://klasma.github.io/Logging_0188/klagomål/A 26399-2026 FSC-klagomål.docx", "A 26399-2026")</f>
        <v/>
      </c>
      <c r="AB278">
        <f>HYPERLINK("https://klasma.github.io/Logging_0188/klagomålsmail/A 26399-2026 FSC-klagomål mail.docx", "A 26399-2026")</f>
        <v/>
      </c>
      <c r="AC278">
        <f>HYPERLINK("https://klasma.github.io/Logging_0188/tillsyn/A 26399-2026 tillsynsbegäran.docx", "A 26399-2026")</f>
        <v/>
      </c>
      <c r="AD278">
        <f>HYPERLINK("https://klasma.github.io/Logging_0188/tillsynsmail/A 26399-2026 tillsynsbegäran mail.docx", "A 26399-2026")</f>
        <v/>
      </c>
    </row>
    <row r="279" ht="15" customHeight="1">
      <c r="A279" t="inlineStr">
        <is>
          <t>A 61363-2022</t>
        </is>
      </c>
      <c r="B279" t="inlineStr">
        <is>
          <t>avverkningsanmälan</t>
        </is>
      </c>
      <c r="C279" t="inlineStr">
        <is>
          <t>Föryngringsavverkning</t>
        </is>
      </c>
      <c r="D279" s="1" t="n">
        <v>44915</v>
      </c>
      <c r="E279" s="1" t="n">
        <v>46326</v>
      </c>
      <c r="F279" t="inlineStr">
        <is>
          <t>STOCKHOLMS LÄN</t>
        </is>
      </c>
      <c r="G279" t="inlineStr">
        <is>
          <t>ÖSTERÅKER</t>
        </is>
      </c>
      <c r="I279" t="n">
        <v>5.3</v>
      </c>
      <c r="J279" t="n">
        <v>1</v>
      </c>
      <c r="K279" t="n">
        <v>0</v>
      </c>
      <c r="L279" t="n">
        <v>2</v>
      </c>
      <c r="M279" t="n">
        <v>0</v>
      </c>
      <c r="N279" t="n">
        <v>0</v>
      </c>
      <c r="O279" t="n">
        <v>0</v>
      </c>
      <c r="P279" t="n">
        <v>0</v>
      </c>
      <c r="Q279" t="n">
        <v>2</v>
      </c>
      <c r="R279" t="n">
        <v>0</v>
      </c>
      <c r="S279" t="n">
        <v>3</v>
      </c>
      <c r="T279" t="n">
        <v>3</v>
      </c>
      <c r="U279" t="n">
        <v>3</v>
      </c>
      <c r="V279" s="2" t="inlineStr">
        <is>
          <t>Motaggsvamp
Skuggblåslav
Tjäder</t>
        </is>
      </c>
      <c r="W279">
        <f>HYPERLINK("https://klasma.github.io/Logging_0117/artfynd/A 61363-2022 artfynd.xlsx", "A 61363-2022")</f>
        <v/>
      </c>
      <c r="X279">
        <f>HYPERLINK("https://klasma.github.io/Logging_0117/kartor/A 61363-2022 karta.png", "A 61363-2022")</f>
        <v/>
      </c>
      <c r="Y279">
        <f>HYPERLINK("https://klasma.github.io/Logging_0117/kartor_geotiff/A 61363-2022 georefererad karta.tif", "A 61363-2022")</f>
        <v/>
      </c>
      <c r="AA279">
        <f>HYPERLINK("https://klasma.github.io/Logging_0117/klagomål/A 61363-2022 FSC-klagomål.docx", "A 61363-2022")</f>
        <v/>
      </c>
      <c r="AB279">
        <f>HYPERLINK("https://klasma.github.io/Logging_0117/klagomålsmail/A 61363-2022 FSC-klagomål mail.docx", "A 61363-2022")</f>
        <v/>
      </c>
      <c r="AC279">
        <f>HYPERLINK("https://klasma.github.io/Logging_0117/tillsyn/A 61363-2022 tillsynsbegäran.docx", "A 61363-2022")</f>
        <v/>
      </c>
      <c r="AD279">
        <f>HYPERLINK("https://klasma.github.io/Logging_0117/tillsynsmail/A 61363-2022 tillsynsbegäran mail.docx", "A 61363-2022")</f>
        <v/>
      </c>
      <c r="AE279">
        <f>HYPERLINK("https://klasma.github.io/Logging_0117/fåglar/A 61363-2022 prioriterade fågelarter.docx", "A 61363-2022")</f>
        <v/>
      </c>
    </row>
    <row r="280" ht="15" customHeight="1">
      <c r="A280" t="inlineStr">
        <is>
          <t>A 37456-2023</t>
        </is>
      </c>
      <c r="B280" t="inlineStr">
        <is>
          <t>avverkningsanmälan</t>
        </is>
      </c>
      <c r="C280" t="inlineStr">
        <is>
          <t>Föryngringsavverkning</t>
        </is>
      </c>
      <c r="D280" s="1" t="n">
        <v>45156</v>
      </c>
      <c r="E280" s="1" t="n">
        <v>46326</v>
      </c>
      <c r="F280" t="inlineStr">
        <is>
          <t>STOCKHOLMS LÄN</t>
        </is>
      </c>
      <c r="G280" t="inlineStr">
        <is>
          <t>VALLENTUNA</t>
        </is>
      </c>
      <c r="H280" t="inlineStr">
        <is>
          <t>Övriga Aktiebolag</t>
        </is>
      </c>
      <c r="I280" t="n">
        <v>3.3</v>
      </c>
      <c r="J280" t="n">
        <v>1</v>
      </c>
      <c r="K280" t="n">
        <v>0</v>
      </c>
      <c r="L280" t="n">
        <v>2</v>
      </c>
      <c r="M280" t="n">
        <v>0</v>
      </c>
      <c r="N280" t="n">
        <v>0</v>
      </c>
      <c r="O280" t="n">
        <v>0</v>
      </c>
      <c r="P280" t="n">
        <v>0</v>
      </c>
      <c r="Q280" t="n">
        <v>2</v>
      </c>
      <c r="R280" t="n">
        <v>0</v>
      </c>
      <c r="S280" t="n">
        <v>3</v>
      </c>
      <c r="T280" t="n">
        <v>4</v>
      </c>
      <c r="U280" t="n">
        <v>4</v>
      </c>
      <c r="V280" s="2" t="inlineStr">
        <is>
          <t>Skarp dropptaggsvamp
Tjockfotad fingersvamp
Blåsippa</t>
        </is>
      </c>
      <c r="W280">
        <f>HYPERLINK("https://klasma.github.io/Logging_0115/artfynd/A 37456-2023 artfynd.xlsx", "A 37456-2023")</f>
        <v/>
      </c>
      <c r="X280">
        <f>HYPERLINK("https://klasma.github.io/Logging_0115/kartor/A 37456-2023 karta.png", "A 37456-2023")</f>
        <v/>
      </c>
      <c r="Y280">
        <f>HYPERLINK("https://klasma.github.io/Logging_0115/kartor_geotiff/A 37456-2023 georefererad karta.tif", "A 37456-2023")</f>
        <v/>
      </c>
      <c r="AA280">
        <f>HYPERLINK("https://klasma.github.io/Logging_0115/klagomål/A 37456-2023 FSC-klagomål.docx", "A 37456-2023")</f>
        <v/>
      </c>
      <c r="AB280">
        <f>HYPERLINK("https://klasma.github.io/Logging_0115/klagomålsmail/A 37456-2023 FSC-klagomål mail.docx", "A 37456-2023")</f>
        <v/>
      </c>
      <c r="AC280">
        <f>HYPERLINK("https://klasma.github.io/Logging_0115/tillsyn/A 37456-2023 tillsynsbegäran.docx", "A 37456-2023")</f>
        <v/>
      </c>
      <c r="AD280">
        <f>HYPERLINK("https://klasma.github.io/Logging_0115/tillsynsmail/A 37456-2023 tillsynsbegäran mail.docx", "A 37456-2023")</f>
        <v/>
      </c>
    </row>
    <row r="281" ht="15" customHeight="1">
      <c r="A281" t="inlineStr">
        <is>
          <t>A 27827-2022</t>
        </is>
      </c>
      <c r="B281" t="inlineStr">
        <is>
          <t>avverkningsanmälan</t>
        </is>
      </c>
      <c r="C281" t="inlineStr">
        <is>
          <t>Föryngringsavverkning</t>
        </is>
      </c>
      <c r="D281" s="1" t="n">
        <v>44743</v>
      </c>
      <c r="E281" s="1" t="n">
        <v>46326</v>
      </c>
      <c r="F281" t="inlineStr">
        <is>
          <t>STOCKHOLMS LÄN</t>
        </is>
      </c>
      <c r="G281" t="inlineStr">
        <is>
          <t>NORRTÄLJE</t>
        </is>
      </c>
      <c r="H281" t="inlineStr">
        <is>
          <t>Holmen skog AB</t>
        </is>
      </c>
      <c r="I281" t="n">
        <v>4.7</v>
      </c>
      <c r="J281" t="n">
        <v>1</v>
      </c>
      <c r="K281" t="n">
        <v>0</v>
      </c>
      <c r="L281" t="n">
        <v>2</v>
      </c>
      <c r="M281" t="n">
        <v>0</v>
      </c>
      <c r="N281" t="n">
        <v>1</v>
      </c>
      <c r="O281" t="n">
        <v>0</v>
      </c>
      <c r="P281" t="n">
        <v>0</v>
      </c>
      <c r="Q281" t="n">
        <v>3</v>
      </c>
      <c r="R281" t="n">
        <v>1</v>
      </c>
      <c r="S281" t="n">
        <v>3</v>
      </c>
      <c r="T281" t="n">
        <v>4</v>
      </c>
      <c r="U281" t="n">
        <v>4</v>
      </c>
      <c r="V281" s="2" t="inlineStr">
        <is>
          <t>Ask
Berggräsfjäril
Nordfladdermus</t>
        </is>
      </c>
      <c r="W281">
        <f>HYPERLINK("https://klasma.github.io/Logging_0188/artfynd/A 27827-2022 artfynd.xlsx", "A 27827-2022")</f>
        <v/>
      </c>
      <c r="X281">
        <f>HYPERLINK("https://klasma.github.io/Logging_0188/kartor/A 27827-2022 karta.png", "A 27827-2022")</f>
        <v/>
      </c>
      <c r="Y281">
        <f>HYPERLINK("https://klasma.github.io/Logging_0188/kartor_geotiff/A 27827-2022 georefererad karta.tif", "A 27827-2022")</f>
        <v/>
      </c>
      <c r="AA281">
        <f>HYPERLINK("https://klasma.github.io/Logging_0188/klagomål/A 27827-2022 FSC-klagomål.docx", "A 27827-2022")</f>
        <v/>
      </c>
      <c r="AB281">
        <f>HYPERLINK("https://klasma.github.io/Logging_0188/klagomålsmail/A 27827-2022 FSC-klagomål mail.docx", "A 27827-2022")</f>
        <v/>
      </c>
      <c r="AC281">
        <f>HYPERLINK("https://klasma.github.io/Logging_0188/tillsyn/A 27827-2022 tillsynsbegäran.docx", "A 27827-2022")</f>
        <v/>
      </c>
      <c r="AD281">
        <f>HYPERLINK("https://klasma.github.io/Logging_0188/tillsynsmail/A 27827-2022 tillsynsbegäran mail.docx", "A 27827-2022")</f>
        <v/>
      </c>
    </row>
    <row r="282" ht="15" customHeight="1">
      <c r="A282" t="inlineStr">
        <is>
          <t>A 31632-2026</t>
        </is>
      </c>
      <c r="B282" t="inlineStr">
        <is>
          <t>avverkningsanmälan</t>
        </is>
      </c>
      <c r="C282" t="inlineStr">
        <is>
          <t>Avverkning för annat ändamål</t>
        </is>
      </c>
      <c r="D282" s="1" t="n">
        <v>46223</v>
      </c>
      <c r="E282" s="1" t="n">
        <v>46326</v>
      </c>
      <c r="F282" t="inlineStr">
        <is>
          <t>STOCKHOLMS LÄN</t>
        </is>
      </c>
      <c r="G282" t="inlineStr">
        <is>
          <t>HUDDINGE</t>
        </is>
      </c>
      <c r="H282" t="inlineStr">
        <is>
          <t>Kommuner</t>
        </is>
      </c>
      <c r="I282" t="n">
        <v>0.2</v>
      </c>
      <c r="J282" t="n">
        <v>1</v>
      </c>
      <c r="K282" t="n">
        <v>1</v>
      </c>
      <c r="L282" t="n">
        <v>1</v>
      </c>
      <c r="M282" t="n">
        <v>0</v>
      </c>
      <c r="N282" t="n">
        <v>0</v>
      </c>
      <c r="O282" t="n">
        <v>0</v>
      </c>
      <c r="P282" t="n">
        <v>0</v>
      </c>
      <c r="Q282" t="n">
        <v>1</v>
      </c>
      <c r="R282" t="n">
        <v>0</v>
      </c>
      <c r="S282" t="n">
        <v>3</v>
      </c>
      <c r="T282" t="n">
        <v>3</v>
      </c>
      <c r="U282" t="n">
        <v>0</v>
      </c>
      <c r="V282" s="2" t="inlineStr">
        <is>
          <t>Tallticka
Mindre märgborre
Kopparödla</t>
        </is>
      </c>
      <c r="W282">
        <f>HYPERLINK("https://klasma.github.io/Logging_0126/artfynd/A 31632-2026 artfynd.xlsx", "A 31632-2026")</f>
        <v/>
      </c>
      <c r="X282">
        <f>HYPERLINK("https://klasma.github.io/Logging_0126/kartor/A 31632-2026 karta.png", "A 31632-2026")</f>
        <v/>
      </c>
      <c r="Y282">
        <f>HYPERLINK("https://klasma.github.io/Logging_0126/kartor_geotiff/A 31632-2026 georefererad karta.tif", "A 31632-2026")</f>
        <v/>
      </c>
      <c r="AA282">
        <f>HYPERLINK("https://klasma.github.io/Logging_0126/klagomål/A 31632-2026 FSC-klagomål.docx", "A 31632-2026")</f>
        <v/>
      </c>
      <c r="AB282">
        <f>HYPERLINK("https://klasma.github.io/Logging_0126/klagomålsmail/A 31632-2026 FSC-klagomål mail.docx", "A 31632-2026")</f>
        <v/>
      </c>
      <c r="AC282">
        <f>HYPERLINK("https://klasma.github.io/Logging_0126/tillsyn/A 31632-2026 tillsynsbegäran.docx", "A 31632-2026")</f>
        <v/>
      </c>
      <c r="AD282">
        <f>HYPERLINK("https://klasma.github.io/Logging_0126/tillsynsmail/A 31632-2026 tillsynsbegäran mail.docx", "A 31632-2026")</f>
        <v/>
      </c>
    </row>
    <row r="283" ht="15" customHeight="1">
      <c r="A283" t="inlineStr">
        <is>
          <t>A 35113-2023</t>
        </is>
      </c>
      <c r="B283" t="inlineStr">
        <is>
          <t>avverkningsanmälan</t>
        </is>
      </c>
      <c r="C283" t="inlineStr">
        <is>
          <t>Föryngringsavverkning</t>
        </is>
      </c>
      <c r="D283" s="1" t="n">
        <v>45145</v>
      </c>
      <c r="E283" s="1" t="n">
        <v>46326</v>
      </c>
      <c r="F283" t="inlineStr">
        <is>
          <t>STOCKHOLMS LÄN</t>
        </is>
      </c>
      <c r="G283" t="inlineStr">
        <is>
          <t>SÖDERTÄLJE</t>
        </is>
      </c>
      <c r="I283" t="n">
        <v>1</v>
      </c>
      <c r="J283" t="n">
        <v>3</v>
      </c>
      <c r="K283" t="n">
        <v>0</v>
      </c>
      <c r="L283" t="n">
        <v>0</v>
      </c>
      <c r="M283" t="n">
        <v>0</v>
      </c>
      <c r="N283" t="n">
        <v>0</v>
      </c>
      <c r="O283" t="n">
        <v>0</v>
      </c>
      <c r="P283" t="n">
        <v>0</v>
      </c>
      <c r="Q283" t="n">
        <v>0</v>
      </c>
      <c r="R283" t="n">
        <v>0</v>
      </c>
      <c r="S283" t="n">
        <v>3</v>
      </c>
      <c r="T283" t="n">
        <v>3</v>
      </c>
      <c r="U283" t="n">
        <v>2</v>
      </c>
      <c r="V283" s="2" t="inlineStr">
        <is>
          <t>Blåsippa
Spillkråka
Kopparödla</t>
        </is>
      </c>
      <c r="W283">
        <f>HYPERLINK("https://klasma.github.io/Logging_0181/artfynd/A 35113-2023 artfynd.xlsx", "A 35113-2023")</f>
        <v/>
      </c>
      <c r="X283">
        <f>HYPERLINK("https://klasma.github.io/Logging_0181/kartor/A 35113-2023 karta.png", "A 35113-2023")</f>
        <v/>
      </c>
      <c r="Y283">
        <f>HYPERLINK("https://klasma.github.io/Logging_0181/kartor_geotiff/A 35113-2023 georefererad karta.tif", "A 35113-2023")</f>
        <v/>
      </c>
      <c r="AA283">
        <f>HYPERLINK("https://klasma.github.io/Logging_0181/klagomål/A 35113-2023 FSC-klagomål.docx", "A 35113-2023")</f>
        <v/>
      </c>
      <c r="AB283">
        <f>HYPERLINK("https://klasma.github.io/Logging_0181/klagomålsmail/A 35113-2023 FSC-klagomål mail.docx", "A 35113-2023")</f>
        <v/>
      </c>
      <c r="AC283">
        <f>HYPERLINK("https://klasma.github.io/Logging_0181/tillsyn/A 35113-2023 tillsynsbegäran.docx", "A 35113-2023")</f>
        <v/>
      </c>
      <c r="AD283">
        <f>HYPERLINK("https://klasma.github.io/Logging_0181/tillsynsmail/A 35113-2023 tillsynsbegäran mail.docx", "A 35113-2023")</f>
        <v/>
      </c>
      <c r="AE283">
        <f>HYPERLINK("https://klasma.github.io/Logging_0181/fåglar/A 35113-2023 prioriterade fågelarter.docx", "A 35113-2023")</f>
        <v/>
      </c>
    </row>
    <row r="284" ht="15" customHeight="1">
      <c r="A284" t="inlineStr">
        <is>
          <t>A 14729-2023</t>
        </is>
      </c>
      <c r="B284" t="inlineStr">
        <is>
          <t>avverkningsanmälan</t>
        </is>
      </c>
      <c r="C284" t="inlineStr">
        <is>
          <t>Föryngringsavverkning</t>
        </is>
      </c>
      <c r="D284" s="1" t="n">
        <v>45014</v>
      </c>
      <c r="E284" s="1" t="n">
        <v>46326</v>
      </c>
      <c r="F284" t="inlineStr">
        <is>
          <t>STOCKHOLMS LÄN</t>
        </is>
      </c>
      <c r="G284" t="inlineStr">
        <is>
          <t>HANINGE</t>
        </is>
      </c>
      <c r="I284" t="n">
        <v>0.2</v>
      </c>
      <c r="J284" t="n">
        <v>0</v>
      </c>
      <c r="K284" t="n">
        <v>2</v>
      </c>
      <c r="L284" t="n">
        <v>1</v>
      </c>
      <c r="M284" t="n">
        <v>0</v>
      </c>
      <c r="N284" t="n">
        <v>0</v>
      </c>
      <c r="O284" t="n">
        <v>0</v>
      </c>
      <c r="P284" t="n">
        <v>0</v>
      </c>
      <c r="Q284" t="n">
        <v>1</v>
      </c>
      <c r="R284" t="n">
        <v>0</v>
      </c>
      <c r="S284" t="n">
        <v>3</v>
      </c>
      <c r="T284" t="n">
        <v>4</v>
      </c>
      <c r="U284" t="n">
        <v>0</v>
      </c>
      <c r="V284" s="2" t="inlineStr">
        <is>
          <t>Ullticka
Granbarkgnagare
Mindre märgborre</t>
        </is>
      </c>
      <c r="W284">
        <f>HYPERLINK("https://klasma.github.io/Logging_0136/artfynd/A 14729-2023 artfynd.xlsx", "A 14729-2023")</f>
        <v/>
      </c>
      <c r="X284">
        <f>HYPERLINK("https://klasma.github.io/Logging_0136/kartor/A 14729-2023 karta.png", "A 14729-2023")</f>
        <v/>
      </c>
      <c r="Y284">
        <f>HYPERLINK("https://klasma.github.io/Logging_0136/kartor_geotiff/A 14729-2023 georefererad karta.tif", "A 14729-2023")</f>
        <v/>
      </c>
      <c r="AA284">
        <f>HYPERLINK("https://klasma.github.io/Logging_0136/klagomål/A 14729-2023 FSC-klagomål.docx", "A 14729-2023")</f>
        <v/>
      </c>
      <c r="AB284">
        <f>HYPERLINK("https://klasma.github.io/Logging_0136/klagomålsmail/A 14729-2023 FSC-klagomål mail.docx", "A 14729-2023")</f>
        <v/>
      </c>
      <c r="AC284">
        <f>HYPERLINK("https://klasma.github.io/Logging_0136/tillsyn/A 14729-2023 tillsynsbegäran.docx", "A 14729-2023")</f>
        <v/>
      </c>
      <c r="AD284">
        <f>HYPERLINK("https://klasma.github.io/Logging_0136/tillsynsmail/A 14729-2023 tillsynsbegäran mail.docx", "A 14729-2023")</f>
        <v/>
      </c>
    </row>
    <row r="285" ht="15" customHeight="1">
      <c r="A285" t="inlineStr">
        <is>
          <t>A 16309-2022</t>
        </is>
      </c>
      <c r="B285" t="inlineStr">
        <is>
          <t>avverkningsanmälan</t>
        </is>
      </c>
      <c r="C285" t="inlineStr">
        <is>
          <t>Föryngringsavverkning</t>
        </is>
      </c>
      <c r="D285" s="1" t="n">
        <v>44670</v>
      </c>
      <c r="E285" s="1" t="n">
        <v>46326</v>
      </c>
      <c r="F285" t="inlineStr">
        <is>
          <t>STOCKHOLMS LÄN</t>
        </is>
      </c>
      <c r="G285" t="inlineStr">
        <is>
          <t>NYNÄSHAMN</t>
        </is>
      </c>
      <c r="I285" t="n">
        <v>7.7</v>
      </c>
      <c r="J285" t="n">
        <v>2</v>
      </c>
      <c r="K285" t="n">
        <v>0</v>
      </c>
      <c r="L285" t="n">
        <v>1</v>
      </c>
      <c r="M285" t="n">
        <v>0</v>
      </c>
      <c r="N285" t="n">
        <v>0</v>
      </c>
      <c r="O285" t="n">
        <v>0</v>
      </c>
      <c r="P285" t="n">
        <v>0</v>
      </c>
      <c r="Q285" t="n">
        <v>1</v>
      </c>
      <c r="R285" t="n">
        <v>0</v>
      </c>
      <c r="S285" t="n">
        <v>3</v>
      </c>
      <c r="T285" t="n">
        <v>3</v>
      </c>
      <c r="U285" t="n">
        <v>0</v>
      </c>
      <c r="V285" s="2" t="inlineStr">
        <is>
          <t>Jungfrulin
Blåsippa
Gullviva</t>
        </is>
      </c>
      <c r="W285">
        <f>HYPERLINK("https://klasma.github.io/Logging_0192/artfynd/A 16309-2022 artfynd.xlsx", "A 16309-2022")</f>
        <v/>
      </c>
      <c r="X285">
        <f>HYPERLINK("https://klasma.github.io/Logging_0192/kartor/A 16309-2022 karta.png", "A 16309-2022")</f>
        <v/>
      </c>
      <c r="Y285">
        <f>HYPERLINK("https://klasma.github.io/Logging_0192/kartor_geotiff/A 16309-2022 georefererad karta.tif", "A 16309-2022")</f>
        <v/>
      </c>
      <c r="AA285">
        <f>HYPERLINK("https://klasma.github.io/Logging_0192/klagomål/A 16309-2022 FSC-klagomål.docx", "A 16309-2022")</f>
        <v/>
      </c>
      <c r="AB285">
        <f>HYPERLINK("https://klasma.github.io/Logging_0192/klagomålsmail/A 16309-2022 FSC-klagomål mail.docx", "A 16309-2022")</f>
        <v/>
      </c>
      <c r="AC285">
        <f>HYPERLINK("https://klasma.github.io/Logging_0192/tillsyn/A 16309-2022 tillsynsbegäran.docx", "A 16309-2022")</f>
        <v/>
      </c>
      <c r="AD285">
        <f>HYPERLINK("https://klasma.github.io/Logging_0192/tillsynsmail/A 16309-2022 tillsynsbegäran mail.docx", "A 16309-2022")</f>
        <v/>
      </c>
    </row>
    <row r="286" ht="15" customHeight="1">
      <c r="A286" t="inlineStr">
        <is>
          <t>A 14508-2024</t>
        </is>
      </c>
      <c r="B286" t="inlineStr">
        <is>
          <t>avverkningsanmälan</t>
        </is>
      </c>
      <c r="C286" t="inlineStr">
        <is>
          <t>Föryngringsavverkning</t>
        </is>
      </c>
      <c r="D286" s="1" t="n">
        <v>45394</v>
      </c>
      <c r="E286" s="1" t="n">
        <v>46326</v>
      </c>
      <c r="F286" t="inlineStr">
        <is>
          <t>STOCKHOLMS LÄN</t>
        </is>
      </c>
      <c r="G286" t="inlineStr">
        <is>
          <t>VALLENTUNA</t>
        </is>
      </c>
      <c r="I286" t="n">
        <v>1.7</v>
      </c>
      <c r="J286" t="n">
        <v>2</v>
      </c>
      <c r="K286" t="n">
        <v>0</v>
      </c>
      <c r="L286" t="n">
        <v>2</v>
      </c>
      <c r="M286" t="n">
        <v>1</v>
      </c>
      <c r="N286" t="n">
        <v>0</v>
      </c>
      <c r="O286" t="n">
        <v>0</v>
      </c>
      <c r="P286" t="n">
        <v>0</v>
      </c>
      <c r="Q286" t="n">
        <v>3</v>
      </c>
      <c r="R286" t="n">
        <v>1</v>
      </c>
      <c r="S286" t="n">
        <v>3</v>
      </c>
      <c r="T286" t="n">
        <v>3</v>
      </c>
      <c r="U286" t="n">
        <v>2</v>
      </c>
      <c r="V286" s="2" t="inlineStr">
        <is>
          <t>Hussvala
Berggräsfjäril
Mindre hackspett</t>
        </is>
      </c>
      <c r="W286">
        <f>HYPERLINK("https://klasma.github.io/Logging_0115/artfynd/A 14508-2024 artfynd.xlsx", "A 14508-2024")</f>
        <v/>
      </c>
      <c r="X286">
        <f>HYPERLINK("https://klasma.github.io/Logging_0115/kartor/A 14508-2024 karta.png", "A 14508-2024")</f>
        <v/>
      </c>
      <c r="Y286">
        <f>HYPERLINK("https://klasma.github.io/Logging_0115/kartor_geotiff/A 14508-2024 georefererad karta.tif", "A 14508-2024")</f>
        <v/>
      </c>
      <c r="AA286">
        <f>HYPERLINK("https://klasma.github.io/Logging_0115/klagomål/A 14508-2024 FSC-klagomål.docx", "A 14508-2024")</f>
        <v/>
      </c>
      <c r="AB286">
        <f>HYPERLINK("https://klasma.github.io/Logging_0115/klagomålsmail/A 14508-2024 FSC-klagomål mail.docx", "A 14508-2024")</f>
        <v/>
      </c>
      <c r="AC286">
        <f>HYPERLINK("https://klasma.github.io/Logging_0115/tillsyn/A 14508-2024 tillsynsbegäran.docx", "A 14508-2024")</f>
        <v/>
      </c>
      <c r="AD286">
        <f>HYPERLINK("https://klasma.github.io/Logging_0115/tillsynsmail/A 14508-2024 tillsynsbegäran mail.docx", "A 14508-2024")</f>
        <v/>
      </c>
      <c r="AE286">
        <f>HYPERLINK("https://klasma.github.io/Logging_0115/fåglar/A 14508-2024 prioriterade fågelarter.docx", "A 14508-2024")</f>
        <v/>
      </c>
    </row>
    <row r="287" ht="15" customHeight="1">
      <c r="A287" t="inlineStr">
        <is>
          <t>A 21231-2025</t>
        </is>
      </c>
      <c r="B287" t="inlineStr">
        <is>
          <t>avverkningsanmälan</t>
        </is>
      </c>
      <c r="C287" t="inlineStr">
        <is>
          <t>Föryngringsavverkning</t>
        </is>
      </c>
      <c r="D287" s="1" t="n">
        <v>45779</v>
      </c>
      <c r="E287" s="1" t="n">
        <v>46326</v>
      </c>
      <c r="F287" t="inlineStr">
        <is>
          <t>STOCKHOLMS LÄN</t>
        </is>
      </c>
      <c r="G287" t="inlineStr">
        <is>
          <t>HANINGE</t>
        </is>
      </c>
      <c r="I287" t="n">
        <v>4.3</v>
      </c>
      <c r="J287" t="n">
        <v>2</v>
      </c>
      <c r="K287" t="n">
        <v>0</v>
      </c>
      <c r="L287" t="n">
        <v>1</v>
      </c>
      <c r="M287" t="n">
        <v>0</v>
      </c>
      <c r="N287" t="n">
        <v>0</v>
      </c>
      <c r="O287" t="n">
        <v>0</v>
      </c>
      <c r="P287" t="n">
        <v>0</v>
      </c>
      <c r="Q287" t="n">
        <v>1</v>
      </c>
      <c r="R287" t="n">
        <v>0</v>
      </c>
      <c r="S287" t="n">
        <v>3</v>
      </c>
      <c r="T287" t="n">
        <v>3</v>
      </c>
      <c r="U287" t="n">
        <v>1</v>
      </c>
      <c r="V287" s="2" t="inlineStr">
        <is>
          <t>Gullpudra
Spillkråka
Trana</t>
        </is>
      </c>
      <c r="W287">
        <f>HYPERLINK("https://klasma.github.io/Logging_0136/artfynd/A 21231-2025 artfynd.xlsx", "A 21231-2025")</f>
        <v/>
      </c>
      <c r="X287">
        <f>HYPERLINK("https://klasma.github.io/Logging_0136/kartor/A 21231-2025 karta.png", "A 21231-2025")</f>
        <v/>
      </c>
      <c r="Y287">
        <f>HYPERLINK("https://klasma.github.io/Logging_0136/kartor_geotiff/A 21231-2025 georefererad karta.tif", "A 21231-2025")</f>
        <v/>
      </c>
      <c r="AA287">
        <f>HYPERLINK("https://klasma.github.io/Logging_0136/klagomål/A 21231-2025 FSC-klagomål.docx", "A 21231-2025")</f>
        <v/>
      </c>
      <c r="AB287">
        <f>HYPERLINK("https://klasma.github.io/Logging_0136/klagomålsmail/A 21231-2025 FSC-klagomål mail.docx", "A 21231-2025")</f>
        <v/>
      </c>
      <c r="AC287">
        <f>HYPERLINK("https://klasma.github.io/Logging_0136/tillsyn/A 21231-2025 tillsynsbegäran.docx", "A 21231-2025")</f>
        <v/>
      </c>
      <c r="AD287">
        <f>HYPERLINK("https://klasma.github.io/Logging_0136/tillsynsmail/A 21231-2025 tillsynsbegäran mail.docx", "A 21231-2025")</f>
        <v/>
      </c>
      <c r="AE287">
        <f>HYPERLINK("https://klasma.github.io/Logging_0136/fåglar/A 21231-2025 prioriterade fågelarter.docx", "A 21231-2025")</f>
        <v/>
      </c>
    </row>
    <row r="288" ht="15" customHeight="1">
      <c r="A288" t="inlineStr">
        <is>
          <t>A 22716-2025</t>
        </is>
      </c>
      <c r="B288" t="inlineStr">
        <is>
          <t>avverkningsanmälan</t>
        </is>
      </c>
      <c r="C288" t="inlineStr">
        <is>
          <t>Föryngringsavverkning</t>
        </is>
      </c>
      <c r="D288" s="1" t="n">
        <v>45789</v>
      </c>
      <c r="E288" s="1" t="n">
        <v>46326</v>
      </c>
      <c r="F288" t="inlineStr">
        <is>
          <t>STOCKHOLMS LÄN</t>
        </is>
      </c>
      <c r="G288" t="inlineStr">
        <is>
          <t>NYNÄSHAMN</t>
        </is>
      </c>
      <c r="H288" t="inlineStr">
        <is>
          <t>Kommuner</t>
        </is>
      </c>
      <c r="I288" t="n">
        <v>2</v>
      </c>
      <c r="J288" t="n">
        <v>1</v>
      </c>
      <c r="K288" t="n">
        <v>2</v>
      </c>
      <c r="L288" t="n">
        <v>0</v>
      </c>
      <c r="M288" t="n">
        <v>0</v>
      </c>
      <c r="N288" t="n">
        <v>0</v>
      </c>
      <c r="O288" t="n">
        <v>0</v>
      </c>
      <c r="P288" t="n">
        <v>0</v>
      </c>
      <c r="Q288" t="n">
        <v>0</v>
      </c>
      <c r="R288" t="n">
        <v>0</v>
      </c>
      <c r="S288" t="n">
        <v>3</v>
      </c>
      <c r="T288" t="n">
        <v>4</v>
      </c>
      <c r="U288" t="n">
        <v>0</v>
      </c>
      <c r="V288" s="2" t="inlineStr">
        <is>
          <t>Björksplintborre
Stekelbock
Revlummer</t>
        </is>
      </c>
      <c r="W288">
        <f>HYPERLINK("https://klasma.github.io/Logging_0192/artfynd/A 22716-2025 artfynd.xlsx", "A 22716-2025")</f>
        <v/>
      </c>
      <c r="X288">
        <f>HYPERLINK("https://klasma.github.io/Logging_0192/kartor/A 22716-2025 karta.png", "A 22716-2025")</f>
        <v/>
      </c>
      <c r="Y288">
        <f>HYPERLINK("https://klasma.github.io/Logging_0192/kartor_geotiff/A 22716-2025 georefererad karta.tif", "A 22716-2025")</f>
        <v/>
      </c>
      <c r="AA288">
        <f>HYPERLINK("https://klasma.github.io/Logging_0192/klagomål/A 22716-2025 FSC-klagomål.docx", "A 22716-2025")</f>
        <v/>
      </c>
      <c r="AB288">
        <f>HYPERLINK("https://klasma.github.io/Logging_0192/klagomålsmail/A 22716-2025 FSC-klagomål mail.docx", "A 22716-2025")</f>
        <v/>
      </c>
      <c r="AC288">
        <f>HYPERLINK("https://klasma.github.io/Logging_0192/tillsyn/A 22716-2025 tillsynsbegäran.docx", "A 22716-2025")</f>
        <v/>
      </c>
      <c r="AD288">
        <f>HYPERLINK("https://klasma.github.io/Logging_0192/tillsynsmail/A 22716-2025 tillsynsbegäran mail.docx", "A 22716-2025")</f>
        <v/>
      </c>
    </row>
    <row r="289" ht="15" customHeight="1">
      <c r="A289" t="inlineStr">
        <is>
          <t>A 41365-2026</t>
        </is>
      </c>
      <c r="B289" t="inlineStr">
        <is>
          <t>avverkningsanmälan</t>
        </is>
      </c>
      <c r="C289" t="inlineStr">
        <is>
          <t>Föryngringsavverkning</t>
        </is>
      </c>
      <c r="D289" s="1" t="n">
        <v>46301</v>
      </c>
      <c r="E289" s="1" t="n">
        <v>46326</v>
      </c>
      <c r="F289" t="inlineStr">
        <is>
          <t>STOCKHOLMS LÄN</t>
        </is>
      </c>
      <c r="G289" t="inlineStr">
        <is>
          <t>NORRTÄLJE</t>
        </is>
      </c>
      <c r="I289" t="n">
        <v>2.1</v>
      </c>
      <c r="J289" t="n">
        <v>2</v>
      </c>
      <c r="K289" t="n">
        <v>2</v>
      </c>
      <c r="L289" t="n">
        <v>0</v>
      </c>
      <c r="M289" t="n">
        <v>0</v>
      </c>
      <c r="N289" t="n">
        <v>0</v>
      </c>
      <c r="O289" t="n">
        <v>0</v>
      </c>
      <c r="P289" t="n">
        <v>0</v>
      </c>
      <c r="Q289" t="n">
        <v>0</v>
      </c>
      <c r="R289" t="n">
        <v>0</v>
      </c>
      <c r="S289" t="n">
        <v>3</v>
      </c>
      <c r="T289" t="n">
        <v>5</v>
      </c>
      <c r="U289" t="n">
        <v>0</v>
      </c>
      <c r="V289" s="2" t="inlineStr">
        <is>
          <t>Grön sköldmossa
Vedticka
Revlummer</t>
        </is>
      </c>
      <c r="W289">
        <f>HYPERLINK("https://klasma.github.io/Logging_0188/artfynd/A 41365-2026 artfynd.xlsx", "A 41365-2026")</f>
        <v/>
      </c>
      <c r="X289">
        <f>HYPERLINK("https://klasma.github.io/Logging_0188/kartor/A 41365-2026 karta.png", "A 41365-2026")</f>
        <v/>
      </c>
      <c r="Y289">
        <f>HYPERLINK("https://klasma.github.io/Logging_0188/kartor_geotiff/A 41365-2026 georefererad karta.tif", "A 41365-2026")</f>
        <v/>
      </c>
      <c r="AA289">
        <f>HYPERLINK("https://klasma.github.io/Logging_0188/klagomål/A 41365-2026 FSC-klagomål.docx", "A 41365-2026")</f>
        <v/>
      </c>
      <c r="AB289">
        <f>HYPERLINK("https://klasma.github.io/Logging_0188/klagomålsmail/A 41365-2026 FSC-klagomål mail.docx", "A 41365-2026")</f>
        <v/>
      </c>
      <c r="AC289">
        <f>HYPERLINK("https://klasma.github.io/Logging_0188/tillsyn/A 41365-2026 tillsynsbegäran.docx", "A 41365-2026")</f>
        <v/>
      </c>
      <c r="AD289">
        <f>HYPERLINK("https://klasma.github.io/Logging_0188/tillsynsmail/A 41365-2026 tillsynsbegäran mail.docx", "A 41365-2026")</f>
        <v/>
      </c>
    </row>
    <row r="290" ht="15" customHeight="1">
      <c r="A290" t="inlineStr">
        <is>
          <t>A 52046-2022</t>
        </is>
      </c>
      <c r="B290" t="inlineStr">
        <is>
          <t>avverkningsanmälan</t>
        </is>
      </c>
      <c r="C290" t="inlineStr">
        <is>
          <t>Föryngringsavverkning</t>
        </is>
      </c>
      <c r="D290" s="1" t="n">
        <v>44868</v>
      </c>
      <c r="E290" s="1" t="n">
        <v>46326</v>
      </c>
      <c r="F290" t="inlineStr">
        <is>
          <t>STOCKHOLMS LÄN</t>
        </is>
      </c>
      <c r="G290" t="inlineStr">
        <is>
          <t>SÖDERTÄLJE</t>
        </is>
      </c>
      <c r="H290" t="inlineStr">
        <is>
          <t>Kommuner</t>
        </is>
      </c>
      <c r="I290" t="n">
        <v>22.9</v>
      </c>
      <c r="J290" t="n">
        <v>1</v>
      </c>
      <c r="K290" t="n">
        <v>0</v>
      </c>
      <c r="L290" t="n">
        <v>2</v>
      </c>
      <c r="M290" t="n">
        <v>0</v>
      </c>
      <c r="N290" t="n">
        <v>0</v>
      </c>
      <c r="O290" t="n">
        <v>0</v>
      </c>
      <c r="P290" t="n">
        <v>0</v>
      </c>
      <c r="Q290" t="n">
        <v>2</v>
      </c>
      <c r="R290" t="n">
        <v>0</v>
      </c>
      <c r="S290" t="n">
        <v>3</v>
      </c>
      <c r="T290" t="n">
        <v>3</v>
      </c>
      <c r="U290" t="n">
        <v>1</v>
      </c>
      <c r="V290" s="2" t="inlineStr">
        <is>
          <t>Tjockfotad fingersvamp
Ullticka
Nattviol</t>
        </is>
      </c>
      <c r="W290">
        <f>HYPERLINK("https://klasma.github.io/Logging_0181/artfynd/A 52046-2022 artfynd.xlsx", "A 52046-2022")</f>
        <v/>
      </c>
      <c r="X290">
        <f>HYPERLINK("https://klasma.github.io/Logging_0181/kartor/A 52046-2022 karta.png", "A 52046-2022")</f>
        <v/>
      </c>
      <c r="Y290">
        <f>HYPERLINK("https://klasma.github.io/Logging_0181/kartor_geotiff/A 52046-2022 georefererad karta.tif", "A 52046-2022")</f>
        <v/>
      </c>
      <c r="AA290">
        <f>HYPERLINK("https://klasma.github.io/Logging_0181/klagomål/A 52046-2022 FSC-klagomål.docx", "A 52046-2022")</f>
        <v/>
      </c>
      <c r="AB290">
        <f>HYPERLINK("https://klasma.github.io/Logging_0181/klagomålsmail/A 52046-2022 FSC-klagomål mail.docx", "A 52046-2022")</f>
        <v/>
      </c>
      <c r="AC290">
        <f>HYPERLINK("https://klasma.github.io/Logging_0181/tillsyn/A 52046-2022 tillsynsbegäran.docx", "A 52046-2022")</f>
        <v/>
      </c>
      <c r="AD290">
        <f>HYPERLINK("https://klasma.github.io/Logging_0181/tillsynsmail/A 52046-2022 tillsynsbegäran mail.docx", "A 52046-2022")</f>
        <v/>
      </c>
    </row>
    <row r="291" ht="15" customHeight="1">
      <c r="A291" t="inlineStr">
        <is>
          <t>S 1342-2022</t>
        </is>
      </c>
      <c r="B291" t="inlineStr">
        <is>
          <t>samrådsanmälan</t>
        </is>
      </c>
      <c r="C291" t="inlineStr">
        <is>
          <t>Åtgärd i nyckelbiotop</t>
        </is>
      </c>
      <c r="D291" s="1" t="n">
        <v>44629</v>
      </c>
      <c r="E291" s="1" t="n">
        <v>46326</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46326</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46326</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46326</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46326</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46326</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5351-2022</t>
        </is>
      </c>
      <c r="B297" t="inlineStr">
        <is>
          <t>avverkningsanmälan</t>
        </is>
      </c>
      <c r="C297" t="inlineStr">
        <is>
          <t>Föryngringsavverkning</t>
        </is>
      </c>
      <c r="D297" s="1" t="n">
        <v>44594</v>
      </c>
      <c r="E297" s="1" t="n">
        <v>46326</v>
      </c>
      <c r="F297" t="inlineStr">
        <is>
          <t>STOCKHOLMS LÄN</t>
        </is>
      </c>
      <c r="G297" t="inlineStr">
        <is>
          <t>NORRTÄLJE</t>
        </is>
      </c>
      <c r="I297" t="n">
        <v>4</v>
      </c>
      <c r="J297" t="n">
        <v>1</v>
      </c>
      <c r="K297" t="n">
        <v>0</v>
      </c>
      <c r="L297" t="n">
        <v>0</v>
      </c>
      <c r="M297" t="n">
        <v>0</v>
      </c>
      <c r="N297" t="n">
        <v>1</v>
      </c>
      <c r="O297" t="n">
        <v>0</v>
      </c>
      <c r="P297" t="n">
        <v>0</v>
      </c>
      <c r="Q297" t="n">
        <v>1</v>
      </c>
      <c r="R297" t="n">
        <v>1</v>
      </c>
      <c r="S297" t="n">
        <v>2</v>
      </c>
      <c r="T297" t="n">
        <v>2</v>
      </c>
      <c r="U297" t="n">
        <v>2</v>
      </c>
      <c r="V297" s="2" t="inlineStr">
        <is>
          <t>Ask
Gullviva</t>
        </is>
      </c>
      <c r="W297">
        <f>HYPERLINK("https://klasma.github.io/Logging_0188/artfynd/A 5351-2022 artfynd.xlsx", "A 5351-2022")</f>
        <v/>
      </c>
      <c r="X297">
        <f>HYPERLINK("https://klasma.github.io/Logging_0188/kartor/A 5351-2022 karta.png", "A 5351-2022")</f>
        <v/>
      </c>
      <c r="Y297">
        <f>HYPERLINK("https://klasma.github.io/Logging_0188/kartor_geotiff/A 5351-2022 georefererad karta.tif", "A 5351-2022")</f>
        <v/>
      </c>
      <c r="AA297">
        <f>HYPERLINK("https://klasma.github.io/Logging_0188/klagomål/A 5351-2022 FSC-klagomål.docx", "A 5351-2022")</f>
        <v/>
      </c>
      <c r="AB297">
        <f>HYPERLINK("https://klasma.github.io/Logging_0188/klagomålsmail/A 5351-2022 FSC-klagomål mail.docx", "A 5351-2022")</f>
        <v/>
      </c>
      <c r="AC297">
        <f>HYPERLINK("https://klasma.github.io/Logging_0188/tillsyn/A 5351-2022 tillsynsbegäran.docx", "A 5351-2022")</f>
        <v/>
      </c>
      <c r="AD297">
        <f>HYPERLINK("https://klasma.github.io/Logging_0188/tillsynsmail/A 5351-2022 tillsynsbegäran mail.docx", "A 5351-2022")</f>
        <v/>
      </c>
    </row>
    <row r="298" ht="15" customHeight="1">
      <c r="A298" t="inlineStr">
        <is>
          <t>A 49680-2022</t>
        </is>
      </c>
      <c r="B298" t="inlineStr">
        <is>
          <t>avverkningsanmälan</t>
        </is>
      </c>
      <c r="C298" t="inlineStr">
        <is>
          <t>Föryngringsavverkning</t>
        </is>
      </c>
      <c r="D298" s="1" t="n">
        <v>44862</v>
      </c>
      <c r="E298" s="1" t="n">
        <v>46326</v>
      </c>
      <c r="F298" t="inlineStr">
        <is>
          <t>STOCKHOLMS LÄN</t>
        </is>
      </c>
      <c r="G298" t="inlineStr">
        <is>
          <t>NYKVARN</t>
        </is>
      </c>
      <c r="H298" t="inlineStr">
        <is>
          <t>Allmännings- och besparingsskogar</t>
        </is>
      </c>
      <c r="I298" t="n">
        <v>2.4</v>
      </c>
      <c r="J298" t="n">
        <v>0</v>
      </c>
      <c r="K298" t="n">
        <v>1</v>
      </c>
      <c r="L298" t="n">
        <v>1</v>
      </c>
      <c r="M298" t="n">
        <v>0</v>
      </c>
      <c r="N298" t="n">
        <v>0</v>
      </c>
      <c r="O298" t="n">
        <v>0</v>
      </c>
      <c r="P298" t="n">
        <v>0</v>
      </c>
      <c r="Q298" t="n">
        <v>1</v>
      </c>
      <c r="R298" t="n">
        <v>0</v>
      </c>
      <c r="S298" t="n">
        <v>2</v>
      </c>
      <c r="T298" t="n">
        <v>2</v>
      </c>
      <c r="U298" t="n">
        <v>0</v>
      </c>
      <c r="V298" s="2" t="inlineStr">
        <is>
          <t>Ullticka
Granbarkgnagare</t>
        </is>
      </c>
      <c r="W298">
        <f>HYPERLINK("https://klasma.github.io/Logging_0140/artfynd/A 49680-2022 artfynd.xlsx", "A 49680-2022")</f>
        <v/>
      </c>
      <c r="X298">
        <f>HYPERLINK("https://klasma.github.io/Logging_0140/kartor/A 49680-2022 karta.png", "A 49680-2022")</f>
        <v/>
      </c>
      <c r="Y298">
        <f>HYPERLINK("https://klasma.github.io/Logging_0140/kartor_geotiff/A 49680-2022 georefererad karta.tif", "A 49680-2022")</f>
        <v/>
      </c>
      <c r="AA298">
        <f>HYPERLINK("https://klasma.github.io/Logging_0140/klagomål/A 49680-2022 FSC-klagomål.docx", "A 49680-2022")</f>
        <v/>
      </c>
      <c r="AB298">
        <f>HYPERLINK("https://klasma.github.io/Logging_0140/klagomålsmail/A 49680-2022 FSC-klagomål mail.docx", "A 49680-2022")</f>
        <v/>
      </c>
      <c r="AC298">
        <f>HYPERLINK("https://klasma.github.io/Logging_0140/tillsyn/A 49680-2022 tillsynsbegäran.docx", "A 49680-2022")</f>
        <v/>
      </c>
      <c r="AD298">
        <f>HYPERLINK("https://klasma.github.io/Logging_0140/tillsynsmail/A 49680-2022 tillsynsbegäran mail.docx", "A 49680-2022")</f>
        <v/>
      </c>
    </row>
    <row r="299" ht="15" customHeight="1">
      <c r="A299" t="inlineStr">
        <is>
          <t>A 53884-2022</t>
        </is>
      </c>
      <c r="B299" t="inlineStr">
        <is>
          <t>avverkningsanmälan</t>
        </is>
      </c>
      <c r="C299" t="inlineStr">
        <is>
          <t>Föryngringsavverkning</t>
        </is>
      </c>
      <c r="D299" s="1" t="n">
        <v>44880</v>
      </c>
      <c r="E299" s="1" t="n">
        <v>46326</v>
      </c>
      <c r="F299" t="inlineStr">
        <is>
          <t>STOCKHOLMS LÄN</t>
        </is>
      </c>
      <c r="G299" t="inlineStr">
        <is>
          <t>NORRTÄLJE</t>
        </is>
      </c>
      <c r="I299" t="n">
        <v>0.6</v>
      </c>
      <c r="J299" t="n">
        <v>0</v>
      </c>
      <c r="K299" t="n">
        <v>0</v>
      </c>
      <c r="L299" t="n">
        <v>1</v>
      </c>
      <c r="M299" t="n">
        <v>1</v>
      </c>
      <c r="N299" t="n">
        <v>0</v>
      </c>
      <c r="O299" t="n">
        <v>0</v>
      </c>
      <c r="P299" t="n">
        <v>0</v>
      </c>
      <c r="Q299" t="n">
        <v>2</v>
      </c>
      <c r="R299" t="n">
        <v>1</v>
      </c>
      <c r="S299" t="n">
        <v>2</v>
      </c>
      <c r="T299" t="n">
        <v>2</v>
      </c>
      <c r="U299" t="n">
        <v>2</v>
      </c>
      <c r="V299" s="2" t="inlineStr">
        <is>
          <t>Hartmansstarr
Backklöver</t>
        </is>
      </c>
      <c r="W299">
        <f>HYPERLINK("https://klasma.github.io/Logging_0188/artfynd/A 53884-2022 artfynd.xlsx", "A 53884-2022")</f>
        <v/>
      </c>
      <c r="X299">
        <f>HYPERLINK("https://klasma.github.io/Logging_0188/kartor/A 53884-2022 karta.png", "A 53884-2022")</f>
        <v/>
      </c>
      <c r="Y299">
        <f>HYPERLINK("https://klasma.github.io/Logging_0188/kartor_geotiff/A 53884-2022 georefererad karta.tif", "A 53884-2022")</f>
        <v/>
      </c>
      <c r="AA299">
        <f>HYPERLINK("https://klasma.github.io/Logging_0188/klagomål/A 53884-2022 FSC-klagomål.docx", "A 53884-2022")</f>
        <v/>
      </c>
      <c r="AB299">
        <f>HYPERLINK("https://klasma.github.io/Logging_0188/klagomålsmail/A 53884-2022 FSC-klagomål mail.docx", "A 53884-2022")</f>
        <v/>
      </c>
      <c r="AC299">
        <f>HYPERLINK("https://klasma.github.io/Logging_0188/tillsyn/A 53884-2022 tillsynsbegäran.docx", "A 53884-2022")</f>
        <v/>
      </c>
      <c r="AD299">
        <f>HYPERLINK("https://klasma.github.io/Logging_0188/tillsynsmail/A 53884-2022 tillsynsbegäran mail.docx", "A 53884-2022")</f>
        <v/>
      </c>
    </row>
    <row r="300" ht="15" customHeight="1">
      <c r="A300" t="inlineStr">
        <is>
          <t>A 22068-2022</t>
        </is>
      </c>
      <c r="B300" t="inlineStr">
        <is>
          <t>avverkningsanmälan</t>
        </is>
      </c>
      <c r="C300" t="inlineStr">
        <is>
          <t>Föryngringsavverkning</t>
        </is>
      </c>
      <c r="D300" s="1" t="n">
        <v>44711</v>
      </c>
      <c r="E300" s="1" t="n">
        <v>46326</v>
      </c>
      <c r="F300" t="inlineStr">
        <is>
          <t>STOCKHOLMS LÄN</t>
        </is>
      </c>
      <c r="G300" t="inlineStr">
        <is>
          <t>NACKA</t>
        </is>
      </c>
      <c r="I300" t="n">
        <v>0.7</v>
      </c>
      <c r="J300" t="n">
        <v>1</v>
      </c>
      <c r="K300" t="n">
        <v>1</v>
      </c>
      <c r="L300" t="n">
        <v>0</v>
      </c>
      <c r="M300" t="n">
        <v>1</v>
      </c>
      <c r="N300" t="n">
        <v>0</v>
      </c>
      <c r="O300" t="n">
        <v>0</v>
      </c>
      <c r="P300" t="n">
        <v>0</v>
      </c>
      <c r="Q300" t="n">
        <v>1</v>
      </c>
      <c r="R300" t="n">
        <v>1</v>
      </c>
      <c r="S300" t="n">
        <v>2</v>
      </c>
      <c r="T300" t="n">
        <v>2</v>
      </c>
      <c r="U300" t="n">
        <v>0</v>
      </c>
      <c r="V300" s="2" t="inlineStr">
        <is>
          <t>Grönfink
Tibast</t>
        </is>
      </c>
      <c r="W300">
        <f>HYPERLINK("https://klasma.github.io/Logging_0182/artfynd/A 22068-2022 artfynd.xlsx", "A 22068-2022")</f>
        <v/>
      </c>
      <c r="X300">
        <f>HYPERLINK("https://klasma.github.io/Logging_0182/kartor/A 22068-2022 karta.png", "A 22068-2022")</f>
        <v/>
      </c>
      <c r="Y300">
        <f>HYPERLINK("https://klasma.github.io/Logging_0182/kartor_geotiff/A 22068-2022 georefererad karta.tif", "A 22068-2022")</f>
        <v/>
      </c>
      <c r="AA300">
        <f>HYPERLINK("https://klasma.github.io/Logging_0182/klagomål/A 22068-2022 FSC-klagomål.docx", "A 22068-2022")</f>
        <v/>
      </c>
      <c r="AB300">
        <f>HYPERLINK("https://klasma.github.io/Logging_0182/klagomålsmail/A 22068-2022 FSC-klagomål mail.docx", "A 22068-2022")</f>
        <v/>
      </c>
      <c r="AC300">
        <f>HYPERLINK("https://klasma.github.io/Logging_0182/tillsyn/A 22068-2022 tillsynsbegäran.docx", "A 22068-2022")</f>
        <v/>
      </c>
      <c r="AD300">
        <f>HYPERLINK("https://klasma.github.io/Logging_0182/tillsynsmail/A 22068-2022 tillsynsbegäran mail.docx", "A 22068-2022")</f>
        <v/>
      </c>
      <c r="AE300">
        <f>HYPERLINK("https://klasma.github.io/Logging_0182/fåglar/A 22068-2022 prioriterade fågelarter.docx", "A 22068-2022")</f>
        <v/>
      </c>
    </row>
    <row r="301" ht="15" customHeight="1">
      <c r="A301" t="inlineStr">
        <is>
          <t>A 34068-2022</t>
        </is>
      </c>
      <c r="B301" t="inlineStr">
        <is>
          <t>avverkningsanmälan</t>
        </is>
      </c>
      <c r="C301" t="inlineStr">
        <is>
          <t>Föryngringsavverkning</t>
        </is>
      </c>
      <c r="D301" s="1" t="n">
        <v>44791</v>
      </c>
      <c r="E301" s="1" t="n">
        <v>46326</v>
      </c>
      <c r="F301" t="inlineStr">
        <is>
          <t>STOCKHOLMS LÄN</t>
        </is>
      </c>
      <c r="G301" t="inlineStr">
        <is>
          <t>SIGTUNA</t>
        </is>
      </c>
      <c r="I301" t="n">
        <v>5.8</v>
      </c>
      <c r="J301" t="n">
        <v>1</v>
      </c>
      <c r="K301" t="n">
        <v>0</v>
      </c>
      <c r="L301" t="n">
        <v>0</v>
      </c>
      <c r="M301" t="n">
        <v>0</v>
      </c>
      <c r="N301" t="n">
        <v>1</v>
      </c>
      <c r="O301" t="n">
        <v>0</v>
      </c>
      <c r="P301" t="n">
        <v>0</v>
      </c>
      <c r="Q301" t="n">
        <v>1</v>
      </c>
      <c r="R301" t="n">
        <v>1</v>
      </c>
      <c r="S301" t="n">
        <v>2</v>
      </c>
      <c r="T301" t="n">
        <v>2</v>
      </c>
      <c r="U301" t="n">
        <v>0</v>
      </c>
      <c r="V301" s="2" t="inlineStr">
        <is>
          <t>Ask
Gullviva</t>
        </is>
      </c>
      <c r="W301">
        <f>HYPERLINK("https://klasma.github.io/Logging_0191/artfynd/A 34068-2022 artfynd.xlsx", "A 34068-2022")</f>
        <v/>
      </c>
      <c r="X301">
        <f>HYPERLINK("https://klasma.github.io/Logging_0191/kartor/A 34068-2022 karta.png", "A 34068-2022")</f>
        <v/>
      </c>
      <c r="Y301">
        <f>HYPERLINK("https://klasma.github.io/Logging_0191/kartor_geotiff/A 34068-2022 georefererad karta.tif", "A 34068-2022")</f>
        <v/>
      </c>
      <c r="AA301">
        <f>HYPERLINK("https://klasma.github.io/Logging_0191/klagomål/A 34068-2022 FSC-klagomål.docx", "A 34068-2022")</f>
        <v/>
      </c>
      <c r="AB301">
        <f>HYPERLINK("https://klasma.github.io/Logging_0191/klagomålsmail/A 34068-2022 FSC-klagomål mail.docx", "A 34068-2022")</f>
        <v/>
      </c>
      <c r="AC301">
        <f>HYPERLINK("https://klasma.github.io/Logging_0191/tillsyn/A 34068-2022 tillsynsbegäran.docx", "A 34068-2022")</f>
        <v/>
      </c>
      <c r="AD301">
        <f>HYPERLINK("https://klasma.github.io/Logging_0191/tillsynsmail/A 34068-2022 tillsynsbegäran mail.docx", "A 34068-2022")</f>
        <v/>
      </c>
    </row>
    <row r="302" ht="15" customHeight="1">
      <c r="A302" t="inlineStr">
        <is>
          <t>A 9445-2022</t>
        </is>
      </c>
      <c r="B302" t="inlineStr">
        <is>
          <t>avverkningsanmälan</t>
        </is>
      </c>
      <c r="C302" t="inlineStr">
        <is>
          <t>Föryngringsavverkning</t>
        </is>
      </c>
      <c r="D302" s="1" t="n">
        <v>44616</v>
      </c>
      <c r="E302" s="1" t="n">
        <v>46326</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62030-2021</t>
        </is>
      </c>
      <c r="B303" t="inlineStr">
        <is>
          <t>avverkningsanmälan</t>
        </is>
      </c>
      <c r="C303" t="inlineStr">
        <is>
          <t>Föryngringsavverkning</t>
        </is>
      </c>
      <c r="D303" s="1" t="n">
        <v>44502</v>
      </c>
      <c r="E303" s="1" t="n">
        <v>46326</v>
      </c>
      <c r="F303" t="inlineStr">
        <is>
          <t>STOCKHOLMS LÄN</t>
        </is>
      </c>
      <c r="G303" t="inlineStr">
        <is>
          <t>NORRTÄLJE</t>
        </is>
      </c>
      <c r="I303" t="n">
        <v>4.7</v>
      </c>
      <c r="J303" t="n">
        <v>2</v>
      </c>
      <c r="K303" t="n">
        <v>1</v>
      </c>
      <c r="L303" t="n">
        <v>0</v>
      </c>
      <c r="M303" t="n">
        <v>0</v>
      </c>
      <c r="N303" t="n">
        <v>0</v>
      </c>
      <c r="O303" t="n">
        <v>0</v>
      </c>
      <c r="P303" t="n">
        <v>0</v>
      </c>
      <c r="Q303" t="n">
        <v>0</v>
      </c>
      <c r="R303" t="n">
        <v>0</v>
      </c>
      <c r="S303" t="n">
        <v>2</v>
      </c>
      <c r="T303" t="n">
        <v>2</v>
      </c>
      <c r="U303" t="n">
        <v>2</v>
      </c>
      <c r="V303" s="2" t="inlineStr">
        <is>
          <t>Tvåblad
Slaguggla</t>
        </is>
      </c>
      <c r="W303">
        <f>HYPERLINK("https://klasma.github.io/Logging_0188/artfynd/A 62030-2021 artfynd.xlsx", "A 62030-2021")</f>
        <v/>
      </c>
      <c r="X303">
        <f>HYPERLINK("https://klasma.github.io/Logging_0188/kartor/A 62030-2021 karta.png", "A 62030-2021")</f>
        <v/>
      </c>
      <c r="Y303">
        <f>HYPERLINK("https://klasma.github.io/Logging_0188/kartor_geotiff/A 62030-2021 georefererad karta.tif", "A 62030-2021")</f>
        <v/>
      </c>
      <c r="AA303">
        <f>HYPERLINK("https://klasma.github.io/Logging_0188/klagomål/A 62030-2021 FSC-klagomål.docx", "A 62030-2021")</f>
        <v/>
      </c>
      <c r="AB303">
        <f>HYPERLINK("https://klasma.github.io/Logging_0188/klagomålsmail/A 62030-2021 FSC-klagomål mail.docx", "A 62030-2021")</f>
        <v/>
      </c>
      <c r="AC303">
        <f>HYPERLINK("https://klasma.github.io/Logging_0188/tillsyn/A 62030-2021 tillsynsbegäran.docx", "A 62030-2021")</f>
        <v/>
      </c>
      <c r="AD303">
        <f>HYPERLINK("https://klasma.github.io/Logging_0188/tillsynsmail/A 62030-2021 tillsynsbegäran mail.docx", "A 62030-2021")</f>
        <v/>
      </c>
      <c r="AE303">
        <f>HYPERLINK("https://klasma.github.io/Logging_0188/fåglar/A 62030-2021 prioriterade fågelarter.docx", "A 62030-2021")</f>
        <v/>
      </c>
    </row>
    <row r="304" ht="15" customHeight="1">
      <c r="A304" t="inlineStr">
        <is>
          <t>A 38991-2022</t>
        </is>
      </c>
      <c r="B304" t="inlineStr">
        <is>
          <t>avverkningsanmälan</t>
        </is>
      </c>
      <c r="C304" t="inlineStr">
        <is>
          <t>Föryngringsavverkning</t>
        </is>
      </c>
      <c r="D304" s="1" t="n">
        <v>44816</v>
      </c>
      <c r="E304" s="1" t="n">
        <v>46326</v>
      </c>
      <c r="F304" t="inlineStr">
        <is>
          <t>STOCKHOLMS LÄN</t>
        </is>
      </c>
      <c r="G304" t="inlineStr">
        <is>
          <t>NORRTÄLJE</t>
        </is>
      </c>
      <c r="I304" t="n">
        <v>1.9</v>
      </c>
      <c r="J304" t="n">
        <v>0</v>
      </c>
      <c r="K304" t="n">
        <v>2</v>
      </c>
      <c r="L304" t="n">
        <v>0</v>
      </c>
      <c r="M304" t="n">
        <v>0</v>
      </c>
      <c r="N304" t="n">
        <v>0</v>
      </c>
      <c r="O304" t="n">
        <v>0</v>
      </c>
      <c r="P304" t="n">
        <v>0</v>
      </c>
      <c r="Q304" t="n">
        <v>0</v>
      </c>
      <c r="R304" t="n">
        <v>0</v>
      </c>
      <c r="S304" t="n">
        <v>2</v>
      </c>
      <c r="T304" t="n">
        <v>2</v>
      </c>
      <c r="U304" t="n">
        <v>2</v>
      </c>
      <c r="V304" s="2" t="inlineStr">
        <is>
          <t>Bronshjon
Grovticka</t>
        </is>
      </c>
      <c r="W304">
        <f>HYPERLINK("https://klasma.github.io/Logging_0188/artfynd/A 38991-2022 artfynd.xlsx", "A 38991-2022")</f>
        <v/>
      </c>
      <c r="X304">
        <f>HYPERLINK("https://klasma.github.io/Logging_0188/kartor/A 38991-2022 karta.png", "A 38991-2022")</f>
        <v/>
      </c>
      <c r="Y304">
        <f>HYPERLINK("https://klasma.github.io/Logging_0188/kartor_geotiff/A 38991-2022 georefererad karta.tif", "A 38991-2022")</f>
        <v/>
      </c>
      <c r="AA304">
        <f>HYPERLINK("https://klasma.github.io/Logging_0188/klagomål/A 38991-2022 FSC-klagomål.docx", "A 38991-2022")</f>
        <v/>
      </c>
      <c r="AB304">
        <f>HYPERLINK("https://klasma.github.io/Logging_0188/klagomålsmail/A 38991-2022 FSC-klagomål mail.docx", "A 38991-2022")</f>
        <v/>
      </c>
      <c r="AC304">
        <f>HYPERLINK("https://klasma.github.io/Logging_0188/tillsyn/A 38991-2022 tillsynsbegäran.docx", "A 38991-2022")</f>
        <v/>
      </c>
      <c r="AD304">
        <f>HYPERLINK("https://klasma.github.io/Logging_0188/tillsynsmail/A 38991-2022 tillsynsbegäran mail.docx", "A 38991-2022")</f>
        <v/>
      </c>
    </row>
    <row r="305" ht="15" customHeight="1">
      <c r="A305" t="inlineStr">
        <is>
          <t>A 40643-2024</t>
        </is>
      </c>
      <c r="B305" t="inlineStr">
        <is>
          <t>avverkningsanmälan</t>
        </is>
      </c>
      <c r="C305" t="inlineStr">
        <is>
          <t>Avverkning för annat ändamål</t>
        </is>
      </c>
      <c r="D305" s="1" t="n">
        <v>45558</v>
      </c>
      <c r="E305" s="1" t="n">
        <v>46326</v>
      </c>
      <c r="F305" t="inlineStr">
        <is>
          <t>STOCKHOLMS LÄN</t>
        </is>
      </c>
      <c r="G305" t="inlineStr">
        <is>
          <t>SIGTUNA</t>
        </is>
      </c>
      <c r="I305" t="n">
        <v>1.7</v>
      </c>
      <c r="J305" t="n">
        <v>0</v>
      </c>
      <c r="K305" t="n">
        <v>0</v>
      </c>
      <c r="L305" t="n">
        <v>0</v>
      </c>
      <c r="M305" t="n">
        <v>0</v>
      </c>
      <c r="N305" t="n">
        <v>0</v>
      </c>
      <c r="O305" t="n">
        <v>0</v>
      </c>
      <c r="P305" t="n">
        <v>0</v>
      </c>
      <c r="Q305" t="n">
        <v>0</v>
      </c>
      <c r="R305" t="n">
        <v>0</v>
      </c>
      <c r="S305" t="n">
        <v>2</v>
      </c>
      <c r="T305" t="n">
        <v>2</v>
      </c>
      <c r="U305" t="n">
        <v>2</v>
      </c>
      <c r="V305" s="2" t="inlineStr">
        <is>
          <t>Bergsslok
Getrams</t>
        </is>
      </c>
      <c r="W305">
        <f>HYPERLINK("https://klasma.github.io/Logging_0191/artfynd/A 40643-2024 artfynd.xlsx", "A 40643-2024")</f>
        <v/>
      </c>
      <c r="X305">
        <f>HYPERLINK("https://klasma.github.io/Logging_0191/kartor/A 40643-2024 karta.png", "A 40643-2024")</f>
        <v/>
      </c>
      <c r="Y305">
        <f>HYPERLINK("https://klasma.github.io/Logging_0191/kartor_geotiff/A 40643-2024 georefererad karta.tif", "A 40643-2024")</f>
        <v/>
      </c>
      <c r="AA305">
        <f>HYPERLINK("https://klasma.github.io/Logging_0191/klagomål/A 40643-2024 FSC-klagomål.docx", "A 40643-2024")</f>
        <v/>
      </c>
      <c r="AB305">
        <f>HYPERLINK("https://klasma.github.io/Logging_0191/klagomålsmail/A 40643-2024 FSC-klagomål mail.docx", "A 40643-2024")</f>
        <v/>
      </c>
      <c r="AC305">
        <f>HYPERLINK("https://klasma.github.io/Logging_0191/tillsyn/A 40643-2024 tillsynsbegäran.docx", "A 40643-2024")</f>
        <v/>
      </c>
      <c r="AD305">
        <f>HYPERLINK("https://klasma.github.io/Logging_0191/tillsynsmail/A 40643-2024 tillsynsbegäran mail.docx", "A 40643-2024")</f>
        <v/>
      </c>
    </row>
    <row r="306" ht="15" customHeight="1">
      <c r="A306" t="inlineStr">
        <is>
          <t>A 22456-2023</t>
        </is>
      </c>
      <c r="B306" t="inlineStr">
        <is>
          <t>avverkningsanmälan</t>
        </is>
      </c>
      <c r="C306" t="inlineStr">
        <is>
          <t>Föryngringsavverkning</t>
        </is>
      </c>
      <c r="D306" s="1" t="n">
        <v>45070</v>
      </c>
      <c r="E306" s="1" t="n">
        <v>46326</v>
      </c>
      <c r="F306" t="inlineStr">
        <is>
          <t>STOCKHOLMS LÄN</t>
        </is>
      </c>
      <c r="G306" t="inlineStr">
        <is>
          <t>NORRTÄLJE</t>
        </is>
      </c>
      <c r="I306" t="n">
        <v>3.1</v>
      </c>
      <c r="J306" t="n">
        <v>1</v>
      </c>
      <c r="K306" t="n">
        <v>1</v>
      </c>
      <c r="L306" t="n">
        <v>0</v>
      </c>
      <c r="M306" t="n">
        <v>0</v>
      </c>
      <c r="N306" t="n">
        <v>1</v>
      </c>
      <c r="O306" t="n">
        <v>0</v>
      </c>
      <c r="P306" t="n">
        <v>0</v>
      </c>
      <c r="Q306" t="n">
        <v>1</v>
      </c>
      <c r="R306" t="n">
        <v>1</v>
      </c>
      <c r="S306" t="n">
        <v>2</v>
      </c>
      <c r="T306" t="n">
        <v>78</v>
      </c>
      <c r="U306" t="n">
        <v>0</v>
      </c>
      <c r="V306" s="2" t="inlineStr">
        <is>
          <t>Asknätfjäril
Underviol</t>
        </is>
      </c>
      <c r="W306">
        <f>HYPERLINK("https://klasma.github.io/Logging_0188/artfynd/A 22456-2023 artfynd.xlsx", "A 22456-2023")</f>
        <v/>
      </c>
      <c r="X306">
        <f>HYPERLINK("https://klasma.github.io/Logging_0188/kartor/A 22456-2023 karta.png", "A 22456-2023")</f>
        <v/>
      </c>
      <c r="Y306">
        <f>HYPERLINK("https://klasma.github.io/Logging_0188/kartor_geotiff/A 22456-2023 georefererad karta.tif", "A 22456-2023")</f>
        <v/>
      </c>
      <c r="AA306">
        <f>HYPERLINK("https://klasma.github.io/Logging_0188/klagomål/A 22456-2023 FSC-klagomål.docx", "A 22456-2023")</f>
        <v/>
      </c>
      <c r="AB306">
        <f>HYPERLINK("https://klasma.github.io/Logging_0188/klagomålsmail/A 22456-2023 FSC-klagomål mail.docx", "A 22456-2023")</f>
        <v/>
      </c>
      <c r="AC306">
        <f>HYPERLINK("https://klasma.github.io/Logging_0188/tillsyn/A 22456-2023 tillsynsbegäran.docx", "A 22456-2023")</f>
        <v/>
      </c>
      <c r="AD306">
        <f>HYPERLINK("https://klasma.github.io/Logging_0188/tillsynsmail/A 22456-2023 tillsynsbegäran mail.docx", "A 22456-2023")</f>
        <v/>
      </c>
    </row>
    <row r="307" ht="15" customHeight="1">
      <c r="A307" t="inlineStr">
        <is>
          <t>A 30378-2024</t>
        </is>
      </c>
      <c r="B307" t="inlineStr">
        <is>
          <t>avverkningsanmälan</t>
        </is>
      </c>
      <c r="C307" t="inlineStr">
        <is>
          <t>Avverkning för annat ändamål</t>
        </is>
      </c>
      <c r="D307" s="1" t="n">
        <v>45491</v>
      </c>
      <c r="E307" s="1" t="n">
        <v>46326</v>
      </c>
      <c r="F307" t="inlineStr">
        <is>
          <t>STOCKHOLMS LÄN</t>
        </is>
      </c>
      <c r="G307" t="inlineStr">
        <is>
          <t>BOTKYRKA</t>
        </is>
      </c>
      <c r="I307" t="n">
        <v>0.3</v>
      </c>
      <c r="J307" t="n">
        <v>0</v>
      </c>
      <c r="K307" t="n">
        <v>0</v>
      </c>
      <c r="L307" t="n">
        <v>2</v>
      </c>
      <c r="M307" t="n">
        <v>0</v>
      </c>
      <c r="N307" t="n">
        <v>0</v>
      </c>
      <c r="O307" t="n">
        <v>0</v>
      </c>
      <c r="P307" t="n">
        <v>0</v>
      </c>
      <c r="Q307" t="n">
        <v>2</v>
      </c>
      <c r="R307" t="n">
        <v>0</v>
      </c>
      <c r="S307" t="n">
        <v>2</v>
      </c>
      <c r="T307" t="n">
        <v>2</v>
      </c>
      <c r="U307" t="n">
        <v>2</v>
      </c>
      <c r="V307" s="2" t="inlineStr">
        <is>
          <t>Mindre tåtelsmygare
Svinrot</t>
        </is>
      </c>
      <c r="W307">
        <f>HYPERLINK("https://klasma.github.io/Logging_0127/artfynd/A 30378-2024 artfynd.xlsx", "A 30378-2024")</f>
        <v/>
      </c>
      <c r="X307">
        <f>HYPERLINK("https://klasma.github.io/Logging_0127/kartor/A 30378-2024 karta.png", "A 30378-2024")</f>
        <v/>
      </c>
      <c r="Y307">
        <f>HYPERLINK("https://klasma.github.io/Logging_0127/kartor_geotiff/A 30378-2024 georefererad karta.tif", "A 30378-2024")</f>
        <v/>
      </c>
      <c r="AA307">
        <f>HYPERLINK("https://klasma.github.io/Logging_0127/klagomål/A 30378-2024 FSC-klagomål.docx", "A 30378-2024")</f>
        <v/>
      </c>
      <c r="AB307">
        <f>HYPERLINK("https://klasma.github.io/Logging_0127/klagomålsmail/A 30378-2024 FSC-klagomål mail.docx", "A 30378-2024")</f>
        <v/>
      </c>
      <c r="AC307">
        <f>HYPERLINK("https://klasma.github.io/Logging_0127/tillsyn/A 30378-2024 tillsynsbegäran.docx", "A 30378-2024")</f>
        <v/>
      </c>
      <c r="AD307">
        <f>HYPERLINK("https://klasma.github.io/Logging_0127/tillsynsmail/A 30378-2024 tillsynsbegäran mail.docx", "A 30378-2024")</f>
        <v/>
      </c>
    </row>
    <row r="308" ht="15" customHeight="1">
      <c r="A308" t="inlineStr">
        <is>
          <t>A 4595-2023</t>
        </is>
      </c>
      <c r="B308" t="inlineStr">
        <is>
          <t>avverkningsanmälan</t>
        </is>
      </c>
      <c r="C308" t="inlineStr">
        <is>
          <t>Avverkning för annat ändamål</t>
        </is>
      </c>
      <c r="D308" s="1" t="n">
        <v>44956</v>
      </c>
      <c r="E308" s="1" t="n">
        <v>46326</v>
      </c>
      <c r="F308" t="inlineStr">
        <is>
          <t>STOCKHOLMS LÄN</t>
        </is>
      </c>
      <c r="G308" t="inlineStr">
        <is>
          <t>NORRTÄLJE</t>
        </is>
      </c>
      <c r="I308" t="n">
        <v>0.6</v>
      </c>
      <c r="J308" t="n">
        <v>1</v>
      </c>
      <c r="K308" t="n">
        <v>1</v>
      </c>
      <c r="L308" t="n">
        <v>0</v>
      </c>
      <c r="M308" t="n">
        <v>0</v>
      </c>
      <c r="N308" t="n">
        <v>0</v>
      </c>
      <c r="O308" t="n">
        <v>0</v>
      </c>
      <c r="P308" t="n">
        <v>0</v>
      </c>
      <c r="Q308" t="n">
        <v>0</v>
      </c>
      <c r="R308" t="n">
        <v>0</v>
      </c>
      <c r="S308" t="n">
        <v>2</v>
      </c>
      <c r="T308" t="n">
        <v>2</v>
      </c>
      <c r="U308" t="n">
        <v>0</v>
      </c>
      <c r="V308" s="2" t="inlineStr">
        <is>
          <t>Hasselticka
Blåsippa</t>
        </is>
      </c>
      <c r="W308">
        <f>HYPERLINK("https://klasma.github.io/Logging_0188/artfynd/A 4595-2023 artfynd.xlsx", "A 4595-2023")</f>
        <v/>
      </c>
      <c r="X308">
        <f>HYPERLINK("https://klasma.github.io/Logging_0188/kartor/A 4595-2023 karta.png", "A 4595-2023")</f>
        <v/>
      </c>
      <c r="Y308">
        <f>HYPERLINK("https://klasma.github.io/Logging_0188/kartor_geotiff/A 4595-2023 georefererad karta.tif", "A 4595-2023")</f>
        <v/>
      </c>
      <c r="AA308">
        <f>HYPERLINK("https://klasma.github.io/Logging_0188/klagomål/A 4595-2023 FSC-klagomål.docx", "A 4595-2023")</f>
        <v/>
      </c>
      <c r="AB308">
        <f>HYPERLINK("https://klasma.github.io/Logging_0188/klagomålsmail/A 4595-2023 FSC-klagomål mail.docx", "A 4595-2023")</f>
        <v/>
      </c>
      <c r="AC308">
        <f>HYPERLINK("https://klasma.github.io/Logging_0188/tillsyn/A 4595-2023 tillsynsbegäran.docx", "A 4595-2023")</f>
        <v/>
      </c>
      <c r="AD308">
        <f>HYPERLINK("https://klasma.github.io/Logging_0188/tillsynsmail/A 4595-2023 tillsynsbegäran mail.docx", "A 4595-2023")</f>
        <v/>
      </c>
    </row>
    <row r="309" ht="15" customHeight="1">
      <c r="A309" t="inlineStr">
        <is>
          <t>A 25669-2025</t>
        </is>
      </c>
      <c r="B309" t="inlineStr">
        <is>
          <t>avverkningsanmälan</t>
        </is>
      </c>
      <c r="C309" t="inlineStr">
        <is>
          <t>Föryngringsavverkning</t>
        </is>
      </c>
      <c r="D309" s="1" t="n">
        <v>45803</v>
      </c>
      <c r="E309" s="1" t="n">
        <v>46326</v>
      </c>
      <c r="F309" t="inlineStr">
        <is>
          <t>STOCKHOLMS LÄN</t>
        </is>
      </c>
      <c r="G309" t="inlineStr">
        <is>
          <t>NORRTÄLJE</t>
        </is>
      </c>
      <c r="H309" t="inlineStr">
        <is>
          <t>Holmen skog AB</t>
        </is>
      </c>
      <c r="I309" t="n">
        <v>3.1</v>
      </c>
      <c r="J309" t="n">
        <v>2</v>
      </c>
      <c r="K309" t="n">
        <v>0</v>
      </c>
      <c r="L309" t="n">
        <v>0</v>
      </c>
      <c r="M309" t="n">
        <v>0</v>
      </c>
      <c r="N309" t="n">
        <v>0</v>
      </c>
      <c r="O309" t="n">
        <v>0</v>
      </c>
      <c r="P309" t="n">
        <v>0</v>
      </c>
      <c r="Q309" t="n">
        <v>0</v>
      </c>
      <c r="R309" t="n">
        <v>0</v>
      </c>
      <c r="S309" t="n">
        <v>2</v>
      </c>
      <c r="T309" t="n">
        <v>2</v>
      </c>
      <c r="U309" t="n">
        <v>0</v>
      </c>
      <c r="V309" s="2" t="inlineStr">
        <is>
          <t>Tjäder
Revlummer</t>
        </is>
      </c>
      <c r="W309">
        <f>HYPERLINK("https://klasma.github.io/Logging_0188/artfynd/A 25669-2025 artfynd.xlsx", "A 25669-2025")</f>
        <v/>
      </c>
      <c r="X309">
        <f>HYPERLINK("https://klasma.github.io/Logging_0188/kartor/A 25669-2025 karta.png", "A 25669-2025")</f>
        <v/>
      </c>
      <c r="Y309">
        <f>HYPERLINK("https://klasma.github.io/Logging_0188/kartor_geotiff/A 25669-2025 georefererad karta.tif", "A 25669-2025")</f>
        <v/>
      </c>
      <c r="AA309">
        <f>HYPERLINK("https://klasma.github.io/Logging_0188/klagomål/A 25669-2025 FSC-klagomål.docx", "A 25669-2025")</f>
        <v/>
      </c>
      <c r="AB309">
        <f>HYPERLINK("https://klasma.github.io/Logging_0188/klagomålsmail/A 25669-2025 FSC-klagomål mail.docx", "A 25669-2025")</f>
        <v/>
      </c>
      <c r="AC309">
        <f>HYPERLINK("https://klasma.github.io/Logging_0188/tillsyn/A 25669-2025 tillsynsbegäran.docx", "A 25669-2025")</f>
        <v/>
      </c>
      <c r="AD309">
        <f>HYPERLINK("https://klasma.github.io/Logging_0188/tillsynsmail/A 25669-2025 tillsynsbegäran mail.docx", "A 25669-2025")</f>
        <v/>
      </c>
      <c r="AE309">
        <f>HYPERLINK("https://klasma.github.io/Logging_0188/fåglar/A 25669-2025 prioriterade fågelarter.docx", "A 25669-2025")</f>
        <v/>
      </c>
    </row>
    <row r="310" ht="15" customHeight="1">
      <c r="A310" t="inlineStr">
        <is>
          <t>A 41218-2024</t>
        </is>
      </c>
      <c r="B310" t="inlineStr">
        <is>
          <t>avverkningsanmälan</t>
        </is>
      </c>
      <c r="C310" t="inlineStr">
        <is>
          <t>Föryngringsavverkning</t>
        </is>
      </c>
      <c r="D310" s="1" t="n">
        <v>45559</v>
      </c>
      <c r="E310" s="1" t="n">
        <v>46326</v>
      </c>
      <c r="F310" t="inlineStr">
        <is>
          <t>STOCKHOLMS LÄN</t>
        </is>
      </c>
      <c r="G310" t="inlineStr">
        <is>
          <t>NORRTÄLJE</t>
        </is>
      </c>
      <c r="I310" t="n">
        <v>6</v>
      </c>
      <c r="J310" t="n">
        <v>1</v>
      </c>
      <c r="K310" t="n">
        <v>0</v>
      </c>
      <c r="L310" t="n">
        <v>0</v>
      </c>
      <c r="M310" t="n">
        <v>1</v>
      </c>
      <c r="N310" t="n">
        <v>0</v>
      </c>
      <c r="O310" t="n">
        <v>0</v>
      </c>
      <c r="P310" t="n">
        <v>0</v>
      </c>
      <c r="Q310" t="n">
        <v>1</v>
      </c>
      <c r="R310" t="n">
        <v>1</v>
      </c>
      <c r="S310" t="n">
        <v>2</v>
      </c>
      <c r="T310" t="n">
        <v>2</v>
      </c>
      <c r="U310" t="n">
        <v>1</v>
      </c>
      <c r="V310" s="2" t="inlineStr">
        <is>
          <t>Igelkott
Näktergal</t>
        </is>
      </c>
      <c r="W310">
        <f>HYPERLINK("https://klasma.github.io/Logging_0188/artfynd/A 41218-2024 artfynd.xlsx", "A 41218-2024")</f>
        <v/>
      </c>
      <c r="X310">
        <f>HYPERLINK("https://klasma.github.io/Logging_0188/kartor/A 41218-2024 karta.png", "A 41218-2024")</f>
        <v/>
      </c>
      <c r="Y310">
        <f>HYPERLINK("https://klasma.github.io/Logging_0188/kartor_geotiff/A 41218-2024 georefererad karta.tif", "A 41218-2024")</f>
        <v/>
      </c>
      <c r="AA310">
        <f>HYPERLINK("https://klasma.github.io/Logging_0188/klagomål/A 41218-2024 FSC-klagomål.docx", "A 41218-2024")</f>
        <v/>
      </c>
      <c r="AB310">
        <f>HYPERLINK("https://klasma.github.io/Logging_0188/klagomålsmail/A 41218-2024 FSC-klagomål mail.docx", "A 41218-2024")</f>
        <v/>
      </c>
      <c r="AC310">
        <f>HYPERLINK("https://klasma.github.io/Logging_0188/tillsyn/A 41218-2024 tillsynsbegäran.docx", "A 41218-2024")</f>
        <v/>
      </c>
      <c r="AD310">
        <f>HYPERLINK("https://klasma.github.io/Logging_0188/tillsynsmail/A 41218-2024 tillsynsbegäran mail.docx", "A 41218-2024")</f>
        <v/>
      </c>
      <c r="AE310">
        <f>HYPERLINK("https://klasma.github.io/Logging_0188/fåglar/A 41218-2024 prioriterade fågelarter.docx", "A 41218-2024")</f>
        <v/>
      </c>
    </row>
    <row r="311" ht="15" customHeight="1">
      <c r="A311" t="inlineStr">
        <is>
          <t>A 35649-2023</t>
        </is>
      </c>
      <c r="B311" t="inlineStr">
        <is>
          <t>avverkningsanmälan</t>
        </is>
      </c>
      <c r="C311" t="inlineStr">
        <is>
          <t>Avverkning för annat ändamål</t>
        </is>
      </c>
      <c r="D311" s="1" t="n">
        <v>45146</v>
      </c>
      <c r="E311" s="1" t="n">
        <v>46326</v>
      </c>
      <c r="F311" t="inlineStr">
        <is>
          <t>STOCKHOLMS LÄN</t>
        </is>
      </c>
      <c r="G311" t="inlineStr">
        <is>
          <t>NORRTÄLJE</t>
        </is>
      </c>
      <c r="I311" t="n">
        <v>25.1</v>
      </c>
      <c r="J311" t="n">
        <v>0</v>
      </c>
      <c r="K311" t="n">
        <v>0</v>
      </c>
      <c r="L311" t="n">
        <v>2</v>
      </c>
      <c r="M311" t="n">
        <v>0</v>
      </c>
      <c r="N311" t="n">
        <v>0</v>
      </c>
      <c r="O311" t="n">
        <v>0</v>
      </c>
      <c r="P311" t="n">
        <v>0</v>
      </c>
      <c r="Q311" t="n">
        <v>2</v>
      </c>
      <c r="R311" t="n">
        <v>0</v>
      </c>
      <c r="S311" t="n">
        <v>2</v>
      </c>
      <c r="T311" t="n">
        <v>2</v>
      </c>
      <c r="U311" t="n">
        <v>0</v>
      </c>
      <c r="V311" s="2" t="inlineStr">
        <is>
          <t>Majviva
Månlåsbräken</t>
        </is>
      </c>
      <c r="W311">
        <f>HYPERLINK("https://klasma.github.io/Logging_0188/artfynd/A 35649-2023 artfynd.xlsx", "A 35649-2023")</f>
        <v/>
      </c>
      <c r="X311">
        <f>HYPERLINK("https://klasma.github.io/Logging_0188/kartor/A 35649-2023 karta.png", "A 35649-2023")</f>
        <v/>
      </c>
      <c r="Y311">
        <f>HYPERLINK("https://klasma.github.io/Logging_0188/kartor_geotiff/A 35649-2023 georefererad karta.tif", "A 35649-2023")</f>
        <v/>
      </c>
      <c r="AA311">
        <f>HYPERLINK("https://klasma.github.io/Logging_0188/klagomål/A 35649-2023 FSC-klagomål.docx", "A 35649-2023")</f>
        <v/>
      </c>
      <c r="AB311">
        <f>HYPERLINK("https://klasma.github.io/Logging_0188/klagomålsmail/A 35649-2023 FSC-klagomål mail.docx", "A 35649-2023")</f>
        <v/>
      </c>
      <c r="AC311">
        <f>HYPERLINK("https://klasma.github.io/Logging_0188/tillsyn/A 35649-2023 tillsynsbegäran.docx", "A 35649-2023")</f>
        <v/>
      </c>
      <c r="AD311">
        <f>HYPERLINK("https://klasma.github.io/Logging_0188/tillsynsmail/A 35649-2023 tillsynsbegäran mail.docx", "A 35649-2023")</f>
        <v/>
      </c>
    </row>
    <row r="312" ht="15" customHeight="1">
      <c r="A312" t="inlineStr">
        <is>
          <t>A 11-2024</t>
        </is>
      </c>
      <c r="B312" t="inlineStr">
        <is>
          <t>avverkningsanmälan</t>
        </is>
      </c>
      <c r="C312" t="inlineStr">
        <is>
          <t>Avverkning för annat ändamål</t>
        </is>
      </c>
      <c r="D312" s="1" t="n">
        <v>45293</v>
      </c>
      <c r="E312" s="1" t="n">
        <v>46326</v>
      </c>
      <c r="F312" t="inlineStr">
        <is>
          <t>STOCKHOLMS LÄN</t>
        </is>
      </c>
      <c r="G312" t="inlineStr">
        <is>
          <t>NORRTÄLJE</t>
        </is>
      </c>
      <c r="H312" t="inlineStr">
        <is>
          <t>Sveaskog</t>
        </is>
      </c>
      <c r="I312" t="n">
        <v>3.2</v>
      </c>
      <c r="J312" t="n">
        <v>2</v>
      </c>
      <c r="K312" t="n">
        <v>0</v>
      </c>
      <c r="L312" t="n">
        <v>1</v>
      </c>
      <c r="M312" t="n">
        <v>0</v>
      </c>
      <c r="N312" t="n">
        <v>0</v>
      </c>
      <c r="O312" t="n">
        <v>0</v>
      </c>
      <c r="P312" t="n">
        <v>0</v>
      </c>
      <c r="Q312" t="n">
        <v>1</v>
      </c>
      <c r="R312" t="n">
        <v>0</v>
      </c>
      <c r="S312" t="n">
        <v>2</v>
      </c>
      <c r="T312" t="n">
        <v>2</v>
      </c>
      <c r="U312" t="n">
        <v>1</v>
      </c>
      <c r="V312" s="2" t="inlineStr">
        <is>
          <t>Talltita
Tjäder</t>
        </is>
      </c>
      <c r="W312">
        <f>HYPERLINK("https://klasma.github.io/Logging_0188/artfynd/A 11-2024 artfynd.xlsx", "A 11-2024")</f>
        <v/>
      </c>
      <c r="X312">
        <f>HYPERLINK("https://klasma.github.io/Logging_0188/kartor/A 11-2024 karta.png", "A 11-2024")</f>
        <v/>
      </c>
      <c r="Y312">
        <f>HYPERLINK("https://klasma.github.io/Logging_0188/kartor_geotiff/A 11-2024 georefererad karta.tif", "A 11-2024")</f>
        <v/>
      </c>
      <c r="AA312">
        <f>HYPERLINK("https://klasma.github.io/Logging_0188/klagomål/A 11-2024 FSC-klagomål.docx", "A 11-2024")</f>
        <v/>
      </c>
      <c r="AB312">
        <f>HYPERLINK("https://klasma.github.io/Logging_0188/klagomålsmail/A 11-2024 FSC-klagomål mail.docx", "A 11-2024")</f>
        <v/>
      </c>
      <c r="AC312">
        <f>HYPERLINK("https://klasma.github.io/Logging_0188/tillsyn/A 11-2024 tillsynsbegäran.docx", "A 11-2024")</f>
        <v/>
      </c>
      <c r="AD312">
        <f>HYPERLINK("https://klasma.github.io/Logging_0188/tillsynsmail/A 11-2024 tillsynsbegäran mail.docx", "A 11-2024")</f>
        <v/>
      </c>
      <c r="AE312">
        <f>HYPERLINK("https://klasma.github.io/Logging_0188/fåglar/A 11-2024 prioriterade fågelarter.docx", "A 11-2024")</f>
        <v/>
      </c>
    </row>
    <row r="313" ht="15" customHeight="1">
      <c r="A313" t="inlineStr">
        <is>
          <t>A 5779-2026</t>
        </is>
      </c>
      <c r="B313" t="inlineStr">
        <is>
          <t>avverkningsanmälan</t>
        </is>
      </c>
      <c r="C313" t="inlineStr">
        <is>
          <t>Avverkning för annat ändamål</t>
        </is>
      </c>
      <c r="D313" s="1" t="n">
        <v>46056</v>
      </c>
      <c r="E313" s="1" t="n">
        <v>46326</v>
      </c>
      <c r="F313" t="inlineStr">
        <is>
          <t>STOCKHOLMS LÄN</t>
        </is>
      </c>
      <c r="G313" t="inlineStr">
        <is>
          <t>UPPLANDS VÄSBY</t>
        </is>
      </c>
      <c r="I313" t="n">
        <v>0.8</v>
      </c>
      <c r="J313" t="n">
        <v>1</v>
      </c>
      <c r="K313" t="n">
        <v>0</v>
      </c>
      <c r="L313" t="n">
        <v>1</v>
      </c>
      <c r="M313" t="n">
        <v>0</v>
      </c>
      <c r="N313" t="n">
        <v>0</v>
      </c>
      <c r="O313" t="n">
        <v>0</v>
      </c>
      <c r="P313" t="n">
        <v>0</v>
      </c>
      <c r="Q313" t="n">
        <v>1</v>
      </c>
      <c r="R313" t="n">
        <v>0</v>
      </c>
      <c r="S313" t="n">
        <v>2</v>
      </c>
      <c r="T313" t="n">
        <v>3</v>
      </c>
      <c r="U313" t="n">
        <v>0</v>
      </c>
      <c r="V313" s="2" t="inlineStr">
        <is>
          <t>Tallticka
Blåsippa</t>
        </is>
      </c>
      <c r="W313">
        <f>HYPERLINK("https://klasma.github.io/Logging_0114/artfynd/A 5779-2026 artfynd.xlsx", "A 5779-2026")</f>
        <v/>
      </c>
      <c r="X313">
        <f>HYPERLINK("https://klasma.github.io/Logging_0114/kartor/A 5779-2026 karta.png", "A 5779-2026")</f>
        <v/>
      </c>
      <c r="Y313">
        <f>HYPERLINK("https://klasma.github.io/Logging_0114/kartor_geotiff/A 5779-2026 georefererad karta.tif", "A 5779-2026")</f>
        <v/>
      </c>
      <c r="AA313">
        <f>HYPERLINK("https://klasma.github.io/Logging_0114/klagomål/A 5779-2026 FSC-klagomål.docx", "A 5779-2026")</f>
        <v/>
      </c>
      <c r="AB313">
        <f>HYPERLINK("https://klasma.github.io/Logging_0114/klagomålsmail/A 5779-2026 FSC-klagomål mail.docx", "A 5779-2026")</f>
        <v/>
      </c>
      <c r="AC313">
        <f>HYPERLINK("https://klasma.github.io/Logging_0114/tillsyn/A 5779-2026 tillsynsbegäran.docx", "A 5779-2026")</f>
        <v/>
      </c>
      <c r="AD313">
        <f>HYPERLINK("https://klasma.github.io/Logging_0114/tillsynsmail/A 5779-2026 tillsynsbegäran mail.docx", "A 5779-2026")</f>
        <v/>
      </c>
    </row>
    <row r="314" ht="15" customHeight="1">
      <c r="A314" t="inlineStr">
        <is>
          <t>A 15905-2022</t>
        </is>
      </c>
      <c r="B314" t="inlineStr">
        <is>
          <t>avverkningsanmälan</t>
        </is>
      </c>
      <c r="C314" t="inlineStr">
        <is>
          <t>Föryngringsavverkning</t>
        </is>
      </c>
      <c r="D314" s="1" t="n">
        <v>44664</v>
      </c>
      <c r="E314" s="1" t="n">
        <v>46326</v>
      </c>
      <c r="F314" t="inlineStr">
        <is>
          <t>STOCKHOLMS LÄN</t>
        </is>
      </c>
      <c r="G314" t="inlineStr">
        <is>
          <t>BOTKYRKA</t>
        </is>
      </c>
      <c r="I314" t="n">
        <v>11.2</v>
      </c>
      <c r="J314" t="n">
        <v>0</v>
      </c>
      <c r="K314" t="n">
        <v>0</v>
      </c>
      <c r="L314" t="n">
        <v>2</v>
      </c>
      <c r="M314" t="n">
        <v>0</v>
      </c>
      <c r="N314" t="n">
        <v>0</v>
      </c>
      <c r="O314" t="n">
        <v>0</v>
      </c>
      <c r="P314" t="n">
        <v>0</v>
      </c>
      <c r="Q314" t="n">
        <v>2</v>
      </c>
      <c r="R314" t="n">
        <v>0</v>
      </c>
      <c r="S314" t="n">
        <v>2</v>
      </c>
      <c r="T314" t="n">
        <v>3</v>
      </c>
      <c r="U314" t="n">
        <v>3</v>
      </c>
      <c r="V314" s="2" t="inlineStr">
        <is>
          <t>Motaggsvamp
Svartvit taggsvamp</t>
        </is>
      </c>
      <c r="W314">
        <f>HYPERLINK("https://klasma.github.io/Logging_0127/artfynd/A 15905-2022 artfynd.xlsx", "A 15905-2022")</f>
        <v/>
      </c>
      <c r="X314">
        <f>HYPERLINK("https://klasma.github.io/Logging_0127/kartor/A 15905-2022 karta.png", "A 15905-2022")</f>
        <v/>
      </c>
      <c r="Y314">
        <f>HYPERLINK("https://klasma.github.io/Logging_0127/kartor_geotiff/A 15905-2022 georefererad karta.tif", "A 15905-2022")</f>
        <v/>
      </c>
      <c r="AA314">
        <f>HYPERLINK("https://klasma.github.io/Logging_0127/klagomål/A 15905-2022 FSC-klagomål.docx", "A 15905-2022")</f>
        <v/>
      </c>
      <c r="AB314">
        <f>HYPERLINK("https://klasma.github.io/Logging_0127/klagomålsmail/A 15905-2022 FSC-klagomål mail.docx", "A 15905-2022")</f>
        <v/>
      </c>
      <c r="AC314">
        <f>HYPERLINK("https://klasma.github.io/Logging_0127/tillsyn/A 15905-2022 tillsynsbegäran.docx", "A 15905-2022")</f>
        <v/>
      </c>
      <c r="AD314">
        <f>HYPERLINK("https://klasma.github.io/Logging_0127/tillsynsmail/A 15905-2022 tillsynsbegäran mail.docx", "A 15905-2022")</f>
        <v/>
      </c>
    </row>
    <row r="315" ht="15" customHeight="1">
      <c r="A315" t="inlineStr">
        <is>
          <t>A 73773-2021</t>
        </is>
      </c>
      <c r="B315" t="inlineStr">
        <is>
          <t>avverkningsanmälan</t>
        </is>
      </c>
      <c r="C315" t="inlineStr">
        <is>
          <t>Föryngringsavverkning</t>
        </is>
      </c>
      <c r="D315" s="1" t="n">
        <v>44552</v>
      </c>
      <c r="E315" s="1" t="n">
        <v>46326</v>
      </c>
      <c r="F315" t="inlineStr">
        <is>
          <t>STOCKHOLMS LÄN</t>
        </is>
      </c>
      <c r="G315" t="inlineStr">
        <is>
          <t>UPPLANDS-BRO</t>
        </is>
      </c>
      <c r="I315" t="n">
        <v>1.9</v>
      </c>
      <c r="J315" t="n">
        <v>2</v>
      </c>
      <c r="K315" t="n">
        <v>0</v>
      </c>
      <c r="L315" t="n">
        <v>0</v>
      </c>
      <c r="M315" t="n">
        <v>0</v>
      </c>
      <c r="N315" t="n">
        <v>0</v>
      </c>
      <c r="O315" t="n">
        <v>0</v>
      </c>
      <c r="P315" t="n">
        <v>0</v>
      </c>
      <c r="Q315" t="n">
        <v>0</v>
      </c>
      <c r="R315" t="n">
        <v>0</v>
      </c>
      <c r="S315" t="n">
        <v>2</v>
      </c>
      <c r="T315" t="n">
        <v>3</v>
      </c>
      <c r="U315" t="n">
        <v>3</v>
      </c>
      <c r="V315" s="2" t="inlineStr">
        <is>
          <t>Kopparödla
Gullviva</t>
        </is>
      </c>
      <c r="W315">
        <f>HYPERLINK("https://klasma.github.io/Logging_0139/artfynd/A 73773-2021 artfynd.xlsx", "A 73773-2021")</f>
        <v/>
      </c>
      <c r="X315">
        <f>HYPERLINK("https://klasma.github.io/Logging_0139/kartor/A 73773-2021 karta.png", "A 73773-2021")</f>
        <v/>
      </c>
      <c r="Y315">
        <f>HYPERLINK("https://klasma.github.io/Logging_0139/kartor_geotiff/A 73773-2021 georefererad karta.tif", "A 73773-2021")</f>
        <v/>
      </c>
      <c r="AA315">
        <f>HYPERLINK("https://klasma.github.io/Logging_0139/klagomål/A 73773-2021 FSC-klagomål.docx", "A 73773-2021")</f>
        <v/>
      </c>
      <c r="AB315">
        <f>HYPERLINK("https://klasma.github.io/Logging_0139/klagomålsmail/A 73773-2021 FSC-klagomål mail.docx", "A 73773-2021")</f>
        <v/>
      </c>
      <c r="AC315">
        <f>HYPERLINK("https://klasma.github.io/Logging_0139/tillsyn/A 73773-2021 tillsynsbegäran.docx", "A 73773-2021")</f>
        <v/>
      </c>
      <c r="AD315">
        <f>HYPERLINK("https://klasma.github.io/Logging_0139/tillsynsmail/A 73773-2021 tillsynsbegäran mail.docx", "A 73773-2021")</f>
        <v/>
      </c>
    </row>
    <row r="316" ht="15" customHeight="1">
      <c r="A316" t="inlineStr">
        <is>
          <t>A 27058-2024</t>
        </is>
      </c>
      <c r="B316" t="inlineStr">
        <is>
          <t>avverkningsanmälan</t>
        </is>
      </c>
      <c r="C316" t="inlineStr">
        <is>
          <t>Avverkning för att bevara och utveckla /försöksver</t>
        </is>
      </c>
      <c r="D316" s="1" t="n">
        <v>45471</v>
      </c>
      <c r="E316" s="1" t="n">
        <v>46326</v>
      </c>
      <c r="F316" t="inlineStr">
        <is>
          <t>STOCKHOLMS LÄN</t>
        </is>
      </c>
      <c r="G316" t="inlineStr">
        <is>
          <t>SÖDERTÄLJE</t>
        </is>
      </c>
      <c r="H316" t="inlineStr">
        <is>
          <t>Kommuner</t>
        </is>
      </c>
      <c r="I316" t="n">
        <v>3.7</v>
      </c>
      <c r="J316" t="n">
        <v>1</v>
      </c>
      <c r="K316" t="n">
        <v>0</v>
      </c>
      <c r="L316" t="n">
        <v>1</v>
      </c>
      <c r="M316" t="n">
        <v>0</v>
      </c>
      <c r="N316" t="n">
        <v>0</v>
      </c>
      <c r="O316" t="n">
        <v>0</v>
      </c>
      <c r="P316" t="n">
        <v>0</v>
      </c>
      <c r="Q316" t="n">
        <v>1</v>
      </c>
      <c r="R316" t="n">
        <v>0</v>
      </c>
      <c r="S316" t="n">
        <v>2</v>
      </c>
      <c r="T316" t="n">
        <v>3</v>
      </c>
      <c r="U316" t="n">
        <v>3</v>
      </c>
      <c r="V316" s="2" t="inlineStr">
        <is>
          <t>Persiljespindling
Gröngöling</t>
        </is>
      </c>
      <c r="W316">
        <f>HYPERLINK("https://klasma.github.io/Logging_0181/artfynd/A 27058-2024 artfynd.xlsx", "A 27058-2024")</f>
        <v/>
      </c>
      <c r="X316">
        <f>HYPERLINK("https://klasma.github.io/Logging_0181/kartor/A 27058-2024 karta.png", "A 27058-2024")</f>
        <v/>
      </c>
      <c r="Y316">
        <f>HYPERLINK("https://klasma.github.io/Logging_0181/kartor_geotiff/A 27058-2024 georefererad karta.tif", "A 27058-2024")</f>
        <v/>
      </c>
      <c r="AA316">
        <f>HYPERLINK("https://klasma.github.io/Logging_0181/klagomål/A 27058-2024 FSC-klagomål.docx", "A 27058-2024")</f>
        <v/>
      </c>
      <c r="AB316">
        <f>HYPERLINK("https://klasma.github.io/Logging_0181/klagomålsmail/A 27058-2024 FSC-klagomål mail.docx", "A 27058-2024")</f>
        <v/>
      </c>
      <c r="AC316">
        <f>HYPERLINK("https://klasma.github.io/Logging_0181/tillsyn/A 27058-2024 tillsynsbegäran.docx", "A 27058-2024")</f>
        <v/>
      </c>
      <c r="AD316">
        <f>HYPERLINK("https://klasma.github.io/Logging_0181/tillsynsmail/A 27058-2024 tillsynsbegäran mail.docx", "A 27058-2024")</f>
        <v/>
      </c>
    </row>
    <row r="317" ht="15" customHeight="1">
      <c r="A317" t="inlineStr">
        <is>
          <t>A 50854-2022</t>
        </is>
      </c>
      <c r="B317" t="inlineStr">
        <is>
          <t>avverkningsanmälan</t>
        </is>
      </c>
      <c r="C317" t="inlineStr">
        <is>
          <t>Avverkning för att bevara och utveckla /försöksver</t>
        </is>
      </c>
      <c r="D317" s="1" t="n">
        <v>44863</v>
      </c>
      <c r="E317" s="1" t="n">
        <v>46326</v>
      </c>
      <c r="F317" t="inlineStr">
        <is>
          <t>STOCKHOLMS LÄN</t>
        </is>
      </c>
      <c r="G317" t="inlineStr">
        <is>
          <t>NORRTÄLJE</t>
        </is>
      </c>
      <c r="I317" t="n">
        <v>2.9</v>
      </c>
      <c r="J317" t="n">
        <v>1</v>
      </c>
      <c r="K317" t="n">
        <v>1</v>
      </c>
      <c r="L317" t="n">
        <v>1</v>
      </c>
      <c r="M317" t="n">
        <v>0</v>
      </c>
      <c r="N317" t="n">
        <v>0</v>
      </c>
      <c r="O317" t="n">
        <v>0</v>
      </c>
      <c r="P317" t="n">
        <v>0</v>
      </c>
      <c r="Q317" t="n">
        <v>1</v>
      </c>
      <c r="R317" t="n">
        <v>0</v>
      </c>
      <c r="S317" t="n">
        <v>2</v>
      </c>
      <c r="T317" t="n">
        <v>11</v>
      </c>
      <c r="U317" t="n">
        <v>1</v>
      </c>
      <c r="V317" s="2" t="inlineStr">
        <is>
          <t>Mindre hackspett
Tibast</t>
        </is>
      </c>
      <c r="W317">
        <f>HYPERLINK("https://klasma.github.io/Logging_0188/artfynd/A 50854-2022 artfynd.xlsx", "A 50854-2022")</f>
        <v/>
      </c>
      <c r="X317">
        <f>HYPERLINK("https://klasma.github.io/Logging_0188/kartor/A 50854-2022 karta.png", "A 50854-2022")</f>
        <v/>
      </c>
      <c r="Y317">
        <f>HYPERLINK("https://klasma.github.io/Logging_0188/kartor_geotiff/A 50854-2022 georefererad karta.tif", "A 50854-2022")</f>
        <v/>
      </c>
      <c r="AA317">
        <f>HYPERLINK("https://klasma.github.io/Logging_0188/klagomål/A 50854-2022 FSC-klagomål.docx", "A 50854-2022")</f>
        <v/>
      </c>
      <c r="AB317">
        <f>HYPERLINK("https://klasma.github.io/Logging_0188/klagomålsmail/A 50854-2022 FSC-klagomål mail.docx", "A 50854-2022")</f>
        <v/>
      </c>
      <c r="AC317">
        <f>HYPERLINK("https://klasma.github.io/Logging_0188/tillsyn/A 50854-2022 tillsynsbegäran.docx", "A 50854-2022")</f>
        <v/>
      </c>
      <c r="AD317">
        <f>HYPERLINK("https://klasma.github.io/Logging_0188/tillsynsmail/A 50854-2022 tillsynsbegäran mail.docx", "A 50854-2022")</f>
        <v/>
      </c>
      <c r="AE317">
        <f>HYPERLINK("https://klasma.github.io/Logging_0188/fåglar/A 50854-2022 prioriterade fågelarter.docx", "A 50854-2022")</f>
        <v/>
      </c>
    </row>
    <row r="318" ht="15" customHeight="1">
      <c r="A318" t="inlineStr">
        <is>
          <t>A 64189-2023</t>
        </is>
      </c>
      <c r="B318" t="inlineStr">
        <is>
          <t>avverkningsanmälan</t>
        </is>
      </c>
      <c r="C318" t="inlineStr">
        <is>
          <t>Föryngringsavverkning</t>
        </is>
      </c>
      <c r="D318" s="1" t="n">
        <v>45279</v>
      </c>
      <c r="E318" s="1" t="n">
        <v>46326</v>
      </c>
      <c r="F318" t="inlineStr">
        <is>
          <t>STOCKHOLMS LÄN</t>
        </is>
      </c>
      <c r="G318" t="inlineStr">
        <is>
          <t>NYNÄSHAMN</t>
        </is>
      </c>
      <c r="I318" t="n">
        <v>1.5</v>
      </c>
      <c r="J318" t="n">
        <v>2</v>
      </c>
      <c r="K318" t="n">
        <v>0</v>
      </c>
      <c r="L318" t="n">
        <v>0</v>
      </c>
      <c r="M318" t="n">
        <v>0</v>
      </c>
      <c r="N318" t="n">
        <v>0</v>
      </c>
      <c r="O318" t="n">
        <v>0</v>
      </c>
      <c r="P318" t="n">
        <v>0</v>
      </c>
      <c r="Q318" t="n">
        <v>0</v>
      </c>
      <c r="R318" t="n">
        <v>0</v>
      </c>
      <c r="S318" t="n">
        <v>2</v>
      </c>
      <c r="T318" t="n">
        <v>2</v>
      </c>
      <c r="U318" t="n">
        <v>2</v>
      </c>
      <c r="V318" s="2" t="inlineStr">
        <is>
          <t>Blåsippa
Gullviva</t>
        </is>
      </c>
      <c r="W318">
        <f>HYPERLINK("https://klasma.github.io/Logging_0192/artfynd/A 64189-2023 artfynd.xlsx", "A 64189-2023")</f>
        <v/>
      </c>
      <c r="X318">
        <f>HYPERLINK("https://klasma.github.io/Logging_0192/kartor/A 64189-2023 karta.png", "A 64189-2023")</f>
        <v/>
      </c>
      <c r="Y318">
        <f>HYPERLINK("https://klasma.github.io/Logging_0192/kartor_geotiff/A 64189-2023 georefererad karta.tif", "A 64189-2023")</f>
        <v/>
      </c>
      <c r="AA318">
        <f>HYPERLINK("https://klasma.github.io/Logging_0192/klagomål/A 64189-2023 FSC-klagomål.docx", "A 64189-2023")</f>
        <v/>
      </c>
      <c r="AB318">
        <f>HYPERLINK("https://klasma.github.io/Logging_0192/klagomålsmail/A 64189-2023 FSC-klagomål mail.docx", "A 64189-2023")</f>
        <v/>
      </c>
      <c r="AC318">
        <f>HYPERLINK("https://klasma.github.io/Logging_0192/tillsyn/A 64189-2023 tillsynsbegäran.docx", "A 64189-2023")</f>
        <v/>
      </c>
      <c r="AD318">
        <f>HYPERLINK("https://klasma.github.io/Logging_0192/tillsynsmail/A 64189-2023 tillsynsbegäran mail.docx", "A 64189-2023")</f>
        <v/>
      </c>
    </row>
    <row r="319" ht="15" customHeight="1">
      <c r="A319" t="inlineStr">
        <is>
          <t>A 3711-2026</t>
        </is>
      </c>
      <c r="B319" t="inlineStr">
        <is>
          <t>avverkningsanmälan</t>
        </is>
      </c>
      <c r="C319" t="inlineStr">
        <is>
          <t>Föryngringsavverkning</t>
        </is>
      </c>
      <c r="D319" s="1" t="n">
        <v>46043</v>
      </c>
      <c r="E319" s="1" t="n">
        <v>46326</v>
      </c>
      <c r="F319" t="inlineStr">
        <is>
          <t>STOCKHOLMS LÄN</t>
        </is>
      </c>
      <c r="G319" t="inlineStr">
        <is>
          <t>SÖDERTÄLJE</t>
        </is>
      </c>
      <c r="I319" t="n">
        <v>5.3</v>
      </c>
      <c r="J319" t="n">
        <v>1</v>
      </c>
      <c r="K319" t="n">
        <v>0</v>
      </c>
      <c r="L319" t="n">
        <v>1</v>
      </c>
      <c r="M319" t="n">
        <v>0</v>
      </c>
      <c r="N319" t="n">
        <v>0</v>
      </c>
      <c r="O319" t="n">
        <v>0</v>
      </c>
      <c r="P319" t="n">
        <v>0</v>
      </c>
      <c r="Q319" t="n">
        <v>1</v>
      </c>
      <c r="R319" t="n">
        <v>0</v>
      </c>
      <c r="S319" t="n">
        <v>2</v>
      </c>
      <c r="T319" t="n">
        <v>3</v>
      </c>
      <c r="U319" t="n">
        <v>0</v>
      </c>
      <c r="V319" s="2" t="inlineStr">
        <is>
          <t>Motaggsvamp
Spillkråka</t>
        </is>
      </c>
      <c r="W319">
        <f>HYPERLINK("https://klasma.github.io/Logging_0181/artfynd/A 3711-2026 artfynd.xlsx", "A 3711-2026")</f>
        <v/>
      </c>
      <c r="X319">
        <f>HYPERLINK("https://klasma.github.io/Logging_0181/kartor/A 3711-2026 karta.png", "A 3711-2026")</f>
        <v/>
      </c>
      <c r="Y319">
        <f>HYPERLINK("https://klasma.github.io/Logging_0181/kartor_geotiff/A 3711-2026 georefererad karta.tif", "A 3711-2026")</f>
        <v/>
      </c>
      <c r="AA319">
        <f>HYPERLINK("https://klasma.github.io/Logging_0181/klagomål/A 3711-2026 FSC-klagomål.docx", "A 3711-2026")</f>
        <v/>
      </c>
      <c r="AB319">
        <f>HYPERLINK("https://klasma.github.io/Logging_0181/klagomålsmail/A 3711-2026 FSC-klagomål mail.docx", "A 3711-2026")</f>
        <v/>
      </c>
      <c r="AC319">
        <f>HYPERLINK("https://klasma.github.io/Logging_0181/tillsyn/A 3711-2026 tillsynsbegäran.docx", "A 3711-2026")</f>
        <v/>
      </c>
      <c r="AD319">
        <f>HYPERLINK("https://klasma.github.io/Logging_0181/tillsynsmail/A 3711-2026 tillsynsbegäran mail.docx", "A 3711-2026")</f>
        <v/>
      </c>
      <c r="AE319">
        <f>HYPERLINK("https://klasma.github.io/Logging_0181/fåglar/A 3711-2026 prioriterade fågelarter.docx", "A 3711-2026")</f>
        <v/>
      </c>
    </row>
    <row r="320" ht="15" customHeight="1">
      <c r="A320" t="inlineStr">
        <is>
          <t>A 41957-2025</t>
        </is>
      </c>
      <c r="B320" t="inlineStr">
        <is>
          <t>avverkningsanmälan</t>
        </is>
      </c>
      <c r="C320" t="inlineStr">
        <is>
          <t>Föryngringsavverkning</t>
        </is>
      </c>
      <c r="D320" s="1" t="n">
        <v>45903</v>
      </c>
      <c r="E320" s="1" t="n">
        <v>46326</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32951-2025</t>
        </is>
      </c>
      <c r="B321" t="inlineStr">
        <is>
          <t>avverkningsanmälan</t>
        </is>
      </c>
      <c r="C321" t="inlineStr">
        <is>
          <t>Avverkning för att bevara och utveckla /försöksver</t>
        </is>
      </c>
      <c r="D321" s="1" t="n">
        <v>45839</v>
      </c>
      <c r="E321" s="1" t="n">
        <v>46326</v>
      </c>
      <c r="F321" t="inlineStr">
        <is>
          <t>STOCKHOLMS LÄN</t>
        </is>
      </c>
      <c r="G321" t="inlineStr">
        <is>
          <t>SALEM</t>
        </is>
      </c>
      <c r="I321" t="n">
        <v>2.6</v>
      </c>
      <c r="J321" t="n">
        <v>1</v>
      </c>
      <c r="K321" t="n">
        <v>0</v>
      </c>
      <c r="L321" t="n">
        <v>1</v>
      </c>
      <c r="M321" t="n">
        <v>0</v>
      </c>
      <c r="N321" t="n">
        <v>0</v>
      </c>
      <c r="O321" t="n">
        <v>0</v>
      </c>
      <c r="P321" t="n">
        <v>0</v>
      </c>
      <c r="Q321" t="n">
        <v>1</v>
      </c>
      <c r="R321" t="n">
        <v>0</v>
      </c>
      <c r="S321" t="n">
        <v>2</v>
      </c>
      <c r="T321" t="n">
        <v>2</v>
      </c>
      <c r="U321" t="n">
        <v>0</v>
      </c>
      <c r="V321" s="2" t="inlineStr">
        <is>
          <t>Etternässla
Kopparödla</t>
        </is>
      </c>
      <c r="W321">
        <f>HYPERLINK("https://klasma.github.io/Logging_0128/artfynd/A 32951-2025 artfynd.xlsx", "A 32951-2025")</f>
        <v/>
      </c>
      <c r="X321">
        <f>HYPERLINK("https://klasma.github.io/Logging_0128/kartor/A 32951-2025 karta.png", "A 32951-2025")</f>
        <v/>
      </c>
      <c r="Y321">
        <f>HYPERLINK("https://klasma.github.io/Logging_0128/kartor_geotiff/A 32951-2025 georefererad karta.tif", "A 32951-2025")</f>
        <v/>
      </c>
      <c r="AA321">
        <f>HYPERLINK("https://klasma.github.io/Logging_0128/klagomål/A 32951-2025 FSC-klagomål.docx", "A 32951-2025")</f>
        <v/>
      </c>
      <c r="AB321">
        <f>HYPERLINK("https://klasma.github.io/Logging_0128/klagomålsmail/A 32951-2025 FSC-klagomål mail.docx", "A 32951-2025")</f>
        <v/>
      </c>
      <c r="AC321">
        <f>HYPERLINK("https://klasma.github.io/Logging_0128/tillsyn/A 32951-2025 tillsynsbegäran.docx", "A 32951-2025")</f>
        <v/>
      </c>
      <c r="AD321">
        <f>HYPERLINK("https://klasma.github.io/Logging_0128/tillsynsmail/A 32951-2025 tillsynsbegäran mail.docx", "A 32951-2025")</f>
        <v/>
      </c>
    </row>
    <row r="322" ht="15" customHeight="1">
      <c r="A322" t="inlineStr">
        <is>
          <t>A 1561-2023</t>
        </is>
      </c>
      <c r="B322" t="inlineStr">
        <is>
          <t>avverkningsanmälan</t>
        </is>
      </c>
      <c r="C322" t="inlineStr">
        <is>
          <t>Föryngringsavverkning</t>
        </is>
      </c>
      <c r="D322" s="1" t="n">
        <v>44937</v>
      </c>
      <c r="E322" s="1" t="n">
        <v>46326</v>
      </c>
      <c r="F322" t="inlineStr">
        <is>
          <t>STOCKHOLMS LÄN</t>
        </is>
      </c>
      <c r="G322" t="inlineStr">
        <is>
          <t>NYNÄSHAMN</t>
        </is>
      </c>
      <c r="I322" t="n">
        <v>1.3</v>
      </c>
      <c r="J322" t="n">
        <v>1</v>
      </c>
      <c r="K322" t="n">
        <v>0</v>
      </c>
      <c r="L322" t="n">
        <v>1</v>
      </c>
      <c r="M322" t="n">
        <v>0</v>
      </c>
      <c r="N322" t="n">
        <v>0</v>
      </c>
      <c r="O322" t="n">
        <v>0</v>
      </c>
      <c r="P322" t="n">
        <v>0</v>
      </c>
      <c r="Q322" t="n">
        <v>1</v>
      </c>
      <c r="R322" t="n">
        <v>0</v>
      </c>
      <c r="S322" t="n">
        <v>2</v>
      </c>
      <c r="T322" t="n">
        <v>5</v>
      </c>
      <c r="U322" t="n">
        <v>5</v>
      </c>
      <c r="V322" s="2" t="inlineStr">
        <is>
          <t>Tallticka
Blåsippa</t>
        </is>
      </c>
      <c r="W322">
        <f>HYPERLINK("https://klasma.github.io/Logging_0192/artfynd/A 1561-2023 artfynd.xlsx", "A 1561-2023")</f>
        <v/>
      </c>
      <c r="X322">
        <f>HYPERLINK("https://klasma.github.io/Logging_0192/kartor/A 1561-2023 karta.png", "A 1561-2023")</f>
        <v/>
      </c>
      <c r="Y322">
        <f>HYPERLINK("https://klasma.github.io/Logging_0192/kartor_geotiff/A 1561-2023 georefererad karta.tif", "A 1561-2023")</f>
        <v/>
      </c>
      <c r="AA322">
        <f>HYPERLINK("https://klasma.github.io/Logging_0192/klagomål/A 1561-2023 FSC-klagomål.docx", "A 1561-2023")</f>
        <v/>
      </c>
      <c r="AB322">
        <f>HYPERLINK("https://klasma.github.io/Logging_0192/klagomålsmail/A 1561-2023 FSC-klagomål mail.docx", "A 1561-2023")</f>
        <v/>
      </c>
      <c r="AC322">
        <f>HYPERLINK("https://klasma.github.io/Logging_0192/tillsyn/A 1561-2023 tillsynsbegäran.docx", "A 1561-2023")</f>
        <v/>
      </c>
      <c r="AD322">
        <f>HYPERLINK("https://klasma.github.io/Logging_0192/tillsynsmail/A 1561-2023 tillsynsbegäran mail.docx", "A 1561-2023")</f>
        <v/>
      </c>
    </row>
    <row r="323" ht="15" customHeight="1">
      <c r="A323" t="inlineStr">
        <is>
          <t>A 55941-2023</t>
        </is>
      </c>
      <c r="B323" t="inlineStr">
        <is>
          <t>avverkningsanmälan</t>
        </is>
      </c>
      <c r="C323" t="inlineStr">
        <is>
          <t>Föryngringsavverkning</t>
        </is>
      </c>
      <c r="D323" s="1" t="n">
        <v>45240</v>
      </c>
      <c r="E323" s="1" t="n">
        <v>46326</v>
      </c>
      <c r="F323" t="inlineStr">
        <is>
          <t>STOCKHOLMS LÄN</t>
        </is>
      </c>
      <c r="G323" t="inlineStr">
        <is>
          <t>SÖDERTÄLJE</t>
        </is>
      </c>
      <c r="I323" t="n">
        <v>2.5</v>
      </c>
      <c r="J323" t="n">
        <v>0</v>
      </c>
      <c r="K323" t="n">
        <v>1</v>
      </c>
      <c r="L323" t="n">
        <v>1</v>
      </c>
      <c r="M323" t="n">
        <v>0</v>
      </c>
      <c r="N323" t="n">
        <v>0</v>
      </c>
      <c r="O323" t="n">
        <v>0</v>
      </c>
      <c r="P323" t="n">
        <v>0</v>
      </c>
      <c r="Q323" t="n">
        <v>1</v>
      </c>
      <c r="R323" t="n">
        <v>0</v>
      </c>
      <c r="S323" t="n">
        <v>2</v>
      </c>
      <c r="T323" t="n">
        <v>2</v>
      </c>
      <c r="U323" t="n">
        <v>0</v>
      </c>
      <c r="V323" s="2" t="inlineStr">
        <is>
          <t>Gullpudra
Granbarkgnagare</t>
        </is>
      </c>
      <c r="W323">
        <f>HYPERLINK("https://klasma.github.io/Logging_0181/artfynd/A 55941-2023 artfynd.xlsx", "A 55941-2023")</f>
        <v/>
      </c>
      <c r="X323">
        <f>HYPERLINK("https://klasma.github.io/Logging_0181/kartor/A 55941-2023 karta.png", "A 55941-2023")</f>
        <v/>
      </c>
      <c r="Y323">
        <f>HYPERLINK("https://klasma.github.io/Logging_0181/kartor_geotiff/A 55941-2023 georefererad karta.tif", "A 55941-2023")</f>
        <v/>
      </c>
      <c r="AA323">
        <f>HYPERLINK("https://klasma.github.io/Logging_0181/klagomål/A 55941-2023 FSC-klagomål.docx", "A 55941-2023")</f>
        <v/>
      </c>
      <c r="AB323">
        <f>HYPERLINK("https://klasma.github.io/Logging_0181/klagomålsmail/A 55941-2023 FSC-klagomål mail.docx", "A 55941-2023")</f>
        <v/>
      </c>
      <c r="AC323">
        <f>HYPERLINK("https://klasma.github.io/Logging_0181/tillsyn/A 55941-2023 tillsynsbegäran.docx", "A 55941-2023")</f>
        <v/>
      </c>
      <c r="AD323">
        <f>HYPERLINK("https://klasma.github.io/Logging_0181/tillsynsmail/A 55941-2023 tillsynsbegäran mail.docx", "A 55941-2023")</f>
        <v/>
      </c>
    </row>
    <row r="324" ht="15" customHeight="1">
      <c r="A324" t="inlineStr">
        <is>
          <t>A 50097-2025</t>
        </is>
      </c>
      <c r="B324" t="inlineStr">
        <is>
          <t>avverkningsanmälan</t>
        </is>
      </c>
      <c r="C324" t="inlineStr">
        <is>
          <t>Föryngringsavverkning</t>
        </is>
      </c>
      <c r="D324" s="1" t="n">
        <v>45943</v>
      </c>
      <c r="E324" s="1" t="n">
        <v>46326</v>
      </c>
      <c r="F324" t="inlineStr">
        <is>
          <t>STOCKHOLMS LÄN</t>
        </is>
      </c>
      <c r="G324" t="inlineStr">
        <is>
          <t>NORRTÄLJE</t>
        </is>
      </c>
      <c r="H324" t="inlineStr">
        <is>
          <t>Holmen skog AB</t>
        </is>
      </c>
      <c r="I324" t="n">
        <v>12</v>
      </c>
      <c r="J324" t="n">
        <v>1</v>
      </c>
      <c r="K324" t="n">
        <v>0</v>
      </c>
      <c r="L324" t="n">
        <v>1</v>
      </c>
      <c r="M324" t="n">
        <v>0</v>
      </c>
      <c r="N324" t="n">
        <v>1</v>
      </c>
      <c r="O324" t="n">
        <v>0</v>
      </c>
      <c r="P324" t="n">
        <v>0</v>
      </c>
      <c r="Q324" t="n">
        <v>2</v>
      </c>
      <c r="R324" t="n">
        <v>1</v>
      </c>
      <c r="S324" t="n">
        <v>2</v>
      </c>
      <c r="T324" t="n">
        <v>2</v>
      </c>
      <c r="U324" t="n">
        <v>0</v>
      </c>
      <c r="V324" s="2" t="inlineStr">
        <is>
          <t>Asknätfjäril
Kattfotslav</t>
        </is>
      </c>
      <c r="W324">
        <f>HYPERLINK("https://klasma.github.io/Logging_0188/artfynd/A 50097-2025 artfynd.xlsx", "A 50097-2025")</f>
        <v/>
      </c>
      <c r="X324">
        <f>HYPERLINK("https://klasma.github.io/Logging_0188/kartor/A 50097-2025 karta.png", "A 50097-2025")</f>
        <v/>
      </c>
      <c r="Y324">
        <f>HYPERLINK("https://klasma.github.io/Logging_0188/kartor_geotiff/A 50097-2025 georefererad karta.tif", "A 50097-2025")</f>
        <v/>
      </c>
      <c r="AA324">
        <f>HYPERLINK("https://klasma.github.io/Logging_0188/klagomål/A 50097-2025 FSC-klagomål.docx", "A 50097-2025")</f>
        <v/>
      </c>
      <c r="AB324">
        <f>HYPERLINK("https://klasma.github.io/Logging_0188/klagomålsmail/A 50097-2025 FSC-klagomål mail.docx", "A 50097-2025")</f>
        <v/>
      </c>
      <c r="AC324">
        <f>HYPERLINK("https://klasma.github.io/Logging_0188/tillsyn/A 50097-2025 tillsynsbegäran.docx", "A 50097-2025")</f>
        <v/>
      </c>
      <c r="AD324">
        <f>HYPERLINK("https://klasma.github.io/Logging_0188/tillsynsmail/A 50097-2025 tillsynsbegäran mail.docx", "A 50097-2025")</f>
        <v/>
      </c>
    </row>
    <row r="325" ht="15" customHeight="1">
      <c r="A325" t="inlineStr">
        <is>
          <t>A 50697-2025</t>
        </is>
      </c>
      <c r="B325" t="inlineStr">
        <is>
          <t>avverkningsanmälan</t>
        </is>
      </c>
      <c r="C325" t="inlineStr">
        <is>
          <t>Föryngringsavverkning</t>
        </is>
      </c>
      <c r="D325" s="1" t="n">
        <v>45945</v>
      </c>
      <c r="E325" s="1" t="n">
        <v>46326</v>
      </c>
      <c r="F325" t="inlineStr">
        <is>
          <t>STOCKHOLMS LÄN</t>
        </is>
      </c>
      <c r="G325" t="inlineStr">
        <is>
          <t>NORRTÄLJE</t>
        </is>
      </c>
      <c r="I325" t="n">
        <v>5.5</v>
      </c>
      <c r="J325" t="n">
        <v>0</v>
      </c>
      <c r="K325" t="n">
        <v>0</v>
      </c>
      <c r="L325" t="n">
        <v>2</v>
      </c>
      <c r="M325" t="n">
        <v>0</v>
      </c>
      <c r="N325" t="n">
        <v>0</v>
      </c>
      <c r="O325" t="n">
        <v>0</v>
      </c>
      <c r="P325" t="n">
        <v>0</v>
      </c>
      <c r="Q325" t="n">
        <v>2</v>
      </c>
      <c r="R325" t="n">
        <v>0</v>
      </c>
      <c r="S325" t="n">
        <v>2</v>
      </c>
      <c r="T325" t="n">
        <v>2</v>
      </c>
      <c r="U325" t="n">
        <v>2</v>
      </c>
      <c r="V325" s="2" t="inlineStr">
        <is>
          <t>Skogsklocka
Småflikig brosklav</t>
        </is>
      </c>
      <c r="W325">
        <f>HYPERLINK("https://klasma.github.io/Logging_0188/artfynd/A 50697-2025 artfynd.xlsx", "A 50697-2025")</f>
        <v/>
      </c>
      <c r="X325">
        <f>HYPERLINK("https://klasma.github.io/Logging_0188/kartor/A 50697-2025 karta.png", "A 50697-2025")</f>
        <v/>
      </c>
      <c r="Y325">
        <f>HYPERLINK("https://klasma.github.io/Logging_0188/kartor_geotiff/A 50697-2025 georefererad karta.tif", "A 50697-2025")</f>
        <v/>
      </c>
      <c r="AA325">
        <f>HYPERLINK("https://klasma.github.io/Logging_0188/klagomål/A 50697-2025 FSC-klagomål.docx", "A 50697-2025")</f>
        <v/>
      </c>
      <c r="AB325">
        <f>HYPERLINK("https://klasma.github.io/Logging_0188/klagomålsmail/A 50697-2025 FSC-klagomål mail.docx", "A 50697-2025")</f>
        <v/>
      </c>
      <c r="AC325">
        <f>HYPERLINK("https://klasma.github.io/Logging_0188/tillsyn/A 50697-2025 tillsynsbegäran.docx", "A 50697-2025")</f>
        <v/>
      </c>
      <c r="AD325">
        <f>HYPERLINK("https://klasma.github.io/Logging_0188/tillsynsmail/A 50697-2025 tillsynsbegäran mail.docx", "A 50697-2025")</f>
        <v/>
      </c>
    </row>
    <row r="326" ht="15" customHeight="1">
      <c r="A326" t="inlineStr">
        <is>
          <t>A 35155-2023</t>
        </is>
      </c>
      <c r="B326" t="inlineStr">
        <is>
          <t>avverkningsanmälan</t>
        </is>
      </c>
      <c r="C326" t="inlineStr">
        <is>
          <t>Föryngringsavverkning</t>
        </is>
      </c>
      <c r="D326" s="1" t="n">
        <v>45145</v>
      </c>
      <c r="E326" s="1" t="n">
        <v>46326</v>
      </c>
      <c r="F326" t="inlineStr">
        <is>
          <t>STOCKHOLMS LÄN</t>
        </is>
      </c>
      <c r="G326" t="inlineStr">
        <is>
          <t>SÖDERTÄLJE</t>
        </is>
      </c>
      <c r="I326" t="n">
        <v>4.1</v>
      </c>
      <c r="J326" t="n">
        <v>1</v>
      </c>
      <c r="K326" t="n">
        <v>1</v>
      </c>
      <c r="L326" t="n">
        <v>0</v>
      </c>
      <c r="M326" t="n">
        <v>0</v>
      </c>
      <c r="N326" t="n">
        <v>0</v>
      </c>
      <c r="O326" t="n">
        <v>0</v>
      </c>
      <c r="P326" t="n">
        <v>0</v>
      </c>
      <c r="Q326" t="n">
        <v>0</v>
      </c>
      <c r="R326" t="n">
        <v>0</v>
      </c>
      <c r="S326" t="n">
        <v>2</v>
      </c>
      <c r="T326" t="n">
        <v>2</v>
      </c>
      <c r="U326" t="n">
        <v>1</v>
      </c>
      <c r="V326" s="2" t="inlineStr">
        <is>
          <t>Björksplintborre
Mattlummer</t>
        </is>
      </c>
      <c r="W326">
        <f>HYPERLINK("https://klasma.github.io/Logging_0181/artfynd/A 35155-2023 artfynd.xlsx", "A 35155-2023")</f>
        <v/>
      </c>
      <c r="X326">
        <f>HYPERLINK("https://klasma.github.io/Logging_0181/kartor/A 35155-2023 karta.png", "A 35155-2023")</f>
        <v/>
      </c>
      <c r="Y326">
        <f>HYPERLINK("https://klasma.github.io/Logging_0181/kartor_geotiff/A 35155-2023 georefererad karta.tif", "A 35155-2023")</f>
        <v/>
      </c>
      <c r="AA326">
        <f>HYPERLINK("https://klasma.github.io/Logging_0181/klagomål/A 35155-2023 FSC-klagomål.docx", "A 35155-2023")</f>
        <v/>
      </c>
      <c r="AB326">
        <f>HYPERLINK("https://klasma.github.io/Logging_0181/klagomålsmail/A 35155-2023 FSC-klagomål mail.docx", "A 35155-2023")</f>
        <v/>
      </c>
      <c r="AC326">
        <f>HYPERLINK("https://klasma.github.io/Logging_0181/tillsyn/A 35155-2023 tillsynsbegäran.docx", "A 35155-2023")</f>
        <v/>
      </c>
      <c r="AD326">
        <f>HYPERLINK("https://klasma.github.io/Logging_0181/tillsynsmail/A 35155-2023 tillsynsbegäran mail.docx", "A 35155-2023")</f>
        <v/>
      </c>
    </row>
    <row r="327" ht="15" customHeight="1">
      <c r="A327" t="inlineStr">
        <is>
          <t>A 10059-2022</t>
        </is>
      </c>
      <c r="B327" t="inlineStr">
        <is>
          <t>avverkningsanmälan</t>
        </is>
      </c>
      <c r="C327" t="inlineStr">
        <is>
          <t>Föryngringsavverkning</t>
        </is>
      </c>
      <c r="D327" s="1" t="n">
        <v>44621</v>
      </c>
      <c r="E327" s="1" t="n">
        <v>46326</v>
      </c>
      <c r="F327" t="inlineStr">
        <is>
          <t>STOCKHOLMS LÄN</t>
        </is>
      </c>
      <c r="G327" t="inlineStr">
        <is>
          <t>NYNÄSHAMN</t>
        </is>
      </c>
      <c r="I327" t="n">
        <v>17</v>
      </c>
      <c r="J327" t="n">
        <v>0</v>
      </c>
      <c r="K327" t="n">
        <v>1</v>
      </c>
      <c r="L327" t="n">
        <v>1</v>
      </c>
      <c r="M327" t="n">
        <v>0</v>
      </c>
      <c r="N327" t="n">
        <v>0</v>
      </c>
      <c r="O327" t="n">
        <v>0</v>
      </c>
      <c r="P327" t="n">
        <v>0</v>
      </c>
      <c r="Q327" t="n">
        <v>1</v>
      </c>
      <c r="R327" t="n">
        <v>0</v>
      </c>
      <c r="S327" t="n">
        <v>2</v>
      </c>
      <c r="T327" t="n">
        <v>2</v>
      </c>
      <c r="U327" t="n">
        <v>1</v>
      </c>
      <c r="V327" s="2" t="inlineStr">
        <is>
          <t>Bolmört
Bollvitmossa</t>
        </is>
      </c>
      <c r="W327">
        <f>HYPERLINK("https://klasma.github.io/Logging_0192/artfynd/A 10059-2022 artfynd.xlsx", "A 10059-2022")</f>
        <v/>
      </c>
      <c r="X327">
        <f>HYPERLINK("https://klasma.github.io/Logging_0192/kartor/A 10059-2022 karta.png", "A 10059-2022")</f>
        <v/>
      </c>
      <c r="Y327">
        <f>HYPERLINK("https://klasma.github.io/Logging_0192/kartor_geotiff/A 10059-2022 georefererad karta.tif", "A 10059-2022")</f>
        <v/>
      </c>
      <c r="AA327">
        <f>HYPERLINK("https://klasma.github.io/Logging_0192/klagomål/A 10059-2022 FSC-klagomål.docx", "A 10059-2022")</f>
        <v/>
      </c>
      <c r="AB327">
        <f>HYPERLINK("https://klasma.github.io/Logging_0192/klagomålsmail/A 10059-2022 FSC-klagomål mail.docx", "A 10059-2022")</f>
        <v/>
      </c>
      <c r="AC327">
        <f>HYPERLINK("https://klasma.github.io/Logging_0192/tillsyn/A 10059-2022 tillsynsbegäran.docx", "A 10059-2022")</f>
        <v/>
      </c>
      <c r="AD327">
        <f>HYPERLINK("https://klasma.github.io/Logging_0192/tillsynsmail/A 10059-2022 tillsynsbegäran mail.docx", "A 10059-2022")</f>
        <v/>
      </c>
    </row>
    <row r="328" ht="15" customHeight="1">
      <c r="A328" t="inlineStr">
        <is>
          <t>A 24368-2023</t>
        </is>
      </c>
      <c r="B328" t="inlineStr">
        <is>
          <t>avverkningsanmälan</t>
        </is>
      </c>
      <c r="C328" t="inlineStr">
        <is>
          <t>Föryngringsavverkning</t>
        </is>
      </c>
      <c r="D328" s="1" t="n">
        <v>45076</v>
      </c>
      <c r="E328" s="1" t="n">
        <v>46326</v>
      </c>
      <c r="F328" t="inlineStr">
        <is>
          <t>STOCKHOLMS LÄN</t>
        </is>
      </c>
      <c r="G328" t="inlineStr">
        <is>
          <t>HUDDINGE</t>
        </is>
      </c>
      <c r="I328" t="n">
        <v>3</v>
      </c>
      <c r="J328" t="n">
        <v>1</v>
      </c>
      <c r="K328" t="n">
        <v>1</v>
      </c>
      <c r="L328" t="n">
        <v>1</v>
      </c>
      <c r="M328" t="n">
        <v>0</v>
      </c>
      <c r="N328" t="n">
        <v>0</v>
      </c>
      <c r="O328" t="n">
        <v>0</v>
      </c>
      <c r="P328" t="n">
        <v>0</v>
      </c>
      <c r="Q328" t="n">
        <v>1</v>
      </c>
      <c r="R328" t="n">
        <v>0</v>
      </c>
      <c r="S328" t="n">
        <v>2</v>
      </c>
      <c r="T328" t="n">
        <v>2</v>
      </c>
      <c r="U328" t="n">
        <v>2</v>
      </c>
      <c r="V328" s="2" t="inlineStr">
        <is>
          <t>Motaggsvamp
Plattlummer</t>
        </is>
      </c>
      <c r="W328">
        <f>HYPERLINK("https://klasma.github.io/Logging_0126/artfynd/A 24368-2023 artfynd.xlsx", "A 24368-2023")</f>
        <v/>
      </c>
      <c r="X328">
        <f>HYPERLINK("https://klasma.github.io/Logging_0126/kartor/A 24368-2023 karta.png", "A 24368-2023")</f>
        <v/>
      </c>
      <c r="Y328">
        <f>HYPERLINK("https://klasma.github.io/Logging_0126/kartor_geotiff/A 24368-2023 georefererad karta.tif", "A 24368-2023")</f>
        <v/>
      </c>
      <c r="AA328">
        <f>HYPERLINK("https://klasma.github.io/Logging_0126/klagomål/A 24368-2023 FSC-klagomål.docx", "A 24368-2023")</f>
        <v/>
      </c>
      <c r="AB328">
        <f>HYPERLINK("https://klasma.github.io/Logging_0126/klagomålsmail/A 24368-2023 FSC-klagomål mail.docx", "A 24368-2023")</f>
        <v/>
      </c>
      <c r="AC328">
        <f>HYPERLINK("https://klasma.github.io/Logging_0126/tillsyn/A 24368-2023 tillsynsbegäran.docx", "A 24368-2023")</f>
        <v/>
      </c>
      <c r="AD328">
        <f>HYPERLINK("https://klasma.github.io/Logging_0126/tillsynsmail/A 24368-2023 tillsynsbegäran mail.docx", "A 24368-2023")</f>
        <v/>
      </c>
    </row>
    <row r="329" ht="15" customHeight="1">
      <c r="A329" t="inlineStr">
        <is>
          <t>A 53716-2025</t>
        </is>
      </c>
      <c r="B329" t="inlineStr">
        <is>
          <t>avverkningsanmälan</t>
        </is>
      </c>
      <c r="C329" t="inlineStr">
        <is>
          <t>Föryngringsavverkning</t>
        </is>
      </c>
      <c r="D329" s="1" t="n">
        <v>45960</v>
      </c>
      <c r="E329" s="1" t="n">
        <v>46326</v>
      </c>
      <c r="F329" t="inlineStr">
        <is>
          <t>STOCKHOLMS LÄN</t>
        </is>
      </c>
      <c r="G329" t="inlineStr">
        <is>
          <t>NORRTÄLJE</t>
        </is>
      </c>
      <c r="I329" t="n">
        <v>3.4</v>
      </c>
      <c r="J329" t="n">
        <v>0</v>
      </c>
      <c r="K329" t="n">
        <v>1</v>
      </c>
      <c r="L329" t="n">
        <v>0</v>
      </c>
      <c r="M329" t="n">
        <v>1</v>
      </c>
      <c r="N329" t="n">
        <v>0</v>
      </c>
      <c r="O329" t="n">
        <v>0</v>
      </c>
      <c r="P329" t="n">
        <v>0</v>
      </c>
      <c r="Q329" t="n">
        <v>1</v>
      </c>
      <c r="R329" t="n">
        <v>1</v>
      </c>
      <c r="S329" t="n">
        <v>2</v>
      </c>
      <c r="T329" t="n">
        <v>7</v>
      </c>
      <c r="U329" t="n">
        <v>3</v>
      </c>
      <c r="V329" s="2" t="inlineStr">
        <is>
          <t>Fältgentiana
Fjällig jordtunga</t>
        </is>
      </c>
      <c r="W329">
        <f>HYPERLINK("https://klasma.github.io/Logging_0188/artfynd/A 53716-2025 artfynd.xlsx", "A 53716-2025")</f>
        <v/>
      </c>
      <c r="X329">
        <f>HYPERLINK("https://klasma.github.io/Logging_0188/kartor/A 53716-2025 karta.png", "A 53716-2025")</f>
        <v/>
      </c>
      <c r="Y329">
        <f>HYPERLINK("https://klasma.github.io/Logging_0188/kartor_geotiff/A 53716-2025 georefererad karta.tif", "A 53716-2025")</f>
        <v/>
      </c>
      <c r="AA329">
        <f>HYPERLINK("https://klasma.github.io/Logging_0188/klagomål/A 53716-2025 FSC-klagomål.docx", "A 53716-2025")</f>
        <v/>
      </c>
      <c r="AB329">
        <f>HYPERLINK("https://klasma.github.io/Logging_0188/klagomålsmail/A 53716-2025 FSC-klagomål mail.docx", "A 53716-2025")</f>
        <v/>
      </c>
      <c r="AC329">
        <f>HYPERLINK("https://klasma.github.io/Logging_0188/tillsyn/A 53716-2025 tillsynsbegäran.docx", "A 53716-2025")</f>
        <v/>
      </c>
      <c r="AD329">
        <f>HYPERLINK("https://klasma.github.io/Logging_0188/tillsynsmail/A 53716-2025 tillsynsbegäran mail.docx", "A 53716-2025")</f>
        <v/>
      </c>
    </row>
    <row r="330" ht="15" customHeight="1">
      <c r="A330" t="inlineStr">
        <is>
          <t>A 55044-2025</t>
        </is>
      </c>
      <c r="B330" t="inlineStr">
        <is>
          <t>avverkningsanmälan</t>
        </is>
      </c>
      <c r="C330" t="inlineStr">
        <is>
          <t>Föryngringsavverkning</t>
        </is>
      </c>
      <c r="D330" s="1" t="n">
        <v>45967</v>
      </c>
      <c r="E330" s="1" t="n">
        <v>46326</v>
      </c>
      <c r="F330" t="inlineStr">
        <is>
          <t>STOCKHOLMS LÄN</t>
        </is>
      </c>
      <c r="G330" t="inlineStr">
        <is>
          <t>SÖDERTÄLJE</t>
        </is>
      </c>
      <c r="I330" t="n">
        <v>3.8</v>
      </c>
      <c r="J330" t="n">
        <v>2</v>
      </c>
      <c r="K330" t="n">
        <v>0</v>
      </c>
      <c r="L330" t="n">
        <v>0</v>
      </c>
      <c r="M330" t="n">
        <v>0</v>
      </c>
      <c r="N330" t="n">
        <v>0</v>
      </c>
      <c r="O330" t="n">
        <v>0</v>
      </c>
      <c r="P330" t="n">
        <v>0</v>
      </c>
      <c r="Q330" t="n">
        <v>0</v>
      </c>
      <c r="R330" t="n">
        <v>0</v>
      </c>
      <c r="S330" t="n">
        <v>2</v>
      </c>
      <c r="T330" t="n">
        <v>2</v>
      </c>
      <c r="U330" t="n">
        <v>1</v>
      </c>
      <c r="V330" s="2" t="inlineStr">
        <is>
          <t>Blåsippa
Spillkråka</t>
        </is>
      </c>
      <c r="W330">
        <f>HYPERLINK("https://klasma.github.io/Logging_0181/artfynd/A 55044-2025 artfynd.xlsx", "A 55044-2025")</f>
        <v/>
      </c>
      <c r="X330">
        <f>HYPERLINK("https://klasma.github.io/Logging_0181/kartor/A 55044-2025 karta.png", "A 55044-2025")</f>
        <v/>
      </c>
      <c r="Y330">
        <f>HYPERLINK("https://klasma.github.io/Logging_0181/kartor_geotiff/A 55044-2025 georefererad karta.tif", "A 55044-2025")</f>
        <v/>
      </c>
      <c r="AA330">
        <f>HYPERLINK("https://klasma.github.io/Logging_0181/klagomål/A 55044-2025 FSC-klagomål.docx", "A 55044-2025")</f>
        <v/>
      </c>
      <c r="AB330">
        <f>HYPERLINK("https://klasma.github.io/Logging_0181/klagomålsmail/A 55044-2025 FSC-klagomål mail.docx", "A 55044-2025")</f>
        <v/>
      </c>
      <c r="AC330">
        <f>HYPERLINK("https://klasma.github.io/Logging_0181/tillsyn/A 55044-2025 tillsynsbegäran.docx", "A 55044-2025")</f>
        <v/>
      </c>
      <c r="AD330">
        <f>HYPERLINK("https://klasma.github.io/Logging_0181/tillsynsmail/A 55044-2025 tillsynsbegäran mail.docx", "A 55044-2025")</f>
        <v/>
      </c>
      <c r="AE330">
        <f>HYPERLINK("https://klasma.github.io/Logging_0181/fåglar/A 55044-2025 prioriterade fågelarter.docx", "A 55044-2025")</f>
        <v/>
      </c>
    </row>
    <row r="331" ht="15" customHeight="1">
      <c r="A331" t="inlineStr">
        <is>
          <t>A 31827-2023</t>
        </is>
      </c>
      <c r="B331" t="inlineStr">
        <is>
          <t>avverkningsanmälan</t>
        </is>
      </c>
      <c r="C331" t="inlineStr">
        <is>
          <t>Föryngringsavverkning</t>
        </is>
      </c>
      <c r="D331" s="1" t="n">
        <v>45118</v>
      </c>
      <c r="E331" s="1" t="n">
        <v>46326</v>
      </c>
      <c r="F331" t="inlineStr">
        <is>
          <t>STOCKHOLMS LÄN</t>
        </is>
      </c>
      <c r="G331" t="inlineStr">
        <is>
          <t>NORRTÄLJE</t>
        </is>
      </c>
      <c r="H331" t="inlineStr">
        <is>
          <t>Kyrkan</t>
        </is>
      </c>
      <c r="I331" t="n">
        <v>4.9</v>
      </c>
      <c r="J331" t="n">
        <v>1</v>
      </c>
      <c r="K331" t="n">
        <v>0</v>
      </c>
      <c r="L331" t="n">
        <v>1</v>
      </c>
      <c r="M331" t="n">
        <v>0</v>
      </c>
      <c r="N331" t="n">
        <v>0</v>
      </c>
      <c r="O331" t="n">
        <v>0</v>
      </c>
      <c r="P331" t="n">
        <v>0</v>
      </c>
      <c r="Q331" t="n">
        <v>1</v>
      </c>
      <c r="R331" t="n">
        <v>0</v>
      </c>
      <c r="S331" t="n">
        <v>2</v>
      </c>
      <c r="T331" t="n">
        <v>2</v>
      </c>
      <c r="U331" t="n">
        <v>2</v>
      </c>
      <c r="V331" s="2" t="inlineStr">
        <is>
          <t>Sårläka
Blåsippa</t>
        </is>
      </c>
      <c r="W331">
        <f>HYPERLINK("https://klasma.github.io/Logging_0188/artfynd/A 31827-2023 artfynd.xlsx", "A 31827-2023")</f>
        <v/>
      </c>
      <c r="X331">
        <f>HYPERLINK("https://klasma.github.io/Logging_0188/kartor/A 31827-2023 karta.png", "A 31827-2023")</f>
        <v/>
      </c>
      <c r="Y331">
        <f>HYPERLINK("https://klasma.github.io/Logging_0188/kartor_geotiff/A 31827-2023 georefererad karta.tif", "A 31827-2023")</f>
        <v/>
      </c>
      <c r="AA331">
        <f>HYPERLINK("https://klasma.github.io/Logging_0188/klagomål/A 31827-2023 FSC-klagomål.docx", "A 31827-2023")</f>
        <v/>
      </c>
      <c r="AB331">
        <f>HYPERLINK("https://klasma.github.io/Logging_0188/klagomålsmail/A 31827-2023 FSC-klagomål mail.docx", "A 31827-2023")</f>
        <v/>
      </c>
      <c r="AC331">
        <f>HYPERLINK("https://klasma.github.io/Logging_0188/tillsyn/A 31827-2023 tillsynsbegäran.docx", "A 31827-2023")</f>
        <v/>
      </c>
      <c r="AD331">
        <f>HYPERLINK("https://klasma.github.io/Logging_0188/tillsynsmail/A 31827-2023 tillsynsbegäran mail.docx", "A 31827-2023")</f>
        <v/>
      </c>
    </row>
    <row r="332" ht="15" customHeight="1">
      <c r="A332" t="inlineStr">
        <is>
          <t>A 22157-2023</t>
        </is>
      </c>
      <c r="B332" t="inlineStr">
        <is>
          <t>avverkningsanmälan</t>
        </is>
      </c>
      <c r="C332" t="inlineStr">
        <is>
          <t>Föryngringsavverkning</t>
        </is>
      </c>
      <c r="D332" s="1" t="n">
        <v>45069</v>
      </c>
      <c r="E332" s="1" t="n">
        <v>46326</v>
      </c>
      <c r="F332" t="inlineStr">
        <is>
          <t>STOCKHOLMS LÄN</t>
        </is>
      </c>
      <c r="G332" t="inlineStr">
        <is>
          <t>NORRTÄLJE</t>
        </is>
      </c>
      <c r="I332" t="n">
        <v>0.6</v>
      </c>
      <c r="J332" t="n">
        <v>1</v>
      </c>
      <c r="K332" t="n">
        <v>1</v>
      </c>
      <c r="L332" t="n">
        <v>0</v>
      </c>
      <c r="M332" t="n">
        <v>1</v>
      </c>
      <c r="N332" t="n">
        <v>0</v>
      </c>
      <c r="O332" t="n">
        <v>0</v>
      </c>
      <c r="P332" t="n">
        <v>0</v>
      </c>
      <c r="Q332" t="n">
        <v>1</v>
      </c>
      <c r="R332" t="n">
        <v>1</v>
      </c>
      <c r="S332" t="n">
        <v>2</v>
      </c>
      <c r="T332" t="n">
        <v>7</v>
      </c>
      <c r="U332" t="n">
        <v>7</v>
      </c>
      <c r="V332" s="2" t="inlineStr">
        <is>
          <t>Knärot
Grönpyrola</t>
        </is>
      </c>
      <c r="W332">
        <f>HYPERLINK("https://klasma.github.io/Logging_0188/artfynd/A 22157-2023 artfynd.xlsx", "A 22157-2023")</f>
        <v/>
      </c>
      <c r="X332">
        <f>HYPERLINK("https://klasma.github.io/Logging_0188/kartor/A 22157-2023 karta.png", "A 22157-2023")</f>
        <v/>
      </c>
      <c r="Y332">
        <f>HYPERLINK("https://klasma.github.io/Logging_0188/kartor_geotiff/A 22157-2023 georefererad karta.tif", "A 22157-2023")</f>
        <v/>
      </c>
      <c r="Z332">
        <f>HYPERLINK("https://klasma.github.io/Logging_0188/knärot/A 22157-2023 karta knärot.png", "A 22157-2023")</f>
        <v/>
      </c>
      <c r="AA332">
        <f>HYPERLINK("https://klasma.github.io/Logging_0188/klagomål/A 22157-2023 FSC-klagomål.docx", "A 22157-2023")</f>
        <v/>
      </c>
      <c r="AB332">
        <f>HYPERLINK("https://klasma.github.io/Logging_0188/klagomålsmail/A 22157-2023 FSC-klagomål mail.docx", "A 22157-2023")</f>
        <v/>
      </c>
      <c r="AC332">
        <f>HYPERLINK("https://klasma.github.io/Logging_0188/tillsyn/A 22157-2023 tillsynsbegäran.docx", "A 22157-2023")</f>
        <v/>
      </c>
      <c r="AD332">
        <f>HYPERLINK("https://klasma.github.io/Logging_0188/tillsynsmail/A 22157-2023 tillsynsbegäran mail.docx", "A 22157-2023")</f>
        <v/>
      </c>
    </row>
    <row r="333" ht="15" customHeight="1">
      <c r="A333" t="inlineStr">
        <is>
          <t>A 41021-2023</t>
        </is>
      </c>
      <c r="B333" t="inlineStr">
        <is>
          <t>avverkningsanmälan</t>
        </is>
      </c>
      <c r="C333" t="inlineStr">
        <is>
          <t>Föryngringsavverkning</t>
        </is>
      </c>
      <c r="D333" s="1" t="n">
        <v>45173</v>
      </c>
      <c r="E333" s="1" t="n">
        <v>46326</v>
      </c>
      <c r="F333" t="inlineStr">
        <is>
          <t>STOCKHOLMS LÄN</t>
        </is>
      </c>
      <c r="G333" t="inlineStr">
        <is>
          <t>VALLENTUNA</t>
        </is>
      </c>
      <c r="I333" t="n">
        <v>3</v>
      </c>
      <c r="J333" t="n">
        <v>0</v>
      </c>
      <c r="K333" t="n">
        <v>0</v>
      </c>
      <c r="L333" t="n">
        <v>2</v>
      </c>
      <c r="M333" t="n">
        <v>0</v>
      </c>
      <c r="N333" t="n">
        <v>0</v>
      </c>
      <c r="O333" t="n">
        <v>0</v>
      </c>
      <c r="P333" t="n">
        <v>0</v>
      </c>
      <c r="Q333" t="n">
        <v>2</v>
      </c>
      <c r="R333" t="n">
        <v>0</v>
      </c>
      <c r="S333" t="n">
        <v>2</v>
      </c>
      <c r="T333" t="n">
        <v>2</v>
      </c>
      <c r="U333" t="n">
        <v>0</v>
      </c>
      <c r="V333" s="2" t="inlineStr">
        <is>
          <t>Fjällig taggsvamp s.str.
Orange taggsvamp</t>
        </is>
      </c>
      <c r="W333">
        <f>HYPERLINK("https://klasma.github.io/Logging_0115/artfynd/A 41021-2023 artfynd.xlsx", "A 41021-2023")</f>
        <v/>
      </c>
      <c r="X333">
        <f>HYPERLINK("https://klasma.github.io/Logging_0115/kartor/A 41021-2023 karta.png", "A 41021-2023")</f>
        <v/>
      </c>
      <c r="Y333">
        <f>HYPERLINK("https://klasma.github.io/Logging_0115/kartor_geotiff/A 41021-2023 georefererad karta.tif", "A 41021-2023")</f>
        <v/>
      </c>
      <c r="AA333">
        <f>HYPERLINK("https://klasma.github.io/Logging_0115/klagomål/A 41021-2023 FSC-klagomål.docx", "A 41021-2023")</f>
        <v/>
      </c>
      <c r="AB333">
        <f>HYPERLINK("https://klasma.github.io/Logging_0115/klagomålsmail/A 41021-2023 FSC-klagomål mail.docx", "A 41021-2023")</f>
        <v/>
      </c>
      <c r="AC333">
        <f>HYPERLINK("https://klasma.github.io/Logging_0115/tillsyn/A 41021-2023 tillsynsbegäran.docx", "A 41021-2023")</f>
        <v/>
      </c>
      <c r="AD333">
        <f>HYPERLINK("https://klasma.github.io/Logging_0115/tillsynsmail/A 41021-2023 tillsynsbegäran mail.docx", "A 41021-2023")</f>
        <v/>
      </c>
    </row>
    <row r="334" ht="15" customHeight="1">
      <c r="A334" t="inlineStr">
        <is>
          <t>A 60406-2025</t>
        </is>
      </c>
      <c r="B334" t="inlineStr">
        <is>
          <t>avverkningsanmälan</t>
        </is>
      </c>
      <c r="C334" t="inlineStr">
        <is>
          <t>Föryngringsavverkning</t>
        </is>
      </c>
      <c r="D334" s="1" t="n">
        <v>45995</v>
      </c>
      <c r="E334" s="1" t="n">
        <v>46326</v>
      </c>
      <c r="F334" t="inlineStr">
        <is>
          <t>STOCKHOLMS LÄN</t>
        </is>
      </c>
      <c r="G334" t="inlineStr">
        <is>
          <t>BOTKYRKA</t>
        </is>
      </c>
      <c r="H334" t="inlineStr">
        <is>
          <t>Övriga Aktiebolag</t>
        </is>
      </c>
      <c r="I334" t="n">
        <v>2.3</v>
      </c>
      <c r="J334" t="n">
        <v>0</v>
      </c>
      <c r="K334" t="n">
        <v>2</v>
      </c>
      <c r="L334" t="n">
        <v>0</v>
      </c>
      <c r="M334" t="n">
        <v>0</v>
      </c>
      <c r="N334" t="n">
        <v>0</v>
      </c>
      <c r="O334" t="n">
        <v>0</v>
      </c>
      <c r="P334" t="n">
        <v>0</v>
      </c>
      <c r="Q334" t="n">
        <v>0</v>
      </c>
      <c r="R334" t="n">
        <v>0</v>
      </c>
      <c r="S334" t="n">
        <v>2</v>
      </c>
      <c r="T334" t="n">
        <v>2</v>
      </c>
      <c r="U334" t="n">
        <v>2</v>
      </c>
      <c r="V334" s="2" t="inlineStr">
        <is>
          <t>Björksplintborre
Mindre märgborre</t>
        </is>
      </c>
      <c r="W334">
        <f>HYPERLINK("https://klasma.github.io/Logging_0127/artfynd/A 60406-2025 artfynd.xlsx", "A 60406-2025")</f>
        <v/>
      </c>
      <c r="X334">
        <f>HYPERLINK("https://klasma.github.io/Logging_0127/kartor/A 60406-2025 karta.png", "A 60406-2025")</f>
        <v/>
      </c>
      <c r="Y334">
        <f>HYPERLINK("https://klasma.github.io/Logging_0127/kartor_geotiff/A 60406-2025 georefererad karta.tif", "A 60406-2025")</f>
        <v/>
      </c>
      <c r="AA334">
        <f>HYPERLINK("https://klasma.github.io/Logging_0127/klagomål/A 60406-2025 FSC-klagomål.docx", "A 60406-2025")</f>
        <v/>
      </c>
      <c r="AB334">
        <f>HYPERLINK("https://klasma.github.io/Logging_0127/klagomålsmail/A 60406-2025 FSC-klagomål mail.docx", "A 60406-2025")</f>
        <v/>
      </c>
      <c r="AC334">
        <f>HYPERLINK("https://klasma.github.io/Logging_0127/tillsyn/A 60406-2025 tillsynsbegäran.docx", "A 60406-2025")</f>
        <v/>
      </c>
      <c r="AD334">
        <f>HYPERLINK("https://klasma.github.io/Logging_0127/tillsynsmail/A 60406-2025 tillsynsbegäran mail.docx", "A 60406-2025")</f>
        <v/>
      </c>
    </row>
    <row r="335" ht="15" customHeight="1">
      <c r="A335" t="inlineStr">
        <is>
          <t>A 12033-2026</t>
        </is>
      </c>
      <c r="B335" t="inlineStr">
        <is>
          <t>avverkningsanmälan</t>
        </is>
      </c>
      <c r="C335" t="inlineStr">
        <is>
          <t>Avverkning för annat ändamål</t>
        </is>
      </c>
      <c r="D335" s="1" t="n">
        <v>46085</v>
      </c>
      <c r="E335" s="1" t="n">
        <v>46326</v>
      </c>
      <c r="F335" t="inlineStr">
        <is>
          <t>STOCKHOLMS LÄN</t>
        </is>
      </c>
      <c r="G335" t="inlineStr">
        <is>
          <t>NYNÄSHAMN</t>
        </is>
      </c>
      <c r="I335" t="n">
        <v>2.4</v>
      </c>
      <c r="J335" t="n">
        <v>2</v>
      </c>
      <c r="K335" t="n">
        <v>0</v>
      </c>
      <c r="L335" t="n">
        <v>0</v>
      </c>
      <c r="M335" t="n">
        <v>0</v>
      </c>
      <c r="N335" t="n">
        <v>0</v>
      </c>
      <c r="O335" t="n">
        <v>0</v>
      </c>
      <c r="P335" t="n">
        <v>0</v>
      </c>
      <c r="Q335" t="n">
        <v>0</v>
      </c>
      <c r="R335" t="n">
        <v>0</v>
      </c>
      <c r="S335" t="n">
        <v>2</v>
      </c>
      <c r="T335" t="n">
        <v>2</v>
      </c>
      <c r="U335" t="n">
        <v>0</v>
      </c>
      <c r="V335" s="2" t="inlineStr">
        <is>
          <t>Fjällvråk
Havsörn</t>
        </is>
      </c>
      <c r="W335">
        <f>HYPERLINK("https://klasma.github.io/Logging_0192/artfynd/A 12033-2026 artfynd.xlsx", "A 12033-2026")</f>
        <v/>
      </c>
      <c r="X335">
        <f>HYPERLINK("https://klasma.github.io/Logging_0192/kartor/A 12033-2026 karta.png", "A 12033-2026")</f>
        <v/>
      </c>
      <c r="Y335">
        <f>HYPERLINK("https://klasma.github.io/Logging_0192/kartor_geotiff/A 12033-2026 georefererad karta.tif", "A 12033-2026")</f>
        <v/>
      </c>
      <c r="AA335">
        <f>HYPERLINK("https://klasma.github.io/Logging_0192/klagomål/A 12033-2026 FSC-klagomål.docx", "A 12033-2026")</f>
        <v/>
      </c>
      <c r="AB335">
        <f>HYPERLINK("https://klasma.github.io/Logging_0192/klagomålsmail/A 12033-2026 FSC-klagomål mail.docx", "A 12033-2026")</f>
        <v/>
      </c>
      <c r="AC335">
        <f>HYPERLINK("https://klasma.github.io/Logging_0192/tillsyn/A 12033-2026 tillsynsbegäran.docx", "A 12033-2026")</f>
        <v/>
      </c>
      <c r="AD335">
        <f>HYPERLINK("https://klasma.github.io/Logging_0192/tillsynsmail/A 12033-2026 tillsynsbegäran mail.docx", "A 12033-2026")</f>
        <v/>
      </c>
      <c r="AE335">
        <f>HYPERLINK("https://klasma.github.io/Logging_0192/fåglar/A 12033-2026 prioriterade fågelarter.docx", "A 12033-2026")</f>
        <v/>
      </c>
    </row>
    <row r="336" ht="15" customHeight="1">
      <c r="A336" t="inlineStr">
        <is>
          <t>A 33528-2023</t>
        </is>
      </c>
      <c r="B336" t="inlineStr">
        <is>
          <t>avverkningsanmälan</t>
        </is>
      </c>
      <c r="C336" t="inlineStr">
        <is>
          <t>Föryngringsavverkning</t>
        </is>
      </c>
      <c r="D336" s="1" t="n">
        <v>45131</v>
      </c>
      <c r="E336" s="1" t="n">
        <v>46326</v>
      </c>
      <c r="F336" t="inlineStr">
        <is>
          <t>STOCKHOLMS LÄN</t>
        </is>
      </c>
      <c r="G336" t="inlineStr">
        <is>
          <t>NYNÄSHAMN</t>
        </is>
      </c>
      <c r="I336" t="n">
        <v>4</v>
      </c>
      <c r="J336" t="n">
        <v>0</v>
      </c>
      <c r="K336" t="n">
        <v>1</v>
      </c>
      <c r="L336" t="n">
        <v>1</v>
      </c>
      <c r="M336" t="n">
        <v>0</v>
      </c>
      <c r="N336" t="n">
        <v>0</v>
      </c>
      <c r="O336" t="n">
        <v>0</v>
      </c>
      <c r="P336" t="n">
        <v>0</v>
      </c>
      <c r="Q336" t="n">
        <v>1</v>
      </c>
      <c r="R336" t="n">
        <v>0</v>
      </c>
      <c r="S336" t="n">
        <v>2</v>
      </c>
      <c r="T336" t="n">
        <v>2</v>
      </c>
      <c r="U336" t="n">
        <v>0</v>
      </c>
      <c r="V336" s="2" t="inlineStr">
        <is>
          <t>Gullpudra
Strutbräken</t>
        </is>
      </c>
      <c r="W336">
        <f>HYPERLINK("https://klasma.github.io/Logging_0192/artfynd/A 33528-2023 artfynd.xlsx", "A 33528-2023")</f>
        <v/>
      </c>
      <c r="X336">
        <f>HYPERLINK("https://klasma.github.io/Logging_0192/kartor/A 33528-2023 karta.png", "A 33528-2023")</f>
        <v/>
      </c>
      <c r="Y336">
        <f>HYPERLINK("https://klasma.github.io/Logging_0192/kartor_geotiff/A 33528-2023 georefererad karta.tif", "A 33528-2023")</f>
        <v/>
      </c>
      <c r="AA336">
        <f>HYPERLINK("https://klasma.github.io/Logging_0192/klagomål/A 33528-2023 FSC-klagomål.docx", "A 33528-2023")</f>
        <v/>
      </c>
      <c r="AB336">
        <f>HYPERLINK("https://klasma.github.io/Logging_0192/klagomålsmail/A 33528-2023 FSC-klagomål mail.docx", "A 33528-2023")</f>
        <v/>
      </c>
      <c r="AC336">
        <f>HYPERLINK("https://klasma.github.io/Logging_0192/tillsyn/A 33528-2023 tillsynsbegäran.docx", "A 33528-2023")</f>
        <v/>
      </c>
      <c r="AD336">
        <f>HYPERLINK("https://klasma.github.io/Logging_0192/tillsynsmail/A 33528-2023 tillsynsbegäran mail.docx", "A 33528-2023")</f>
        <v/>
      </c>
    </row>
    <row r="337" ht="15" customHeight="1">
      <c r="A337" t="inlineStr">
        <is>
          <t>A 49523-2023</t>
        </is>
      </c>
      <c r="B337" t="inlineStr">
        <is>
          <t>avverkningsanmälan</t>
        </is>
      </c>
      <c r="C337" t="inlineStr">
        <is>
          <t>Föryngringsavverkning</t>
        </is>
      </c>
      <c r="D337" s="1" t="n">
        <v>45211</v>
      </c>
      <c r="E337" s="1" t="n">
        <v>46326</v>
      </c>
      <c r="F337" t="inlineStr">
        <is>
          <t>STOCKHOLMS LÄN</t>
        </is>
      </c>
      <c r="G337" t="inlineStr">
        <is>
          <t>NYNÄSHAMN</t>
        </is>
      </c>
      <c r="I337" t="n">
        <v>2.2</v>
      </c>
      <c r="J337" t="n">
        <v>0</v>
      </c>
      <c r="K337" t="n">
        <v>2</v>
      </c>
      <c r="L337" t="n">
        <v>0</v>
      </c>
      <c r="M337" t="n">
        <v>0</v>
      </c>
      <c r="N337" t="n">
        <v>0</v>
      </c>
      <c r="O337" t="n">
        <v>0</v>
      </c>
      <c r="P337" t="n">
        <v>0</v>
      </c>
      <c r="Q337" t="n">
        <v>0</v>
      </c>
      <c r="R337" t="n">
        <v>0</v>
      </c>
      <c r="S337" t="n">
        <v>2</v>
      </c>
      <c r="T337" t="n">
        <v>2</v>
      </c>
      <c r="U337" t="n">
        <v>2</v>
      </c>
      <c r="V337" s="2" t="inlineStr">
        <is>
          <t>Grönpyrola
Västlig hakmossa</t>
        </is>
      </c>
      <c r="W337">
        <f>HYPERLINK("https://klasma.github.io/Logging_0192/artfynd/A 49523-2023 artfynd.xlsx", "A 49523-2023")</f>
        <v/>
      </c>
      <c r="X337">
        <f>HYPERLINK("https://klasma.github.io/Logging_0192/kartor/A 49523-2023 karta.png", "A 49523-2023")</f>
        <v/>
      </c>
      <c r="Y337">
        <f>HYPERLINK("https://klasma.github.io/Logging_0192/kartor_geotiff/A 49523-2023 georefererad karta.tif", "A 49523-2023")</f>
        <v/>
      </c>
      <c r="AA337">
        <f>HYPERLINK("https://klasma.github.io/Logging_0192/klagomål/A 49523-2023 FSC-klagomål.docx", "A 49523-2023")</f>
        <v/>
      </c>
      <c r="AB337">
        <f>HYPERLINK("https://klasma.github.io/Logging_0192/klagomålsmail/A 49523-2023 FSC-klagomål mail.docx", "A 49523-2023")</f>
        <v/>
      </c>
      <c r="AC337">
        <f>HYPERLINK("https://klasma.github.io/Logging_0192/tillsyn/A 49523-2023 tillsynsbegäran.docx", "A 49523-2023")</f>
        <v/>
      </c>
      <c r="AD337">
        <f>HYPERLINK("https://klasma.github.io/Logging_0192/tillsynsmail/A 49523-2023 tillsynsbegäran mail.docx", "A 49523-2023")</f>
        <v/>
      </c>
    </row>
    <row r="338" ht="15" customHeight="1">
      <c r="A338" t="inlineStr">
        <is>
          <t>A 43525-2023</t>
        </is>
      </c>
      <c r="B338" t="inlineStr">
        <is>
          <t>avverkningsanmälan</t>
        </is>
      </c>
      <c r="C338" t="inlineStr">
        <is>
          <t>Föryngringsavverkning</t>
        </is>
      </c>
      <c r="D338" s="1" t="n">
        <v>45184</v>
      </c>
      <c r="E338" s="1" t="n">
        <v>46326</v>
      </c>
      <c r="F338" t="inlineStr">
        <is>
          <t>STOCKHOLMS LÄN</t>
        </is>
      </c>
      <c r="G338" t="inlineStr">
        <is>
          <t>SÖDERTÄLJE</t>
        </is>
      </c>
      <c r="H338" t="inlineStr">
        <is>
          <t>Sveaskog</t>
        </is>
      </c>
      <c r="I338" t="n">
        <v>3.7</v>
      </c>
      <c r="J338" t="n">
        <v>1</v>
      </c>
      <c r="K338" t="n">
        <v>0</v>
      </c>
      <c r="L338" t="n">
        <v>1</v>
      </c>
      <c r="M338" t="n">
        <v>0</v>
      </c>
      <c r="N338" t="n">
        <v>0</v>
      </c>
      <c r="O338" t="n">
        <v>0</v>
      </c>
      <c r="P338" t="n">
        <v>0</v>
      </c>
      <c r="Q338" t="n">
        <v>1</v>
      </c>
      <c r="R338" t="n">
        <v>0</v>
      </c>
      <c r="S338" t="n">
        <v>2</v>
      </c>
      <c r="T338" t="n">
        <v>6</v>
      </c>
      <c r="U338" t="n">
        <v>6</v>
      </c>
      <c r="V338" s="2" t="inlineStr">
        <is>
          <t>Slåtterfibbla
Fläcknycklar</t>
        </is>
      </c>
      <c r="W338">
        <f>HYPERLINK("https://klasma.github.io/Logging_0181/artfynd/A 43525-2023 artfynd.xlsx", "A 43525-2023")</f>
        <v/>
      </c>
      <c r="X338">
        <f>HYPERLINK("https://klasma.github.io/Logging_0181/kartor/A 43525-2023 karta.png", "A 43525-2023")</f>
        <v/>
      </c>
      <c r="Y338">
        <f>HYPERLINK("https://klasma.github.io/Logging_0181/kartor_geotiff/A 43525-2023 georefererad karta.tif", "A 43525-2023")</f>
        <v/>
      </c>
      <c r="AA338">
        <f>HYPERLINK("https://klasma.github.io/Logging_0181/klagomål/A 43525-2023 FSC-klagomål.docx", "A 43525-2023")</f>
        <v/>
      </c>
      <c r="AB338">
        <f>HYPERLINK("https://klasma.github.io/Logging_0181/klagomålsmail/A 43525-2023 FSC-klagomål mail.docx", "A 43525-2023")</f>
        <v/>
      </c>
      <c r="AC338">
        <f>HYPERLINK("https://klasma.github.io/Logging_0181/tillsyn/A 43525-2023 tillsynsbegäran.docx", "A 43525-2023")</f>
        <v/>
      </c>
      <c r="AD338">
        <f>HYPERLINK("https://klasma.github.io/Logging_0181/tillsynsmail/A 43525-2023 tillsynsbegäran mail.docx", "A 43525-2023")</f>
        <v/>
      </c>
    </row>
    <row r="339" ht="15" customHeight="1">
      <c r="A339" t="inlineStr">
        <is>
          <t>A 63539-2025</t>
        </is>
      </c>
      <c r="B339" t="inlineStr">
        <is>
          <t>avverkningsanmälan</t>
        </is>
      </c>
      <c r="C339" t="inlineStr">
        <is>
          <t>Föryngringsavverkning</t>
        </is>
      </c>
      <c r="D339" s="1" t="n">
        <v>46013</v>
      </c>
      <c r="E339" s="1" t="n">
        <v>46326</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43308-2024</t>
        </is>
      </c>
      <c r="B340" t="inlineStr">
        <is>
          <t>avverkningsanmälan</t>
        </is>
      </c>
      <c r="C340" t="inlineStr">
        <is>
          <t>Föryngringsavverkning</t>
        </is>
      </c>
      <c r="D340" s="1" t="n">
        <v>45568</v>
      </c>
      <c r="E340" s="1" t="n">
        <v>46326</v>
      </c>
      <c r="F340" t="inlineStr">
        <is>
          <t>STOCKHOLMS LÄN</t>
        </is>
      </c>
      <c r="G340" t="inlineStr">
        <is>
          <t>ÖSTERÅKER</t>
        </is>
      </c>
      <c r="H340" t="inlineStr">
        <is>
          <t>Kyrkan</t>
        </is>
      </c>
      <c r="I340" t="n">
        <v>3.2</v>
      </c>
      <c r="J340" t="n">
        <v>0</v>
      </c>
      <c r="K340" t="n">
        <v>0</v>
      </c>
      <c r="L340" t="n">
        <v>2</v>
      </c>
      <c r="M340" t="n">
        <v>0</v>
      </c>
      <c r="N340" t="n">
        <v>0</v>
      </c>
      <c r="O340" t="n">
        <v>0</v>
      </c>
      <c r="P340" t="n">
        <v>0</v>
      </c>
      <c r="Q340" t="n">
        <v>2</v>
      </c>
      <c r="R340" t="n">
        <v>0</v>
      </c>
      <c r="S340" t="n">
        <v>2</v>
      </c>
      <c r="T340" t="n">
        <v>2</v>
      </c>
      <c r="U340" t="n">
        <v>0</v>
      </c>
      <c r="V340" s="2" t="inlineStr">
        <is>
          <t>Dropptaggsvamp
Tallticka</t>
        </is>
      </c>
      <c r="W340">
        <f>HYPERLINK("https://klasma.github.io/Logging_0117/artfynd/A 43308-2024 artfynd.xlsx", "A 43308-2024")</f>
        <v/>
      </c>
      <c r="X340">
        <f>HYPERLINK("https://klasma.github.io/Logging_0117/kartor/A 43308-2024 karta.png", "A 43308-2024")</f>
        <v/>
      </c>
      <c r="Y340">
        <f>HYPERLINK("https://klasma.github.io/Logging_0117/kartor_geotiff/A 43308-2024 georefererad karta.tif", "A 43308-2024")</f>
        <v/>
      </c>
      <c r="AA340">
        <f>HYPERLINK("https://klasma.github.io/Logging_0117/klagomål/A 43308-2024 FSC-klagomål.docx", "A 43308-2024")</f>
        <v/>
      </c>
      <c r="AB340">
        <f>HYPERLINK("https://klasma.github.io/Logging_0117/klagomålsmail/A 43308-2024 FSC-klagomål mail.docx", "A 43308-2024")</f>
        <v/>
      </c>
      <c r="AC340">
        <f>HYPERLINK("https://klasma.github.io/Logging_0117/tillsyn/A 43308-2024 tillsynsbegäran.docx", "A 43308-2024")</f>
        <v/>
      </c>
      <c r="AD340">
        <f>HYPERLINK("https://klasma.github.io/Logging_0117/tillsynsmail/A 43308-2024 tillsynsbegäran mail.docx", "A 43308-2024")</f>
        <v/>
      </c>
    </row>
    <row r="341" ht="15" customHeight="1">
      <c r="A341" t="inlineStr">
        <is>
          <t>A 34460-2023</t>
        </is>
      </c>
      <c r="B341" t="inlineStr">
        <is>
          <t>avverkningsanmälan</t>
        </is>
      </c>
      <c r="C341" t="inlineStr">
        <is>
          <t>Föryngringsavverkning</t>
        </is>
      </c>
      <c r="D341" s="1" t="n">
        <v>45139</v>
      </c>
      <c r="E341" s="1" t="n">
        <v>46326</v>
      </c>
      <c r="F341" t="inlineStr">
        <is>
          <t>STOCKHOLMS LÄN</t>
        </is>
      </c>
      <c r="G341" t="inlineStr">
        <is>
          <t>VALLENTUNA</t>
        </is>
      </c>
      <c r="I341" t="n">
        <v>1.7</v>
      </c>
      <c r="J341" t="n">
        <v>0</v>
      </c>
      <c r="K341" t="n">
        <v>0</v>
      </c>
      <c r="L341" t="n">
        <v>2</v>
      </c>
      <c r="M341" t="n">
        <v>0</v>
      </c>
      <c r="N341" t="n">
        <v>0</v>
      </c>
      <c r="O341" t="n">
        <v>0</v>
      </c>
      <c r="P341" t="n">
        <v>0</v>
      </c>
      <c r="Q341" t="n">
        <v>2</v>
      </c>
      <c r="R341" t="n">
        <v>0</v>
      </c>
      <c r="S341" t="n">
        <v>2</v>
      </c>
      <c r="T341" t="n">
        <v>2</v>
      </c>
      <c r="U341" t="n">
        <v>2</v>
      </c>
      <c r="V341" s="2" t="inlineStr">
        <is>
          <t>Motaggsvamp
Orange taggsvamp</t>
        </is>
      </c>
      <c r="W341">
        <f>HYPERLINK("https://klasma.github.io/Logging_0115/artfynd/A 34460-2023 artfynd.xlsx", "A 34460-2023")</f>
        <v/>
      </c>
      <c r="X341">
        <f>HYPERLINK("https://klasma.github.io/Logging_0115/kartor/A 34460-2023 karta.png", "A 34460-2023")</f>
        <v/>
      </c>
      <c r="Y341">
        <f>HYPERLINK("https://klasma.github.io/Logging_0115/kartor_geotiff/A 34460-2023 georefererad karta.tif", "A 34460-2023")</f>
        <v/>
      </c>
      <c r="AA341">
        <f>HYPERLINK("https://klasma.github.io/Logging_0115/klagomål/A 34460-2023 FSC-klagomål.docx", "A 34460-2023")</f>
        <v/>
      </c>
      <c r="AB341">
        <f>HYPERLINK("https://klasma.github.io/Logging_0115/klagomålsmail/A 34460-2023 FSC-klagomål mail.docx", "A 34460-2023")</f>
        <v/>
      </c>
      <c r="AC341">
        <f>HYPERLINK("https://klasma.github.io/Logging_0115/tillsyn/A 34460-2023 tillsynsbegäran.docx", "A 34460-2023")</f>
        <v/>
      </c>
      <c r="AD341">
        <f>HYPERLINK("https://klasma.github.io/Logging_0115/tillsynsmail/A 34460-2023 tillsynsbegäran mail.docx", "A 34460-2023")</f>
        <v/>
      </c>
    </row>
    <row r="342" ht="15" customHeight="1">
      <c r="A342" t="inlineStr">
        <is>
          <t>A 18772-2026</t>
        </is>
      </c>
      <c r="B342" t="inlineStr">
        <is>
          <t>avverkningsanmälan</t>
        </is>
      </c>
      <c r="C342" t="inlineStr">
        <is>
          <t>Föryngringsavverkning</t>
        </is>
      </c>
      <c r="D342" s="1" t="n">
        <v>46128</v>
      </c>
      <c r="E342" s="1" t="n">
        <v>46326</v>
      </c>
      <c r="F342" t="inlineStr">
        <is>
          <t>STOCKHOLMS LÄN</t>
        </is>
      </c>
      <c r="G342" t="inlineStr">
        <is>
          <t>UPPLANDS-BRO</t>
        </is>
      </c>
      <c r="H342" t="inlineStr">
        <is>
          <t>Övriga statliga verk och myndigheter</t>
        </is>
      </c>
      <c r="I342" t="n">
        <v>19.5</v>
      </c>
      <c r="J342" t="n">
        <v>1</v>
      </c>
      <c r="K342" t="n">
        <v>0</v>
      </c>
      <c r="L342" t="n">
        <v>1</v>
      </c>
      <c r="M342" t="n">
        <v>0</v>
      </c>
      <c r="N342" t="n">
        <v>0</v>
      </c>
      <c r="O342" t="n">
        <v>0</v>
      </c>
      <c r="P342" t="n">
        <v>0</v>
      </c>
      <c r="Q342" t="n">
        <v>1</v>
      </c>
      <c r="R342" t="n">
        <v>0</v>
      </c>
      <c r="S342" t="n">
        <v>2</v>
      </c>
      <c r="T342" t="n">
        <v>2</v>
      </c>
      <c r="U342" t="n">
        <v>0</v>
      </c>
      <c r="V342" s="2" t="inlineStr">
        <is>
          <t>Svedjenäva
Fläcknycklar</t>
        </is>
      </c>
      <c r="W342">
        <f>HYPERLINK("https://klasma.github.io/Logging_0139/artfynd/A 18772-2026 artfynd.xlsx", "A 18772-2026")</f>
        <v/>
      </c>
      <c r="X342">
        <f>HYPERLINK("https://klasma.github.io/Logging_0139/kartor/A 18772-2026 karta.png", "A 18772-2026")</f>
        <v/>
      </c>
      <c r="Y342">
        <f>HYPERLINK("https://klasma.github.io/Logging_0139/kartor_geotiff/A 18772-2026 georefererad karta.tif", "A 18772-2026")</f>
        <v/>
      </c>
      <c r="AA342">
        <f>HYPERLINK("https://klasma.github.io/Logging_0139/klagomål/A 18772-2026 FSC-klagomål.docx", "A 18772-2026")</f>
        <v/>
      </c>
      <c r="AB342">
        <f>HYPERLINK("https://klasma.github.io/Logging_0139/klagomålsmail/A 18772-2026 FSC-klagomål mail.docx", "A 18772-2026")</f>
        <v/>
      </c>
      <c r="AC342">
        <f>HYPERLINK("https://klasma.github.io/Logging_0139/tillsyn/A 18772-2026 tillsynsbegäran.docx", "A 18772-2026")</f>
        <v/>
      </c>
      <c r="AD342">
        <f>HYPERLINK("https://klasma.github.io/Logging_0139/tillsynsmail/A 18772-2026 tillsynsbegäran mail.docx", "A 18772-2026")</f>
        <v/>
      </c>
    </row>
    <row r="343" ht="15" customHeight="1">
      <c r="A343" t="inlineStr">
        <is>
          <t>A 18790-2026</t>
        </is>
      </c>
      <c r="B343" t="inlineStr">
        <is>
          <t>avverkningsanmälan</t>
        </is>
      </c>
      <c r="C343" t="inlineStr">
        <is>
          <t>Föryngringsavverkning</t>
        </is>
      </c>
      <c r="D343" s="1" t="n">
        <v>46128</v>
      </c>
      <c r="E343" s="1" t="n">
        <v>46326</v>
      </c>
      <c r="F343" t="inlineStr">
        <is>
          <t>STOCKHOLMS LÄN</t>
        </is>
      </c>
      <c r="G343" t="inlineStr">
        <is>
          <t>UPPLANDS-BRO</t>
        </is>
      </c>
      <c r="H343" t="inlineStr">
        <is>
          <t>Övriga statliga verk och myndigheter</t>
        </is>
      </c>
      <c r="I343" t="n">
        <v>5.5</v>
      </c>
      <c r="J343" t="n">
        <v>2</v>
      </c>
      <c r="K343" t="n">
        <v>0</v>
      </c>
      <c r="L343" t="n">
        <v>0</v>
      </c>
      <c r="M343" t="n">
        <v>0</v>
      </c>
      <c r="N343" t="n">
        <v>0</v>
      </c>
      <c r="O343" t="n">
        <v>0</v>
      </c>
      <c r="P343" t="n">
        <v>0</v>
      </c>
      <c r="Q343" t="n">
        <v>0</v>
      </c>
      <c r="R343" t="n">
        <v>0</v>
      </c>
      <c r="S343" t="n">
        <v>2</v>
      </c>
      <c r="T343" t="n">
        <v>2</v>
      </c>
      <c r="U343" t="n">
        <v>0</v>
      </c>
      <c r="V343" s="2" t="inlineStr">
        <is>
          <t>Fläcknycklar
Nattviol</t>
        </is>
      </c>
      <c r="W343">
        <f>HYPERLINK("https://klasma.github.io/Logging_0139/artfynd/A 18790-2026 artfynd.xlsx", "A 18790-2026")</f>
        <v/>
      </c>
      <c r="X343">
        <f>HYPERLINK("https://klasma.github.io/Logging_0139/kartor/A 18790-2026 karta.png", "A 18790-2026")</f>
        <v/>
      </c>
      <c r="Y343">
        <f>HYPERLINK("https://klasma.github.io/Logging_0139/kartor_geotiff/A 18790-2026 georefererad karta.tif", "A 18790-2026")</f>
        <v/>
      </c>
      <c r="AA343">
        <f>HYPERLINK("https://klasma.github.io/Logging_0139/klagomål/A 18790-2026 FSC-klagomål.docx", "A 18790-2026")</f>
        <v/>
      </c>
      <c r="AB343">
        <f>HYPERLINK("https://klasma.github.io/Logging_0139/klagomålsmail/A 18790-2026 FSC-klagomål mail.docx", "A 18790-2026")</f>
        <v/>
      </c>
      <c r="AC343">
        <f>HYPERLINK("https://klasma.github.io/Logging_0139/tillsyn/A 18790-2026 tillsynsbegäran.docx", "A 18790-2026")</f>
        <v/>
      </c>
      <c r="AD343">
        <f>HYPERLINK("https://klasma.github.io/Logging_0139/tillsynsmail/A 18790-2026 tillsynsbegäran mail.docx", "A 18790-2026")</f>
        <v/>
      </c>
    </row>
    <row r="344" ht="15" customHeight="1">
      <c r="A344" t="inlineStr">
        <is>
          <t>A 19216-2026</t>
        </is>
      </c>
      <c r="B344" t="inlineStr">
        <is>
          <t>avverkningsanmälan</t>
        </is>
      </c>
      <c r="C344" t="inlineStr">
        <is>
          <t>Föryngringsavverkning</t>
        </is>
      </c>
      <c r="D344" s="1" t="n">
        <v>46132</v>
      </c>
      <c r="E344" s="1" t="n">
        <v>46326</v>
      </c>
      <c r="F344" t="inlineStr">
        <is>
          <t>STOCKHOLMS LÄN</t>
        </is>
      </c>
      <c r="G344" t="inlineStr">
        <is>
          <t>NYKVARN</t>
        </is>
      </c>
      <c r="H344" t="inlineStr">
        <is>
          <t>Sveaskog</t>
        </is>
      </c>
      <c r="I344" t="n">
        <v>2.6</v>
      </c>
      <c r="J344" t="n">
        <v>0</v>
      </c>
      <c r="K344" t="n">
        <v>0</v>
      </c>
      <c r="L344" t="n">
        <v>2</v>
      </c>
      <c r="M344" t="n">
        <v>0</v>
      </c>
      <c r="N344" t="n">
        <v>0</v>
      </c>
      <c r="O344" t="n">
        <v>0</v>
      </c>
      <c r="P344" t="n">
        <v>0</v>
      </c>
      <c r="Q344" t="n">
        <v>2</v>
      </c>
      <c r="R344" t="n">
        <v>0</v>
      </c>
      <c r="S344" t="n">
        <v>2</v>
      </c>
      <c r="T344" t="n">
        <v>2</v>
      </c>
      <c r="U344" t="n">
        <v>0</v>
      </c>
      <c r="V344" s="2" t="inlineStr">
        <is>
          <t>Motaggsvamp
Tallticka</t>
        </is>
      </c>
      <c r="W344">
        <f>HYPERLINK("https://klasma.github.io/Logging_0140/artfynd/A 19216-2026 artfynd.xlsx", "A 19216-2026")</f>
        <v/>
      </c>
      <c r="X344">
        <f>HYPERLINK("https://klasma.github.io/Logging_0140/kartor/A 19216-2026 karta.png", "A 19216-2026")</f>
        <v/>
      </c>
      <c r="Y344">
        <f>HYPERLINK("https://klasma.github.io/Logging_0140/kartor_geotiff/A 19216-2026 georefererad karta.tif", "A 19216-2026")</f>
        <v/>
      </c>
      <c r="AA344">
        <f>HYPERLINK("https://klasma.github.io/Logging_0140/klagomål/A 19216-2026 FSC-klagomål.docx", "A 19216-2026")</f>
        <v/>
      </c>
      <c r="AB344">
        <f>HYPERLINK("https://klasma.github.io/Logging_0140/klagomålsmail/A 19216-2026 FSC-klagomål mail.docx", "A 19216-2026")</f>
        <v/>
      </c>
      <c r="AC344">
        <f>HYPERLINK("https://klasma.github.io/Logging_0140/tillsyn/A 19216-2026 tillsynsbegäran.docx", "A 19216-2026")</f>
        <v/>
      </c>
      <c r="AD344">
        <f>HYPERLINK("https://klasma.github.io/Logging_0140/tillsynsmail/A 19216-2026 tillsynsbegäran mail.docx", "A 19216-2026")</f>
        <v/>
      </c>
    </row>
    <row r="345" ht="15" customHeight="1">
      <c r="A345" t="inlineStr">
        <is>
          <t>A 51220-2023</t>
        </is>
      </c>
      <c r="B345" t="inlineStr">
        <is>
          <t>avverkningsanmälan</t>
        </is>
      </c>
      <c r="C345" t="inlineStr">
        <is>
          <t>Föryngringsavverkning</t>
        </is>
      </c>
      <c r="D345" s="1" t="n">
        <v>45219</v>
      </c>
      <c r="E345" s="1" t="n">
        <v>46326</v>
      </c>
      <c r="F345" t="inlineStr">
        <is>
          <t>STOCKHOLMS LÄN</t>
        </is>
      </c>
      <c r="G345" t="inlineStr">
        <is>
          <t>NORRTÄLJE</t>
        </is>
      </c>
      <c r="I345" t="n">
        <v>7.7</v>
      </c>
      <c r="J345" t="n">
        <v>1</v>
      </c>
      <c r="K345" t="n">
        <v>0</v>
      </c>
      <c r="L345" t="n">
        <v>1</v>
      </c>
      <c r="M345" t="n">
        <v>0</v>
      </c>
      <c r="N345" t="n">
        <v>0</v>
      </c>
      <c r="O345" t="n">
        <v>0</v>
      </c>
      <c r="P345" t="n">
        <v>0</v>
      </c>
      <c r="Q345" t="n">
        <v>1</v>
      </c>
      <c r="R345" t="n">
        <v>0</v>
      </c>
      <c r="S345" t="n">
        <v>2</v>
      </c>
      <c r="T345" t="n">
        <v>2</v>
      </c>
      <c r="U345" t="n">
        <v>2</v>
      </c>
      <c r="V345" s="2" t="inlineStr">
        <is>
          <t>Ullticka
Blåsippa</t>
        </is>
      </c>
      <c r="W345">
        <f>HYPERLINK("https://klasma.github.io/Logging_0188/artfynd/A 51220-2023 artfynd.xlsx", "A 51220-2023")</f>
        <v/>
      </c>
      <c r="X345">
        <f>HYPERLINK("https://klasma.github.io/Logging_0188/kartor/A 51220-2023 karta.png", "A 51220-2023")</f>
        <v/>
      </c>
      <c r="Y345">
        <f>HYPERLINK("https://klasma.github.io/Logging_0188/kartor_geotiff/A 51220-2023 georefererad karta.tif", "A 51220-2023")</f>
        <v/>
      </c>
      <c r="AA345">
        <f>HYPERLINK("https://klasma.github.io/Logging_0188/klagomål/A 51220-2023 FSC-klagomål.docx", "A 51220-2023")</f>
        <v/>
      </c>
      <c r="AB345">
        <f>HYPERLINK("https://klasma.github.io/Logging_0188/klagomålsmail/A 51220-2023 FSC-klagomål mail.docx", "A 51220-2023")</f>
        <v/>
      </c>
      <c r="AC345">
        <f>HYPERLINK("https://klasma.github.io/Logging_0188/tillsyn/A 51220-2023 tillsynsbegäran.docx", "A 51220-2023")</f>
        <v/>
      </c>
      <c r="AD345">
        <f>HYPERLINK("https://klasma.github.io/Logging_0188/tillsynsmail/A 51220-2023 tillsynsbegäran mail.docx", "A 51220-2023")</f>
        <v/>
      </c>
    </row>
    <row r="346" ht="15" customHeight="1">
      <c r="A346" t="inlineStr">
        <is>
          <t>A 5567-2023</t>
        </is>
      </c>
      <c r="B346" t="inlineStr">
        <is>
          <t>avverkningsanmälan</t>
        </is>
      </c>
      <c r="C346" t="inlineStr">
        <is>
          <t>Föryngringsavverkning</t>
        </is>
      </c>
      <c r="D346" s="1" t="n">
        <v>44960</v>
      </c>
      <c r="E346" s="1" t="n">
        <v>46326</v>
      </c>
      <c r="F346" t="inlineStr">
        <is>
          <t>STOCKHOLMS LÄN</t>
        </is>
      </c>
      <c r="G346" t="inlineStr">
        <is>
          <t>NYNÄSHAMN</t>
        </is>
      </c>
      <c r="I346" t="n">
        <v>10.1</v>
      </c>
      <c r="J346" t="n">
        <v>1</v>
      </c>
      <c r="K346" t="n">
        <v>0</v>
      </c>
      <c r="L346" t="n">
        <v>1</v>
      </c>
      <c r="M346" t="n">
        <v>0</v>
      </c>
      <c r="N346" t="n">
        <v>0</v>
      </c>
      <c r="O346" t="n">
        <v>0</v>
      </c>
      <c r="P346" t="n">
        <v>0</v>
      </c>
      <c r="Q346" t="n">
        <v>1</v>
      </c>
      <c r="R346" t="n">
        <v>0</v>
      </c>
      <c r="S346" t="n">
        <v>2</v>
      </c>
      <c r="T346" t="n">
        <v>2</v>
      </c>
      <c r="U346" t="n">
        <v>2</v>
      </c>
      <c r="V346" s="2" t="inlineStr">
        <is>
          <t>Sårläka
Blåsippa</t>
        </is>
      </c>
      <c r="W346">
        <f>HYPERLINK("https://klasma.github.io/Logging_0192/artfynd/A 5567-2023 artfynd.xlsx", "A 5567-2023")</f>
        <v/>
      </c>
      <c r="X346">
        <f>HYPERLINK("https://klasma.github.io/Logging_0192/kartor/A 5567-2023 karta.png", "A 5567-2023")</f>
        <v/>
      </c>
      <c r="Y346">
        <f>HYPERLINK("https://klasma.github.io/Logging_0192/kartor_geotiff/A 5567-2023 georefererad karta.tif", "A 5567-2023")</f>
        <v/>
      </c>
      <c r="AA346">
        <f>HYPERLINK("https://klasma.github.io/Logging_0192/klagomål/A 5567-2023 FSC-klagomål.docx", "A 5567-2023")</f>
        <v/>
      </c>
      <c r="AB346">
        <f>HYPERLINK("https://klasma.github.io/Logging_0192/klagomålsmail/A 5567-2023 FSC-klagomål mail.docx", "A 5567-2023")</f>
        <v/>
      </c>
      <c r="AC346">
        <f>HYPERLINK("https://klasma.github.io/Logging_0192/tillsyn/A 5567-2023 tillsynsbegäran.docx", "A 5567-2023")</f>
        <v/>
      </c>
      <c r="AD346">
        <f>HYPERLINK("https://klasma.github.io/Logging_0192/tillsynsmail/A 5567-2023 tillsynsbegäran mail.docx", "A 5567-2023")</f>
        <v/>
      </c>
    </row>
    <row r="347" ht="15" customHeight="1">
      <c r="A347" t="inlineStr">
        <is>
          <t>A 10909-2025</t>
        </is>
      </c>
      <c r="B347" t="inlineStr">
        <is>
          <t>avverkningsanmälan</t>
        </is>
      </c>
      <c r="C347" t="inlineStr">
        <is>
          <t>Föryngringsavverkning</t>
        </is>
      </c>
      <c r="D347" s="1" t="n">
        <v>45722</v>
      </c>
      <c r="E347" s="1" t="n">
        <v>46326</v>
      </c>
      <c r="F347" t="inlineStr">
        <is>
          <t>STOCKHOLMS LÄN</t>
        </is>
      </c>
      <c r="G347" t="inlineStr">
        <is>
          <t>UPPLANDS-BRO</t>
        </is>
      </c>
      <c r="H347" t="inlineStr">
        <is>
          <t>Allmännings- och besparingsskogar</t>
        </is>
      </c>
      <c r="I347" t="n">
        <v>11.2</v>
      </c>
      <c r="J347" t="n">
        <v>1</v>
      </c>
      <c r="K347" t="n">
        <v>0</v>
      </c>
      <c r="L347" t="n">
        <v>1</v>
      </c>
      <c r="M347" t="n">
        <v>0</v>
      </c>
      <c r="N347" t="n">
        <v>0</v>
      </c>
      <c r="O347" t="n">
        <v>0</v>
      </c>
      <c r="P347" t="n">
        <v>0</v>
      </c>
      <c r="Q347" t="n">
        <v>1</v>
      </c>
      <c r="R347" t="n">
        <v>0</v>
      </c>
      <c r="S347" t="n">
        <v>2</v>
      </c>
      <c r="T347" t="n">
        <v>2</v>
      </c>
      <c r="U347" t="n">
        <v>2</v>
      </c>
      <c r="V347" s="2" t="inlineStr">
        <is>
          <t>Arommusseron
Fläcknycklar</t>
        </is>
      </c>
      <c r="W347">
        <f>HYPERLINK("https://klasma.github.io/Logging_0139/artfynd/A 10909-2025 artfynd.xlsx", "A 10909-2025")</f>
        <v/>
      </c>
      <c r="X347">
        <f>HYPERLINK("https://klasma.github.io/Logging_0139/kartor/A 10909-2025 karta.png", "A 10909-2025")</f>
        <v/>
      </c>
      <c r="Y347">
        <f>HYPERLINK("https://klasma.github.io/Logging_0139/kartor_geotiff/A 10909-2025 georefererad karta.tif", "A 10909-2025")</f>
        <v/>
      </c>
      <c r="AA347">
        <f>HYPERLINK("https://klasma.github.io/Logging_0139/klagomål/A 10909-2025 FSC-klagomål.docx", "A 10909-2025")</f>
        <v/>
      </c>
      <c r="AB347">
        <f>HYPERLINK("https://klasma.github.io/Logging_0139/klagomålsmail/A 10909-2025 FSC-klagomål mail.docx", "A 10909-2025")</f>
        <v/>
      </c>
      <c r="AC347">
        <f>HYPERLINK("https://klasma.github.io/Logging_0139/tillsyn/A 10909-2025 tillsynsbegäran.docx", "A 10909-2025")</f>
        <v/>
      </c>
      <c r="AD347">
        <f>HYPERLINK("https://klasma.github.io/Logging_0139/tillsynsmail/A 10909-2025 tillsynsbegäran mail.docx", "A 10909-2025")</f>
        <v/>
      </c>
    </row>
    <row r="348" ht="15" customHeight="1">
      <c r="A348" t="inlineStr">
        <is>
          <t>A 10263-2025</t>
        </is>
      </c>
      <c r="B348" t="inlineStr">
        <is>
          <t>avverkningsanmälan</t>
        </is>
      </c>
      <c r="C348" t="inlineStr">
        <is>
          <t>Föryngringsavverkning</t>
        </is>
      </c>
      <c r="D348" s="1" t="n">
        <v>45720</v>
      </c>
      <c r="E348" s="1" t="n">
        <v>46326</v>
      </c>
      <c r="F348" t="inlineStr">
        <is>
          <t>STOCKHOLMS LÄN</t>
        </is>
      </c>
      <c r="G348" t="inlineStr">
        <is>
          <t>SÖDERTÄLJE</t>
        </is>
      </c>
      <c r="I348" t="n">
        <v>4.8</v>
      </c>
      <c r="J348" t="n">
        <v>2</v>
      </c>
      <c r="K348" t="n">
        <v>0</v>
      </c>
      <c r="L348" t="n">
        <v>0</v>
      </c>
      <c r="M348" t="n">
        <v>0</v>
      </c>
      <c r="N348" t="n">
        <v>0</v>
      </c>
      <c r="O348" t="n">
        <v>0</v>
      </c>
      <c r="P348" t="n">
        <v>0</v>
      </c>
      <c r="Q348" t="n">
        <v>0</v>
      </c>
      <c r="R348" t="n">
        <v>0</v>
      </c>
      <c r="S348" t="n">
        <v>2</v>
      </c>
      <c r="T348" t="n">
        <v>2</v>
      </c>
      <c r="U348" t="n">
        <v>0</v>
      </c>
      <c r="V348" s="2" t="inlineStr">
        <is>
          <t>Spillkråka
Kungsfågel</t>
        </is>
      </c>
      <c r="W348">
        <f>HYPERLINK("https://klasma.github.io/Logging_0181/artfynd/A 10263-2025 artfynd.xlsx", "A 10263-2025")</f>
        <v/>
      </c>
      <c r="X348">
        <f>HYPERLINK("https://klasma.github.io/Logging_0181/kartor/A 10263-2025 karta.png", "A 10263-2025")</f>
        <v/>
      </c>
      <c r="Y348">
        <f>HYPERLINK("https://klasma.github.io/Logging_0181/kartor_geotiff/A 10263-2025 georefererad karta.tif", "A 10263-2025")</f>
        <v/>
      </c>
      <c r="AA348">
        <f>HYPERLINK("https://klasma.github.io/Logging_0181/klagomål/A 10263-2025 FSC-klagomål.docx", "A 10263-2025")</f>
        <v/>
      </c>
      <c r="AB348">
        <f>HYPERLINK("https://klasma.github.io/Logging_0181/klagomålsmail/A 10263-2025 FSC-klagomål mail.docx", "A 10263-2025")</f>
        <v/>
      </c>
      <c r="AC348">
        <f>HYPERLINK("https://klasma.github.io/Logging_0181/tillsyn/A 10263-2025 tillsynsbegäran.docx", "A 10263-2025")</f>
        <v/>
      </c>
      <c r="AD348">
        <f>HYPERLINK("https://klasma.github.io/Logging_0181/tillsynsmail/A 10263-2025 tillsynsbegäran mail.docx", "A 10263-2025")</f>
        <v/>
      </c>
      <c r="AE348">
        <f>HYPERLINK("https://klasma.github.io/Logging_0181/fåglar/A 10263-2025 prioriterade fågelarter.docx", "A 10263-2025")</f>
        <v/>
      </c>
    </row>
    <row r="349" ht="15" customHeight="1">
      <c r="A349" t="inlineStr">
        <is>
          <t>A 30949-2024</t>
        </is>
      </c>
      <c r="B349" t="inlineStr">
        <is>
          <t>avverkningsanmälan</t>
        </is>
      </c>
      <c r="C349" t="inlineStr">
        <is>
          <t>Föryngringsavverkning</t>
        </is>
      </c>
      <c r="D349" s="1" t="n">
        <v>45499</v>
      </c>
      <c r="E349" s="1" t="n">
        <v>46326</v>
      </c>
      <c r="F349" t="inlineStr">
        <is>
          <t>STOCKHOLMS LÄN</t>
        </is>
      </c>
      <c r="G349" t="inlineStr">
        <is>
          <t>ÖSTERÅKER</t>
        </is>
      </c>
      <c r="H349" t="inlineStr">
        <is>
          <t>Övriga Aktiebolag</t>
        </is>
      </c>
      <c r="I349" t="n">
        <v>3.2</v>
      </c>
      <c r="J349" t="n">
        <v>0</v>
      </c>
      <c r="K349" t="n">
        <v>1</v>
      </c>
      <c r="L349" t="n">
        <v>1</v>
      </c>
      <c r="M349" t="n">
        <v>0</v>
      </c>
      <c r="N349" t="n">
        <v>0</v>
      </c>
      <c r="O349" t="n">
        <v>0</v>
      </c>
      <c r="P349" t="n">
        <v>0</v>
      </c>
      <c r="Q349" t="n">
        <v>1</v>
      </c>
      <c r="R349" t="n">
        <v>0</v>
      </c>
      <c r="S349" t="n">
        <v>2</v>
      </c>
      <c r="T349" t="n">
        <v>2</v>
      </c>
      <c r="U349" t="n">
        <v>0</v>
      </c>
      <c r="V349" s="2" t="inlineStr">
        <is>
          <t>Tallticka
Blåmossa</t>
        </is>
      </c>
      <c r="W349">
        <f>HYPERLINK("https://klasma.github.io/Logging_0117/artfynd/A 30949-2024 artfynd.xlsx", "A 30949-2024")</f>
        <v/>
      </c>
      <c r="X349">
        <f>HYPERLINK("https://klasma.github.io/Logging_0117/kartor/A 30949-2024 karta.png", "A 30949-2024")</f>
        <v/>
      </c>
      <c r="Y349">
        <f>HYPERLINK("https://klasma.github.io/Logging_0117/kartor_geotiff/A 30949-2024 georefererad karta.tif", "A 30949-2024")</f>
        <v/>
      </c>
      <c r="AA349">
        <f>HYPERLINK("https://klasma.github.io/Logging_0117/klagomål/A 30949-2024 FSC-klagomål.docx", "A 30949-2024")</f>
        <v/>
      </c>
      <c r="AB349">
        <f>HYPERLINK("https://klasma.github.io/Logging_0117/klagomålsmail/A 30949-2024 FSC-klagomål mail.docx", "A 30949-2024")</f>
        <v/>
      </c>
      <c r="AC349">
        <f>HYPERLINK("https://klasma.github.io/Logging_0117/tillsyn/A 30949-2024 tillsynsbegäran.docx", "A 30949-2024")</f>
        <v/>
      </c>
      <c r="AD349">
        <f>HYPERLINK("https://klasma.github.io/Logging_0117/tillsynsmail/A 30949-2024 tillsynsbegäran mail.docx", "A 30949-2024")</f>
        <v/>
      </c>
    </row>
    <row r="350" ht="15" customHeight="1">
      <c r="A350" t="inlineStr">
        <is>
          <t>A 46919-2023</t>
        </is>
      </c>
      <c r="B350" t="inlineStr">
        <is>
          <t>avverkningsanmälan</t>
        </is>
      </c>
      <c r="C350" t="inlineStr">
        <is>
          <t>Föryngringsavverkning</t>
        </is>
      </c>
      <c r="D350" s="1" t="n">
        <v>45201</v>
      </c>
      <c r="E350" s="1" t="n">
        <v>46326</v>
      </c>
      <c r="F350" t="inlineStr">
        <is>
          <t>STOCKHOLMS LÄN</t>
        </is>
      </c>
      <c r="G350" t="inlineStr">
        <is>
          <t>SALEM</t>
        </is>
      </c>
      <c r="H350" t="inlineStr">
        <is>
          <t>Kommuner</t>
        </is>
      </c>
      <c r="I350" t="n">
        <v>1.3</v>
      </c>
      <c r="J350" t="n">
        <v>2</v>
      </c>
      <c r="K350" t="n">
        <v>0</v>
      </c>
      <c r="L350" t="n">
        <v>1</v>
      </c>
      <c r="M350" t="n">
        <v>0</v>
      </c>
      <c r="N350" t="n">
        <v>0</v>
      </c>
      <c r="O350" t="n">
        <v>0</v>
      </c>
      <c r="P350" t="n">
        <v>0</v>
      </c>
      <c r="Q350" t="n">
        <v>1</v>
      </c>
      <c r="R350" t="n">
        <v>0</v>
      </c>
      <c r="S350" t="n">
        <v>2</v>
      </c>
      <c r="T350" t="n">
        <v>2</v>
      </c>
      <c r="U350" t="n">
        <v>2</v>
      </c>
      <c r="V350" s="2" t="inlineStr">
        <is>
          <t>Talltita
Tofsmes</t>
        </is>
      </c>
      <c r="W350">
        <f>HYPERLINK("https://klasma.github.io/Logging_0128/artfynd/A 46919-2023 artfynd.xlsx", "A 46919-2023")</f>
        <v/>
      </c>
      <c r="X350">
        <f>HYPERLINK("https://klasma.github.io/Logging_0128/kartor/A 46919-2023 karta.png", "A 46919-2023")</f>
        <v/>
      </c>
      <c r="Y350">
        <f>HYPERLINK("https://klasma.github.io/Logging_0128/kartor_geotiff/A 46919-2023 georefererad karta.tif", "A 46919-2023")</f>
        <v/>
      </c>
      <c r="AA350">
        <f>HYPERLINK("https://klasma.github.io/Logging_0128/klagomål/A 46919-2023 FSC-klagomål.docx", "A 46919-2023")</f>
        <v/>
      </c>
      <c r="AB350">
        <f>HYPERLINK("https://klasma.github.io/Logging_0128/klagomålsmail/A 46919-2023 FSC-klagomål mail.docx", "A 46919-2023")</f>
        <v/>
      </c>
      <c r="AC350">
        <f>HYPERLINK("https://klasma.github.io/Logging_0128/tillsyn/A 46919-2023 tillsynsbegäran.docx", "A 46919-2023")</f>
        <v/>
      </c>
      <c r="AD350">
        <f>HYPERLINK("https://klasma.github.io/Logging_0128/tillsynsmail/A 46919-2023 tillsynsbegäran mail.docx", "A 46919-2023")</f>
        <v/>
      </c>
      <c r="AE350">
        <f>HYPERLINK("https://klasma.github.io/Logging_0128/fåglar/A 46919-2023 prioriterade fågelarter.docx", "A 46919-2023")</f>
        <v/>
      </c>
    </row>
    <row r="351" ht="15" customHeight="1">
      <c r="A351" t="inlineStr">
        <is>
          <t>A 16478-2025</t>
        </is>
      </c>
      <c r="B351" t="inlineStr">
        <is>
          <t>avverkningsanmälan</t>
        </is>
      </c>
      <c r="C351" t="inlineStr">
        <is>
          <t>Föryngringsavverkning</t>
        </is>
      </c>
      <c r="D351" s="1" t="n">
        <v>45751</v>
      </c>
      <c r="E351" s="1" t="n">
        <v>46326</v>
      </c>
      <c r="F351" t="inlineStr">
        <is>
          <t>STOCKHOLMS LÄN</t>
        </is>
      </c>
      <c r="G351" t="inlineStr">
        <is>
          <t>SÖDERTÄLJE</t>
        </is>
      </c>
      <c r="I351" t="n">
        <v>2.1</v>
      </c>
      <c r="J351" t="n">
        <v>0</v>
      </c>
      <c r="K351" t="n">
        <v>2</v>
      </c>
      <c r="L351" t="n">
        <v>0</v>
      </c>
      <c r="M351" t="n">
        <v>0</v>
      </c>
      <c r="N351" t="n">
        <v>0</v>
      </c>
      <c r="O351" t="n">
        <v>0</v>
      </c>
      <c r="P351" t="n">
        <v>0</v>
      </c>
      <c r="Q351" t="n">
        <v>0</v>
      </c>
      <c r="R351" t="n">
        <v>0</v>
      </c>
      <c r="S351" t="n">
        <v>2</v>
      </c>
      <c r="T351" t="n">
        <v>3</v>
      </c>
      <c r="U351" t="n">
        <v>0</v>
      </c>
      <c r="V351" s="2" t="inlineStr">
        <is>
          <t>Myskbock
Tibast</t>
        </is>
      </c>
      <c r="W351">
        <f>HYPERLINK("https://klasma.github.io/Logging_0181/artfynd/A 16478-2025 artfynd.xlsx", "A 16478-2025")</f>
        <v/>
      </c>
      <c r="X351">
        <f>HYPERLINK("https://klasma.github.io/Logging_0181/kartor/A 16478-2025 karta.png", "A 16478-2025")</f>
        <v/>
      </c>
      <c r="Y351">
        <f>HYPERLINK("https://klasma.github.io/Logging_0181/kartor_geotiff/A 16478-2025 georefererad karta.tif", "A 16478-2025")</f>
        <v/>
      </c>
      <c r="AA351">
        <f>HYPERLINK("https://klasma.github.io/Logging_0181/klagomål/A 16478-2025 FSC-klagomål.docx", "A 16478-2025")</f>
        <v/>
      </c>
      <c r="AB351">
        <f>HYPERLINK("https://klasma.github.io/Logging_0181/klagomålsmail/A 16478-2025 FSC-klagomål mail.docx", "A 16478-2025")</f>
        <v/>
      </c>
      <c r="AC351">
        <f>HYPERLINK("https://klasma.github.io/Logging_0181/tillsyn/A 16478-2025 tillsynsbegäran.docx", "A 16478-2025")</f>
        <v/>
      </c>
      <c r="AD351">
        <f>HYPERLINK("https://klasma.github.io/Logging_0181/tillsynsmail/A 16478-2025 tillsynsbegäran mail.docx", "A 16478-2025")</f>
        <v/>
      </c>
    </row>
    <row r="352" ht="15" customHeight="1">
      <c r="A352" t="inlineStr">
        <is>
          <t>A 52124-2022</t>
        </is>
      </c>
      <c r="B352" t="inlineStr">
        <is>
          <t>avverkningsanmälan</t>
        </is>
      </c>
      <c r="C352" t="inlineStr">
        <is>
          <t>Föryngringsavverkning</t>
        </is>
      </c>
      <c r="D352" s="1" t="n">
        <v>44868</v>
      </c>
      <c r="E352" s="1" t="n">
        <v>46326</v>
      </c>
      <c r="F352" t="inlineStr">
        <is>
          <t>STOCKHOLMS LÄN</t>
        </is>
      </c>
      <c r="G352" t="inlineStr">
        <is>
          <t>NORRTÄLJE</t>
        </is>
      </c>
      <c r="I352" t="n">
        <v>4.8</v>
      </c>
      <c r="J352" t="n">
        <v>1</v>
      </c>
      <c r="K352" t="n">
        <v>0</v>
      </c>
      <c r="L352" t="n">
        <v>1</v>
      </c>
      <c r="M352" t="n">
        <v>0</v>
      </c>
      <c r="N352" t="n">
        <v>0</v>
      </c>
      <c r="O352" t="n">
        <v>0</v>
      </c>
      <c r="P352" t="n">
        <v>0</v>
      </c>
      <c r="Q352" t="n">
        <v>1</v>
      </c>
      <c r="R352" t="n">
        <v>0</v>
      </c>
      <c r="S352" t="n">
        <v>2</v>
      </c>
      <c r="T352" t="n">
        <v>2</v>
      </c>
      <c r="U352" t="n">
        <v>2</v>
      </c>
      <c r="V352" s="2" t="inlineStr">
        <is>
          <t>Kandelabersvamp
Blåsippa</t>
        </is>
      </c>
      <c r="W352">
        <f>HYPERLINK("https://klasma.github.io/Logging_0188/artfynd/A 52124-2022 artfynd.xlsx", "A 52124-2022")</f>
        <v/>
      </c>
      <c r="X352">
        <f>HYPERLINK("https://klasma.github.io/Logging_0188/kartor/A 52124-2022 karta.png", "A 52124-2022")</f>
        <v/>
      </c>
      <c r="Y352">
        <f>HYPERLINK("https://klasma.github.io/Logging_0188/kartor_geotiff/A 52124-2022 georefererad karta.tif", "A 52124-2022")</f>
        <v/>
      </c>
      <c r="AA352">
        <f>HYPERLINK("https://klasma.github.io/Logging_0188/klagomål/A 52124-2022 FSC-klagomål.docx", "A 52124-2022")</f>
        <v/>
      </c>
      <c r="AB352">
        <f>HYPERLINK("https://klasma.github.io/Logging_0188/klagomålsmail/A 52124-2022 FSC-klagomål mail.docx", "A 52124-2022")</f>
        <v/>
      </c>
      <c r="AC352">
        <f>HYPERLINK("https://klasma.github.io/Logging_0188/tillsyn/A 52124-2022 tillsynsbegäran.docx", "A 52124-2022")</f>
        <v/>
      </c>
      <c r="AD352">
        <f>HYPERLINK("https://klasma.github.io/Logging_0188/tillsynsmail/A 52124-2022 tillsynsbegäran mail.docx", "A 52124-2022")</f>
        <v/>
      </c>
    </row>
    <row r="353" ht="15" customHeight="1">
      <c r="A353" t="inlineStr">
        <is>
          <t>A 52825-2023</t>
        </is>
      </c>
      <c r="B353" t="inlineStr">
        <is>
          <t>avverkningsanmälan</t>
        </is>
      </c>
      <c r="C353" t="inlineStr">
        <is>
          <t>Föryngringsavverkning</t>
        </is>
      </c>
      <c r="D353" s="1" t="n">
        <v>45226</v>
      </c>
      <c r="E353" s="1" t="n">
        <v>46326</v>
      </c>
      <c r="F353" t="inlineStr">
        <is>
          <t>STOCKHOLMS LÄN</t>
        </is>
      </c>
      <c r="G353" t="inlineStr">
        <is>
          <t>NORRTÄLJE</t>
        </is>
      </c>
      <c r="I353" t="n">
        <v>1</v>
      </c>
      <c r="J353" t="n">
        <v>0</v>
      </c>
      <c r="K353" t="n">
        <v>1</v>
      </c>
      <c r="L353" t="n">
        <v>1</v>
      </c>
      <c r="M353" t="n">
        <v>0</v>
      </c>
      <c r="N353" t="n">
        <v>0</v>
      </c>
      <c r="O353" t="n">
        <v>0</v>
      </c>
      <c r="P353" t="n">
        <v>0</v>
      </c>
      <c r="Q353" t="n">
        <v>1</v>
      </c>
      <c r="R353" t="n">
        <v>0</v>
      </c>
      <c r="S353" t="n">
        <v>2</v>
      </c>
      <c r="T353" t="n">
        <v>2</v>
      </c>
      <c r="U353" t="n">
        <v>0</v>
      </c>
      <c r="V353" s="2" t="inlineStr">
        <is>
          <t>Fjällig taggsvamp s.str.
Strimspindling</t>
        </is>
      </c>
      <c r="W353">
        <f>HYPERLINK("https://klasma.github.io/Logging_0188/artfynd/A 52825-2023 artfynd.xlsx", "A 52825-2023")</f>
        <v/>
      </c>
      <c r="X353">
        <f>HYPERLINK("https://klasma.github.io/Logging_0188/kartor/A 52825-2023 karta.png", "A 52825-2023")</f>
        <v/>
      </c>
      <c r="Y353">
        <f>HYPERLINK("https://klasma.github.io/Logging_0188/kartor_geotiff/A 52825-2023 georefererad karta.tif", "A 52825-2023")</f>
        <v/>
      </c>
      <c r="AA353">
        <f>HYPERLINK("https://klasma.github.io/Logging_0188/klagomål/A 52825-2023 FSC-klagomål.docx", "A 52825-2023")</f>
        <v/>
      </c>
      <c r="AB353">
        <f>HYPERLINK("https://klasma.github.io/Logging_0188/klagomålsmail/A 52825-2023 FSC-klagomål mail.docx", "A 52825-2023")</f>
        <v/>
      </c>
      <c r="AC353">
        <f>HYPERLINK("https://klasma.github.io/Logging_0188/tillsyn/A 52825-2023 tillsynsbegäran.docx", "A 52825-2023")</f>
        <v/>
      </c>
      <c r="AD353">
        <f>HYPERLINK("https://klasma.github.io/Logging_0188/tillsynsmail/A 52825-2023 tillsynsbegäran mail.docx", "A 52825-2023")</f>
        <v/>
      </c>
    </row>
    <row r="354" ht="15" customHeight="1">
      <c r="A354" t="inlineStr">
        <is>
          <t>A 16724-2022</t>
        </is>
      </c>
      <c r="B354" t="inlineStr">
        <is>
          <t>avverkningsanmälan</t>
        </is>
      </c>
      <c r="C354" t="inlineStr">
        <is>
          <t>Avverkning för annat ändamål</t>
        </is>
      </c>
      <c r="D354" s="1" t="n">
        <v>44673</v>
      </c>
      <c r="E354" s="1" t="n">
        <v>46326</v>
      </c>
      <c r="F354" t="inlineStr">
        <is>
          <t>STOCKHOLMS LÄN</t>
        </is>
      </c>
      <c r="G354" t="inlineStr">
        <is>
          <t>SÖDERTÄLJE</t>
        </is>
      </c>
      <c r="H354" t="inlineStr">
        <is>
          <t>Övriga statliga verk och myndigheter</t>
        </is>
      </c>
      <c r="I354" t="n">
        <v>2.7</v>
      </c>
      <c r="J354" t="n">
        <v>0</v>
      </c>
      <c r="K354" t="n">
        <v>0</v>
      </c>
      <c r="L354" t="n">
        <v>1</v>
      </c>
      <c r="M354" t="n">
        <v>0</v>
      </c>
      <c r="N354" t="n">
        <v>1</v>
      </c>
      <c r="O354" t="n">
        <v>0</v>
      </c>
      <c r="P354" t="n">
        <v>0</v>
      </c>
      <c r="Q354" t="n">
        <v>2</v>
      </c>
      <c r="R354" t="n">
        <v>1</v>
      </c>
      <c r="S354" t="n">
        <v>2</v>
      </c>
      <c r="T354" t="n">
        <v>3</v>
      </c>
      <c r="U354" t="n">
        <v>1</v>
      </c>
      <c r="V354" s="2" t="inlineStr">
        <is>
          <t>Stor bockrot
Gullpudra</t>
        </is>
      </c>
      <c r="W354">
        <f>HYPERLINK("https://klasma.github.io/Logging_0181/artfynd/A 16724-2022 artfynd.xlsx", "A 16724-2022")</f>
        <v/>
      </c>
      <c r="X354">
        <f>HYPERLINK("https://klasma.github.io/Logging_0181/kartor/A 16724-2022 karta.png", "A 16724-2022")</f>
        <v/>
      </c>
      <c r="Y354">
        <f>HYPERLINK("https://klasma.github.io/Logging_0181/kartor_geotiff/A 16724-2022 georefererad karta.tif", "A 16724-2022")</f>
        <v/>
      </c>
      <c r="AA354">
        <f>HYPERLINK("https://klasma.github.io/Logging_0181/klagomål/A 16724-2022 FSC-klagomål.docx", "A 16724-2022")</f>
        <v/>
      </c>
      <c r="AB354">
        <f>HYPERLINK("https://klasma.github.io/Logging_0181/klagomålsmail/A 16724-2022 FSC-klagomål mail.docx", "A 16724-2022")</f>
        <v/>
      </c>
      <c r="AC354">
        <f>HYPERLINK("https://klasma.github.io/Logging_0181/tillsyn/A 16724-2022 tillsynsbegäran.docx", "A 16724-2022")</f>
        <v/>
      </c>
      <c r="AD354">
        <f>HYPERLINK("https://klasma.github.io/Logging_0181/tillsynsmail/A 16724-2022 tillsynsbegäran mail.docx", "A 16724-2022")</f>
        <v/>
      </c>
    </row>
    <row r="355" ht="15" customHeight="1">
      <c r="A355" t="inlineStr">
        <is>
          <t>A 31575-2022</t>
        </is>
      </c>
      <c r="B355" t="inlineStr">
        <is>
          <t>avverkningsanmälan</t>
        </is>
      </c>
      <c r="C355" t="inlineStr">
        <is>
          <t>Föryngringsavverkning</t>
        </is>
      </c>
      <c r="D355" s="1" t="n">
        <v>44775</v>
      </c>
      <c r="E355" s="1" t="n">
        <v>46326</v>
      </c>
      <c r="F355" t="inlineStr">
        <is>
          <t>STOCKHOLMS LÄN</t>
        </is>
      </c>
      <c r="G355" t="inlineStr">
        <is>
          <t>ÖSTERÅKER</t>
        </is>
      </c>
      <c r="I355" t="n">
        <v>5</v>
      </c>
      <c r="J355" t="n">
        <v>0</v>
      </c>
      <c r="K355" t="n">
        <v>1</v>
      </c>
      <c r="L355" t="n">
        <v>0</v>
      </c>
      <c r="M355" t="n">
        <v>1</v>
      </c>
      <c r="N355" t="n">
        <v>0</v>
      </c>
      <c r="O355" t="n">
        <v>0</v>
      </c>
      <c r="P355" t="n">
        <v>0</v>
      </c>
      <c r="Q355" t="n">
        <v>1</v>
      </c>
      <c r="R355" t="n">
        <v>1</v>
      </c>
      <c r="S355" t="n">
        <v>2</v>
      </c>
      <c r="T355" t="n">
        <v>2</v>
      </c>
      <c r="U355" t="n">
        <v>2</v>
      </c>
      <c r="V355" s="2" t="inlineStr">
        <is>
          <t>Aspgelélav
Dvärgtufs</t>
        </is>
      </c>
      <c r="W355">
        <f>HYPERLINK("https://klasma.github.io/Logging_0117/artfynd/A 31575-2022 artfynd.xlsx", "A 31575-2022")</f>
        <v/>
      </c>
      <c r="X355">
        <f>HYPERLINK("https://klasma.github.io/Logging_0117/kartor/A 31575-2022 karta.png", "A 31575-2022")</f>
        <v/>
      </c>
      <c r="Y355">
        <f>HYPERLINK("https://klasma.github.io/Logging_0117/kartor_geotiff/A 31575-2022 georefererad karta.tif", "A 31575-2022")</f>
        <v/>
      </c>
      <c r="AA355">
        <f>HYPERLINK("https://klasma.github.io/Logging_0117/klagomål/A 31575-2022 FSC-klagomål.docx", "A 31575-2022")</f>
        <v/>
      </c>
      <c r="AB355">
        <f>HYPERLINK("https://klasma.github.io/Logging_0117/klagomålsmail/A 31575-2022 FSC-klagomål mail.docx", "A 31575-2022")</f>
        <v/>
      </c>
      <c r="AC355">
        <f>HYPERLINK("https://klasma.github.io/Logging_0117/tillsyn/A 31575-2022 tillsynsbegäran.docx", "A 31575-2022")</f>
        <v/>
      </c>
      <c r="AD355">
        <f>HYPERLINK("https://klasma.github.io/Logging_0117/tillsynsmail/A 31575-2022 tillsynsbegäran mail.docx", "A 31575-2022")</f>
        <v/>
      </c>
    </row>
    <row r="356" ht="15" customHeight="1">
      <c r="A356" t="inlineStr">
        <is>
          <t>A 21781-2026</t>
        </is>
      </c>
      <c r="B356" t="inlineStr">
        <is>
          <t>avverkningsanmälan</t>
        </is>
      </c>
      <c r="C356" t="inlineStr">
        <is>
          <t>Föryngringsavverkning</t>
        </is>
      </c>
      <c r="D356" s="1" t="n">
        <v>46150</v>
      </c>
      <c r="E356" s="1" t="n">
        <v>46326</v>
      </c>
      <c r="F356" t="inlineStr">
        <is>
          <t>STOCKHOLMS LÄN</t>
        </is>
      </c>
      <c r="G356" t="inlineStr">
        <is>
          <t>NORRTÄLJE</t>
        </is>
      </c>
      <c r="I356" t="n">
        <v>6.2</v>
      </c>
      <c r="J356" t="n">
        <v>1</v>
      </c>
      <c r="K356" t="n">
        <v>0</v>
      </c>
      <c r="L356" t="n">
        <v>1</v>
      </c>
      <c r="M356" t="n">
        <v>1</v>
      </c>
      <c r="N356" t="n">
        <v>0</v>
      </c>
      <c r="O356" t="n">
        <v>0</v>
      </c>
      <c r="P356" t="n">
        <v>0</v>
      </c>
      <c r="Q356" t="n">
        <v>2</v>
      </c>
      <c r="R356" t="n">
        <v>1</v>
      </c>
      <c r="S356" t="n">
        <v>2</v>
      </c>
      <c r="T356" t="n">
        <v>2</v>
      </c>
      <c r="U356" t="n">
        <v>0</v>
      </c>
      <c r="V356" s="2" t="inlineStr">
        <is>
          <t>Hällebräcka
Slåtterfibbla</t>
        </is>
      </c>
      <c r="W356">
        <f>HYPERLINK("https://klasma.github.io/Logging_0188/artfynd/A 21781-2026 artfynd.xlsx", "A 21781-2026")</f>
        <v/>
      </c>
      <c r="X356">
        <f>HYPERLINK("https://klasma.github.io/Logging_0188/kartor/A 21781-2026 karta.png", "A 21781-2026")</f>
        <v/>
      </c>
      <c r="Y356">
        <f>HYPERLINK("https://klasma.github.io/Logging_0188/kartor_geotiff/A 21781-2026 georefererad karta.tif", "A 21781-2026")</f>
        <v/>
      </c>
      <c r="AA356">
        <f>HYPERLINK("https://klasma.github.io/Logging_0188/klagomål/A 21781-2026 FSC-klagomål.docx", "A 21781-2026")</f>
        <v/>
      </c>
      <c r="AB356">
        <f>HYPERLINK("https://klasma.github.io/Logging_0188/klagomålsmail/A 21781-2026 FSC-klagomål mail.docx", "A 21781-2026")</f>
        <v/>
      </c>
      <c r="AC356">
        <f>HYPERLINK("https://klasma.github.io/Logging_0188/tillsyn/A 21781-2026 tillsynsbegäran.docx", "A 21781-2026")</f>
        <v/>
      </c>
      <c r="AD356">
        <f>HYPERLINK("https://klasma.github.io/Logging_0188/tillsynsmail/A 21781-2026 tillsynsbegäran mail.docx", "A 21781-2026")</f>
        <v/>
      </c>
    </row>
    <row r="357" ht="15" customHeight="1">
      <c r="A357" t="inlineStr">
        <is>
          <t>A 22874-2026</t>
        </is>
      </c>
      <c r="B357" t="inlineStr">
        <is>
          <t>avverkningsanmälan</t>
        </is>
      </c>
      <c r="C357" t="inlineStr">
        <is>
          <t>Föryngringsavverkning</t>
        </is>
      </c>
      <c r="D357" s="1" t="n">
        <v>46156</v>
      </c>
      <c r="E357" s="1" t="n">
        <v>46326</v>
      </c>
      <c r="F357" t="inlineStr">
        <is>
          <t>STOCKHOLMS LÄN</t>
        </is>
      </c>
      <c r="G357" t="inlineStr">
        <is>
          <t>SIGTUNA</t>
        </is>
      </c>
      <c r="H357" t="inlineStr">
        <is>
          <t>Kyrkan</t>
        </is>
      </c>
      <c r="I357" t="n">
        <v>9.199999999999999</v>
      </c>
      <c r="J357" t="n">
        <v>1</v>
      </c>
      <c r="K357" t="n">
        <v>0</v>
      </c>
      <c r="L357" t="n">
        <v>1</v>
      </c>
      <c r="M357" t="n">
        <v>0</v>
      </c>
      <c r="N357" t="n">
        <v>0</v>
      </c>
      <c r="O357" t="n">
        <v>0</v>
      </c>
      <c r="P357" t="n">
        <v>0</v>
      </c>
      <c r="Q357" t="n">
        <v>1</v>
      </c>
      <c r="R357" t="n">
        <v>0</v>
      </c>
      <c r="S357" t="n">
        <v>2</v>
      </c>
      <c r="T357" t="n">
        <v>2</v>
      </c>
      <c r="U357" t="n">
        <v>0</v>
      </c>
      <c r="V357" s="2" t="inlineStr">
        <is>
          <t>Kandelabersvamp
Blåsippa</t>
        </is>
      </c>
      <c r="W357">
        <f>HYPERLINK("https://klasma.github.io/Logging_0191/artfynd/A 22874-2026 artfynd.xlsx", "A 22874-2026")</f>
        <v/>
      </c>
      <c r="X357">
        <f>HYPERLINK("https://klasma.github.io/Logging_0191/kartor/A 22874-2026 karta.png", "A 22874-2026")</f>
        <v/>
      </c>
      <c r="Y357">
        <f>HYPERLINK("https://klasma.github.io/Logging_0191/kartor_geotiff/A 22874-2026 georefererad karta.tif", "A 22874-2026")</f>
        <v/>
      </c>
      <c r="AA357">
        <f>HYPERLINK("https://klasma.github.io/Logging_0191/klagomål/A 22874-2026 FSC-klagomål.docx", "A 22874-2026")</f>
        <v/>
      </c>
      <c r="AB357">
        <f>HYPERLINK("https://klasma.github.io/Logging_0191/klagomålsmail/A 22874-2026 FSC-klagomål mail.docx", "A 22874-2026")</f>
        <v/>
      </c>
      <c r="AC357">
        <f>HYPERLINK("https://klasma.github.io/Logging_0191/tillsyn/A 22874-2026 tillsynsbegäran.docx", "A 22874-2026")</f>
        <v/>
      </c>
      <c r="AD357">
        <f>HYPERLINK("https://klasma.github.io/Logging_0191/tillsynsmail/A 22874-2026 tillsynsbegäran mail.docx", "A 22874-2026")</f>
        <v/>
      </c>
    </row>
    <row r="358" ht="15" customHeight="1">
      <c r="A358" t="inlineStr">
        <is>
          <t>A 64345-2023</t>
        </is>
      </c>
      <c r="B358" t="inlineStr">
        <is>
          <t>avverkningsanmälan</t>
        </is>
      </c>
      <c r="C358" t="inlineStr">
        <is>
          <t>Avverkning för annat ändamål</t>
        </is>
      </c>
      <c r="D358" s="1" t="n">
        <v>45280</v>
      </c>
      <c r="E358" s="1" t="n">
        <v>46326</v>
      </c>
      <c r="F358" t="inlineStr">
        <is>
          <t>STOCKHOLMS LÄN</t>
        </is>
      </c>
      <c r="G358" t="inlineStr">
        <is>
          <t>SIGTUNA</t>
        </is>
      </c>
      <c r="I358" t="n">
        <v>2.7</v>
      </c>
      <c r="J358" t="n">
        <v>2</v>
      </c>
      <c r="K358" t="n">
        <v>0</v>
      </c>
      <c r="L358" t="n">
        <v>1</v>
      </c>
      <c r="M358" t="n">
        <v>0</v>
      </c>
      <c r="N358" t="n">
        <v>0</v>
      </c>
      <c r="O358" t="n">
        <v>0</v>
      </c>
      <c r="P358" t="n">
        <v>0</v>
      </c>
      <c r="Q358" t="n">
        <v>1</v>
      </c>
      <c r="R358" t="n">
        <v>0</v>
      </c>
      <c r="S358" t="n">
        <v>2</v>
      </c>
      <c r="T358" t="n">
        <v>3</v>
      </c>
      <c r="U358" t="n">
        <v>3</v>
      </c>
      <c r="V358" s="2" t="inlineStr">
        <is>
          <t>Talltita
Kungsfågel</t>
        </is>
      </c>
      <c r="W358">
        <f>HYPERLINK("https://klasma.github.io/Logging_0191/artfynd/A 64345-2023 artfynd.xlsx", "A 64345-2023")</f>
        <v/>
      </c>
      <c r="X358">
        <f>HYPERLINK("https://klasma.github.io/Logging_0191/kartor/A 64345-2023 karta.png", "A 64345-2023")</f>
        <v/>
      </c>
      <c r="Y358">
        <f>HYPERLINK("https://klasma.github.io/Logging_0191/kartor_geotiff/A 64345-2023 georefererad karta.tif", "A 64345-2023")</f>
        <v/>
      </c>
      <c r="AA358">
        <f>HYPERLINK("https://klasma.github.io/Logging_0191/klagomål/A 64345-2023 FSC-klagomål.docx", "A 64345-2023")</f>
        <v/>
      </c>
      <c r="AB358">
        <f>HYPERLINK("https://klasma.github.io/Logging_0191/klagomålsmail/A 64345-2023 FSC-klagomål mail.docx", "A 64345-2023")</f>
        <v/>
      </c>
      <c r="AC358">
        <f>HYPERLINK("https://klasma.github.io/Logging_0191/tillsyn/A 64345-2023 tillsynsbegäran.docx", "A 64345-2023")</f>
        <v/>
      </c>
      <c r="AD358">
        <f>HYPERLINK("https://klasma.github.io/Logging_0191/tillsynsmail/A 64345-2023 tillsynsbegäran mail.docx", "A 64345-2023")</f>
        <v/>
      </c>
      <c r="AE358">
        <f>HYPERLINK("https://klasma.github.io/Logging_0191/fåglar/A 64345-2023 prioriterade fågelarter.docx", "A 64345-2023")</f>
        <v/>
      </c>
    </row>
    <row r="359" ht="15" customHeight="1">
      <c r="A359" t="inlineStr">
        <is>
          <t>A 39202-2024</t>
        </is>
      </c>
      <c r="B359" t="inlineStr">
        <is>
          <t>avverkningsanmälan</t>
        </is>
      </c>
      <c r="C359" t="inlineStr">
        <is>
          <t>Föryngringsavverkning</t>
        </is>
      </c>
      <c r="D359" s="1" t="n">
        <v>45548</v>
      </c>
      <c r="E359" s="1" t="n">
        <v>46326</v>
      </c>
      <c r="F359" t="inlineStr">
        <is>
          <t>STOCKHOLMS LÄN</t>
        </is>
      </c>
      <c r="G359" t="inlineStr">
        <is>
          <t>NORRTÄLJE</t>
        </is>
      </c>
      <c r="I359" t="n">
        <v>1.9</v>
      </c>
      <c r="J359" t="n">
        <v>0</v>
      </c>
      <c r="K359" t="n">
        <v>0</v>
      </c>
      <c r="L359" t="n">
        <v>0</v>
      </c>
      <c r="M359" t="n">
        <v>2</v>
      </c>
      <c r="N359" t="n">
        <v>0</v>
      </c>
      <c r="O359" t="n">
        <v>0</v>
      </c>
      <c r="P359" t="n">
        <v>0</v>
      </c>
      <c r="Q359" t="n">
        <v>2</v>
      </c>
      <c r="R359" t="n">
        <v>2</v>
      </c>
      <c r="S359" t="n">
        <v>2</v>
      </c>
      <c r="T359" t="n">
        <v>2</v>
      </c>
      <c r="U359" t="n">
        <v>0</v>
      </c>
      <c r="V359" s="2" t="inlineStr">
        <is>
          <t>Mindre bastardsvärmare
Sexfläckig bastardsvärmare</t>
        </is>
      </c>
      <c r="W359">
        <f>HYPERLINK("https://klasma.github.io/Logging_0188/artfynd/A 39202-2024 artfynd.xlsx", "A 39202-2024")</f>
        <v/>
      </c>
      <c r="X359">
        <f>HYPERLINK("https://klasma.github.io/Logging_0188/kartor/A 39202-2024 karta.png", "A 39202-2024")</f>
        <v/>
      </c>
      <c r="Y359">
        <f>HYPERLINK("https://klasma.github.io/Logging_0188/kartor_geotiff/A 39202-2024 georefererad karta.tif", "A 39202-2024")</f>
        <v/>
      </c>
      <c r="AA359">
        <f>HYPERLINK("https://klasma.github.io/Logging_0188/klagomål/A 39202-2024 FSC-klagomål.docx", "A 39202-2024")</f>
        <v/>
      </c>
      <c r="AB359">
        <f>HYPERLINK("https://klasma.github.io/Logging_0188/klagomålsmail/A 39202-2024 FSC-klagomål mail.docx", "A 39202-2024")</f>
        <v/>
      </c>
      <c r="AC359">
        <f>HYPERLINK("https://klasma.github.io/Logging_0188/tillsyn/A 39202-2024 tillsynsbegäran.docx", "A 39202-2024")</f>
        <v/>
      </c>
      <c r="AD359">
        <f>HYPERLINK("https://klasma.github.io/Logging_0188/tillsynsmail/A 39202-2024 tillsynsbegäran mail.docx", "A 39202-2024")</f>
        <v/>
      </c>
    </row>
    <row r="360" ht="15" customHeight="1">
      <c r="A360" t="inlineStr">
        <is>
          <t>A 25315-2026</t>
        </is>
      </c>
      <c r="B360" t="inlineStr">
        <is>
          <t>avverkningsanmälan</t>
        </is>
      </c>
      <c r="C360" t="inlineStr">
        <is>
          <t>Föryngringsavverkning</t>
        </is>
      </c>
      <c r="D360" s="1" t="n">
        <v>46176</v>
      </c>
      <c r="E360" s="1" t="n">
        <v>46326</v>
      </c>
      <c r="F360" t="inlineStr">
        <is>
          <t>STOCKHOLMS LÄN</t>
        </is>
      </c>
      <c r="G360" t="inlineStr">
        <is>
          <t>BOTKYRKA</t>
        </is>
      </c>
      <c r="I360" t="n">
        <v>1.4</v>
      </c>
      <c r="J360" t="n">
        <v>2</v>
      </c>
      <c r="K360" t="n">
        <v>0</v>
      </c>
      <c r="L360" t="n">
        <v>0</v>
      </c>
      <c r="M360" t="n">
        <v>0</v>
      </c>
      <c r="N360" t="n">
        <v>0</v>
      </c>
      <c r="O360" t="n">
        <v>0</v>
      </c>
      <c r="P360" t="n">
        <v>0</v>
      </c>
      <c r="Q360" t="n">
        <v>0</v>
      </c>
      <c r="R360" t="n">
        <v>0</v>
      </c>
      <c r="S360" t="n">
        <v>2</v>
      </c>
      <c r="T360" t="n">
        <v>3</v>
      </c>
      <c r="U360" t="n">
        <v>3</v>
      </c>
      <c r="V360" s="2" t="inlineStr">
        <is>
          <t>Spillkråka
Tofsmes</t>
        </is>
      </c>
      <c r="W360">
        <f>HYPERLINK("https://klasma.github.io/Logging_0127/artfynd/A 25315-2026 artfynd.xlsx", "A 25315-2026")</f>
        <v/>
      </c>
      <c r="X360">
        <f>HYPERLINK("https://klasma.github.io/Logging_0127/kartor/A 25315-2026 karta.png", "A 25315-2026")</f>
        <v/>
      </c>
      <c r="Y360">
        <f>HYPERLINK("https://klasma.github.io/Logging_0127/kartor_geotiff/A 25315-2026 georefererad karta.tif", "A 25315-2026")</f>
        <v/>
      </c>
      <c r="AA360">
        <f>HYPERLINK("https://klasma.github.io/Logging_0127/klagomål/A 25315-2026 FSC-klagomål.docx", "A 25315-2026")</f>
        <v/>
      </c>
      <c r="AB360">
        <f>HYPERLINK("https://klasma.github.io/Logging_0127/klagomålsmail/A 25315-2026 FSC-klagomål mail.docx", "A 25315-2026")</f>
        <v/>
      </c>
      <c r="AC360">
        <f>HYPERLINK("https://klasma.github.io/Logging_0127/tillsyn/A 25315-2026 tillsynsbegäran.docx", "A 25315-2026")</f>
        <v/>
      </c>
      <c r="AD360">
        <f>HYPERLINK("https://klasma.github.io/Logging_0127/tillsynsmail/A 25315-2026 tillsynsbegäran mail.docx", "A 25315-2026")</f>
        <v/>
      </c>
      <c r="AE360">
        <f>HYPERLINK("https://klasma.github.io/Logging_0127/fåglar/A 25315-2026 prioriterade fågelarter.docx", "A 25315-2026")</f>
        <v/>
      </c>
    </row>
    <row r="361" ht="15" customHeight="1">
      <c r="A361" t="inlineStr">
        <is>
          <t>A 25208-2026</t>
        </is>
      </c>
      <c r="B361" t="inlineStr">
        <is>
          <t>avverkningsanmälan</t>
        </is>
      </c>
      <c r="C361" t="inlineStr">
        <is>
          <t>Föryngringsavverkning</t>
        </is>
      </c>
      <c r="D361" s="1" t="n">
        <v>46175</v>
      </c>
      <c r="E361" s="1" t="n">
        <v>46326</v>
      </c>
      <c r="F361" t="inlineStr">
        <is>
          <t>STOCKHOLMS LÄN</t>
        </is>
      </c>
      <c r="G361" t="inlineStr">
        <is>
          <t>HUDDINGE</t>
        </is>
      </c>
      <c r="I361" t="n">
        <v>1.1</v>
      </c>
      <c r="J361" t="n">
        <v>2</v>
      </c>
      <c r="K361" t="n">
        <v>0</v>
      </c>
      <c r="L361" t="n">
        <v>0</v>
      </c>
      <c r="M361" t="n">
        <v>1</v>
      </c>
      <c r="N361" t="n">
        <v>0</v>
      </c>
      <c r="O361" t="n">
        <v>0</v>
      </c>
      <c r="P361" t="n">
        <v>0</v>
      </c>
      <c r="Q361" t="n">
        <v>1</v>
      </c>
      <c r="R361" t="n">
        <v>1</v>
      </c>
      <c r="S361" t="n">
        <v>2</v>
      </c>
      <c r="T361" t="n">
        <v>3</v>
      </c>
      <c r="U361" t="n">
        <v>0</v>
      </c>
      <c r="V361" s="2" t="inlineStr">
        <is>
          <t>Knölvial
Gullviva</t>
        </is>
      </c>
      <c r="W361">
        <f>HYPERLINK("https://klasma.github.io/Logging_0126/artfynd/A 25208-2026 artfynd.xlsx", "A 25208-2026")</f>
        <v/>
      </c>
      <c r="X361">
        <f>HYPERLINK("https://klasma.github.io/Logging_0126/kartor/A 25208-2026 karta.png", "A 25208-2026")</f>
        <v/>
      </c>
      <c r="Y361">
        <f>HYPERLINK("https://klasma.github.io/Logging_0126/kartor_geotiff/A 25208-2026 georefererad karta.tif", "A 25208-2026")</f>
        <v/>
      </c>
      <c r="AA361">
        <f>HYPERLINK("https://klasma.github.io/Logging_0126/klagomål/A 25208-2026 FSC-klagomål.docx", "A 25208-2026")</f>
        <v/>
      </c>
      <c r="AB361">
        <f>HYPERLINK("https://klasma.github.io/Logging_0126/klagomålsmail/A 25208-2026 FSC-klagomål mail.docx", "A 25208-2026")</f>
        <v/>
      </c>
      <c r="AC361">
        <f>HYPERLINK("https://klasma.github.io/Logging_0126/tillsyn/A 25208-2026 tillsynsbegäran.docx", "A 25208-2026")</f>
        <v/>
      </c>
      <c r="AD361">
        <f>HYPERLINK("https://klasma.github.io/Logging_0126/tillsynsmail/A 25208-2026 tillsynsbegäran mail.docx", "A 25208-2026")</f>
        <v/>
      </c>
    </row>
    <row r="362" ht="15" customHeight="1">
      <c r="A362" t="inlineStr">
        <is>
          <t>A 47093-2023</t>
        </is>
      </c>
      <c r="B362" t="inlineStr">
        <is>
          <t>avverkningsanmälan</t>
        </is>
      </c>
      <c r="C362" t="inlineStr">
        <is>
          <t>Föryngringsavverkning</t>
        </is>
      </c>
      <c r="D362" s="1" t="n">
        <v>45196</v>
      </c>
      <c r="E362" s="1" t="n">
        <v>46326</v>
      </c>
      <c r="F362" t="inlineStr">
        <is>
          <t>STOCKHOLMS LÄN</t>
        </is>
      </c>
      <c r="G362" t="inlineStr">
        <is>
          <t>NYNÄSHAMN</t>
        </is>
      </c>
      <c r="I362" t="n">
        <v>1</v>
      </c>
      <c r="J362" t="n">
        <v>0</v>
      </c>
      <c r="K362" t="n">
        <v>2</v>
      </c>
      <c r="L362" t="n">
        <v>0</v>
      </c>
      <c r="M362" t="n">
        <v>0</v>
      </c>
      <c r="N362" t="n">
        <v>0</v>
      </c>
      <c r="O362" t="n">
        <v>0</v>
      </c>
      <c r="P362" t="n">
        <v>0</v>
      </c>
      <c r="Q362" t="n">
        <v>0</v>
      </c>
      <c r="R362" t="n">
        <v>0</v>
      </c>
      <c r="S362" t="n">
        <v>2</v>
      </c>
      <c r="T362" t="n">
        <v>2</v>
      </c>
      <c r="U362" t="n">
        <v>2</v>
      </c>
      <c r="V362" s="2" t="inlineStr">
        <is>
          <t>Hasselticka
Myskmadra</t>
        </is>
      </c>
      <c r="W362">
        <f>HYPERLINK("https://klasma.github.io/Logging_0192/artfynd/A 47093-2023 artfynd.xlsx", "A 47093-2023")</f>
        <v/>
      </c>
      <c r="X362">
        <f>HYPERLINK("https://klasma.github.io/Logging_0192/kartor/A 47093-2023 karta.png", "A 47093-2023")</f>
        <v/>
      </c>
      <c r="Y362">
        <f>HYPERLINK("https://klasma.github.io/Logging_0192/kartor_geotiff/A 47093-2023 georefererad karta.tif", "A 47093-2023")</f>
        <v/>
      </c>
      <c r="AA362">
        <f>HYPERLINK("https://klasma.github.io/Logging_0192/klagomål/A 47093-2023 FSC-klagomål.docx", "A 47093-2023")</f>
        <v/>
      </c>
      <c r="AB362">
        <f>HYPERLINK("https://klasma.github.io/Logging_0192/klagomålsmail/A 47093-2023 FSC-klagomål mail.docx", "A 47093-2023")</f>
        <v/>
      </c>
      <c r="AC362">
        <f>HYPERLINK("https://klasma.github.io/Logging_0192/tillsyn/A 47093-2023 tillsynsbegäran.docx", "A 47093-2023")</f>
        <v/>
      </c>
      <c r="AD362">
        <f>HYPERLINK("https://klasma.github.io/Logging_0192/tillsynsmail/A 47093-2023 tillsynsbegäran mail.docx", "A 47093-2023")</f>
        <v/>
      </c>
    </row>
    <row r="363" ht="15" customHeight="1">
      <c r="A363" t="inlineStr">
        <is>
          <t>A 8939-2023</t>
        </is>
      </c>
      <c r="B363" t="inlineStr">
        <is>
          <t>avverkningsanmälan</t>
        </is>
      </c>
      <c r="C363" t="inlineStr">
        <is>
          <t>Föryngringsavverkning</t>
        </is>
      </c>
      <c r="D363" s="1" t="n">
        <v>44979</v>
      </c>
      <c r="E363" s="1" t="n">
        <v>46326</v>
      </c>
      <c r="F363" t="inlineStr">
        <is>
          <t>STOCKHOLMS LÄN</t>
        </is>
      </c>
      <c r="G363" t="inlineStr">
        <is>
          <t>NYNÄSHAMN</t>
        </is>
      </c>
      <c r="I363" t="n">
        <v>2.7</v>
      </c>
      <c r="J363" t="n">
        <v>0</v>
      </c>
      <c r="K363" t="n">
        <v>1</v>
      </c>
      <c r="L363" t="n">
        <v>1</v>
      </c>
      <c r="M363" t="n">
        <v>0</v>
      </c>
      <c r="N363" t="n">
        <v>0</v>
      </c>
      <c r="O363" t="n">
        <v>0</v>
      </c>
      <c r="P363" t="n">
        <v>0</v>
      </c>
      <c r="Q363" t="n">
        <v>1</v>
      </c>
      <c r="R363" t="n">
        <v>0</v>
      </c>
      <c r="S363" t="n">
        <v>2</v>
      </c>
      <c r="T363" t="n">
        <v>2</v>
      </c>
      <c r="U363" t="n">
        <v>0</v>
      </c>
      <c r="V363" s="2" t="inlineStr">
        <is>
          <t>Gullpudra
Strutbräken</t>
        </is>
      </c>
      <c r="W363">
        <f>HYPERLINK("https://klasma.github.io/Logging_0192/artfynd/A 8939-2023 artfynd.xlsx", "A 8939-2023")</f>
        <v/>
      </c>
      <c r="X363">
        <f>HYPERLINK("https://klasma.github.io/Logging_0192/kartor/A 8939-2023 karta.png", "A 8939-2023")</f>
        <v/>
      </c>
      <c r="Y363">
        <f>HYPERLINK("https://klasma.github.io/Logging_0192/kartor_geotiff/A 8939-2023 georefererad karta.tif", "A 8939-2023")</f>
        <v/>
      </c>
      <c r="AA363">
        <f>HYPERLINK("https://klasma.github.io/Logging_0192/klagomål/A 8939-2023 FSC-klagomål.docx", "A 8939-2023")</f>
        <v/>
      </c>
      <c r="AB363">
        <f>HYPERLINK("https://klasma.github.io/Logging_0192/klagomålsmail/A 8939-2023 FSC-klagomål mail.docx", "A 8939-2023")</f>
        <v/>
      </c>
      <c r="AC363">
        <f>HYPERLINK("https://klasma.github.io/Logging_0192/tillsyn/A 8939-2023 tillsynsbegäran.docx", "A 8939-2023")</f>
        <v/>
      </c>
      <c r="AD363">
        <f>HYPERLINK("https://klasma.github.io/Logging_0192/tillsynsmail/A 8939-2023 tillsynsbegäran mail.docx", "A 8939-2023")</f>
        <v/>
      </c>
    </row>
    <row r="364" ht="15" customHeight="1">
      <c r="A364" t="inlineStr">
        <is>
          <t>A 28733-2026</t>
        </is>
      </c>
      <c r="B364" t="inlineStr">
        <is>
          <t>avverkningsanmälan</t>
        </is>
      </c>
      <c r="C364" t="inlineStr">
        <is>
          <t>Föryngringsavverkning</t>
        </is>
      </c>
      <c r="D364" s="1" t="n">
        <v>46198</v>
      </c>
      <c r="E364" s="1" t="n">
        <v>46326</v>
      </c>
      <c r="F364" t="inlineStr">
        <is>
          <t>STOCKHOLMS LÄN</t>
        </is>
      </c>
      <c r="G364" t="inlineStr">
        <is>
          <t>NORRTÄLJE</t>
        </is>
      </c>
      <c r="I364" t="n">
        <v>0.7</v>
      </c>
      <c r="J364" t="n">
        <v>1</v>
      </c>
      <c r="K364" t="n">
        <v>1</v>
      </c>
      <c r="L364" t="n">
        <v>1</v>
      </c>
      <c r="M364" t="n">
        <v>0</v>
      </c>
      <c r="N364" t="n">
        <v>0</v>
      </c>
      <c r="O364" t="n">
        <v>0</v>
      </c>
      <c r="P364" t="n">
        <v>0</v>
      </c>
      <c r="Q364" t="n">
        <v>1</v>
      </c>
      <c r="R364" t="n">
        <v>0</v>
      </c>
      <c r="S364" t="n">
        <v>2</v>
      </c>
      <c r="T364" t="n">
        <v>2</v>
      </c>
      <c r="U364" t="n">
        <v>2</v>
      </c>
      <c r="V364" s="2" t="inlineStr">
        <is>
          <t>Talltita
Svart trolldruva</t>
        </is>
      </c>
      <c r="W364">
        <f>HYPERLINK("https://klasma.github.io/Logging_0188/artfynd/A 28733-2026 artfynd.xlsx", "A 28733-2026")</f>
        <v/>
      </c>
      <c r="X364">
        <f>HYPERLINK("https://klasma.github.io/Logging_0188/kartor/A 28733-2026 karta.png", "A 28733-2026")</f>
        <v/>
      </c>
      <c r="Y364">
        <f>HYPERLINK("https://klasma.github.io/Logging_0188/kartor_geotiff/A 28733-2026 georefererad karta.tif", "A 28733-2026")</f>
        <v/>
      </c>
      <c r="AA364">
        <f>HYPERLINK("https://klasma.github.io/Logging_0188/klagomål/A 28733-2026 FSC-klagomål.docx", "A 28733-2026")</f>
        <v/>
      </c>
      <c r="AB364">
        <f>HYPERLINK("https://klasma.github.io/Logging_0188/klagomålsmail/A 28733-2026 FSC-klagomål mail.docx", "A 28733-2026")</f>
        <v/>
      </c>
      <c r="AC364">
        <f>HYPERLINK("https://klasma.github.io/Logging_0188/tillsyn/A 28733-2026 tillsynsbegäran.docx", "A 28733-2026")</f>
        <v/>
      </c>
      <c r="AD364">
        <f>HYPERLINK("https://klasma.github.io/Logging_0188/tillsynsmail/A 28733-2026 tillsynsbegäran mail.docx", "A 28733-2026")</f>
        <v/>
      </c>
      <c r="AE364">
        <f>HYPERLINK("https://klasma.github.io/Logging_0188/fåglar/A 28733-2026 prioriterade fågelarter.docx", "A 28733-2026")</f>
        <v/>
      </c>
    </row>
    <row r="365" ht="15" customHeight="1">
      <c r="A365" t="inlineStr">
        <is>
          <t>A 16535-2025</t>
        </is>
      </c>
      <c r="B365" t="inlineStr">
        <is>
          <t>avverkningsanmälan</t>
        </is>
      </c>
      <c r="C365" t="inlineStr">
        <is>
          <t>Föryngringsavverkning</t>
        </is>
      </c>
      <c r="D365" s="1" t="n">
        <v>45751</v>
      </c>
      <c r="E365" s="1" t="n">
        <v>46326</v>
      </c>
      <c r="F365" t="inlineStr">
        <is>
          <t>STOCKHOLMS LÄN</t>
        </is>
      </c>
      <c r="G365" t="inlineStr">
        <is>
          <t>SÖDERTÄLJE</t>
        </is>
      </c>
      <c r="I365" t="n">
        <v>1.1</v>
      </c>
      <c r="J365" t="n">
        <v>1</v>
      </c>
      <c r="K365" t="n">
        <v>1</v>
      </c>
      <c r="L365" t="n">
        <v>0</v>
      </c>
      <c r="M365" t="n">
        <v>0</v>
      </c>
      <c r="N365" t="n">
        <v>0</v>
      </c>
      <c r="O365" t="n">
        <v>0</v>
      </c>
      <c r="P365" t="n">
        <v>0</v>
      </c>
      <c r="Q365" t="n">
        <v>0</v>
      </c>
      <c r="R365" t="n">
        <v>0</v>
      </c>
      <c r="S365" t="n">
        <v>2</v>
      </c>
      <c r="T365" t="n">
        <v>4</v>
      </c>
      <c r="U365" t="n">
        <v>0</v>
      </c>
      <c r="V365" s="2" t="inlineStr">
        <is>
          <t>Tibast
Blåsippa</t>
        </is>
      </c>
      <c r="W365">
        <f>HYPERLINK("https://klasma.github.io/Logging_0181/artfynd/A 16535-2025 artfynd.xlsx", "A 16535-2025")</f>
        <v/>
      </c>
      <c r="X365">
        <f>HYPERLINK("https://klasma.github.io/Logging_0181/kartor/A 16535-2025 karta.png", "A 16535-2025")</f>
        <v/>
      </c>
      <c r="Y365">
        <f>HYPERLINK("https://klasma.github.io/Logging_0181/kartor_geotiff/A 16535-2025 georefererad karta.tif", "A 16535-2025")</f>
        <v/>
      </c>
      <c r="AA365">
        <f>HYPERLINK("https://klasma.github.io/Logging_0181/klagomål/A 16535-2025 FSC-klagomål.docx", "A 16535-2025")</f>
        <v/>
      </c>
      <c r="AB365">
        <f>HYPERLINK("https://klasma.github.io/Logging_0181/klagomålsmail/A 16535-2025 FSC-klagomål mail.docx", "A 16535-2025")</f>
        <v/>
      </c>
      <c r="AC365">
        <f>HYPERLINK("https://klasma.github.io/Logging_0181/tillsyn/A 16535-2025 tillsynsbegäran.docx", "A 16535-2025")</f>
        <v/>
      </c>
      <c r="AD365">
        <f>HYPERLINK("https://klasma.github.io/Logging_0181/tillsynsmail/A 16535-2025 tillsynsbegäran mail.docx", "A 16535-2025")</f>
        <v/>
      </c>
    </row>
    <row r="366" ht="15" customHeight="1">
      <c r="A366" t="inlineStr">
        <is>
          <t>A 18100-2022</t>
        </is>
      </c>
      <c r="B366" t="inlineStr">
        <is>
          <t>avverkningsanmälan</t>
        </is>
      </c>
      <c r="C366" t="inlineStr">
        <is>
          <t>Föryngringsavverkning</t>
        </is>
      </c>
      <c r="D366" s="1" t="n">
        <v>44684</v>
      </c>
      <c r="E366" s="1" t="n">
        <v>46326</v>
      </c>
      <c r="F366" t="inlineStr">
        <is>
          <t>STOCKHOLMS LÄN</t>
        </is>
      </c>
      <c r="G366" t="inlineStr">
        <is>
          <t>BOTKYRKA</t>
        </is>
      </c>
      <c r="I366" t="n">
        <v>3.1</v>
      </c>
      <c r="J366" t="n">
        <v>1</v>
      </c>
      <c r="K366" t="n">
        <v>1</v>
      </c>
      <c r="L366" t="n">
        <v>0</v>
      </c>
      <c r="M366" t="n">
        <v>0</v>
      </c>
      <c r="N366" t="n">
        <v>0</v>
      </c>
      <c r="O366" t="n">
        <v>0</v>
      </c>
      <c r="P366" t="n">
        <v>0</v>
      </c>
      <c r="Q366" t="n">
        <v>0</v>
      </c>
      <c r="R366" t="n">
        <v>0</v>
      </c>
      <c r="S366" t="n">
        <v>2</v>
      </c>
      <c r="T366" t="n">
        <v>3</v>
      </c>
      <c r="U366" t="n">
        <v>3</v>
      </c>
      <c r="V366" s="2" t="inlineStr">
        <is>
          <t>Svart trolldruva
Gullviva</t>
        </is>
      </c>
      <c r="W366">
        <f>HYPERLINK("https://klasma.github.io/Logging_0127/artfynd/A 18100-2022 artfynd.xlsx", "A 18100-2022")</f>
        <v/>
      </c>
      <c r="X366">
        <f>HYPERLINK("https://klasma.github.io/Logging_0127/kartor/A 18100-2022 karta.png", "A 18100-2022")</f>
        <v/>
      </c>
      <c r="Y366">
        <f>HYPERLINK("https://klasma.github.io/Logging_0127/kartor_geotiff/A 18100-2022 georefererad karta.tif", "A 18100-2022")</f>
        <v/>
      </c>
      <c r="AA366">
        <f>HYPERLINK("https://klasma.github.io/Logging_0127/klagomål/A 18100-2022 FSC-klagomål.docx", "A 18100-2022")</f>
        <v/>
      </c>
      <c r="AB366">
        <f>HYPERLINK("https://klasma.github.io/Logging_0127/klagomålsmail/A 18100-2022 FSC-klagomål mail.docx", "A 18100-2022")</f>
        <v/>
      </c>
      <c r="AC366">
        <f>HYPERLINK("https://klasma.github.io/Logging_0127/tillsyn/A 18100-2022 tillsynsbegäran.docx", "A 18100-2022")</f>
        <v/>
      </c>
      <c r="AD366">
        <f>HYPERLINK("https://klasma.github.io/Logging_0127/tillsynsmail/A 18100-2022 tillsynsbegäran mail.docx", "A 18100-2022")</f>
        <v/>
      </c>
    </row>
    <row r="367" ht="15" customHeight="1">
      <c r="A367" t="inlineStr">
        <is>
          <t>A 12629-2024</t>
        </is>
      </c>
      <c r="B367" t="inlineStr">
        <is>
          <t>avverkningsanmälan</t>
        </is>
      </c>
      <c r="C367" t="inlineStr">
        <is>
          <t>Föryngringsavverkning</t>
        </is>
      </c>
      <c r="D367" s="1" t="n">
        <v>45383</v>
      </c>
      <c r="E367" s="1" t="n">
        <v>46326</v>
      </c>
      <c r="F367" t="inlineStr">
        <is>
          <t>STOCKHOLMS LÄN</t>
        </is>
      </c>
      <c r="G367" t="inlineStr">
        <is>
          <t>NORRTÄLJE</t>
        </is>
      </c>
      <c r="I367" t="n">
        <v>2.6</v>
      </c>
      <c r="J367" t="n">
        <v>2</v>
      </c>
      <c r="K367" t="n">
        <v>0</v>
      </c>
      <c r="L367" t="n">
        <v>1</v>
      </c>
      <c r="M367" t="n">
        <v>0</v>
      </c>
      <c r="N367" t="n">
        <v>0</v>
      </c>
      <c r="O367" t="n">
        <v>0</v>
      </c>
      <c r="P367" t="n">
        <v>0</v>
      </c>
      <c r="Q367" t="n">
        <v>1</v>
      </c>
      <c r="R367" t="n">
        <v>0</v>
      </c>
      <c r="S367" t="n">
        <v>2</v>
      </c>
      <c r="T367" t="n">
        <v>2</v>
      </c>
      <c r="U367" t="n">
        <v>1</v>
      </c>
      <c r="V367" s="2" t="inlineStr">
        <is>
          <t>Mindre hackspett
Sävsparv</t>
        </is>
      </c>
      <c r="W367">
        <f>HYPERLINK("https://klasma.github.io/Logging_0188/artfynd/A 12629-2024 artfynd.xlsx", "A 12629-2024")</f>
        <v/>
      </c>
      <c r="X367">
        <f>HYPERLINK("https://klasma.github.io/Logging_0188/kartor/A 12629-2024 karta.png", "A 12629-2024")</f>
        <v/>
      </c>
      <c r="Y367">
        <f>HYPERLINK("https://klasma.github.io/Logging_0188/kartor_geotiff/A 12629-2024 georefererad karta.tif", "A 12629-2024")</f>
        <v/>
      </c>
      <c r="AA367">
        <f>HYPERLINK("https://klasma.github.io/Logging_0188/klagomål/A 12629-2024 FSC-klagomål.docx", "A 12629-2024")</f>
        <v/>
      </c>
      <c r="AB367">
        <f>HYPERLINK("https://klasma.github.io/Logging_0188/klagomålsmail/A 12629-2024 FSC-klagomål mail.docx", "A 12629-2024")</f>
        <v/>
      </c>
      <c r="AC367">
        <f>HYPERLINK("https://klasma.github.io/Logging_0188/tillsyn/A 12629-2024 tillsynsbegäran.docx", "A 12629-2024")</f>
        <v/>
      </c>
      <c r="AD367">
        <f>HYPERLINK("https://klasma.github.io/Logging_0188/tillsynsmail/A 12629-2024 tillsynsbegäran mail.docx", "A 12629-2024")</f>
        <v/>
      </c>
      <c r="AE367">
        <f>HYPERLINK("https://klasma.github.io/Logging_0188/fåglar/A 12629-2024 prioriterade fågelarter.docx", "A 12629-2024")</f>
        <v/>
      </c>
    </row>
    <row r="368" ht="15" customHeight="1">
      <c r="A368" t="inlineStr">
        <is>
          <t>A 31569-2026</t>
        </is>
      </c>
      <c r="B368" t="inlineStr">
        <is>
          <t>avverkningsanmälan</t>
        </is>
      </c>
      <c r="C368" t="inlineStr">
        <is>
          <t>Avverkning för annat ändamål</t>
        </is>
      </c>
      <c r="D368" s="1" t="n">
        <v>46223</v>
      </c>
      <c r="E368" s="1" t="n">
        <v>46326</v>
      </c>
      <c r="F368" t="inlineStr">
        <is>
          <t>STOCKHOLMS LÄN</t>
        </is>
      </c>
      <c r="G368" t="inlineStr">
        <is>
          <t>HUDDINGE</t>
        </is>
      </c>
      <c r="H368" t="inlineStr">
        <is>
          <t>Kommuner</t>
        </is>
      </c>
      <c r="I368" t="n">
        <v>0.4</v>
      </c>
      <c r="J368" t="n">
        <v>0</v>
      </c>
      <c r="K368" t="n">
        <v>0</v>
      </c>
      <c r="L368" t="n">
        <v>0</v>
      </c>
      <c r="M368" t="n">
        <v>2</v>
      </c>
      <c r="N368" t="n">
        <v>0</v>
      </c>
      <c r="O368" t="n">
        <v>0</v>
      </c>
      <c r="P368" t="n">
        <v>0</v>
      </c>
      <c r="Q368" t="n">
        <v>2</v>
      </c>
      <c r="R368" t="n">
        <v>2</v>
      </c>
      <c r="S368" t="n">
        <v>2</v>
      </c>
      <c r="T368" t="n">
        <v>4</v>
      </c>
      <c r="U368" t="n">
        <v>0</v>
      </c>
      <c r="V368" s="2" t="inlineStr">
        <is>
          <t>Mindre blåvinge
Sexfläckig bastardsvärmare</t>
        </is>
      </c>
      <c r="W368">
        <f>HYPERLINK("https://klasma.github.io/Logging_0126/artfynd/A 31569-2026 artfynd.xlsx", "A 31569-2026")</f>
        <v/>
      </c>
      <c r="X368">
        <f>HYPERLINK("https://klasma.github.io/Logging_0126/kartor/A 31569-2026 karta.png", "A 31569-2026")</f>
        <v/>
      </c>
      <c r="Y368">
        <f>HYPERLINK("https://klasma.github.io/Logging_0126/kartor_geotiff/A 31569-2026 georefererad karta.tif", "A 31569-2026")</f>
        <v/>
      </c>
      <c r="AA368">
        <f>HYPERLINK("https://klasma.github.io/Logging_0126/klagomål/A 31569-2026 FSC-klagomål.docx", "A 31569-2026")</f>
        <v/>
      </c>
      <c r="AB368">
        <f>HYPERLINK("https://klasma.github.io/Logging_0126/klagomålsmail/A 31569-2026 FSC-klagomål mail.docx", "A 31569-2026")</f>
        <v/>
      </c>
      <c r="AC368">
        <f>HYPERLINK("https://klasma.github.io/Logging_0126/tillsyn/A 31569-2026 tillsynsbegäran.docx", "A 31569-2026")</f>
        <v/>
      </c>
      <c r="AD368">
        <f>HYPERLINK("https://klasma.github.io/Logging_0126/tillsynsmail/A 31569-2026 tillsynsbegäran mail.docx", "A 31569-2026")</f>
        <v/>
      </c>
    </row>
    <row r="369" ht="15" customHeight="1">
      <c r="A369" t="inlineStr">
        <is>
          <t>A 48839-2023</t>
        </is>
      </c>
      <c r="B369" t="inlineStr">
        <is>
          <t>avverkningsanmälan</t>
        </is>
      </c>
      <c r="C369" t="inlineStr">
        <is>
          <t>Föryngringsavverkning</t>
        </is>
      </c>
      <c r="D369" s="1" t="n">
        <v>45209</v>
      </c>
      <c r="E369" s="1" t="n">
        <v>46326</v>
      </c>
      <c r="F369" t="inlineStr">
        <is>
          <t>STOCKHOLMS LÄN</t>
        </is>
      </c>
      <c r="G369" t="inlineStr">
        <is>
          <t>EKERÖ</t>
        </is>
      </c>
      <c r="H369" t="inlineStr">
        <is>
          <t>Kyrkan</t>
        </is>
      </c>
      <c r="I369" t="n">
        <v>6</v>
      </c>
      <c r="J369" t="n">
        <v>1</v>
      </c>
      <c r="K369" t="n">
        <v>0</v>
      </c>
      <c r="L369" t="n">
        <v>1</v>
      </c>
      <c r="M369" t="n">
        <v>0</v>
      </c>
      <c r="N369" t="n">
        <v>0</v>
      </c>
      <c r="O369" t="n">
        <v>0</v>
      </c>
      <c r="P369" t="n">
        <v>0</v>
      </c>
      <c r="Q369" t="n">
        <v>1</v>
      </c>
      <c r="R369" t="n">
        <v>0</v>
      </c>
      <c r="S369" t="n">
        <v>2</v>
      </c>
      <c r="T369" t="n">
        <v>3</v>
      </c>
      <c r="U369" t="n">
        <v>0</v>
      </c>
      <c r="V369" s="2" t="inlineStr">
        <is>
          <t>Tallticka
Sångsvan</t>
        </is>
      </c>
      <c r="W369">
        <f>HYPERLINK("https://klasma.github.io/Logging_0125/artfynd/A 48839-2023 artfynd.xlsx", "A 48839-2023")</f>
        <v/>
      </c>
      <c r="X369">
        <f>HYPERLINK("https://klasma.github.io/Logging_0125/kartor/A 48839-2023 karta.png", "A 48839-2023")</f>
        <v/>
      </c>
      <c r="Y369">
        <f>HYPERLINK("https://klasma.github.io/Logging_0125/kartor_geotiff/A 48839-2023 georefererad karta.tif", "A 48839-2023")</f>
        <v/>
      </c>
      <c r="AA369">
        <f>HYPERLINK("https://klasma.github.io/Logging_0125/klagomål/A 48839-2023 FSC-klagomål.docx", "A 48839-2023")</f>
        <v/>
      </c>
      <c r="AB369">
        <f>HYPERLINK("https://klasma.github.io/Logging_0125/klagomålsmail/A 48839-2023 FSC-klagomål mail.docx", "A 48839-2023")</f>
        <v/>
      </c>
      <c r="AC369">
        <f>HYPERLINK("https://klasma.github.io/Logging_0125/tillsyn/A 48839-2023 tillsynsbegäran.docx", "A 48839-2023")</f>
        <v/>
      </c>
      <c r="AD369">
        <f>HYPERLINK("https://klasma.github.io/Logging_0125/tillsynsmail/A 48839-2023 tillsynsbegäran mail.docx", "A 48839-2023")</f>
        <v/>
      </c>
      <c r="AE369">
        <f>HYPERLINK("https://klasma.github.io/Logging_0125/fåglar/A 48839-2023 prioriterade fågelarter.docx", "A 48839-2023")</f>
        <v/>
      </c>
    </row>
    <row r="370" ht="15" customHeight="1">
      <c r="A370" t="inlineStr">
        <is>
          <t>A 39425-2026</t>
        </is>
      </c>
      <c r="B370" t="inlineStr">
        <is>
          <t>avverkningsanmälan</t>
        </is>
      </c>
      <c r="C370" t="inlineStr">
        <is>
          <t>Avverkning för att bevara och utveckla /försöksver</t>
        </is>
      </c>
      <c r="D370" s="1" t="n">
        <v>46288</v>
      </c>
      <c r="E370" s="1" t="n">
        <v>46326</v>
      </c>
      <c r="F370" t="inlineStr">
        <is>
          <t>STOCKHOLMS LÄN</t>
        </is>
      </c>
      <c r="G370" t="inlineStr">
        <is>
          <t>NORRTÄLJE</t>
        </is>
      </c>
      <c r="I370" t="n">
        <v>6.1</v>
      </c>
      <c r="J370" t="n">
        <v>0</v>
      </c>
      <c r="K370" t="n">
        <v>1</v>
      </c>
      <c r="L370" t="n">
        <v>1</v>
      </c>
      <c r="M370" t="n">
        <v>0</v>
      </c>
      <c r="N370" t="n">
        <v>0</v>
      </c>
      <c r="O370" t="n">
        <v>0</v>
      </c>
      <c r="P370" t="n">
        <v>0</v>
      </c>
      <c r="Q370" t="n">
        <v>1</v>
      </c>
      <c r="R370" t="n">
        <v>0</v>
      </c>
      <c r="S370" t="n">
        <v>2</v>
      </c>
      <c r="T370" t="n">
        <v>2</v>
      </c>
      <c r="U370" t="n">
        <v>0</v>
      </c>
      <c r="V370" s="2" t="inlineStr">
        <is>
          <t>Blastenia relicta
Läderskål</t>
        </is>
      </c>
      <c r="W370">
        <f>HYPERLINK("https://klasma.github.io/Logging_0188/artfynd/A 39425-2026 artfynd.xlsx", "A 39425-2026")</f>
        <v/>
      </c>
      <c r="X370">
        <f>HYPERLINK("https://klasma.github.io/Logging_0188/kartor/A 39425-2026 karta.png", "A 39425-2026")</f>
        <v/>
      </c>
      <c r="Y370">
        <f>HYPERLINK("https://klasma.github.io/Logging_0188/kartor_geotiff/A 39425-2026 georefererad karta.tif", "A 39425-2026")</f>
        <v/>
      </c>
      <c r="AA370">
        <f>HYPERLINK("https://klasma.github.io/Logging_0188/klagomål/A 39425-2026 FSC-klagomål.docx", "A 39425-2026")</f>
        <v/>
      </c>
      <c r="AB370">
        <f>HYPERLINK("https://klasma.github.io/Logging_0188/klagomålsmail/A 39425-2026 FSC-klagomål mail.docx", "A 39425-2026")</f>
        <v/>
      </c>
      <c r="AC370">
        <f>HYPERLINK("https://klasma.github.io/Logging_0188/tillsyn/A 39425-2026 tillsynsbegäran.docx", "A 39425-2026")</f>
        <v/>
      </c>
      <c r="AD370">
        <f>HYPERLINK("https://klasma.github.io/Logging_0188/tillsynsmail/A 39425-2026 tillsynsbegäran mail.docx", "A 39425-2026")</f>
        <v/>
      </c>
    </row>
    <row r="371" ht="15" customHeight="1">
      <c r="A371" t="inlineStr">
        <is>
          <t>A 33430-2026</t>
        </is>
      </c>
      <c r="B371" t="inlineStr">
        <is>
          <t>avverkningsanmälan</t>
        </is>
      </c>
      <c r="C371" t="inlineStr">
        <is>
          <t>Föryngringsavverkning</t>
        </is>
      </c>
      <c r="D371" s="1" t="n">
        <v>46247</v>
      </c>
      <c r="E371" s="1" t="n">
        <v>46326</v>
      </c>
      <c r="F371" t="inlineStr">
        <is>
          <t>STOCKHOLMS LÄN</t>
        </is>
      </c>
      <c r="G371" t="inlineStr">
        <is>
          <t>NORRTÄLJE</t>
        </is>
      </c>
      <c r="I371" t="n">
        <v>1.1</v>
      </c>
      <c r="J371" t="n">
        <v>0</v>
      </c>
      <c r="K371" t="n">
        <v>1</v>
      </c>
      <c r="L371" t="n">
        <v>1</v>
      </c>
      <c r="M371" t="n">
        <v>0</v>
      </c>
      <c r="N371" t="n">
        <v>0</v>
      </c>
      <c r="O371" t="n">
        <v>0</v>
      </c>
      <c r="P371" t="n">
        <v>0</v>
      </c>
      <c r="Q371" t="n">
        <v>1</v>
      </c>
      <c r="R371" t="n">
        <v>0</v>
      </c>
      <c r="S371" t="n">
        <v>2</v>
      </c>
      <c r="T371" t="n">
        <v>2</v>
      </c>
      <c r="U371" t="n">
        <v>0</v>
      </c>
      <c r="V371" s="2" t="inlineStr">
        <is>
          <t>Tjockfotad fingersvamp
Diskvaxskivling</t>
        </is>
      </c>
      <c r="W371">
        <f>HYPERLINK("https://klasma.github.io/Logging_0188/artfynd/A 33430-2026 artfynd.xlsx", "A 33430-2026")</f>
        <v/>
      </c>
      <c r="X371">
        <f>HYPERLINK("https://klasma.github.io/Logging_0188/kartor/A 33430-2026 karta.png", "A 33430-2026")</f>
        <v/>
      </c>
      <c r="Y371">
        <f>HYPERLINK("https://klasma.github.io/Logging_0188/kartor_geotiff/A 33430-2026 georefererad karta.tif", "A 33430-2026")</f>
        <v/>
      </c>
      <c r="AA371">
        <f>HYPERLINK("https://klasma.github.io/Logging_0188/klagomål/A 33430-2026 FSC-klagomål.docx", "A 33430-2026")</f>
        <v/>
      </c>
      <c r="AB371">
        <f>HYPERLINK("https://klasma.github.io/Logging_0188/klagomålsmail/A 33430-2026 FSC-klagomål mail.docx", "A 33430-2026")</f>
        <v/>
      </c>
      <c r="AC371">
        <f>HYPERLINK("https://klasma.github.io/Logging_0188/tillsyn/A 33430-2026 tillsynsbegäran.docx", "A 33430-2026")</f>
        <v/>
      </c>
      <c r="AD371">
        <f>HYPERLINK("https://klasma.github.io/Logging_0188/tillsynsmail/A 33430-2026 tillsynsbegäran mail.docx", "A 33430-2026")</f>
        <v/>
      </c>
    </row>
    <row r="372" ht="15" customHeight="1">
      <c r="A372" t="inlineStr">
        <is>
          <t>A 40569-2026</t>
        </is>
      </c>
      <c r="B372" t="inlineStr">
        <is>
          <t>avverkningsanmälan</t>
        </is>
      </c>
      <c r="C372" t="inlineStr">
        <is>
          <t>Föryngringsavverkning</t>
        </is>
      </c>
      <c r="D372" s="1" t="n">
        <v>46295</v>
      </c>
      <c r="E372" s="1" t="n">
        <v>46326</v>
      </c>
      <c r="F372" t="inlineStr">
        <is>
          <t>STOCKHOLMS LÄN</t>
        </is>
      </c>
      <c r="G372" t="inlineStr">
        <is>
          <t>NORRTÄLJE</t>
        </is>
      </c>
      <c r="I372" t="n">
        <v>4.1</v>
      </c>
      <c r="J372" t="n">
        <v>0</v>
      </c>
      <c r="K372" t="n">
        <v>1</v>
      </c>
      <c r="L372" t="n">
        <v>1</v>
      </c>
      <c r="M372" t="n">
        <v>0</v>
      </c>
      <c r="N372" t="n">
        <v>0</v>
      </c>
      <c r="O372" t="n">
        <v>0</v>
      </c>
      <c r="P372" t="n">
        <v>0</v>
      </c>
      <c r="Q372" t="n">
        <v>1</v>
      </c>
      <c r="R372" t="n">
        <v>0</v>
      </c>
      <c r="S372" t="n">
        <v>2</v>
      </c>
      <c r="T372" t="n">
        <v>2</v>
      </c>
      <c r="U372" t="n">
        <v>0</v>
      </c>
      <c r="V372" s="2" t="inlineStr">
        <is>
          <t>Tallkötticka
Blodvaxing</t>
        </is>
      </c>
      <c r="W372">
        <f>HYPERLINK("https://klasma.github.io/Logging_0188/artfynd/A 40569-2026 artfynd.xlsx", "A 40569-2026")</f>
        <v/>
      </c>
      <c r="X372">
        <f>HYPERLINK("https://klasma.github.io/Logging_0188/kartor/A 40569-2026 karta.png", "A 40569-2026")</f>
        <v/>
      </c>
      <c r="Y372">
        <f>HYPERLINK("https://klasma.github.io/Logging_0188/kartor_geotiff/A 40569-2026 georefererad karta.tif", "A 40569-2026")</f>
        <v/>
      </c>
      <c r="AA372">
        <f>HYPERLINK("https://klasma.github.io/Logging_0188/klagomål/A 40569-2026 FSC-klagomål.docx", "A 40569-2026")</f>
        <v/>
      </c>
      <c r="AB372">
        <f>HYPERLINK("https://klasma.github.io/Logging_0188/klagomålsmail/A 40569-2026 FSC-klagomål mail.docx", "A 40569-2026")</f>
        <v/>
      </c>
      <c r="AC372">
        <f>HYPERLINK("https://klasma.github.io/Logging_0188/tillsyn/A 40569-2026 tillsynsbegäran.docx", "A 40569-2026")</f>
        <v/>
      </c>
      <c r="AD372">
        <f>HYPERLINK("https://klasma.github.io/Logging_0188/tillsynsmail/A 40569-2026 tillsynsbegäran mail.docx", "A 40569-2026")</f>
        <v/>
      </c>
    </row>
    <row r="373" ht="15" customHeight="1">
      <c r="A373" t="inlineStr">
        <is>
          <t>A 27935-2026</t>
        </is>
      </c>
      <c r="B373" t="inlineStr">
        <is>
          <t>avverkningsanmälan</t>
        </is>
      </c>
      <c r="C373" t="inlineStr">
        <is>
          <t>Avverkning för annat ändamål</t>
        </is>
      </c>
      <c r="D373" s="1" t="n">
        <v>46191</v>
      </c>
      <c r="E373" s="1" t="n">
        <v>46326</v>
      </c>
      <c r="F373" t="inlineStr">
        <is>
          <t>STOCKHOLMS LÄN</t>
        </is>
      </c>
      <c r="G373" t="inlineStr">
        <is>
          <t>VALLENTUNA</t>
        </is>
      </c>
      <c r="I373" t="n">
        <v>5</v>
      </c>
      <c r="J373" t="n">
        <v>2</v>
      </c>
      <c r="K373" t="n">
        <v>0</v>
      </c>
      <c r="L373" t="n">
        <v>0</v>
      </c>
      <c r="M373" t="n">
        <v>0</v>
      </c>
      <c r="N373" t="n">
        <v>0</v>
      </c>
      <c r="O373" t="n">
        <v>0</v>
      </c>
      <c r="P373" t="n">
        <v>0</v>
      </c>
      <c r="Q373" t="n">
        <v>0</v>
      </c>
      <c r="R373" t="n">
        <v>0</v>
      </c>
      <c r="S373" t="n">
        <v>2</v>
      </c>
      <c r="T373" t="n">
        <v>9</v>
      </c>
      <c r="U373" t="n">
        <v>0</v>
      </c>
      <c r="V373" s="2" t="inlineStr">
        <is>
          <t>Större vattensalamander
Mindre vattensalamander</t>
        </is>
      </c>
      <c r="W373">
        <f>HYPERLINK("https://klasma.github.io/Logging_0115/artfynd/A 27935-2026 artfynd.xlsx", "A 27935-2026")</f>
        <v/>
      </c>
      <c r="X373">
        <f>HYPERLINK("https://klasma.github.io/Logging_0115/kartor/A 27935-2026 karta.png", "A 27935-2026")</f>
        <v/>
      </c>
      <c r="Y373">
        <f>HYPERLINK("https://klasma.github.io/Logging_0115/kartor_geotiff/A 27935-2026 georefererad karta.tif", "A 27935-2026")</f>
        <v/>
      </c>
      <c r="AA373">
        <f>HYPERLINK("https://klasma.github.io/Logging_0115/klagomål/A 27935-2026 FSC-klagomål.docx", "A 27935-2026")</f>
        <v/>
      </c>
      <c r="AB373">
        <f>HYPERLINK("https://klasma.github.io/Logging_0115/klagomålsmail/A 27935-2026 FSC-klagomål mail.docx", "A 27935-2026")</f>
        <v/>
      </c>
      <c r="AC373">
        <f>HYPERLINK("https://klasma.github.io/Logging_0115/tillsyn/A 27935-2026 tillsynsbegäran.docx", "A 27935-2026")</f>
        <v/>
      </c>
      <c r="AD373">
        <f>HYPERLINK("https://klasma.github.io/Logging_0115/tillsynsmail/A 27935-2026 tillsynsbegäran mail.docx", "A 27935-2026")</f>
        <v/>
      </c>
    </row>
    <row r="374" ht="15" customHeight="1">
      <c r="A374" t="inlineStr">
        <is>
          <t>A 43121-2026</t>
        </is>
      </c>
      <c r="B374" t="inlineStr">
        <is>
          <t>avverkningsanmälan</t>
        </is>
      </c>
      <c r="C374" t="inlineStr">
        <is>
          <t>Föryngringsavverkning</t>
        </is>
      </c>
      <c r="D374" s="1" t="n">
        <v>46311</v>
      </c>
      <c r="E374" s="1" t="n">
        <v>46326</v>
      </c>
      <c r="F374" t="inlineStr">
        <is>
          <t>STOCKHOLMS LÄN</t>
        </is>
      </c>
      <c r="G374" t="inlineStr">
        <is>
          <t>NORRTÄLJE</t>
        </is>
      </c>
      <c r="I374" t="n">
        <v>8.6</v>
      </c>
      <c r="J374" t="n">
        <v>2</v>
      </c>
      <c r="K374" t="n">
        <v>0</v>
      </c>
      <c r="L374" t="n">
        <v>0</v>
      </c>
      <c r="M374" t="n">
        <v>0</v>
      </c>
      <c r="N374" t="n">
        <v>0</v>
      </c>
      <c r="O374" t="n">
        <v>0</v>
      </c>
      <c r="P374" t="n">
        <v>0</v>
      </c>
      <c r="Q374" t="n">
        <v>0</v>
      </c>
      <c r="R374" t="n">
        <v>0</v>
      </c>
      <c r="S374" t="n">
        <v>2</v>
      </c>
      <c r="T374" t="n">
        <v>2</v>
      </c>
      <c r="U374" t="n">
        <v>0</v>
      </c>
      <c r="V374" s="2" t="inlineStr">
        <is>
          <t>Grönsiska
Fläcknycklar</t>
        </is>
      </c>
      <c r="W374">
        <f>HYPERLINK("https://klasma.github.io/Logging_0188/artfynd/A 43121-2026 artfynd.xlsx", "A 43121-2026")</f>
        <v/>
      </c>
      <c r="X374">
        <f>HYPERLINK("https://klasma.github.io/Logging_0188/kartor/A 43121-2026 karta.png", "A 43121-2026")</f>
        <v/>
      </c>
      <c r="Y374">
        <f>HYPERLINK("https://klasma.github.io/Logging_0188/kartor_geotiff/A 43121-2026 georefererad karta.tif", "A 43121-2026")</f>
        <v/>
      </c>
      <c r="AA374">
        <f>HYPERLINK("https://klasma.github.io/Logging_0188/klagomål/A 43121-2026 FSC-klagomål.docx", "A 43121-2026")</f>
        <v/>
      </c>
      <c r="AB374">
        <f>HYPERLINK("https://klasma.github.io/Logging_0188/klagomålsmail/A 43121-2026 FSC-klagomål mail.docx", "A 43121-2026")</f>
        <v/>
      </c>
      <c r="AC374">
        <f>HYPERLINK("https://klasma.github.io/Logging_0188/tillsyn/A 43121-2026 tillsynsbegäran.docx", "A 43121-2026")</f>
        <v/>
      </c>
      <c r="AD374">
        <f>HYPERLINK("https://klasma.github.io/Logging_0188/tillsynsmail/A 43121-2026 tillsynsbegäran mail.docx", "A 43121-2026")</f>
        <v/>
      </c>
    </row>
    <row r="375" ht="15" customHeight="1">
      <c r="A375" t="inlineStr">
        <is>
          <t>A 37238-2026</t>
        </is>
      </c>
      <c r="B375" t="inlineStr">
        <is>
          <t>avverkningsanmälan</t>
        </is>
      </c>
      <c r="C375" t="inlineStr">
        <is>
          <t>Föryngringsavverkning</t>
        </is>
      </c>
      <c r="D375" s="1" t="n">
        <v>46274</v>
      </c>
      <c r="E375" s="1" t="n">
        <v>46326</v>
      </c>
      <c r="F375" t="inlineStr">
        <is>
          <t>STOCKHOLMS LÄN</t>
        </is>
      </c>
      <c r="G375" t="inlineStr">
        <is>
          <t>NYKVARN</t>
        </is>
      </c>
      <c r="I375" t="n">
        <v>2.7</v>
      </c>
      <c r="J375" t="n">
        <v>1</v>
      </c>
      <c r="K375" t="n">
        <v>2</v>
      </c>
      <c r="L375" t="n">
        <v>0</v>
      </c>
      <c r="M375" t="n">
        <v>0</v>
      </c>
      <c r="N375" t="n">
        <v>0</v>
      </c>
      <c r="O375" t="n">
        <v>0</v>
      </c>
      <c r="P375" t="n">
        <v>0</v>
      </c>
      <c r="Q375" t="n">
        <v>0</v>
      </c>
      <c r="R375" t="n">
        <v>0</v>
      </c>
      <c r="S375" t="n">
        <v>2</v>
      </c>
      <c r="T375" t="n">
        <v>2</v>
      </c>
      <c r="U375" t="n">
        <v>0</v>
      </c>
      <c r="V375" s="2" t="inlineStr">
        <is>
          <t>Skogsknipprot
Svart trolldruva</t>
        </is>
      </c>
      <c r="W375">
        <f>HYPERLINK("https://klasma.github.io/Logging_0140/artfynd/A 37238-2026 artfynd.xlsx", "A 37238-2026")</f>
        <v/>
      </c>
      <c r="X375">
        <f>HYPERLINK("https://klasma.github.io/Logging_0140/kartor/A 37238-2026 karta.png", "A 37238-2026")</f>
        <v/>
      </c>
      <c r="Y375">
        <f>HYPERLINK("https://klasma.github.io/Logging_0140/kartor_geotiff/A 37238-2026 georefererad karta.tif", "A 37238-2026")</f>
        <v/>
      </c>
      <c r="AA375">
        <f>HYPERLINK("https://klasma.github.io/Logging_0140/klagomål/A 37238-2026 FSC-klagomål.docx", "A 37238-2026")</f>
        <v/>
      </c>
      <c r="AB375">
        <f>HYPERLINK("https://klasma.github.io/Logging_0140/klagomålsmail/A 37238-2026 FSC-klagomål mail.docx", "A 37238-2026")</f>
        <v/>
      </c>
      <c r="AC375">
        <f>HYPERLINK("https://klasma.github.io/Logging_0140/tillsyn/A 37238-2026 tillsynsbegäran.docx", "A 37238-2026")</f>
        <v/>
      </c>
      <c r="AD375">
        <f>HYPERLINK("https://klasma.github.io/Logging_0140/tillsynsmail/A 37238-2026 tillsynsbegäran mail.docx", "A 37238-2026")</f>
        <v/>
      </c>
    </row>
    <row r="376" ht="15" customHeight="1">
      <c r="A376" t="inlineStr">
        <is>
          <t>A 21821-2026</t>
        </is>
      </c>
      <c r="B376" t="inlineStr">
        <is>
          <t>avverkningsanmälan</t>
        </is>
      </c>
      <c r="C376" t="inlineStr">
        <is>
          <t>Föryngringsavverkning</t>
        </is>
      </c>
      <c r="D376" s="1" t="n">
        <v>46150</v>
      </c>
      <c r="E376" s="1" t="n">
        <v>46326</v>
      </c>
      <c r="F376" t="inlineStr">
        <is>
          <t>STOCKHOLMS LÄN</t>
        </is>
      </c>
      <c r="G376" t="inlineStr">
        <is>
          <t>NORRTÄLJE</t>
        </is>
      </c>
      <c r="I376" t="n">
        <v>2.6</v>
      </c>
      <c r="J376" t="n">
        <v>1</v>
      </c>
      <c r="K376" t="n">
        <v>0</v>
      </c>
      <c r="L376" t="n">
        <v>0</v>
      </c>
      <c r="M376" t="n">
        <v>2</v>
      </c>
      <c r="N376" t="n">
        <v>0</v>
      </c>
      <c r="O376" t="n">
        <v>0</v>
      </c>
      <c r="P376" t="n">
        <v>0</v>
      </c>
      <c r="Q376" t="n">
        <v>2</v>
      </c>
      <c r="R376" t="n">
        <v>2</v>
      </c>
      <c r="S376" t="n">
        <v>2</v>
      </c>
      <c r="T376" t="n">
        <v>3</v>
      </c>
      <c r="U376" t="n">
        <v>0</v>
      </c>
      <c r="V376" s="2" t="inlineStr">
        <is>
          <t>Bredgentiana
Fältgentiana</t>
        </is>
      </c>
      <c r="W376">
        <f>HYPERLINK("https://klasma.github.io/Logging_0188/artfynd/A 21821-2026 artfynd.xlsx", "A 21821-2026")</f>
        <v/>
      </c>
      <c r="X376">
        <f>HYPERLINK("https://klasma.github.io/Logging_0188/kartor/A 21821-2026 karta.png", "A 21821-2026")</f>
        <v/>
      </c>
      <c r="Y376">
        <f>HYPERLINK("https://klasma.github.io/Logging_0188/kartor_geotiff/A 21821-2026 georefererad karta.tif", "A 21821-2026")</f>
        <v/>
      </c>
      <c r="AA376">
        <f>HYPERLINK("https://klasma.github.io/Logging_0188/klagomål/A 21821-2026 FSC-klagomål.docx", "A 21821-2026")</f>
        <v/>
      </c>
      <c r="AB376">
        <f>HYPERLINK("https://klasma.github.io/Logging_0188/klagomålsmail/A 21821-2026 FSC-klagomål mail.docx", "A 21821-2026")</f>
        <v/>
      </c>
      <c r="AC376">
        <f>HYPERLINK("https://klasma.github.io/Logging_0188/tillsyn/A 21821-2026 tillsynsbegäran.docx", "A 21821-2026")</f>
        <v/>
      </c>
      <c r="AD376">
        <f>HYPERLINK("https://klasma.github.io/Logging_0188/tillsynsmail/A 21821-2026 tillsynsbegäran mail.docx", "A 21821-2026")</f>
        <v/>
      </c>
    </row>
    <row r="377" ht="15" customHeight="1">
      <c r="A377" t="inlineStr">
        <is>
          <t>A 45111-2026</t>
        </is>
      </c>
      <c r="B377" t="inlineStr">
        <is>
          <t>avverkningsanmälan</t>
        </is>
      </c>
      <c r="C377" t="inlineStr">
        <is>
          <t>Föryngringsavverkning</t>
        </is>
      </c>
      <c r="D377" s="1" t="n">
        <v>46324</v>
      </c>
      <c r="E377" s="1" t="n">
        <v>46326</v>
      </c>
      <c r="F377" t="inlineStr">
        <is>
          <t>STOCKHOLMS LÄN</t>
        </is>
      </c>
      <c r="G377" t="inlineStr">
        <is>
          <t>SÖDERTÄLJE</t>
        </is>
      </c>
      <c r="H377" t="inlineStr">
        <is>
          <t>Sveaskog</t>
        </is>
      </c>
      <c r="I377" t="n">
        <v>7</v>
      </c>
      <c r="J377" t="n">
        <v>1</v>
      </c>
      <c r="K377" t="n">
        <v>0</v>
      </c>
      <c r="L377" t="n">
        <v>1</v>
      </c>
      <c r="M377" t="n">
        <v>0</v>
      </c>
      <c r="N377" t="n">
        <v>0</v>
      </c>
      <c r="O377" t="n">
        <v>0</v>
      </c>
      <c r="P377" t="n">
        <v>0</v>
      </c>
      <c r="Q377" t="n">
        <v>1</v>
      </c>
      <c r="R377" t="n">
        <v>0</v>
      </c>
      <c r="S377" t="n">
        <v>2</v>
      </c>
      <c r="T377" t="n">
        <v>3</v>
      </c>
      <c r="U377" t="n">
        <v>0</v>
      </c>
      <c r="V377" s="2" t="inlineStr">
        <is>
          <t>Motaggsvamp
Revlummer</t>
        </is>
      </c>
      <c r="W377">
        <f>HYPERLINK("https://klasma.github.io/Logging_0181/artfynd/A 45111-2026 artfynd.xlsx", "A 45111-2026")</f>
        <v/>
      </c>
      <c r="X377">
        <f>HYPERLINK("https://klasma.github.io/Logging_0181/kartor/A 45111-2026 karta.png", "A 45111-2026")</f>
        <v/>
      </c>
      <c r="Y377">
        <f>HYPERLINK("https://klasma.github.io/Logging_0181/kartor_geotiff/A 45111-2026 georefererad karta.tif", "A 45111-2026")</f>
        <v/>
      </c>
      <c r="AA377">
        <f>HYPERLINK("https://klasma.github.io/Logging_0181/klagomål/A 45111-2026 FSC-klagomål.docx", "A 45111-2026")</f>
        <v/>
      </c>
      <c r="AB377">
        <f>HYPERLINK("https://klasma.github.io/Logging_0181/klagomålsmail/A 45111-2026 FSC-klagomål mail.docx", "A 45111-2026")</f>
        <v/>
      </c>
      <c r="AC377">
        <f>HYPERLINK("https://klasma.github.io/Logging_0181/tillsyn/A 45111-2026 tillsynsbegäran.docx", "A 45111-2026")</f>
        <v/>
      </c>
      <c r="AD377">
        <f>HYPERLINK("https://klasma.github.io/Logging_0181/tillsynsmail/A 45111-2026 tillsynsbegäran mail.docx", "A 45111-2026")</f>
        <v/>
      </c>
    </row>
    <row r="378" ht="15" customHeight="1">
      <c r="A378" t="inlineStr">
        <is>
          <t>S 403-2021</t>
        </is>
      </c>
      <c r="B378" t="inlineStr">
        <is>
          <t>samrådsanmälan</t>
        </is>
      </c>
      <c r="C378" t="inlineStr">
        <is>
          <t>Åtgärd i nyckelbiotop</t>
        </is>
      </c>
      <c r="D378" s="1" t="n">
        <v>44257</v>
      </c>
      <c r="E378" s="1" t="n">
        <v>46326</v>
      </c>
      <c r="F378" t="inlineStr">
        <is>
          <t>STOCKHOLMS LÄN</t>
        </is>
      </c>
      <c r="G378" t="inlineStr">
        <is>
          <t>VÄRMDÖ</t>
        </is>
      </c>
      <c r="I378" t="n">
        <v>8</v>
      </c>
      <c r="J378" t="n">
        <v>0</v>
      </c>
      <c r="K378" t="n">
        <v>0</v>
      </c>
      <c r="L378" t="n">
        <v>1</v>
      </c>
      <c r="M378" t="n">
        <v>0</v>
      </c>
      <c r="N378" t="n">
        <v>1</v>
      </c>
      <c r="O378" t="n">
        <v>0</v>
      </c>
      <c r="P378" t="n">
        <v>0</v>
      </c>
      <c r="Q378" t="n">
        <v>2</v>
      </c>
      <c r="R378" t="n">
        <v>1</v>
      </c>
      <c r="S378" t="n">
        <v>2</v>
      </c>
      <c r="T378" t="n">
        <v>5</v>
      </c>
      <c r="U378" t="n">
        <v>4</v>
      </c>
      <c r="V378" s="2" t="inlineStr">
        <is>
          <t>Ask
Vippärt</t>
        </is>
      </c>
      <c r="W378">
        <f>HYPERLINK("https://klasma.github.io/Logging_0120/artfynd/S 403-2021 artfynd.xlsx", "S 403-2021")</f>
        <v/>
      </c>
      <c r="X378">
        <f>HYPERLINK("https://klasma.github.io/Logging_0120/kartor/S 403-2021 karta.png", "S 403-2021")</f>
        <v/>
      </c>
      <c r="Y378">
        <f>HYPERLINK("https://klasma.github.io/Logging_0120/kartor_geotiff/S 403-2021 georefererad karta.tif", "S 403-2021")</f>
        <v/>
      </c>
      <c r="AA378">
        <f>HYPERLINK("https://klasma.github.io/Logging_0120/klagomål/S 403-2021 FSC-klagomål.docx", "S 403-2021")</f>
        <v/>
      </c>
      <c r="AB378">
        <f>HYPERLINK("https://klasma.github.io/Logging_0120/klagomålsmail/S 403-2021 FSC-klagomål mail.docx", "S 403-2021")</f>
        <v/>
      </c>
      <c r="AC378">
        <f>HYPERLINK("https://klasma.github.io/Logging_0120/tillsyn/S 403-2021 tillsynsbegäran.docx", "S 403-2021")</f>
        <v/>
      </c>
      <c r="AD378">
        <f>HYPERLINK("https://klasma.github.io/Logging_0120/tillsynsmail/S 403-2021 tillsynsbegäran mail.docx", "S 403-2021")</f>
        <v/>
      </c>
    </row>
    <row r="379" ht="15" customHeight="1">
      <c r="A379" t="inlineStr">
        <is>
          <t>S 800-2022</t>
        </is>
      </c>
      <c r="B379" t="inlineStr">
        <is>
          <t>samrådsanmälan</t>
        </is>
      </c>
      <c r="C379" t="inlineStr">
        <is>
          <t>Annan skogsbruksåtgärd</t>
        </is>
      </c>
      <c r="D379" s="1" t="n">
        <v>44603</v>
      </c>
      <c r="E379" s="1" t="n">
        <v>46326</v>
      </c>
      <c r="F379" t="inlineStr">
        <is>
          <t>STOCKHOLMS LÄN</t>
        </is>
      </c>
      <c r="G379" t="inlineStr">
        <is>
          <t>UPPLANDS-BRO</t>
        </is>
      </c>
      <c r="I379" t="n">
        <v>4.3</v>
      </c>
      <c r="J379" t="n">
        <v>1</v>
      </c>
      <c r="K379" t="n">
        <v>0</v>
      </c>
      <c r="L379" t="n">
        <v>0</v>
      </c>
      <c r="M379" t="n">
        <v>0</v>
      </c>
      <c r="N379" t="n">
        <v>1</v>
      </c>
      <c r="O379" t="n">
        <v>0</v>
      </c>
      <c r="P379" t="n">
        <v>0</v>
      </c>
      <c r="Q379" t="n">
        <v>1</v>
      </c>
      <c r="R379" t="n">
        <v>1</v>
      </c>
      <c r="S379" t="n">
        <v>2</v>
      </c>
      <c r="T379" t="n">
        <v>7</v>
      </c>
      <c r="U379" t="n">
        <v>1</v>
      </c>
      <c r="V379" s="2" t="inlineStr">
        <is>
          <t>Ask
Mistel</t>
        </is>
      </c>
      <c r="W379">
        <f>HYPERLINK("https://klasma.github.io/Logging_0139/artfynd/S 800-2022 artfynd.xlsx", "S 800-2022")</f>
        <v/>
      </c>
      <c r="X379">
        <f>HYPERLINK("https://klasma.github.io/Logging_0139/kartor/S 800-2022 karta.png", "S 800-2022")</f>
        <v/>
      </c>
      <c r="Y379">
        <f>HYPERLINK("https://klasma.github.io/Logging_0139/kartor_geotiff/S 800-2022 georefererad karta.tif", "S 800-2022")</f>
        <v/>
      </c>
      <c r="AA379">
        <f>HYPERLINK("https://klasma.github.io/Logging_0139/klagomål/S 800-2022 FSC-klagomål.docx", "S 800-2022")</f>
        <v/>
      </c>
      <c r="AB379">
        <f>HYPERLINK("https://klasma.github.io/Logging_0139/klagomålsmail/S 800-2022 FSC-klagomål mail.docx", "S 800-2022")</f>
        <v/>
      </c>
      <c r="AC379">
        <f>HYPERLINK("https://klasma.github.io/Logging_0139/tillsyn/S 800-2022 tillsynsbegäran.docx", "S 800-2022")</f>
        <v/>
      </c>
      <c r="AD379">
        <f>HYPERLINK("https://klasma.github.io/Logging_0139/tillsynsmail/S 800-2022 tillsynsbegäran mail.docx", "S 800-2022")</f>
        <v/>
      </c>
    </row>
    <row r="380" ht="15" customHeight="1">
      <c r="A380" t="inlineStr">
        <is>
          <t>S 6865-2022</t>
        </is>
      </c>
      <c r="B380" t="inlineStr">
        <is>
          <t>samrådsanmälan</t>
        </is>
      </c>
      <c r="C380" t="inlineStr">
        <is>
          <t>Annan skogsbruksåtgärd</t>
        </is>
      </c>
      <c r="D380" s="1" t="n">
        <v>44896</v>
      </c>
      <c r="E380" s="1" t="n">
        <v>46326</v>
      </c>
      <c r="F380" t="inlineStr">
        <is>
          <t>STOCKHOLMS LÄN</t>
        </is>
      </c>
      <c r="G380" t="inlineStr">
        <is>
          <t>NORRTÄLJE</t>
        </is>
      </c>
      <c r="I380" t="n">
        <v>2.9</v>
      </c>
      <c r="J380" t="n">
        <v>1</v>
      </c>
      <c r="K380" t="n">
        <v>1</v>
      </c>
      <c r="L380" t="n">
        <v>1</v>
      </c>
      <c r="M380" t="n">
        <v>0</v>
      </c>
      <c r="N380" t="n">
        <v>0</v>
      </c>
      <c r="O380" t="n">
        <v>0</v>
      </c>
      <c r="P380" t="n">
        <v>0</v>
      </c>
      <c r="Q380" t="n">
        <v>1</v>
      </c>
      <c r="R380" t="n">
        <v>0</v>
      </c>
      <c r="S380" t="n">
        <v>2</v>
      </c>
      <c r="T380" t="n">
        <v>11</v>
      </c>
      <c r="U380" t="n">
        <v>0</v>
      </c>
      <c r="V380" s="2" t="inlineStr">
        <is>
          <t>Mindre hackspett
Tibast</t>
        </is>
      </c>
      <c r="W380">
        <f>HYPERLINK("https://klasma.github.io/Logging_0188/artfynd/S 6865-2022 artfynd.xlsx", "S 6865-2022")</f>
        <v/>
      </c>
      <c r="X380">
        <f>HYPERLINK("https://klasma.github.io/Logging_0188/kartor/S 6865-2022 karta.png", "S 6865-2022")</f>
        <v/>
      </c>
      <c r="Y380">
        <f>HYPERLINK("https://klasma.github.io/Logging_0188/kartor_geotiff/S 6865-2022 georefererad karta.tif", "S 6865-2022")</f>
        <v/>
      </c>
      <c r="AA380">
        <f>HYPERLINK("https://klasma.github.io/Logging_0188/klagomål/S 6865-2022 FSC-klagomål.docx", "S 6865-2022")</f>
        <v/>
      </c>
      <c r="AB380">
        <f>HYPERLINK("https://klasma.github.io/Logging_0188/klagomålsmail/S 6865-2022 FSC-klagomål mail.docx", "S 6865-2022")</f>
        <v/>
      </c>
      <c r="AC380">
        <f>HYPERLINK("https://klasma.github.io/Logging_0188/tillsyn/S 6865-2022 tillsynsbegäran.docx", "S 6865-2022")</f>
        <v/>
      </c>
      <c r="AD380">
        <f>HYPERLINK("https://klasma.github.io/Logging_0188/tillsynsmail/S 6865-2022 tillsynsbegäran mail.docx", "S 6865-2022")</f>
        <v/>
      </c>
      <c r="AE380">
        <f>HYPERLINK("https://klasma.github.io/Logging_0188/fåglar/S 6865-2022 prioriterade fågelarter.docx", "S 6865-2022")</f>
        <v/>
      </c>
    </row>
    <row r="381" ht="15" customHeight="1">
      <c r="A381" t="inlineStr">
        <is>
          <t>S 2192-2022</t>
        </is>
      </c>
      <c r="B381" t="inlineStr">
        <is>
          <t>samrådsanmälan</t>
        </is>
      </c>
      <c r="C381" t="inlineStr">
        <is>
          <t>Åtgärd i nyckelbiotop</t>
        </is>
      </c>
      <c r="D381" s="1" t="n">
        <v>44678</v>
      </c>
      <c r="E381" s="1" t="n">
        <v>46326</v>
      </c>
      <c r="F381" t="inlineStr">
        <is>
          <t>STOCKHOLMS LÄN</t>
        </is>
      </c>
      <c r="G381" t="inlineStr">
        <is>
          <t>NORRTÄLJE</t>
        </is>
      </c>
      <c r="I381" t="n">
        <v>4</v>
      </c>
      <c r="J381" t="n">
        <v>1</v>
      </c>
      <c r="K381" t="n">
        <v>0</v>
      </c>
      <c r="L381" t="n">
        <v>1</v>
      </c>
      <c r="M381" t="n">
        <v>0</v>
      </c>
      <c r="N381" t="n">
        <v>1</v>
      </c>
      <c r="O381" t="n">
        <v>0</v>
      </c>
      <c r="P381" t="n">
        <v>0</v>
      </c>
      <c r="Q381" t="n">
        <v>2</v>
      </c>
      <c r="R381" t="n">
        <v>1</v>
      </c>
      <c r="S381" t="n">
        <v>2</v>
      </c>
      <c r="T381" t="n">
        <v>7</v>
      </c>
      <c r="U381" t="n">
        <v>6</v>
      </c>
      <c r="V381" s="2" t="inlineStr">
        <is>
          <t>Ask
Adam och eva</t>
        </is>
      </c>
      <c r="W381">
        <f>HYPERLINK("https://klasma.github.io/Logging_0188/artfynd/S 2192-2022 artfynd.xlsx", "S 2192-2022")</f>
        <v/>
      </c>
      <c r="X381">
        <f>HYPERLINK("https://klasma.github.io/Logging_0188/kartor/S 2192-2022 karta.png", "S 2192-2022")</f>
        <v/>
      </c>
      <c r="Y381">
        <f>HYPERLINK("https://klasma.github.io/Logging_0188/kartor_geotiff/S 2192-2022 georefererad karta.tif", "S 2192-2022")</f>
        <v/>
      </c>
      <c r="AA381">
        <f>HYPERLINK("https://klasma.github.io/Logging_0188/klagomål/S 2192-2022 FSC-klagomål.docx", "S 2192-2022")</f>
        <v/>
      </c>
      <c r="AB381">
        <f>HYPERLINK("https://klasma.github.io/Logging_0188/klagomålsmail/S 2192-2022 FSC-klagomål mail.docx", "S 2192-2022")</f>
        <v/>
      </c>
      <c r="AC381">
        <f>HYPERLINK("https://klasma.github.io/Logging_0188/tillsyn/S 2192-2022 tillsynsbegäran.docx", "S 2192-2022")</f>
        <v/>
      </c>
      <c r="AD381">
        <f>HYPERLINK("https://klasma.github.io/Logging_0188/tillsynsmail/S 2192-2022 tillsynsbegäran mail.docx", "S 2192-2022")</f>
        <v/>
      </c>
    </row>
    <row r="382" ht="15" customHeight="1">
      <c r="A382" t="inlineStr">
        <is>
          <t>S 2984-2023</t>
        </is>
      </c>
      <c r="B382" t="inlineStr">
        <is>
          <t>samrådsanmälan</t>
        </is>
      </c>
      <c r="C382" t="inlineStr">
        <is>
          <t>Åtgärd i nyckelbiotop</t>
        </is>
      </c>
      <c r="D382" s="1" t="n">
        <v>45170</v>
      </c>
      <c r="E382" s="1" t="n">
        <v>46326</v>
      </c>
      <c r="F382" t="inlineStr">
        <is>
          <t>STOCKHOLMS LÄN</t>
        </is>
      </c>
      <c r="G382" t="inlineStr">
        <is>
          <t>EKERÖ</t>
        </is>
      </c>
      <c r="I382" t="n">
        <v>4.4</v>
      </c>
      <c r="J382" t="n">
        <v>0</v>
      </c>
      <c r="K382" t="n">
        <v>0</v>
      </c>
      <c r="L382" t="n">
        <v>2</v>
      </c>
      <c r="M382" t="n">
        <v>0</v>
      </c>
      <c r="N382" t="n">
        <v>0</v>
      </c>
      <c r="O382" t="n">
        <v>0</v>
      </c>
      <c r="P382" t="n">
        <v>0</v>
      </c>
      <c r="Q382" t="n">
        <v>2</v>
      </c>
      <c r="R382" t="n">
        <v>0</v>
      </c>
      <c r="S382" t="n">
        <v>2</v>
      </c>
      <c r="T382" t="n">
        <v>3</v>
      </c>
      <c r="U382" t="n">
        <v>0</v>
      </c>
      <c r="V382" s="2" t="inlineStr">
        <is>
          <t>Ekticka
Grentaggsvamp</t>
        </is>
      </c>
      <c r="W382">
        <f>HYPERLINK("https://klasma.github.io/Logging_0125/artfynd/S 2984-2023 artfynd.xlsx", "S 2984-2023")</f>
        <v/>
      </c>
      <c r="X382">
        <f>HYPERLINK("https://klasma.github.io/Logging_0125/kartor/S 2984-2023 karta.png", "S 2984-2023")</f>
        <v/>
      </c>
      <c r="Y382">
        <f>HYPERLINK("https://klasma.github.io/Logging_0125/kartor_geotiff/S 2984-2023 georefererad karta.tif", "S 2984-2023")</f>
        <v/>
      </c>
      <c r="AA382">
        <f>HYPERLINK("https://klasma.github.io/Logging_0125/klagomål/S 2984-2023 FSC-klagomål.docx", "S 2984-2023")</f>
        <v/>
      </c>
      <c r="AB382">
        <f>HYPERLINK("https://klasma.github.io/Logging_0125/klagomålsmail/S 2984-2023 FSC-klagomål mail.docx", "S 2984-2023")</f>
        <v/>
      </c>
      <c r="AC382">
        <f>HYPERLINK("https://klasma.github.io/Logging_0125/tillsyn/S 2984-2023 tillsynsbegäran.docx", "S 2984-2023")</f>
        <v/>
      </c>
      <c r="AD382">
        <f>HYPERLINK("https://klasma.github.io/Logging_0125/tillsynsmail/S 2984-2023 tillsynsbegäran mail.docx", "S 2984-2023")</f>
        <v/>
      </c>
    </row>
    <row r="383" ht="15" customHeight="1">
      <c r="A383" t="inlineStr">
        <is>
          <t>S 6027-2022</t>
        </is>
      </c>
      <c r="B383" t="inlineStr">
        <is>
          <t>samrådsanmälan</t>
        </is>
      </c>
      <c r="C383" t="inlineStr">
        <is>
          <t>Annan skogsbruksåtgärd</t>
        </is>
      </c>
      <c r="D383" s="1" t="n">
        <v>44859</v>
      </c>
      <c r="E383" s="1" t="n">
        <v>46326</v>
      </c>
      <c r="F383" t="inlineStr">
        <is>
          <t>STOCKHOLMS LÄN</t>
        </is>
      </c>
      <c r="G383" t="inlineStr">
        <is>
          <t>SÖDERTÄLJE</t>
        </is>
      </c>
      <c r="H383" t="inlineStr">
        <is>
          <t>Sveaskog</t>
        </is>
      </c>
      <c r="I383" t="n">
        <v>10.1</v>
      </c>
      <c r="J383" t="n">
        <v>1</v>
      </c>
      <c r="K383" t="n">
        <v>0</v>
      </c>
      <c r="L383" t="n">
        <v>1</v>
      </c>
      <c r="M383" t="n">
        <v>0</v>
      </c>
      <c r="N383" t="n">
        <v>0</v>
      </c>
      <c r="O383" t="n">
        <v>0</v>
      </c>
      <c r="P383" t="n">
        <v>0</v>
      </c>
      <c r="Q383" t="n">
        <v>1</v>
      </c>
      <c r="R383" t="n">
        <v>0</v>
      </c>
      <c r="S383" t="n">
        <v>2</v>
      </c>
      <c r="T383" t="n">
        <v>2</v>
      </c>
      <c r="U383" t="n">
        <v>1</v>
      </c>
      <c r="V383" s="2" t="inlineStr">
        <is>
          <t>Rynkskinn
Revlummer</t>
        </is>
      </c>
      <c r="W383">
        <f>HYPERLINK("https://klasma.github.io/Logging_0181/artfynd/S 6027-2022 artfynd.xlsx", "S 6027-2022")</f>
        <v/>
      </c>
      <c r="X383">
        <f>HYPERLINK("https://klasma.github.io/Logging_0181/kartor/S 6027-2022 karta.png", "S 6027-2022")</f>
        <v/>
      </c>
      <c r="Y383">
        <f>HYPERLINK("https://klasma.github.io/Logging_0181/kartor_geotiff/S 6027-2022 georefererad karta.tif", "S 6027-2022")</f>
        <v/>
      </c>
      <c r="AA383">
        <f>HYPERLINK("https://klasma.github.io/Logging_0181/klagomål/S 6027-2022 FSC-klagomål.docx", "S 6027-2022")</f>
        <v/>
      </c>
      <c r="AB383">
        <f>HYPERLINK("https://klasma.github.io/Logging_0181/klagomålsmail/S 6027-2022 FSC-klagomål mail.docx", "S 6027-2022")</f>
        <v/>
      </c>
      <c r="AC383">
        <f>HYPERLINK("https://klasma.github.io/Logging_0181/tillsyn/S 6027-2022 tillsynsbegäran.docx", "S 6027-2022")</f>
        <v/>
      </c>
      <c r="AD383">
        <f>HYPERLINK("https://klasma.github.io/Logging_0181/tillsynsmail/S 6027-2022 tillsynsbegäran mail.docx", "S 6027-2022")</f>
        <v/>
      </c>
    </row>
    <row r="384" ht="15" customHeight="1">
      <c r="A384" t="inlineStr">
        <is>
          <t>S 621-2023</t>
        </is>
      </c>
      <c r="B384" t="inlineStr">
        <is>
          <t>samrådsanmälan</t>
        </is>
      </c>
      <c r="C384" t="inlineStr">
        <is>
          <t>Annan skogsbruksåtgärd</t>
        </is>
      </c>
      <c r="D384" s="1" t="n">
        <v>44972</v>
      </c>
      <c r="E384" s="1" t="n">
        <v>46326</v>
      </c>
      <c r="F384" t="inlineStr">
        <is>
          <t>STOCKHOLMS LÄN</t>
        </is>
      </c>
      <c r="G384" t="inlineStr">
        <is>
          <t>NORRTÄLJE</t>
        </is>
      </c>
      <c r="I384" t="n">
        <v>2.7</v>
      </c>
      <c r="J384" t="n">
        <v>0</v>
      </c>
      <c r="K384" t="n">
        <v>0</v>
      </c>
      <c r="L384" t="n">
        <v>2</v>
      </c>
      <c r="M384" t="n">
        <v>0</v>
      </c>
      <c r="N384" t="n">
        <v>0</v>
      </c>
      <c r="O384" t="n">
        <v>0</v>
      </c>
      <c r="P384" t="n">
        <v>0</v>
      </c>
      <c r="Q384" t="n">
        <v>2</v>
      </c>
      <c r="R384" t="n">
        <v>0</v>
      </c>
      <c r="S384" t="n">
        <v>2</v>
      </c>
      <c r="T384" t="n">
        <v>2</v>
      </c>
      <c r="U384" t="n">
        <v>0</v>
      </c>
      <c r="V384" s="2" t="inlineStr">
        <is>
          <t>Pilblad
Rödlånke</t>
        </is>
      </c>
      <c r="W384">
        <f>HYPERLINK("https://klasma.github.io/Logging_0188/artfynd/S 621-2023 artfynd.xlsx", "S 621-2023")</f>
        <v/>
      </c>
      <c r="X384">
        <f>HYPERLINK("https://klasma.github.io/Logging_0188/kartor/S 621-2023 karta.png", "S 621-2023")</f>
        <v/>
      </c>
      <c r="Y384">
        <f>HYPERLINK("https://klasma.github.io/Logging_0188/kartor_geotiff/S 621-2023 georefererad karta.tif", "S 621-2023")</f>
        <v/>
      </c>
      <c r="AA384">
        <f>HYPERLINK("https://klasma.github.io/Logging_0188/klagomål/S 621-2023 FSC-klagomål.docx", "S 621-2023")</f>
        <v/>
      </c>
      <c r="AB384">
        <f>HYPERLINK("https://klasma.github.io/Logging_0188/klagomålsmail/S 621-2023 FSC-klagomål mail.docx", "S 621-2023")</f>
        <v/>
      </c>
      <c r="AC384">
        <f>HYPERLINK("https://klasma.github.io/Logging_0188/tillsyn/S 621-2023 tillsynsbegäran.docx", "S 621-2023")</f>
        <v/>
      </c>
      <c r="AD384">
        <f>HYPERLINK("https://klasma.github.io/Logging_0188/tillsynsmail/S 621-2023 tillsynsbegäran mail.docx", "S 621-2023")</f>
        <v/>
      </c>
    </row>
    <row r="385" ht="15" customHeight="1">
      <c r="A385" t="inlineStr">
        <is>
          <t>S 3531-2025</t>
        </is>
      </c>
      <c r="B385" t="inlineStr">
        <is>
          <t>samrådsanmälan</t>
        </is>
      </c>
      <c r="C385" t="inlineStr">
        <is>
          <t>Annan skogsbruksåtgärd</t>
        </is>
      </c>
      <c r="D385" s="1" t="n">
        <v>46008</v>
      </c>
      <c r="E385" s="1" t="n">
        <v>46326</v>
      </c>
      <c r="F385" t="inlineStr">
        <is>
          <t>STOCKHOLMS LÄN</t>
        </is>
      </c>
      <c r="G385" t="inlineStr">
        <is>
          <t>VAXHOLM</t>
        </is>
      </c>
      <c r="H385" t="inlineStr">
        <is>
          <t>Övriga statliga verk och myndigheter</t>
        </is>
      </c>
      <c r="I385" t="n">
        <v>3.7</v>
      </c>
      <c r="J385" t="n">
        <v>2</v>
      </c>
      <c r="K385" t="n">
        <v>0</v>
      </c>
      <c r="L385" t="n">
        <v>1</v>
      </c>
      <c r="M385" t="n">
        <v>0</v>
      </c>
      <c r="N385" t="n">
        <v>0</v>
      </c>
      <c r="O385" t="n">
        <v>0</v>
      </c>
      <c r="P385" t="n">
        <v>0</v>
      </c>
      <c r="Q385" t="n">
        <v>1</v>
      </c>
      <c r="R385" t="n">
        <v>0</v>
      </c>
      <c r="S385" t="n">
        <v>2</v>
      </c>
      <c r="T385" t="n">
        <v>4</v>
      </c>
      <c r="U385" t="n">
        <v>0</v>
      </c>
      <c r="V385" s="2" t="inlineStr">
        <is>
          <t>Knippnejlika
Trana</t>
        </is>
      </c>
      <c r="W385">
        <f>HYPERLINK("https://klasma.github.io/Logging_0187/artfynd/S 3531-2025 artfynd.xlsx", "S 3531-2025")</f>
        <v/>
      </c>
      <c r="X385">
        <f>HYPERLINK("https://klasma.github.io/Logging_0187/kartor/S 3531-2025 karta.png", "S 3531-2025")</f>
        <v/>
      </c>
      <c r="Y385">
        <f>HYPERLINK("https://klasma.github.io/Logging_0187/kartor_geotiff/S 3531-2025 georefererad karta.tif", "S 3531-2025")</f>
        <v/>
      </c>
      <c r="AA385">
        <f>HYPERLINK("https://klasma.github.io/Logging_0187/klagomål/S 3531-2025 FSC-klagomål.docx", "S 3531-2025")</f>
        <v/>
      </c>
      <c r="AB385">
        <f>HYPERLINK("https://klasma.github.io/Logging_0187/klagomålsmail/S 3531-2025 FSC-klagomål mail.docx", "S 3531-2025")</f>
        <v/>
      </c>
      <c r="AC385">
        <f>HYPERLINK("https://klasma.github.io/Logging_0187/tillsyn/S 3531-2025 tillsynsbegäran.docx", "S 3531-2025")</f>
        <v/>
      </c>
      <c r="AD385">
        <f>HYPERLINK("https://klasma.github.io/Logging_0187/tillsynsmail/S 3531-2025 tillsynsbegäran mail.docx", "S 3531-2025")</f>
        <v/>
      </c>
      <c r="AE385">
        <f>HYPERLINK("https://klasma.github.io/Logging_0187/fåglar/S 3531-2025 prioriterade fågelarter.docx", "S 3531-2025")</f>
        <v/>
      </c>
    </row>
    <row r="386" ht="15" customHeight="1">
      <c r="A386" t="inlineStr">
        <is>
          <t>S 3404-2025</t>
        </is>
      </c>
      <c r="B386" t="inlineStr">
        <is>
          <t>samrådsanmälan</t>
        </is>
      </c>
      <c r="C386" t="inlineStr">
        <is>
          <t>Skogsgödsling</t>
        </is>
      </c>
      <c r="D386" s="1" t="n">
        <v>45994</v>
      </c>
      <c r="E386" s="1" t="n">
        <v>46326</v>
      </c>
      <c r="F386" t="inlineStr">
        <is>
          <t>STOCKHOLMS LÄN</t>
        </is>
      </c>
      <c r="G386" t="inlineStr">
        <is>
          <t>NORRTÄLJE</t>
        </is>
      </c>
      <c r="H386" t="inlineStr">
        <is>
          <t>Holmen skog AB</t>
        </is>
      </c>
      <c r="I386" t="n">
        <v>98.8</v>
      </c>
      <c r="J386" t="n">
        <v>2</v>
      </c>
      <c r="K386" t="n">
        <v>0</v>
      </c>
      <c r="L386" t="n">
        <v>0</v>
      </c>
      <c r="M386" t="n">
        <v>0</v>
      </c>
      <c r="N386" t="n">
        <v>0</v>
      </c>
      <c r="O386" t="n">
        <v>0</v>
      </c>
      <c r="P386" t="n">
        <v>0</v>
      </c>
      <c r="Q386" t="n">
        <v>0</v>
      </c>
      <c r="R386" t="n">
        <v>0</v>
      </c>
      <c r="S386" t="n">
        <v>2</v>
      </c>
      <c r="T386" t="n">
        <v>20</v>
      </c>
      <c r="U386" t="n">
        <v>0</v>
      </c>
      <c r="V386" s="2" t="inlineStr">
        <is>
          <t>Tjäder
Orre</t>
        </is>
      </c>
      <c r="W386">
        <f>HYPERLINK("https://klasma.github.io/Logging_0188/artfynd/S 3404-2025 artfynd.xlsx", "S 3404-2025")</f>
        <v/>
      </c>
      <c r="X386">
        <f>HYPERLINK("https://klasma.github.io/Logging_0188/kartor/S 3404-2025 karta.png", "S 3404-2025")</f>
        <v/>
      </c>
      <c r="Y386">
        <f>HYPERLINK("https://klasma.github.io/Logging_0188/kartor_geotiff/S 3404-2025 georefererad karta.tif", "S 3404-2025")</f>
        <v/>
      </c>
      <c r="AA386">
        <f>HYPERLINK("https://klasma.github.io/Logging_0188/klagomål/S 3404-2025 FSC-klagomål.docx", "S 3404-2025")</f>
        <v/>
      </c>
      <c r="AB386">
        <f>HYPERLINK("https://klasma.github.io/Logging_0188/klagomålsmail/S 3404-2025 FSC-klagomål mail.docx", "S 3404-2025")</f>
        <v/>
      </c>
      <c r="AC386">
        <f>HYPERLINK("https://klasma.github.io/Logging_0188/tillsyn/S 3404-2025 tillsynsbegäran.docx", "S 3404-2025")</f>
        <v/>
      </c>
      <c r="AD386">
        <f>HYPERLINK("https://klasma.github.io/Logging_0188/tillsynsmail/S 3404-2025 tillsynsbegäran mail.docx", "S 3404-2025")</f>
        <v/>
      </c>
      <c r="AE386">
        <f>HYPERLINK("https://klasma.github.io/Logging_0188/fåglar/S 3404-2025 prioriterade fågelarter.docx", "S 3404-2025")</f>
        <v/>
      </c>
    </row>
    <row r="387" ht="15" customHeight="1">
      <c r="A387" t="inlineStr">
        <is>
          <t>S 1606-2026</t>
        </is>
      </c>
      <c r="B387" t="inlineStr">
        <is>
          <t>samrådsanmälan</t>
        </is>
      </c>
      <c r="C387" t="inlineStr">
        <is>
          <t>Annan skogsbruksåtgärd</t>
        </is>
      </c>
      <c r="D387" s="1" t="n">
        <v>45806</v>
      </c>
      <c r="E387" s="1" t="n">
        <v>46326</v>
      </c>
      <c r="F387" t="inlineStr">
        <is>
          <t>STOCKHOLMS LÄN</t>
        </is>
      </c>
      <c r="G387" t="inlineStr">
        <is>
          <t>UPPLANDS VÄSBY</t>
        </is>
      </c>
      <c r="I387" t="n">
        <v>5.6</v>
      </c>
      <c r="J387" t="n">
        <v>0</v>
      </c>
      <c r="K387" t="n">
        <v>0</v>
      </c>
      <c r="L387" t="n">
        <v>2</v>
      </c>
      <c r="M387" t="n">
        <v>0</v>
      </c>
      <c r="N387" t="n">
        <v>0</v>
      </c>
      <c r="O387" t="n">
        <v>0</v>
      </c>
      <c r="P387" t="n">
        <v>0</v>
      </c>
      <c r="Q387" t="n">
        <v>2</v>
      </c>
      <c r="R387" t="n">
        <v>0</v>
      </c>
      <c r="S387" t="n">
        <v>2</v>
      </c>
      <c r="T387" t="n">
        <v>2</v>
      </c>
      <c r="U387" t="n">
        <v>1</v>
      </c>
      <c r="V387" s="2" t="inlineStr">
        <is>
          <t>Motaggsvamp
Stor vårtrattskivling</t>
        </is>
      </c>
      <c r="W387">
        <f>HYPERLINK("https://klasma.github.io/Logging_0114/artfynd/S 1606-2026 artfynd.xlsx", "S 1606-2026")</f>
        <v/>
      </c>
      <c r="X387">
        <f>HYPERLINK("https://klasma.github.io/Logging_0114/kartor/S 1606-2026 karta.png", "S 1606-2026")</f>
        <v/>
      </c>
      <c r="Y387">
        <f>HYPERLINK("https://klasma.github.io/Logging_0114/kartor_geotiff/S 1606-2026 georefererad karta.tif", "S 1606-2026")</f>
        <v/>
      </c>
      <c r="AA387">
        <f>HYPERLINK("https://klasma.github.io/Logging_0114/klagomål/S 1606-2026 FSC-klagomål.docx", "S 1606-2026")</f>
        <v/>
      </c>
      <c r="AB387">
        <f>HYPERLINK("https://klasma.github.io/Logging_0114/klagomålsmail/S 1606-2026 FSC-klagomål mail.docx", "S 1606-2026")</f>
        <v/>
      </c>
      <c r="AC387">
        <f>HYPERLINK("https://klasma.github.io/Logging_0114/tillsyn/S 1606-2026 tillsynsbegäran.docx", "S 1606-2026")</f>
        <v/>
      </c>
      <c r="AD387">
        <f>HYPERLINK("https://klasma.github.io/Logging_0114/tillsynsmail/S 1606-2026 tillsynsbegäran mail.docx", "S 1606-2026")</f>
        <v/>
      </c>
    </row>
    <row r="388" ht="15" customHeight="1">
      <c r="A388" t="inlineStr">
        <is>
          <t>S 1959-2026</t>
        </is>
      </c>
      <c r="B388" t="inlineStr">
        <is>
          <t>samrådsanmälan</t>
        </is>
      </c>
      <c r="C388" t="inlineStr">
        <is>
          <t>Annan skogsbruksåtgärd</t>
        </is>
      </c>
      <c r="D388" s="1" t="n">
        <v>46205</v>
      </c>
      <c r="E388" s="1" t="n">
        <v>46326</v>
      </c>
      <c r="F388" t="inlineStr">
        <is>
          <t>STOCKHOLMS LÄN</t>
        </is>
      </c>
      <c r="G388" t="inlineStr">
        <is>
          <t>VÄRMDÖ</t>
        </is>
      </c>
      <c r="H388" t="inlineStr">
        <is>
          <t>Kommuner</t>
        </is>
      </c>
      <c r="I388" t="n">
        <v>2</v>
      </c>
      <c r="J388" t="n">
        <v>1</v>
      </c>
      <c r="K388" t="n">
        <v>1</v>
      </c>
      <c r="L388" t="n">
        <v>0</v>
      </c>
      <c r="M388" t="n">
        <v>0</v>
      </c>
      <c r="N388" t="n">
        <v>0</v>
      </c>
      <c r="O388" t="n">
        <v>0</v>
      </c>
      <c r="P388" t="n">
        <v>0</v>
      </c>
      <c r="Q388" t="n">
        <v>0</v>
      </c>
      <c r="R388" t="n">
        <v>0</v>
      </c>
      <c r="S388" t="n">
        <v>2</v>
      </c>
      <c r="T388" t="n">
        <v>2</v>
      </c>
      <c r="U388" t="n">
        <v>0</v>
      </c>
      <c r="V388" s="2" t="inlineStr">
        <is>
          <t>Åderskölding
Revlummer</t>
        </is>
      </c>
      <c r="W388">
        <f>HYPERLINK("https://klasma.github.io/Logging_0120/artfynd/S 1959-2026 artfynd.xlsx", "S 1959-2026")</f>
        <v/>
      </c>
      <c r="X388">
        <f>HYPERLINK("https://klasma.github.io/Logging_0120/kartor/S 1959-2026 karta.png", "S 1959-2026")</f>
        <v/>
      </c>
      <c r="Y388">
        <f>HYPERLINK("https://klasma.github.io/Logging_0120/kartor_geotiff/S 1959-2026 georefererad karta.tif", "S 1959-2026")</f>
        <v/>
      </c>
      <c r="AA388">
        <f>HYPERLINK("https://klasma.github.io/Logging_0120/klagomål/S 1959-2026 FSC-klagomål.docx", "S 1959-2026")</f>
        <v/>
      </c>
      <c r="AB388">
        <f>HYPERLINK("https://klasma.github.io/Logging_0120/klagomålsmail/S 1959-2026 FSC-klagomål mail.docx", "S 1959-2026")</f>
        <v/>
      </c>
      <c r="AC388">
        <f>HYPERLINK("https://klasma.github.io/Logging_0120/tillsyn/S 1959-2026 tillsynsbegäran.docx", "S 1959-2026")</f>
        <v/>
      </c>
      <c r="AD388">
        <f>HYPERLINK("https://klasma.github.io/Logging_0120/tillsynsmail/S 1959-2026 tillsynsbegäran mail.docx", "S 1959-2026")</f>
        <v/>
      </c>
    </row>
    <row r="389" ht="15" customHeight="1">
      <c r="A389" t="inlineStr">
        <is>
          <t>A 40816-2022</t>
        </is>
      </c>
      <c r="B389" t="inlineStr">
        <is>
          <t>avverkningsanmälan</t>
        </is>
      </c>
      <c r="C389" t="inlineStr">
        <is>
          <t>Föryngringsavverkning</t>
        </is>
      </c>
      <c r="D389" s="1" t="n">
        <v>44824</v>
      </c>
      <c r="E389" s="1" t="n">
        <v>46326</v>
      </c>
      <c r="F389" t="inlineStr">
        <is>
          <t>STOCKHOLMS LÄN</t>
        </is>
      </c>
      <c r="G389" t="inlineStr">
        <is>
          <t>SÖDERTÄLJE</t>
        </is>
      </c>
      <c r="I389" t="n">
        <v>10.2</v>
      </c>
      <c r="J389" t="n">
        <v>1</v>
      </c>
      <c r="K389" t="n">
        <v>0</v>
      </c>
      <c r="L389" t="n">
        <v>0</v>
      </c>
      <c r="M389" t="n">
        <v>1</v>
      </c>
      <c r="N389" t="n">
        <v>0</v>
      </c>
      <c r="O389" t="n">
        <v>0</v>
      </c>
      <c r="P389" t="n">
        <v>0</v>
      </c>
      <c r="Q389" t="n">
        <v>1</v>
      </c>
      <c r="R389" t="n">
        <v>1</v>
      </c>
      <c r="S389" t="n">
        <v>1</v>
      </c>
      <c r="T389" t="n">
        <v>1</v>
      </c>
      <c r="U389" t="n">
        <v>1</v>
      </c>
      <c r="V389" s="2" t="inlineStr">
        <is>
          <t>Knärot</t>
        </is>
      </c>
      <c r="W389">
        <f>HYPERLINK("https://klasma.github.io/Logging_0181/artfynd/A 40816-2022 artfynd.xlsx", "A 40816-2022")</f>
        <v/>
      </c>
      <c r="X389">
        <f>HYPERLINK("https://klasma.github.io/Logging_0181/kartor/A 40816-2022 karta.png", "A 40816-2022")</f>
        <v/>
      </c>
      <c r="Y389">
        <f>HYPERLINK("https://klasma.github.io/Logging_0181/kartor_geotiff/A 40816-2022 georefererad karta.tif", "A 40816-2022")</f>
        <v/>
      </c>
      <c r="Z389">
        <f>HYPERLINK("https://klasma.github.io/Logging_0181/knärot/A 40816-2022 karta knärot.png", "A 40816-2022")</f>
        <v/>
      </c>
      <c r="AA389">
        <f>HYPERLINK("https://klasma.github.io/Logging_0181/klagomål/A 40816-2022 FSC-klagomål.docx", "A 40816-2022")</f>
        <v/>
      </c>
      <c r="AB389">
        <f>HYPERLINK("https://klasma.github.io/Logging_0181/klagomålsmail/A 40816-2022 FSC-klagomål mail.docx", "A 40816-2022")</f>
        <v/>
      </c>
      <c r="AC389">
        <f>HYPERLINK("https://klasma.github.io/Logging_0181/tillsyn/A 40816-2022 tillsynsbegäran.docx", "A 40816-2022")</f>
        <v/>
      </c>
      <c r="AD389">
        <f>HYPERLINK("https://klasma.github.io/Logging_0181/tillsynsmail/A 40816-2022 tillsynsbegäran mail.docx", "A 40816-2022")</f>
        <v/>
      </c>
    </row>
    <row r="390" ht="15" customHeight="1">
      <c r="A390" t="inlineStr">
        <is>
          <t>A 1547-2022</t>
        </is>
      </c>
      <c r="B390" t="inlineStr">
        <is>
          <t>avverkningsanmälan</t>
        </is>
      </c>
      <c r="C390" t="inlineStr">
        <is>
          <t>Föryngringsavverkning</t>
        </is>
      </c>
      <c r="D390" s="1" t="n">
        <v>44573</v>
      </c>
      <c r="E390" s="1" t="n">
        <v>46326</v>
      </c>
      <c r="F390" t="inlineStr">
        <is>
          <t>STOCKHOLMS LÄN</t>
        </is>
      </c>
      <c r="G390" t="inlineStr">
        <is>
          <t>NORRTÄLJE</t>
        </is>
      </c>
      <c r="I390" t="n">
        <v>1.8</v>
      </c>
      <c r="J390" t="n">
        <v>1</v>
      </c>
      <c r="K390" t="n">
        <v>0</v>
      </c>
      <c r="L390" t="n">
        <v>0</v>
      </c>
      <c r="M390" t="n">
        <v>1</v>
      </c>
      <c r="N390" t="n">
        <v>0</v>
      </c>
      <c r="O390" t="n">
        <v>0</v>
      </c>
      <c r="P390" t="n">
        <v>0</v>
      </c>
      <c r="Q390" t="n">
        <v>1</v>
      </c>
      <c r="R390" t="n">
        <v>1</v>
      </c>
      <c r="S390" t="n">
        <v>1</v>
      </c>
      <c r="T390" t="n">
        <v>2</v>
      </c>
      <c r="U390" t="n">
        <v>0</v>
      </c>
      <c r="V390" s="2" t="inlineStr">
        <is>
          <t>Hällebräcka</t>
        </is>
      </c>
      <c r="W390">
        <f>HYPERLINK("https://klasma.github.io/Logging_0188/artfynd/A 1547-2022 artfynd.xlsx", "A 1547-2022")</f>
        <v/>
      </c>
      <c r="X390">
        <f>HYPERLINK("https://klasma.github.io/Logging_0188/kartor/A 1547-2022 karta.png", "A 1547-2022")</f>
        <v/>
      </c>
      <c r="Y390">
        <f>HYPERLINK("https://klasma.github.io/Logging_0188/kartor_geotiff/A 1547-2022 georefererad karta.tif", "A 1547-2022")</f>
        <v/>
      </c>
      <c r="AA390">
        <f>HYPERLINK("https://klasma.github.io/Logging_0188/klagomål/A 1547-2022 FSC-klagomål.docx", "A 1547-2022")</f>
        <v/>
      </c>
      <c r="AB390">
        <f>HYPERLINK("https://klasma.github.io/Logging_0188/klagomålsmail/A 1547-2022 FSC-klagomål mail.docx", "A 1547-2022")</f>
        <v/>
      </c>
      <c r="AC390">
        <f>HYPERLINK("https://klasma.github.io/Logging_0188/tillsyn/A 1547-2022 tillsynsbegäran.docx", "A 1547-2022")</f>
        <v/>
      </c>
      <c r="AD390">
        <f>HYPERLINK("https://klasma.github.io/Logging_0188/tillsynsmail/A 1547-2022 tillsynsbegäran mail.docx", "A 1547-2022")</f>
        <v/>
      </c>
    </row>
    <row r="391" ht="15" customHeight="1">
      <c r="A391" t="inlineStr">
        <is>
          <t>A 39636-2022</t>
        </is>
      </c>
      <c r="B391" t="inlineStr">
        <is>
          <t>avverkningsanmälan</t>
        </is>
      </c>
      <c r="C391" t="inlineStr">
        <is>
          <t>Föryngringsavverkning</t>
        </is>
      </c>
      <c r="D391" s="1" t="n">
        <v>44818</v>
      </c>
      <c r="E391" s="1" t="n">
        <v>46326</v>
      </c>
      <c r="F391" t="inlineStr">
        <is>
          <t>STOCKHOLMS LÄN</t>
        </is>
      </c>
      <c r="G391" t="inlineStr">
        <is>
          <t>HANINGE</t>
        </is>
      </c>
      <c r="I391" t="n">
        <v>2</v>
      </c>
      <c r="J391" t="n">
        <v>0</v>
      </c>
      <c r="K391" t="n">
        <v>0</v>
      </c>
      <c r="L391" t="n">
        <v>0</v>
      </c>
      <c r="M391" t="n">
        <v>0</v>
      </c>
      <c r="N391" t="n">
        <v>1</v>
      </c>
      <c r="O391" t="n">
        <v>0</v>
      </c>
      <c r="P391" t="n">
        <v>0</v>
      </c>
      <c r="Q391" t="n">
        <v>1</v>
      </c>
      <c r="R391" t="n">
        <v>1</v>
      </c>
      <c r="S391" t="n">
        <v>1</v>
      </c>
      <c r="T391" t="n">
        <v>1</v>
      </c>
      <c r="U391" t="n">
        <v>0</v>
      </c>
      <c r="V391" s="2" t="inlineStr">
        <is>
          <t>Koppartaggsvamp</t>
        </is>
      </c>
      <c r="W391">
        <f>HYPERLINK("https://klasma.github.io/Logging_0136/artfynd/A 39636-2022 artfynd.xlsx", "A 39636-2022")</f>
        <v/>
      </c>
      <c r="X391">
        <f>HYPERLINK("https://klasma.github.io/Logging_0136/kartor/A 39636-2022 karta.png", "A 39636-2022")</f>
        <v/>
      </c>
      <c r="Y391">
        <f>HYPERLINK("https://klasma.github.io/Logging_0136/kartor_geotiff/A 39636-2022 georefererad karta.tif", "A 39636-2022")</f>
        <v/>
      </c>
      <c r="AA391">
        <f>HYPERLINK("https://klasma.github.io/Logging_0136/klagomål/A 39636-2022 FSC-klagomål.docx", "A 39636-2022")</f>
        <v/>
      </c>
      <c r="AB391">
        <f>HYPERLINK("https://klasma.github.io/Logging_0136/klagomålsmail/A 39636-2022 FSC-klagomål mail.docx", "A 39636-2022")</f>
        <v/>
      </c>
      <c r="AC391">
        <f>HYPERLINK("https://klasma.github.io/Logging_0136/tillsyn/A 39636-2022 tillsynsbegäran.docx", "A 39636-2022")</f>
        <v/>
      </c>
      <c r="AD391">
        <f>HYPERLINK("https://klasma.github.io/Logging_0136/tillsynsmail/A 39636-2022 tillsynsbegäran mail.docx", "A 39636-2022")</f>
        <v/>
      </c>
    </row>
    <row r="392" ht="15" customHeight="1">
      <c r="A392" t="inlineStr">
        <is>
          <t>A 52133-2022</t>
        </is>
      </c>
      <c r="B392" t="inlineStr">
        <is>
          <t>avverkningsanmälan</t>
        </is>
      </c>
      <c r="C392" t="inlineStr">
        <is>
          <t>Avverkning för annat ändamål</t>
        </is>
      </c>
      <c r="D392" s="1" t="n">
        <v>44868</v>
      </c>
      <c r="E392" s="1" t="n">
        <v>46326</v>
      </c>
      <c r="F392" t="inlineStr">
        <is>
          <t>STOCKHOLMS LÄN</t>
        </is>
      </c>
      <c r="G392" t="inlineStr">
        <is>
          <t>NORRTÄLJE</t>
        </is>
      </c>
      <c r="I392" t="n">
        <v>11.5</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HYPERLINK("https://klasma.github.io/Logging_0188/artfynd/A 52133-2022 artfynd.xlsx", "A 52133-2022")</f>
        <v/>
      </c>
      <c r="X392">
        <f>HYPERLINK("https://klasma.github.io/Logging_0188/kartor/A 52133-2022 karta.png", "A 52133-2022")</f>
        <v/>
      </c>
      <c r="Y392">
        <f>HYPERLINK("https://klasma.github.io/Logging_0188/kartor_geotiff/A 52133-2022 georefererad karta.tif", "A 52133-2022")</f>
        <v/>
      </c>
      <c r="Z392">
        <f>HYPERLINK("https://klasma.github.io/Logging_0188/knärot/A 52133-2022 karta knärot.png", "A 52133-2022")</f>
        <v/>
      </c>
      <c r="AA392">
        <f>HYPERLINK("https://klasma.github.io/Logging_0188/klagomål/A 52133-2022 FSC-klagomål.docx", "A 52133-2022")</f>
        <v/>
      </c>
      <c r="AB392">
        <f>HYPERLINK("https://klasma.github.io/Logging_0188/klagomålsmail/A 52133-2022 FSC-klagomål mail.docx", "A 52133-2022")</f>
        <v/>
      </c>
      <c r="AC392">
        <f>HYPERLINK("https://klasma.github.io/Logging_0188/tillsyn/A 52133-2022 tillsynsbegäran.docx", "A 52133-2022")</f>
        <v/>
      </c>
      <c r="AD392">
        <f>HYPERLINK("https://klasma.github.io/Logging_0188/tillsynsmail/A 52133-2022 tillsynsbegäran mail.docx", "A 52133-2022")</f>
        <v/>
      </c>
    </row>
    <row r="393" ht="15" customHeight="1">
      <c r="A393" t="inlineStr">
        <is>
          <t>A 188-2022</t>
        </is>
      </c>
      <c r="B393" t="inlineStr">
        <is>
          <t>avverkningsanmälan</t>
        </is>
      </c>
      <c r="C393" t="inlineStr">
        <is>
          <t>Föryngringsavverkning</t>
        </is>
      </c>
      <c r="D393" s="1" t="n">
        <v>44564</v>
      </c>
      <c r="E393" s="1" t="n">
        <v>46326</v>
      </c>
      <c r="F393" t="inlineStr">
        <is>
          <t>STOCKHOLMS LÄN</t>
        </is>
      </c>
      <c r="G393" t="inlineStr">
        <is>
          <t>NORRTÄLJE</t>
        </is>
      </c>
      <c r="I393" t="n">
        <v>4.1</v>
      </c>
      <c r="J393" t="n">
        <v>0</v>
      </c>
      <c r="K393" t="n">
        <v>1</v>
      </c>
      <c r="L393" t="n">
        <v>0</v>
      </c>
      <c r="M393" t="n">
        <v>0</v>
      </c>
      <c r="N393" t="n">
        <v>0</v>
      </c>
      <c r="O393" t="n">
        <v>0</v>
      </c>
      <c r="P393" t="n">
        <v>0</v>
      </c>
      <c r="Q393" t="n">
        <v>0</v>
      </c>
      <c r="R393" t="n">
        <v>0</v>
      </c>
      <c r="S393" t="n">
        <v>1</v>
      </c>
      <c r="T393" t="n">
        <v>1</v>
      </c>
      <c r="U393" t="n">
        <v>1</v>
      </c>
      <c r="V393" s="2" t="inlineStr">
        <is>
          <t>Svart trolldruva</t>
        </is>
      </c>
      <c r="W393">
        <f>HYPERLINK("https://klasma.github.io/Logging_0188/artfynd/A 188-2022 artfynd.xlsx", "A 188-2022")</f>
        <v/>
      </c>
      <c r="X393">
        <f>HYPERLINK("https://klasma.github.io/Logging_0188/kartor/A 188-2022 karta.png", "A 188-2022")</f>
        <v/>
      </c>
      <c r="Y393">
        <f>HYPERLINK("https://klasma.github.io/Logging_0188/kartor_geotiff/A 188-2022 georefererad karta.tif", "A 188-2022")</f>
        <v/>
      </c>
      <c r="AA393">
        <f>HYPERLINK("https://klasma.github.io/Logging_0188/klagomål/A 188-2022 FSC-klagomål.docx", "A 188-2022")</f>
        <v/>
      </c>
      <c r="AB393">
        <f>HYPERLINK("https://klasma.github.io/Logging_0188/klagomålsmail/A 188-2022 FSC-klagomål mail.docx", "A 188-2022")</f>
        <v/>
      </c>
      <c r="AC393">
        <f>HYPERLINK("https://klasma.github.io/Logging_0188/tillsyn/A 188-2022 tillsynsbegäran.docx", "A 188-2022")</f>
        <v/>
      </c>
      <c r="AD393">
        <f>HYPERLINK("https://klasma.github.io/Logging_0188/tillsynsmail/A 188-2022 tillsynsbegäran mail.docx", "A 188-2022")</f>
        <v/>
      </c>
    </row>
    <row r="394" ht="15" customHeight="1">
      <c r="A394" t="inlineStr">
        <is>
          <t>A 48492-2022</t>
        </is>
      </c>
      <c r="B394" t="inlineStr">
        <is>
          <t>avverkningsanmälan</t>
        </is>
      </c>
      <c r="C394" t="inlineStr">
        <is>
          <t>Avverkning för annat ändamål</t>
        </is>
      </c>
      <c r="D394" s="1" t="n">
        <v>44858</v>
      </c>
      <c r="E394" s="1" t="n">
        <v>46326</v>
      </c>
      <c r="F394" t="inlineStr">
        <is>
          <t>STOCKHOLMS LÄN</t>
        </is>
      </c>
      <c r="G394" t="inlineStr">
        <is>
          <t>NORRTÄLJE</t>
        </is>
      </c>
      <c r="I394" t="n">
        <v>0.7</v>
      </c>
      <c r="J394" t="n">
        <v>1</v>
      </c>
      <c r="K394" t="n">
        <v>0</v>
      </c>
      <c r="L394" t="n">
        <v>1</v>
      </c>
      <c r="M394" t="n">
        <v>0</v>
      </c>
      <c r="N394" t="n">
        <v>0</v>
      </c>
      <c r="O394" t="n">
        <v>0</v>
      </c>
      <c r="P394" t="n">
        <v>0</v>
      </c>
      <c r="Q394" t="n">
        <v>1</v>
      </c>
      <c r="R394" t="n">
        <v>0</v>
      </c>
      <c r="S394" t="n">
        <v>1</v>
      </c>
      <c r="T394" t="n">
        <v>1</v>
      </c>
      <c r="U394" t="n">
        <v>1</v>
      </c>
      <c r="V394" s="2" t="inlineStr">
        <is>
          <t>Gulsparv</t>
        </is>
      </c>
      <c r="W394">
        <f>HYPERLINK("https://klasma.github.io/Logging_0188/artfynd/A 48492-2022 artfynd.xlsx", "A 48492-2022")</f>
        <v/>
      </c>
      <c r="X394">
        <f>HYPERLINK("https://klasma.github.io/Logging_0188/kartor/A 48492-2022 karta.png", "A 48492-2022")</f>
        <v/>
      </c>
      <c r="Y394">
        <f>HYPERLINK("https://klasma.github.io/Logging_0188/kartor_geotiff/A 48492-2022 georefererad karta.tif", "A 48492-2022")</f>
        <v/>
      </c>
      <c r="AA394">
        <f>HYPERLINK("https://klasma.github.io/Logging_0188/klagomål/A 48492-2022 FSC-klagomål.docx", "A 48492-2022")</f>
        <v/>
      </c>
      <c r="AB394">
        <f>HYPERLINK("https://klasma.github.io/Logging_0188/klagomålsmail/A 48492-2022 FSC-klagomål mail.docx", "A 48492-2022")</f>
        <v/>
      </c>
      <c r="AC394">
        <f>HYPERLINK("https://klasma.github.io/Logging_0188/tillsyn/A 48492-2022 tillsynsbegäran.docx", "A 48492-2022")</f>
        <v/>
      </c>
      <c r="AD394">
        <f>HYPERLINK("https://klasma.github.io/Logging_0188/tillsynsmail/A 48492-2022 tillsynsbegäran mail.docx", "A 48492-2022")</f>
        <v/>
      </c>
      <c r="AE394">
        <f>HYPERLINK("https://klasma.github.io/Logging_0188/fåglar/A 48492-2022 prioriterade fågelarter.docx", "A 48492-2022")</f>
        <v/>
      </c>
    </row>
    <row r="395" ht="15" customHeight="1">
      <c r="A395" t="inlineStr">
        <is>
          <t>A 13891-2022</t>
        </is>
      </c>
      <c r="B395" t="inlineStr">
        <is>
          <t>avverkningsanmälan</t>
        </is>
      </c>
      <c r="C395" t="inlineStr">
        <is>
          <t>Föryngringsavverkning</t>
        </is>
      </c>
      <c r="D395" s="1" t="n">
        <v>44646</v>
      </c>
      <c r="E395" s="1" t="n">
        <v>46326</v>
      </c>
      <c r="F395" t="inlineStr">
        <is>
          <t>STOCKHOLMS LÄN</t>
        </is>
      </c>
      <c r="G395" t="inlineStr">
        <is>
          <t>EKERÖ</t>
        </is>
      </c>
      <c r="I395" t="n">
        <v>2.3</v>
      </c>
      <c r="J395" t="n">
        <v>0</v>
      </c>
      <c r="K395" t="n">
        <v>1</v>
      </c>
      <c r="L395" t="n">
        <v>0</v>
      </c>
      <c r="M395" t="n">
        <v>0</v>
      </c>
      <c r="N395" t="n">
        <v>0</v>
      </c>
      <c r="O395" t="n">
        <v>0</v>
      </c>
      <c r="P395" t="n">
        <v>0</v>
      </c>
      <c r="Q395" t="n">
        <v>0</v>
      </c>
      <c r="R395" t="n">
        <v>0</v>
      </c>
      <c r="S395" t="n">
        <v>1</v>
      </c>
      <c r="T395" t="n">
        <v>3</v>
      </c>
      <c r="U395" t="n">
        <v>0</v>
      </c>
      <c r="V395" s="2" t="inlineStr">
        <is>
          <t>Granbarkgnagare</t>
        </is>
      </c>
      <c r="W395">
        <f>HYPERLINK("https://klasma.github.io/Logging_0125/artfynd/A 13891-2022 artfynd.xlsx", "A 13891-2022")</f>
        <v/>
      </c>
      <c r="X395">
        <f>HYPERLINK("https://klasma.github.io/Logging_0125/kartor/A 13891-2022 karta.png", "A 13891-2022")</f>
        <v/>
      </c>
      <c r="Y395">
        <f>HYPERLINK("https://klasma.github.io/Logging_0125/kartor_geotiff/A 13891-2022 georefererad karta.tif", "A 13891-2022")</f>
        <v/>
      </c>
      <c r="AA395">
        <f>HYPERLINK("https://klasma.github.io/Logging_0125/klagomål/A 13891-2022 FSC-klagomål.docx", "A 13891-2022")</f>
        <v/>
      </c>
      <c r="AB395">
        <f>HYPERLINK("https://klasma.github.io/Logging_0125/klagomålsmail/A 13891-2022 FSC-klagomål mail.docx", "A 13891-2022")</f>
        <v/>
      </c>
      <c r="AC395">
        <f>HYPERLINK("https://klasma.github.io/Logging_0125/tillsyn/A 13891-2022 tillsynsbegäran.docx", "A 13891-2022")</f>
        <v/>
      </c>
      <c r="AD395">
        <f>HYPERLINK("https://klasma.github.io/Logging_0125/tillsynsmail/A 13891-2022 tillsynsbegäran mail.docx", "A 13891-2022")</f>
        <v/>
      </c>
    </row>
    <row r="396" ht="15" customHeight="1">
      <c r="A396" t="inlineStr">
        <is>
          <t>A 72108-2021</t>
        </is>
      </c>
      <c r="B396" t="inlineStr">
        <is>
          <t>avverkningsanmälan</t>
        </is>
      </c>
      <c r="C396" t="inlineStr">
        <is>
          <t>Föryngringsavverkning</t>
        </is>
      </c>
      <c r="D396" s="1" t="n">
        <v>44544</v>
      </c>
      <c r="E396" s="1" t="n">
        <v>46326</v>
      </c>
      <c r="F396" t="inlineStr">
        <is>
          <t>STOCKHOLMS LÄN</t>
        </is>
      </c>
      <c r="G396" t="inlineStr">
        <is>
          <t>VÄRMDÖ</t>
        </is>
      </c>
      <c r="I396" t="n">
        <v>1.6</v>
      </c>
      <c r="J396" t="n">
        <v>0</v>
      </c>
      <c r="K396" t="n">
        <v>0</v>
      </c>
      <c r="L396" t="n">
        <v>1</v>
      </c>
      <c r="M396" t="n">
        <v>0</v>
      </c>
      <c r="N396" t="n">
        <v>0</v>
      </c>
      <c r="O396" t="n">
        <v>0</v>
      </c>
      <c r="P396" t="n">
        <v>0</v>
      </c>
      <c r="Q396" t="n">
        <v>1</v>
      </c>
      <c r="R396" t="n">
        <v>0</v>
      </c>
      <c r="S396" t="n">
        <v>1</v>
      </c>
      <c r="T396" t="n">
        <v>1</v>
      </c>
      <c r="U396" t="n">
        <v>1</v>
      </c>
      <c r="V396" s="2" t="inlineStr">
        <is>
          <t>Jungfrulin</t>
        </is>
      </c>
      <c r="W396">
        <f>HYPERLINK("https://klasma.github.io/Logging_0120/artfynd/A 72108-2021 artfynd.xlsx", "A 72108-2021")</f>
        <v/>
      </c>
      <c r="X396">
        <f>HYPERLINK("https://klasma.github.io/Logging_0120/kartor/A 72108-2021 karta.png", "A 72108-2021")</f>
        <v/>
      </c>
      <c r="Y396">
        <f>HYPERLINK("https://klasma.github.io/Logging_0120/kartor_geotiff/A 72108-2021 georefererad karta.tif", "A 72108-2021")</f>
        <v/>
      </c>
      <c r="AA396">
        <f>HYPERLINK("https://klasma.github.io/Logging_0120/klagomål/A 72108-2021 FSC-klagomål.docx", "A 72108-2021")</f>
        <v/>
      </c>
      <c r="AB396">
        <f>HYPERLINK("https://klasma.github.io/Logging_0120/klagomålsmail/A 72108-2021 FSC-klagomål mail.docx", "A 72108-2021")</f>
        <v/>
      </c>
      <c r="AC396">
        <f>HYPERLINK("https://klasma.github.io/Logging_0120/tillsyn/A 72108-2021 tillsynsbegäran.docx", "A 72108-2021")</f>
        <v/>
      </c>
      <c r="AD396">
        <f>HYPERLINK("https://klasma.github.io/Logging_0120/tillsynsmail/A 72108-2021 tillsynsbegäran mail.docx", "A 72108-2021")</f>
        <v/>
      </c>
    </row>
    <row r="397" ht="15" customHeight="1">
      <c r="A397" t="inlineStr">
        <is>
          <t>A 71315-2021</t>
        </is>
      </c>
      <c r="B397" t="inlineStr">
        <is>
          <t>avverkningsanmälan</t>
        </is>
      </c>
      <c r="C397" t="inlineStr">
        <is>
          <t>Föryngringsavverkning</t>
        </is>
      </c>
      <c r="D397" s="1" t="n">
        <v>44539</v>
      </c>
      <c r="E397" s="1" t="n">
        <v>46326</v>
      </c>
      <c r="F397" t="inlineStr">
        <is>
          <t>STOCKHOLMS LÄN</t>
        </is>
      </c>
      <c r="G397" t="inlineStr">
        <is>
          <t>VÄRMDÖ</t>
        </is>
      </c>
      <c r="H397" t="inlineStr">
        <is>
          <t>Övriga Aktiebolag</t>
        </is>
      </c>
      <c r="I397" t="n">
        <v>5.3</v>
      </c>
      <c r="J397" t="n">
        <v>0</v>
      </c>
      <c r="K397" t="n">
        <v>0</v>
      </c>
      <c r="L397" t="n">
        <v>1</v>
      </c>
      <c r="M397" t="n">
        <v>0</v>
      </c>
      <c r="N397" t="n">
        <v>0</v>
      </c>
      <c r="O397" t="n">
        <v>0</v>
      </c>
      <c r="P397" t="n">
        <v>0</v>
      </c>
      <c r="Q397" t="n">
        <v>1</v>
      </c>
      <c r="R397" t="n">
        <v>0</v>
      </c>
      <c r="S397" t="n">
        <v>1</v>
      </c>
      <c r="T397" t="n">
        <v>1</v>
      </c>
      <c r="U397" t="n">
        <v>0</v>
      </c>
      <c r="V397" s="2" t="inlineStr">
        <is>
          <t>Sårläka</t>
        </is>
      </c>
      <c r="W397">
        <f>HYPERLINK("https://klasma.github.io/Logging_0120/artfynd/A 71315-2021 artfynd.xlsx", "A 71315-2021")</f>
        <v/>
      </c>
      <c r="X397">
        <f>HYPERLINK("https://klasma.github.io/Logging_0120/kartor/A 71315-2021 karta.png", "A 71315-2021")</f>
        <v/>
      </c>
      <c r="Y397">
        <f>HYPERLINK("https://klasma.github.io/Logging_0120/kartor_geotiff/A 71315-2021 georefererad karta.tif", "A 71315-2021")</f>
        <v/>
      </c>
      <c r="AA397">
        <f>HYPERLINK("https://klasma.github.io/Logging_0120/klagomål/A 71315-2021 FSC-klagomål.docx", "A 71315-2021")</f>
        <v/>
      </c>
      <c r="AB397">
        <f>HYPERLINK("https://klasma.github.io/Logging_0120/klagomålsmail/A 71315-2021 FSC-klagomål mail.docx", "A 71315-2021")</f>
        <v/>
      </c>
      <c r="AC397">
        <f>HYPERLINK("https://klasma.github.io/Logging_0120/tillsyn/A 71315-2021 tillsynsbegäran.docx", "A 71315-2021")</f>
        <v/>
      </c>
      <c r="AD397">
        <f>HYPERLINK("https://klasma.github.io/Logging_0120/tillsynsmail/A 71315-2021 tillsynsbegäran mail.docx", "A 71315-2021")</f>
        <v/>
      </c>
    </row>
    <row r="398" ht="15" customHeight="1">
      <c r="A398" t="inlineStr">
        <is>
          <t>A 2722-2022</t>
        </is>
      </c>
      <c r="B398" t="inlineStr">
        <is>
          <t>avverkningsanmälan</t>
        </is>
      </c>
      <c r="C398" t="inlineStr">
        <is>
          <t>Föryngringsavverkning</t>
        </is>
      </c>
      <c r="D398" s="1" t="n">
        <v>44580</v>
      </c>
      <c r="E398" s="1" t="n">
        <v>46326</v>
      </c>
      <c r="F398" t="inlineStr">
        <is>
          <t>STOCKHOLMS LÄN</t>
        </is>
      </c>
      <c r="G398" t="inlineStr">
        <is>
          <t>HANINGE</t>
        </is>
      </c>
      <c r="I398" t="n">
        <v>1.5</v>
      </c>
      <c r="J398" t="n">
        <v>1</v>
      </c>
      <c r="K398" t="n">
        <v>1</v>
      </c>
      <c r="L398" t="n">
        <v>0</v>
      </c>
      <c r="M398" t="n">
        <v>0</v>
      </c>
      <c r="N398" t="n">
        <v>0</v>
      </c>
      <c r="O398" t="n">
        <v>0</v>
      </c>
      <c r="P398" t="n">
        <v>0</v>
      </c>
      <c r="Q398" t="n">
        <v>0</v>
      </c>
      <c r="R398" t="n">
        <v>0</v>
      </c>
      <c r="S398" t="n">
        <v>1</v>
      </c>
      <c r="T398" t="n">
        <v>2</v>
      </c>
      <c r="U398" t="n">
        <v>2</v>
      </c>
      <c r="V398" s="2" t="inlineStr">
        <is>
          <t>Grön sköldmossa</t>
        </is>
      </c>
      <c r="W398">
        <f>HYPERLINK("https://klasma.github.io/Logging_0136/artfynd/A 2722-2022 artfynd.xlsx", "A 2722-2022")</f>
        <v/>
      </c>
      <c r="X398">
        <f>HYPERLINK("https://klasma.github.io/Logging_0136/kartor/A 2722-2022 karta.png", "A 2722-2022")</f>
        <v/>
      </c>
      <c r="Y398">
        <f>HYPERLINK("https://klasma.github.io/Logging_0136/kartor_geotiff/A 2722-2022 georefererad karta.tif", "A 2722-2022")</f>
        <v/>
      </c>
      <c r="AA398">
        <f>HYPERLINK("https://klasma.github.io/Logging_0136/klagomål/A 2722-2022 FSC-klagomål.docx", "A 2722-2022")</f>
        <v/>
      </c>
      <c r="AB398">
        <f>HYPERLINK("https://klasma.github.io/Logging_0136/klagomålsmail/A 2722-2022 FSC-klagomål mail.docx", "A 2722-2022")</f>
        <v/>
      </c>
      <c r="AC398">
        <f>HYPERLINK("https://klasma.github.io/Logging_0136/tillsyn/A 2722-2022 tillsynsbegäran.docx", "A 2722-2022")</f>
        <v/>
      </c>
      <c r="AD398">
        <f>HYPERLINK("https://klasma.github.io/Logging_0136/tillsynsmail/A 2722-2022 tillsynsbegäran mail.docx", "A 2722-2022")</f>
        <v/>
      </c>
    </row>
    <row r="399" ht="15" customHeight="1">
      <c r="A399" t="inlineStr">
        <is>
          <t>A 17629-2022</t>
        </is>
      </c>
      <c r="B399" t="inlineStr">
        <is>
          <t>avverkningsanmälan</t>
        </is>
      </c>
      <c r="C399" t="inlineStr">
        <is>
          <t>Avverkning för annat ändamål</t>
        </is>
      </c>
      <c r="D399" s="1" t="n">
        <v>44680</v>
      </c>
      <c r="E399" s="1" t="n">
        <v>46326</v>
      </c>
      <c r="F399" t="inlineStr">
        <is>
          <t>STOCKHOLMS LÄN</t>
        </is>
      </c>
      <c r="G399" t="inlineStr">
        <is>
          <t>NORRTÄLJE</t>
        </is>
      </c>
      <c r="I399" t="n">
        <v>0.6</v>
      </c>
      <c r="J399" t="n">
        <v>1</v>
      </c>
      <c r="K399" t="n">
        <v>0</v>
      </c>
      <c r="L399" t="n">
        <v>0</v>
      </c>
      <c r="M399" t="n">
        <v>0</v>
      </c>
      <c r="N399" t="n">
        <v>1</v>
      </c>
      <c r="O399" t="n">
        <v>0</v>
      </c>
      <c r="P399" t="n">
        <v>0</v>
      </c>
      <c r="Q399" t="n">
        <v>1</v>
      </c>
      <c r="R399" t="n">
        <v>1</v>
      </c>
      <c r="S399" t="n">
        <v>1</v>
      </c>
      <c r="T399" t="n">
        <v>1</v>
      </c>
      <c r="U399" t="n">
        <v>1</v>
      </c>
      <c r="V399" s="2" t="inlineStr">
        <is>
          <t>Hornuggla</t>
        </is>
      </c>
      <c r="W399">
        <f>HYPERLINK("https://klasma.github.io/Logging_0188/artfynd/A 17629-2022 artfynd.xlsx", "A 17629-2022")</f>
        <v/>
      </c>
      <c r="X399">
        <f>HYPERLINK("https://klasma.github.io/Logging_0188/kartor/A 17629-2022 karta.png", "A 17629-2022")</f>
        <v/>
      </c>
      <c r="Y399">
        <f>HYPERLINK("https://klasma.github.io/Logging_0188/kartor_geotiff/A 17629-2022 georefererad karta.tif", "A 17629-2022")</f>
        <v/>
      </c>
      <c r="AA399">
        <f>HYPERLINK("https://klasma.github.io/Logging_0188/klagomål/A 17629-2022 FSC-klagomål.docx", "A 17629-2022")</f>
        <v/>
      </c>
      <c r="AB399">
        <f>HYPERLINK("https://klasma.github.io/Logging_0188/klagomålsmail/A 17629-2022 FSC-klagomål mail.docx", "A 17629-2022")</f>
        <v/>
      </c>
      <c r="AC399">
        <f>HYPERLINK("https://klasma.github.io/Logging_0188/tillsyn/A 17629-2022 tillsynsbegäran.docx", "A 17629-2022")</f>
        <v/>
      </c>
      <c r="AD399">
        <f>HYPERLINK("https://klasma.github.io/Logging_0188/tillsynsmail/A 17629-2022 tillsynsbegäran mail.docx", "A 17629-2022")</f>
        <v/>
      </c>
      <c r="AE399">
        <f>HYPERLINK("https://klasma.github.io/Logging_0188/fåglar/A 17629-2022 prioriterade fågelarter.docx", "A 17629-2022")</f>
        <v/>
      </c>
    </row>
    <row r="400" ht="15" customHeight="1">
      <c r="A400" t="inlineStr">
        <is>
          <t>A 38452-2022</t>
        </is>
      </c>
      <c r="B400" t="inlineStr">
        <is>
          <t>avverkningsanmälan</t>
        </is>
      </c>
      <c r="C400" t="inlineStr">
        <is>
          <t>Föryngringsavverkning</t>
        </is>
      </c>
      <c r="D400" s="1" t="n">
        <v>44813</v>
      </c>
      <c r="E400" s="1" t="n">
        <v>46326</v>
      </c>
      <c r="F400" t="inlineStr">
        <is>
          <t>STOCKHOLMS LÄN</t>
        </is>
      </c>
      <c r="G400" t="inlineStr">
        <is>
          <t>SÖDERTÄLJE</t>
        </is>
      </c>
      <c r="H400" t="inlineStr">
        <is>
          <t>Kommuner</t>
        </is>
      </c>
      <c r="I400" t="n">
        <v>25</v>
      </c>
      <c r="J400" t="n">
        <v>0</v>
      </c>
      <c r="K400" t="n">
        <v>1</v>
      </c>
      <c r="L400" t="n">
        <v>0</v>
      </c>
      <c r="M400" t="n">
        <v>0</v>
      </c>
      <c r="N400" t="n">
        <v>0</v>
      </c>
      <c r="O400" t="n">
        <v>0</v>
      </c>
      <c r="P400" t="n">
        <v>0</v>
      </c>
      <c r="Q400" t="n">
        <v>0</v>
      </c>
      <c r="R400" t="n">
        <v>0</v>
      </c>
      <c r="S400" t="n">
        <v>1</v>
      </c>
      <c r="T400" t="n">
        <v>1</v>
      </c>
      <c r="U400" t="n">
        <v>1</v>
      </c>
      <c r="V400" s="2" t="inlineStr">
        <is>
          <t>Rödgul trumpetsvamp</t>
        </is>
      </c>
      <c r="W400">
        <f>HYPERLINK("https://klasma.github.io/Logging_0181/artfynd/A 38452-2022 artfynd.xlsx", "A 38452-2022")</f>
        <v/>
      </c>
      <c r="X400">
        <f>HYPERLINK("https://klasma.github.io/Logging_0181/kartor/A 38452-2022 karta.png", "A 38452-2022")</f>
        <v/>
      </c>
      <c r="Y400">
        <f>HYPERLINK("https://klasma.github.io/Logging_0181/kartor_geotiff/A 38452-2022 georefererad karta.tif", "A 38452-2022")</f>
        <v/>
      </c>
      <c r="AA400">
        <f>HYPERLINK("https://klasma.github.io/Logging_0181/klagomål/A 38452-2022 FSC-klagomål.docx", "A 38452-2022")</f>
        <v/>
      </c>
      <c r="AB400">
        <f>HYPERLINK("https://klasma.github.io/Logging_0181/klagomålsmail/A 38452-2022 FSC-klagomål mail.docx", "A 38452-2022")</f>
        <v/>
      </c>
      <c r="AC400">
        <f>HYPERLINK("https://klasma.github.io/Logging_0181/tillsyn/A 38452-2022 tillsynsbegäran.docx", "A 38452-2022")</f>
        <v/>
      </c>
      <c r="AD400">
        <f>HYPERLINK("https://klasma.github.io/Logging_0181/tillsynsmail/A 38452-2022 tillsynsbegäran mail.docx", "A 38452-2022")</f>
        <v/>
      </c>
    </row>
    <row r="401" ht="15" customHeight="1">
      <c r="A401" t="inlineStr">
        <is>
          <t>A 73787-2021</t>
        </is>
      </c>
      <c r="B401" t="inlineStr">
        <is>
          <t>avverkningsanmälan</t>
        </is>
      </c>
      <c r="C401" t="inlineStr">
        <is>
          <t>Föryngringsavverkning</t>
        </is>
      </c>
      <c r="D401" s="1" t="n">
        <v>44552</v>
      </c>
      <c r="E401" s="1" t="n">
        <v>46326</v>
      </c>
      <c r="F401" t="inlineStr">
        <is>
          <t>STOCKHOLMS LÄN</t>
        </is>
      </c>
      <c r="G401" t="inlineStr">
        <is>
          <t>UPPLANDS-BRO</t>
        </is>
      </c>
      <c r="I401" t="n">
        <v>4.6</v>
      </c>
      <c r="J401" t="n">
        <v>0</v>
      </c>
      <c r="K401" t="n">
        <v>0</v>
      </c>
      <c r="L401" t="n">
        <v>1</v>
      </c>
      <c r="M401" t="n">
        <v>0</v>
      </c>
      <c r="N401" t="n">
        <v>0</v>
      </c>
      <c r="O401" t="n">
        <v>0</v>
      </c>
      <c r="P401" t="n">
        <v>0</v>
      </c>
      <c r="Q401" t="n">
        <v>1</v>
      </c>
      <c r="R401" t="n">
        <v>0</v>
      </c>
      <c r="S401" t="n">
        <v>1</v>
      </c>
      <c r="T401" t="n">
        <v>1</v>
      </c>
      <c r="U401" t="n">
        <v>0</v>
      </c>
      <c r="V401" s="2" t="inlineStr">
        <is>
          <t>Dofttaggsvamp</t>
        </is>
      </c>
      <c r="W401">
        <f>HYPERLINK("https://klasma.github.io/Logging_0139/artfynd/A 73787-2021 artfynd.xlsx", "A 73787-2021")</f>
        <v/>
      </c>
      <c r="X401">
        <f>HYPERLINK("https://klasma.github.io/Logging_0139/kartor/A 73787-2021 karta.png", "A 73787-2021")</f>
        <v/>
      </c>
      <c r="Y401">
        <f>HYPERLINK("https://klasma.github.io/Logging_0139/kartor_geotiff/A 73787-2021 georefererad karta.tif", "A 73787-2021")</f>
        <v/>
      </c>
      <c r="AA401">
        <f>HYPERLINK("https://klasma.github.io/Logging_0139/klagomål/A 73787-2021 FSC-klagomål.docx", "A 73787-2021")</f>
        <v/>
      </c>
      <c r="AB401">
        <f>HYPERLINK("https://klasma.github.io/Logging_0139/klagomålsmail/A 73787-2021 FSC-klagomål mail.docx", "A 73787-2021")</f>
        <v/>
      </c>
      <c r="AC401">
        <f>HYPERLINK("https://klasma.github.io/Logging_0139/tillsyn/A 73787-2021 tillsynsbegäran.docx", "A 73787-2021")</f>
        <v/>
      </c>
      <c r="AD401">
        <f>HYPERLINK("https://klasma.github.io/Logging_0139/tillsynsmail/A 73787-2021 tillsynsbegäran mail.docx", "A 73787-2021")</f>
        <v/>
      </c>
    </row>
    <row r="402" ht="15" customHeight="1">
      <c r="A402" t="inlineStr">
        <is>
          <t>A 52139-2022</t>
        </is>
      </c>
      <c r="B402" t="inlineStr">
        <is>
          <t>avverkningsanmälan</t>
        </is>
      </c>
      <c r="C402" t="inlineStr">
        <is>
          <t>Avverkning för annat ändamål</t>
        </is>
      </c>
      <c r="D402" s="1" t="n">
        <v>44868</v>
      </c>
      <c r="E402" s="1" t="n">
        <v>46326</v>
      </c>
      <c r="F402" t="inlineStr">
        <is>
          <t>STOCKHOLMS LÄN</t>
        </is>
      </c>
      <c r="G402" t="inlineStr">
        <is>
          <t>NORRTÄLJE</t>
        </is>
      </c>
      <c r="I402" t="n">
        <v>3.2</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52139-2022 artfynd.xlsx", "A 52139-2022")</f>
        <v/>
      </c>
      <c r="X402">
        <f>HYPERLINK("https://klasma.github.io/Logging_0188/kartor/A 52139-2022 karta.png", "A 52139-2022")</f>
        <v/>
      </c>
      <c r="Y402">
        <f>HYPERLINK("https://klasma.github.io/Logging_0188/kartor_geotiff/A 52139-2022 georefererad karta.tif", "A 52139-2022")</f>
        <v/>
      </c>
      <c r="Z402">
        <f>HYPERLINK("https://klasma.github.io/Logging_0188/knärot/A 52139-2022 karta knärot.png", "A 52139-2022")</f>
        <v/>
      </c>
      <c r="AA402">
        <f>HYPERLINK("https://klasma.github.io/Logging_0188/klagomål/A 52139-2022 FSC-klagomål.docx", "A 52139-2022")</f>
        <v/>
      </c>
      <c r="AB402">
        <f>HYPERLINK("https://klasma.github.io/Logging_0188/klagomålsmail/A 52139-2022 FSC-klagomål mail.docx", "A 52139-2022")</f>
        <v/>
      </c>
      <c r="AC402">
        <f>HYPERLINK("https://klasma.github.io/Logging_0188/tillsyn/A 52139-2022 tillsynsbegäran.docx", "A 52139-2022")</f>
        <v/>
      </c>
      <c r="AD402">
        <f>HYPERLINK("https://klasma.github.io/Logging_0188/tillsynsmail/A 52139-2022 tillsynsbegäran mail.docx", "A 52139-2022")</f>
        <v/>
      </c>
    </row>
    <row r="403" ht="15" customHeight="1">
      <c r="A403" t="inlineStr">
        <is>
          <t>A 37004-2022</t>
        </is>
      </c>
      <c r="B403" t="inlineStr">
        <is>
          <t>avverkningsanmälan</t>
        </is>
      </c>
      <c r="C403" t="inlineStr">
        <is>
          <t>Föryngringsavverkning</t>
        </is>
      </c>
      <c r="D403" s="1" t="n">
        <v>44806</v>
      </c>
      <c r="E403" s="1" t="n">
        <v>46326</v>
      </c>
      <c r="F403" t="inlineStr">
        <is>
          <t>STOCKHOLMS LÄN</t>
        </is>
      </c>
      <c r="G403" t="inlineStr">
        <is>
          <t>HANINGE</t>
        </is>
      </c>
      <c r="H403" t="inlineStr">
        <is>
          <t>Övriga statliga verk och myndigheter</t>
        </is>
      </c>
      <c r="I403" t="n">
        <v>4.4</v>
      </c>
      <c r="J403" t="n">
        <v>1</v>
      </c>
      <c r="K403" t="n">
        <v>1</v>
      </c>
      <c r="L403" t="n">
        <v>0</v>
      </c>
      <c r="M403" t="n">
        <v>0</v>
      </c>
      <c r="N403" t="n">
        <v>0</v>
      </c>
      <c r="O403" t="n">
        <v>0</v>
      </c>
      <c r="P403" t="n">
        <v>0</v>
      </c>
      <c r="Q403" t="n">
        <v>0</v>
      </c>
      <c r="R403" t="n">
        <v>0</v>
      </c>
      <c r="S403" t="n">
        <v>1</v>
      </c>
      <c r="T403" t="n">
        <v>1</v>
      </c>
      <c r="U403" t="n">
        <v>1</v>
      </c>
      <c r="V403" s="2" t="inlineStr">
        <is>
          <t>Skogsknipprot</t>
        </is>
      </c>
      <c r="W403">
        <f>HYPERLINK("https://klasma.github.io/Logging_0136/artfynd/A 37004-2022 artfynd.xlsx", "A 37004-2022")</f>
        <v/>
      </c>
      <c r="X403">
        <f>HYPERLINK("https://klasma.github.io/Logging_0136/kartor/A 37004-2022 karta.png", "A 37004-2022")</f>
        <v/>
      </c>
      <c r="Y403">
        <f>HYPERLINK("https://klasma.github.io/Logging_0136/kartor_geotiff/A 37004-2022 georefererad karta.tif", "A 37004-2022")</f>
        <v/>
      </c>
      <c r="AA403">
        <f>HYPERLINK("https://klasma.github.io/Logging_0136/klagomål/A 37004-2022 FSC-klagomål.docx", "A 37004-2022")</f>
        <v/>
      </c>
      <c r="AB403">
        <f>HYPERLINK("https://klasma.github.io/Logging_0136/klagomålsmail/A 37004-2022 FSC-klagomål mail.docx", "A 37004-2022")</f>
        <v/>
      </c>
      <c r="AC403">
        <f>HYPERLINK("https://klasma.github.io/Logging_0136/tillsyn/A 37004-2022 tillsynsbegäran.docx", "A 37004-2022")</f>
        <v/>
      </c>
      <c r="AD403">
        <f>HYPERLINK("https://klasma.github.io/Logging_0136/tillsynsmail/A 37004-2022 tillsynsbegäran mail.docx", "A 37004-2022")</f>
        <v/>
      </c>
    </row>
    <row r="404" ht="15" customHeight="1">
      <c r="A404" t="inlineStr">
        <is>
          <t>A 15226-2022</t>
        </is>
      </c>
      <c r="B404" t="inlineStr">
        <is>
          <t>avverkningsanmälan</t>
        </is>
      </c>
      <c r="C404" t="inlineStr">
        <is>
          <t>Föryngringsavverkning</t>
        </is>
      </c>
      <c r="D404" s="1" t="n">
        <v>44658</v>
      </c>
      <c r="E404" s="1" t="n">
        <v>46326</v>
      </c>
      <c r="F404" t="inlineStr">
        <is>
          <t>STOCKHOLMS LÄN</t>
        </is>
      </c>
      <c r="G404" t="inlineStr">
        <is>
          <t>NORRTÄLJE</t>
        </is>
      </c>
      <c r="I404" t="n">
        <v>1.1</v>
      </c>
      <c r="J404" t="n">
        <v>1</v>
      </c>
      <c r="K404" t="n">
        <v>0</v>
      </c>
      <c r="L404" t="n">
        <v>0</v>
      </c>
      <c r="M404" t="n">
        <v>1</v>
      </c>
      <c r="N404" t="n">
        <v>0</v>
      </c>
      <c r="O404" t="n">
        <v>0</v>
      </c>
      <c r="P404" t="n">
        <v>0</v>
      </c>
      <c r="Q404" t="n">
        <v>1</v>
      </c>
      <c r="R404" t="n">
        <v>1</v>
      </c>
      <c r="S404" t="n">
        <v>1</v>
      </c>
      <c r="T404" t="n">
        <v>1</v>
      </c>
      <c r="U404" t="n">
        <v>1</v>
      </c>
      <c r="V404" s="2" t="inlineStr">
        <is>
          <t>Tofsvipa</t>
        </is>
      </c>
      <c r="W404">
        <f>HYPERLINK("https://klasma.github.io/Logging_0188/artfynd/A 15226-2022 artfynd.xlsx", "A 15226-2022")</f>
        <v/>
      </c>
      <c r="X404">
        <f>HYPERLINK("https://klasma.github.io/Logging_0188/kartor/A 15226-2022 karta.png", "A 15226-2022")</f>
        <v/>
      </c>
      <c r="Y404">
        <f>HYPERLINK("https://klasma.github.io/Logging_0188/kartor_geotiff/A 15226-2022 georefererad karta.tif", "A 15226-2022")</f>
        <v/>
      </c>
      <c r="AA404">
        <f>HYPERLINK("https://klasma.github.io/Logging_0188/klagomål/A 15226-2022 FSC-klagomål.docx", "A 15226-2022")</f>
        <v/>
      </c>
      <c r="AB404">
        <f>HYPERLINK("https://klasma.github.io/Logging_0188/klagomålsmail/A 15226-2022 FSC-klagomål mail.docx", "A 15226-2022")</f>
        <v/>
      </c>
      <c r="AC404">
        <f>HYPERLINK("https://klasma.github.io/Logging_0188/tillsyn/A 15226-2022 tillsynsbegäran.docx", "A 15226-2022")</f>
        <v/>
      </c>
      <c r="AD404">
        <f>HYPERLINK("https://klasma.github.io/Logging_0188/tillsynsmail/A 15226-2022 tillsynsbegäran mail.docx", "A 15226-2022")</f>
        <v/>
      </c>
    </row>
    <row r="405" ht="15" customHeight="1">
      <c r="A405" t="inlineStr">
        <is>
          <t>A 24257-2023</t>
        </is>
      </c>
      <c r="B405" t="inlineStr">
        <is>
          <t>avverkningsanmälan</t>
        </is>
      </c>
      <c r="C405" t="inlineStr">
        <is>
          <t>Föryngringsavverkning</t>
        </is>
      </c>
      <c r="D405" s="1" t="n">
        <v>45076</v>
      </c>
      <c r="E405" s="1" t="n">
        <v>46326</v>
      </c>
      <c r="F405" t="inlineStr">
        <is>
          <t>STOCKHOLMS LÄN</t>
        </is>
      </c>
      <c r="G405" t="inlineStr">
        <is>
          <t>HUDDINGE</t>
        </is>
      </c>
      <c r="I405" t="n">
        <v>1</v>
      </c>
      <c r="J405" t="n">
        <v>0</v>
      </c>
      <c r="K405" t="n">
        <v>0</v>
      </c>
      <c r="L405" t="n">
        <v>1</v>
      </c>
      <c r="M405" t="n">
        <v>0</v>
      </c>
      <c r="N405" t="n">
        <v>0</v>
      </c>
      <c r="O405" t="n">
        <v>0</v>
      </c>
      <c r="P405" t="n">
        <v>0</v>
      </c>
      <c r="Q405" t="n">
        <v>1</v>
      </c>
      <c r="R405" t="n">
        <v>0</v>
      </c>
      <c r="S405" t="n">
        <v>1</v>
      </c>
      <c r="T405" t="n">
        <v>1</v>
      </c>
      <c r="U405" t="n">
        <v>1</v>
      </c>
      <c r="V405" s="2" t="inlineStr">
        <is>
          <t>Kolflarnlav</t>
        </is>
      </c>
      <c r="W405">
        <f>HYPERLINK("https://klasma.github.io/Logging_0126/artfynd/A 24257-2023 artfynd.xlsx", "A 24257-2023")</f>
        <v/>
      </c>
      <c r="X405">
        <f>HYPERLINK("https://klasma.github.io/Logging_0126/kartor/A 24257-2023 karta.png", "A 24257-2023")</f>
        <v/>
      </c>
      <c r="Y405">
        <f>HYPERLINK("https://klasma.github.io/Logging_0126/kartor_geotiff/A 24257-2023 georefererad karta.tif", "A 24257-2023")</f>
        <v/>
      </c>
      <c r="AA405">
        <f>HYPERLINK("https://klasma.github.io/Logging_0126/klagomål/A 24257-2023 FSC-klagomål.docx", "A 24257-2023")</f>
        <v/>
      </c>
      <c r="AB405">
        <f>HYPERLINK("https://klasma.github.io/Logging_0126/klagomålsmail/A 24257-2023 FSC-klagomål mail.docx", "A 24257-2023")</f>
        <v/>
      </c>
      <c r="AC405">
        <f>HYPERLINK("https://klasma.github.io/Logging_0126/tillsyn/A 24257-2023 tillsynsbegäran.docx", "A 24257-2023")</f>
        <v/>
      </c>
      <c r="AD405">
        <f>HYPERLINK("https://klasma.github.io/Logging_0126/tillsynsmail/A 24257-2023 tillsynsbegäran mail.docx", "A 24257-2023")</f>
        <v/>
      </c>
    </row>
    <row r="406" ht="15" customHeight="1">
      <c r="A406" t="inlineStr">
        <is>
          <t>A 58928-2022</t>
        </is>
      </c>
      <c r="B406" t="inlineStr">
        <is>
          <t>avverkningsanmälan</t>
        </is>
      </c>
      <c r="C406" t="inlineStr">
        <is>
          <t>Föryngringsavverkning</t>
        </is>
      </c>
      <c r="D406" s="1" t="n">
        <v>44903</v>
      </c>
      <c r="E406" s="1" t="n">
        <v>46326</v>
      </c>
      <c r="F406" t="inlineStr">
        <is>
          <t>STOCKHOLMS LÄN</t>
        </is>
      </c>
      <c r="G406" t="inlineStr">
        <is>
          <t>SÖDERTÄLJE</t>
        </is>
      </c>
      <c r="H406" t="inlineStr">
        <is>
          <t>Kommuner</t>
        </is>
      </c>
      <c r="I406" t="n">
        <v>9.199999999999999</v>
      </c>
      <c r="J406" t="n">
        <v>0</v>
      </c>
      <c r="K406" t="n">
        <v>0</v>
      </c>
      <c r="L406" t="n">
        <v>0</v>
      </c>
      <c r="M406" t="n">
        <v>1</v>
      </c>
      <c r="N406" t="n">
        <v>0</v>
      </c>
      <c r="O406" t="n">
        <v>0</v>
      </c>
      <c r="P406" t="n">
        <v>0</v>
      </c>
      <c r="Q406" t="n">
        <v>1</v>
      </c>
      <c r="R406" t="n">
        <v>1</v>
      </c>
      <c r="S406" t="n">
        <v>1</v>
      </c>
      <c r="T406" t="n">
        <v>1</v>
      </c>
      <c r="U406" t="n">
        <v>0</v>
      </c>
      <c r="V406" s="2" t="inlineStr">
        <is>
          <t>Bandnate</t>
        </is>
      </c>
      <c r="W406">
        <f>HYPERLINK("https://klasma.github.io/Logging_0181/artfynd/A 58928-2022 artfynd.xlsx", "A 58928-2022")</f>
        <v/>
      </c>
      <c r="X406">
        <f>HYPERLINK("https://klasma.github.io/Logging_0181/kartor/A 58928-2022 karta.png", "A 58928-2022")</f>
        <v/>
      </c>
      <c r="Y406">
        <f>HYPERLINK("https://klasma.github.io/Logging_0181/kartor_geotiff/A 58928-2022 georefererad karta.tif", "A 58928-2022")</f>
        <v/>
      </c>
      <c r="AA406">
        <f>HYPERLINK("https://klasma.github.io/Logging_0181/klagomål/A 58928-2022 FSC-klagomål.docx", "A 58928-2022")</f>
        <v/>
      </c>
      <c r="AB406">
        <f>HYPERLINK("https://klasma.github.io/Logging_0181/klagomålsmail/A 58928-2022 FSC-klagomål mail.docx", "A 58928-2022")</f>
        <v/>
      </c>
      <c r="AC406">
        <f>HYPERLINK("https://klasma.github.io/Logging_0181/tillsyn/A 58928-2022 tillsynsbegäran.docx", "A 58928-2022")</f>
        <v/>
      </c>
      <c r="AD406">
        <f>HYPERLINK("https://klasma.github.io/Logging_0181/tillsynsmail/A 58928-2022 tillsynsbegäran mail.docx", "A 58928-2022")</f>
        <v/>
      </c>
    </row>
    <row r="407" ht="15" customHeight="1">
      <c r="A407" t="inlineStr">
        <is>
          <t>A 24245-2024</t>
        </is>
      </c>
      <c r="B407" t="inlineStr">
        <is>
          <t>avverkningsanmälan</t>
        </is>
      </c>
      <c r="C407" t="inlineStr">
        <is>
          <t>Föryngringsavverkning</t>
        </is>
      </c>
      <c r="D407" s="1" t="n">
        <v>45457</v>
      </c>
      <c r="E407" s="1" t="n">
        <v>46326</v>
      </c>
      <c r="F407" t="inlineStr">
        <is>
          <t>STOCKHOLMS LÄN</t>
        </is>
      </c>
      <c r="G407" t="inlineStr">
        <is>
          <t>NORRTÄLJE</t>
        </is>
      </c>
      <c r="H407" t="inlineStr">
        <is>
          <t>Holmen skog AB</t>
        </is>
      </c>
      <c r="I407" t="n">
        <v>3.4</v>
      </c>
      <c r="J407" t="n">
        <v>1</v>
      </c>
      <c r="K407" t="n">
        <v>0</v>
      </c>
      <c r="L407" t="n">
        <v>0</v>
      </c>
      <c r="M407" t="n">
        <v>1</v>
      </c>
      <c r="N407" t="n">
        <v>0</v>
      </c>
      <c r="O407" t="n">
        <v>0</v>
      </c>
      <c r="P407" t="n">
        <v>0</v>
      </c>
      <c r="Q407" t="n">
        <v>1</v>
      </c>
      <c r="R407" t="n">
        <v>1</v>
      </c>
      <c r="S407" t="n">
        <v>1</v>
      </c>
      <c r="T407" t="n">
        <v>1</v>
      </c>
      <c r="U407" t="n">
        <v>0</v>
      </c>
      <c r="V407" s="2" t="inlineStr">
        <is>
          <t>Hällebräcka</t>
        </is>
      </c>
      <c r="W407">
        <f>HYPERLINK("https://klasma.github.io/Logging_0188/artfynd/A 24245-2024 artfynd.xlsx", "A 24245-2024")</f>
        <v/>
      </c>
      <c r="X407">
        <f>HYPERLINK("https://klasma.github.io/Logging_0188/kartor/A 24245-2024 karta.png", "A 24245-2024")</f>
        <v/>
      </c>
      <c r="Y407">
        <f>HYPERLINK("https://klasma.github.io/Logging_0188/kartor_geotiff/A 24245-2024 georefererad karta.tif", "A 24245-2024")</f>
        <v/>
      </c>
      <c r="AA407">
        <f>HYPERLINK("https://klasma.github.io/Logging_0188/klagomål/A 24245-2024 FSC-klagomål.docx", "A 24245-2024")</f>
        <v/>
      </c>
      <c r="AB407">
        <f>HYPERLINK("https://klasma.github.io/Logging_0188/klagomålsmail/A 24245-2024 FSC-klagomål mail.docx", "A 24245-2024")</f>
        <v/>
      </c>
      <c r="AC407">
        <f>HYPERLINK("https://klasma.github.io/Logging_0188/tillsyn/A 24245-2024 tillsynsbegäran.docx", "A 24245-2024")</f>
        <v/>
      </c>
      <c r="AD407">
        <f>HYPERLINK("https://klasma.github.io/Logging_0188/tillsynsmail/A 24245-2024 tillsynsbegäran mail.docx", "A 24245-2024")</f>
        <v/>
      </c>
    </row>
    <row r="408" ht="15" customHeight="1">
      <c r="A408" t="inlineStr">
        <is>
          <t>A 52260-2022</t>
        </is>
      </c>
      <c r="B408" t="inlineStr">
        <is>
          <t>avverkningsanmälan</t>
        </is>
      </c>
      <c r="C408" t="inlineStr">
        <is>
          <t>Avverkning för annat ändamål</t>
        </is>
      </c>
      <c r="D408" s="1" t="n">
        <v>44869</v>
      </c>
      <c r="E408" s="1" t="n">
        <v>46326</v>
      </c>
      <c r="F408" t="inlineStr">
        <is>
          <t>STOCKHOLMS LÄN</t>
        </is>
      </c>
      <c r="G408" t="inlineStr">
        <is>
          <t>NORRTÄLJE</t>
        </is>
      </c>
      <c r="I408" t="n">
        <v>3.1</v>
      </c>
      <c r="J408" t="n">
        <v>1</v>
      </c>
      <c r="K408" t="n">
        <v>0</v>
      </c>
      <c r="L408" t="n">
        <v>0</v>
      </c>
      <c r="M408" t="n">
        <v>0</v>
      </c>
      <c r="N408" t="n">
        <v>0</v>
      </c>
      <c r="O408" t="n">
        <v>0</v>
      </c>
      <c r="P408" t="n">
        <v>0</v>
      </c>
      <c r="Q408" t="n">
        <v>0</v>
      </c>
      <c r="R408" t="n">
        <v>0</v>
      </c>
      <c r="S408" t="n">
        <v>1</v>
      </c>
      <c r="T408" t="n">
        <v>1</v>
      </c>
      <c r="U408" t="n">
        <v>1</v>
      </c>
      <c r="V408" s="2" t="inlineStr">
        <is>
          <t>Blåsippa</t>
        </is>
      </c>
      <c r="W408">
        <f>HYPERLINK("https://klasma.github.io/Logging_0188/artfynd/A 52260-2022 artfynd.xlsx", "A 52260-2022")</f>
        <v/>
      </c>
      <c r="X408">
        <f>HYPERLINK("https://klasma.github.io/Logging_0188/kartor/A 52260-2022 karta.png", "A 52260-2022")</f>
        <v/>
      </c>
      <c r="Y408">
        <f>HYPERLINK("https://klasma.github.io/Logging_0188/kartor_geotiff/A 52260-2022 georefererad karta.tif", "A 52260-2022")</f>
        <v/>
      </c>
      <c r="AA408">
        <f>HYPERLINK("https://klasma.github.io/Logging_0188/klagomål/A 52260-2022 FSC-klagomål.docx", "A 52260-2022")</f>
        <v/>
      </c>
      <c r="AB408">
        <f>HYPERLINK("https://klasma.github.io/Logging_0188/klagomålsmail/A 52260-2022 FSC-klagomål mail.docx", "A 52260-2022")</f>
        <v/>
      </c>
      <c r="AC408">
        <f>HYPERLINK("https://klasma.github.io/Logging_0188/tillsyn/A 52260-2022 tillsynsbegäran.docx", "A 52260-2022")</f>
        <v/>
      </c>
      <c r="AD408">
        <f>HYPERLINK("https://klasma.github.io/Logging_0188/tillsynsmail/A 52260-2022 tillsynsbegäran mail.docx", "A 52260-2022")</f>
        <v/>
      </c>
    </row>
    <row r="409" ht="15" customHeight="1">
      <c r="A409" t="inlineStr">
        <is>
          <t>A 15690-2023</t>
        </is>
      </c>
      <c r="B409" t="inlineStr">
        <is>
          <t>avverkningsanmälan</t>
        </is>
      </c>
      <c r="C409" t="inlineStr">
        <is>
          <t>Föryngringsavverkning</t>
        </is>
      </c>
      <c r="D409" s="1" t="n">
        <v>45020</v>
      </c>
      <c r="E409" s="1" t="n">
        <v>46326</v>
      </c>
      <c r="F409" t="inlineStr">
        <is>
          <t>STOCKHOLMS LÄN</t>
        </is>
      </c>
      <c r="G409" t="inlineStr">
        <is>
          <t>BOTKYRKA</t>
        </is>
      </c>
      <c r="I409" t="n">
        <v>5</v>
      </c>
      <c r="J409" t="n">
        <v>0</v>
      </c>
      <c r="K409" t="n">
        <v>0</v>
      </c>
      <c r="L409" t="n">
        <v>1</v>
      </c>
      <c r="M409" t="n">
        <v>0</v>
      </c>
      <c r="N409" t="n">
        <v>0</v>
      </c>
      <c r="O409" t="n">
        <v>0</v>
      </c>
      <c r="P409" t="n">
        <v>0</v>
      </c>
      <c r="Q409" t="n">
        <v>1</v>
      </c>
      <c r="R409" t="n">
        <v>0</v>
      </c>
      <c r="S409" t="n">
        <v>1</v>
      </c>
      <c r="T409" t="n">
        <v>1</v>
      </c>
      <c r="U409" t="n">
        <v>1</v>
      </c>
      <c r="V409" s="2" t="inlineStr">
        <is>
          <t>Gullpudra</t>
        </is>
      </c>
      <c r="W409">
        <f>HYPERLINK("https://klasma.github.io/Logging_0127/artfynd/A 15690-2023 artfynd.xlsx", "A 15690-2023")</f>
        <v/>
      </c>
      <c r="X409">
        <f>HYPERLINK("https://klasma.github.io/Logging_0127/kartor/A 15690-2023 karta.png", "A 15690-2023")</f>
        <v/>
      </c>
      <c r="Y409">
        <f>HYPERLINK("https://klasma.github.io/Logging_0127/kartor_geotiff/A 15690-2023 georefererad karta.tif", "A 15690-2023")</f>
        <v/>
      </c>
      <c r="AA409">
        <f>HYPERLINK("https://klasma.github.io/Logging_0127/klagomål/A 15690-2023 FSC-klagomål.docx", "A 15690-2023")</f>
        <v/>
      </c>
      <c r="AB409">
        <f>HYPERLINK("https://klasma.github.io/Logging_0127/klagomålsmail/A 15690-2023 FSC-klagomål mail.docx", "A 15690-2023")</f>
        <v/>
      </c>
      <c r="AC409">
        <f>HYPERLINK("https://klasma.github.io/Logging_0127/tillsyn/A 15690-2023 tillsynsbegäran.docx", "A 15690-2023")</f>
        <v/>
      </c>
      <c r="AD409">
        <f>HYPERLINK("https://klasma.github.io/Logging_0127/tillsynsmail/A 15690-2023 tillsynsbegäran mail.docx", "A 15690-2023")</f>
        <v/>
      </c>
    </row>
    <row r="410" ht="15" customHeight="1">
      <c r="A410" t="inlineStr">
        <is>
          <t>A 3221-2022</t>
        </is>
      </c>
      <c r="B410" t="inlineStr">
        <is>
          <t>avverkningsanmälan</t>
        </is>
      </c>
      <c r="C410" t="inlineStr">
        <is>
          <t>Föryngringsavverkning</t>
        </is>
      </c>
      <c r="D410" s="1" t="n">
        <v>44582</v>
      </c>
      <c r="E410" s="1" t="n">
        <v>46326</v>
      </c>
      <c r="F410" t="inlineStr">
        <is>
          <t>STOCKHOLMS LÄN</t>
        </is>
      </c>
      <c r="G410" t="inlineStr">
        <is>
          <t>EKERÖ</t>
        </is>
      </c>
      <c r="I410" t="n">
        <v>0.5</v>
      </c>
      <c r="J410" t="n">
        <v>0</v>
      </c>
      <c r="K410" t="n">
        <v>1</v>
      </c>
      <c r="L410" t="n">
        <v>0</v>
      </c>
      <c r="M410" t="n">
        <v>0</v>
      </c>
      <c r="N410" t="n">
        <v>0</v>
      </c>
      <c r="O410" t="n">
        <v>0</v>
      </c>
      <c r="P410" t="n">
        <v>0</v>
      </c>
      <c r="Q410" t="n">
        <v>0</v>
      </c>
      <c r="R410" t="n">
        <v>0</v>
      </c>
      <c r="S410" t="n">
        <v>1</v>
      </c>
      <c r="T410" t="n">
        <v>1</v>
      </c>
      <c r="U410" t="n">
        <v>1</v>
      </c>
      <c r="V410" s="2" t="inlineStr">
        <is>
          <t>Blåmossa</t>
        </is>
      </c>
      <c r="W410">
        <f>HYPERLINK("https://klasma.github.io/Logging_0125/artfynd/A 3221-2022 artfynd.xlsx", "A 3221-2022")</f>
        <v/>
      </c>
      <c r="X410">
        <f>HYPERLINK("https://klasma.github.io/Logging_0125/kartor/A 3221-2022 karta.png", "A 3221-2022")</f>
        <v/>
      </c>
      <c r="Y410">
        <f>HYPERLINK("https://klasma.github.io/Logging_0125/kartor_geotiff/A 3221-2022 georefererad karta.tif", "A 3221-2022")</f>
        <v/>
      </c>
      <c r="AA410">
        <f>HYPERLINK("https://klasma.github.io/Logging_0125/klagomål/A 3221-2022 FSC-klagomål.docx", "A 3221-2022")</f>
        <v/>
      </c>
      <c r="AB410">
        <f>HYPERLINK("https://klasma.github.io/Logging_0125/klagomålsmail/A 3221-2022 FSC-klagomål mail.docx", "A 3221-2022")</f>
        <v/>
      </c>
      <c r="AC410">
        <f>HYPERLINK("https://klasma.github.io/Logging_0125/tillsyn/A 3221-2022 tillsynsbegäran.docx", "A 3221-2022")</f>
        <v/>
      </c>
      <c r="AD410">
        <f>HYPERLINK("https://klasma.github.io/Logging_0125/tillsynsmail/A 3221-2022 tillsynsbegäran mail.docx", "A 3221-2022")</f>
        <v/>
      </c>
    </row>
    <row r="411" ht="15" customHeight="1">
      <c r="A411" t="inlineStr">
        <is>
          <t>A 20373-2025</t>
        </is>
      </c>
      <c r="B411" t="inlineStr">
        <is>
          <t>avverkningsanmälan</t>
        </is>
      </c>
      <c r="C411" t="inlineStr">
        <is>
          <t>Föryngringsavverkning</t>
        </is>
      </c>
      <c r="D411" s="1" t="n">
        <v>45775</v>
      </c>
      <c r="E411" s="1" t="n">
        <v>46326</v>
      </c>
      <c r="F411" t="inlineStr">
        <is>
          <t>STOCKHOLMS LÄN</t>
        </is>
      </c>
      <c r="G411" t="inlineStr">
        <is>
          <t>VÄRMDÖ</t>
        </is>
      </c>
      <c r="I411" t="n">
        <v>0.5</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HYPERLINK("https://klasma.github.io/Logging_0120/artfynd/A 20373-2025 artfynd.xlsx", "A 20373-2025")</f>
        <v/>
      </c>
      <c r="X411">
        <f>HYPERLINK("https://klasma.github.io/Logging_0120/kartor/A 20373-2025 karta.png", "A 20373-2025")</f>
        <v/>
      </c>
      <c r="Y411">
        <f>HYPERLINK("https://klasma.github.io/Logging_0120/kartor_geotiff/A 20373-2025 georefererad karta.tif", "A 20373-2025")</f>
        <v/>
      </c>
      <c r="AA411">
        <f>HYPERLINK("https://klasma.github.io/Logging_0120/klagomål/A 20373-2025 FSC-klagomål.docx", "A 20373-2025")</f>
        <v/>
      </c>
      <c r="AB411">
        <f>HYPERLINK("https://klasma.github.io/Logging_0120/klagomålsmail/A 20373-2025 FSC-klagomål mail.docx", "A 20373-2025")</f>
        <v/>
      </c>
      <c r="AC411">
        <f>HYPERLINK("https://klasma.github.io/Logging_0120/tillsyn/A 20373-2025 tillsynsbegäran.docx", "A 20373-2025")</f>
        <v/>
      </c>
      <c r="AD411">
        <f>HYPERLINK("https://klasma.github.io/Logging_0120/tillsynsmail/A 20373-2025 tillsynsbegäran mail.docx", "A 20373-2025")</f>
        <v/>
      </c>
    </row>
    <row r="412" ht="15" customHeight="1">
      <c r="A412" t="inlineStr">
        <is>
          <t>A 42075-2023</t>
        </is>
      </c>
      <c r="B412" t="inlineStr">
        <is>
          <t>avverkningsanmälan</t>
        </is>
      </c>
      <c r="C412" t="inlineStr">
        <is>
          <t>Föryngringsavverkning</t>
        </is>
      </c>
      <c r="D412" s="1" t="n">
        <v>45177</v>
      </c>
      <c r="E412" s="1" t="n">
        <v>46326</v>
      </c>
      <c r="F412" t="inlineStr">
        <is>
          <t>STOCKHOLMS LÄN</t>
        </is>
      </c>
      <c r="G412" t="inlineStr">
        <is>
          <t>NORRTÄLJE</t>
        </is>
      </c>
      <c r="I412" t="n">
        <v>2.5</v>
      </c>
      <c r="J412" t="n">
        <v>1</v>
      </c>
      <c r="K412" t="n">
        <v>1</v>
      </c>
      <c r="L412" t="n">
        <v>0</v>
      </c>
      <c r="M412" t="n">
        <v>0</v>
      </c>
      <c r="N412" t="n">
        <v>0</v>
      </c>
      <c r="O412" t="n">
        <v>0</v>
      </c>
      <c r="P412" t="n">
        <v>0</v>
      </c>
      <c r="Q412" t="n">
        <v>0</v>
      </c>
      <c r="R412" t="n">
        <v>0</v>
      </c>
      <c r="S412" t="n">
        <v>1</v>
      </c>
      <c r="T412" t="n">
        <v>1</v>
      </c>
      <c r="U412" t="n">
        <v>0</v>
      </c>
      <c r="V412" s="2" t="inlineStr">
        <is>
          <t>Skogsknipprot</t>
        </is>
      </c>
      <c r="W412">
        <f>HYPERLINK("https://klasma.github.io/Logging_0188/artfynd/A 42075-2023 artfynd.xlsx", "A 42075-2023")</f>
        <v/>
      </c>
      <c r="X412">
        <f>HYPERLINK("https://klasma.github.io/Logging_0188/kartor/A 42075-2023 karta.png", "A 42075-2023")</f>
        <v/>
      </c>
      <c r="Y412">
        <f>HYPERLINK("https://klasma.github.io/Logging_0188/kartor_geotiff/A 42075-2023 georefererad karta.tif", "A 42075-2023")</f>
        <v/>
      </c>
      <c r="AA412">
        <f>HYPERLINK("https://klasma.github.io/Logging_0188/klagomål/A 42075-2023 FSC-klagomål.docx", "A 42075-2023")</f>
        <v/>
      </c>
      <c r="AB412">
        <f>HYPERLINK("https://klasma.github.io/Logging_0188/klagomålsmail/A 42075-2023 FSC-klagomål mail.docx", "A 42075-2023")</f>
        <v/>
      </c>
      <c r="AC412">
        <f>HYPERLINK("https://klasma.github.io/Logging_0188/tillsyn/A 42075-2023 tillsynsbegäran.docx", "A 42075-2023")</f>
        <v/>
      </c>
      <c r="AD412">
        <f>HYPERLINK("https://klasma.github.io/Logging_0188/tillsynsmail/A 42075-2023 tillsynsbegäran mail.docx", "A 42075-2023")</f>
        <v/>
      </c>
    </row>
    <row r="413" ht="15" customHeight="1">
      <c r="A413" t="inlineStr">
        <is>
          <t>A 27748-2023</t>
        </is>
      </c>
      <c r="B413" t="inlineStr">
        <is>
          <t>avverkningsanmälan</t>
        </is>
      </c>
      <c r="C413" t="inlineStr">
        <is>
          <t>Föryngringsavverkning</t>
        </is>
      </c>
      <c r="D413" s="1" t="n">
        <v>45098</v>
      </c>
      <c r="E413" s="1" t="n">
        <v>46326</v>
      </c>
      <c r="F413" t="inlineStr">
        <is>
          <t>STOCKHOLMS LÄN</t>
        </is>
      </c>
      <c r="G413" t="inlineStr">
        <is>
          <t>NYNÄSHAMN</t>
        </is>
      </c>
      <c r="I413" t="n">
        <v>1.2</v>
      </c>
      <c r="J413" t="n">
        <v>1</v>
      </c>
      <c r="K413" t="n">
        <v>1</v>
      </c>
      <c r="L413" t="n">
        <v>0</v>
      </c>
      <c r="M413" t="n">
        <v>0</v>
      </c>
      <c r="N413" t="n">
        <v>0</v>
      </c>
      <c r="O413" t="n">
        <v>0</v>
      </c>
      <c r="P413" t="n">
        <v>0</v>
      </c>
      <c r="Q413" t="n">
        <v>0</v>
      </c>
      <c r="R413" t="n">
        <v>0</v>
      </c>
      <c r="S413" t="n">
        <v>1</v>
      </c>
      <c r="T413" t="n">
        <v>1</v>
      </c>
      <c r="U413" t="n">
        <v>1</v>
      </c>
      <c r="V413" s="2" t="inlineStr">
        <is>
          <t>Ekoxe</t>
        </is>
      </c>
      <c r="W413">
        <f>HYPERLINK("https://klasma.github.io/Logging_0192/artfynd/A 27748-2023 artfynd.xlsx", "A 27748-2023")</f>
        <v/>
      </c>
      <c r="X413">
        <f>HYPERLINK("https://klasma.github.io/Logging_0192/kartor/A 27748-2023 karta.png", "A 27748-2023")</f>
        <v/>
      </c>
      <c r="Y413">
        <f>HYPERLINK("https://klasma.github.io/Logging_0192/kartor_geotiff/A 27748-2023 georefererad karta.tif", "A 27748-2023")</f>
        <v/>
      </c>
      <c r="AA413">
        <f>HYPERLINK("https://klasma.github.io/Logging_0192/klagomål/A 27748-2023 FSC-klagomål.docx", "A 27748-2023")</f>
        <v/>
      </c>
      <c r="AB413">
        <f>HYPERLINK("https://klasma.github.io/Logging_0192/klagomålsmail/A 27748-2023 FSC-klagomål mail.docx", "A 27748-2023")</f>
        <v/>
      </c>
      <c r="AC413">
        <f>HYPERLINK("https://klasma.github.io/Logging_0192/tillsyn/A 27748-2023 tillsynsbegäran.docx", "A 27748-2023")</f>
        <v/>
      </c>
      <c r="AD413">
        <f>HYPERLINK("https://klasma.github.io/Logging_0192/tillsynsmail/A 27748-2023 tillsynsbegäran mail.docx", "A 27748-2023")</f>
        <v/>
      </c>
    </row>
    <row r="414" ht="15" customHeight="1">
      <c r="A414" t="inlineStr">
        <is>
          <t>A 14214-2025</t>
        </is>
      </c>
      <c r="B414" t="inlineStr">
        <is>
          <t>avverkningsanmälan</t>
        </is>
      </c>
      <c r="C414" t="inlineStr">
        <is>
          <t>Föryngringsavverkning</t>
        </is>
      </c>
      <c r="D414" s="1" t="n">
        <v>45740</v>
      </c>
      <c r="E414" s="1" t="n">
        <v>46326</v>
      </c>
      <c r="F414" t="inlineStr">
        <is>
          <t>STOCKHOLMS LÄN</t>
        </is>
      </c>
      <c r="G414" t="inlineStr">
        <is>
          <t>BOTKYRKA</t>
        </is>
      </c>
      <c r="I414" t="n">
        <v>2.5</v>
      </c>
      <c r="J414" t="n">
        <v>1</v>
      </c>
      <c r="K414" t="n">
        <v>0</v>
      </c>
      <c r="L414" t="n">
        <v>0</v>
      </c>
      <c r="M414" t="n">
        <v>1</v>
      </c>
      <c r="N414" t="n">
        <v>0</v>
      </c>
      <c r="O414" t="n">
        <v>0</v>
      </c>
      <c r="P414" t="n">
        <v>0</v>
      </c>
      <c r="Q414" t="n">
        <v>1</v>
      </c>
      <c r="R414" t="n">
        <v>1</v>
      </c>
      <c r="S414" t="n">
        <v>1</v>
      </c>
      <c r="T414" t="n">
        <v>2</v>
      </c>
      <c r="U414" t="n">
        <v>2</v>
      </c>
      <c r="V414" s="2" t="inlineStr">
        <is>
          <t>Stare</t>
        </is>
      </c>
      <c r="W414">
        <f>HYPERLINK("https://klasma.github.io/Logging_0127/artfynd/A 14214-2025 artfynd.xlsx", "A 14214-2025")</f>
        <v/>
      </c>
      <c r="X414">
        <f>HYPERLINK("https://klasma.github.io/Logging_0127/kartor/A 14214-2025 karta.png", "A 14214-2025")</f>
        <v/>
      </c>
      <c r="Y414">
        <f>HYPERLINK("https://klasma.github.io/Logging_0127/kartor_geotiff/A 14214-2025 georefererad karta.tif", "A 14214-2025")</f>
        <v/>
      </c>
      <c r="AA414">
        <f>HYPERLINK("https://klasma.github.io/Logging_0127/klagomål/A 14214-2025 FSC-klagomål.docx", "A 14214-2025")</f>
        <v/>
      </c>
      <c r="AB414">
        <f>HYPERLINK("https://klasma.github.io/Logging_0127/klagomålsmail/A 14214-2025 FSC-klagomål mail.docx", "A 14214-2025")</f>
        <v/>
      </c>
      <c r="AC414">
        <f>HYPERLINK("https://klasma.github.io/Logging_0127/tillsyn/A 14214-2025 tillsynsbegäran.docx", "A 14214-2025")</f>
        <v/>
      </c>
      <c r="AD414">
        <f>HYPERLINK("https://klasma.github.io/Logging_0127/tillsynsmail/A 14214-2025 tillsynsbegäran mail.docx", "A 14214-2025")</f>
        <v/>
      </c>
      <c r="AE414">
        <f>HYPERLINK("https://klasma.github.io/Logging_0127/fåglar/A 14214-2025 prioriterade fågelarter.docx", "A 14214-2025")</f>
        <v/>
      </c>
    </row>
    <row r="415" ht="15" customHeight="1">
      <c r="A415" t="inlineStr">
        <is>
          <t>A 13860-2023</t>
        </is>
      </c>
      <c r="B415" t="inlineStr">
        <is>
          <t>avverkningsanmälan</t>
        </is>
      </c>
      <c r="C415" t="inlineStr">
        <is>
          <t>Föryngringsavverkning</t>
        </is>
      </c>
      <c r="D415" s="1" t="n">
        <v>45007</v>
      </c>
      <c r="E415" s="1" t="n">
        <v>46326</v>
      </c>
      <c r="F415" t="inlineStr">
        <is>
          <t>STOCKHOLMS LÄN</t>
        </is>
      </c>
      <c r="G415" t="inlineStr">
        <is>
          <t>NORRTÄLJE</t>
        </is>
      </c>
      <c r="I415" t="n">
        <v>1.6</v>
      </c>
      <c r="J415" t="n">
        <v>0</v>
      </c>
      <c r="K415" t="n">
        <v>0</v>
      </c>
      <c r="L415" t="n">
        <v>0</v>
      </c>
      <c r="M415" t="n">
        <v>0</v>
      </c>
      <c r="N415" t="n">
        <v>0</v>
      </c>
      <c r="O415" t="n">
        <v>1</v>
      </c>
      <c r="P415" t="n">
        <v>0</v>
      </c>
      <c r="Q415" t="n">
        <v>1</v>
      </c>
      <c r="R415" t="n">
        <v>1</v>
      </c>
      <c r="S415" t="n">
        <v>1</v>
      </c>
      <c r="T415" t="n">
        <v>1</v>
      </c>
      <c r="U415" t="n">
        <v>0</v>
      </c>
      <c r="V415" s="2" t="inlineStr">
        <is>
          <t>Äkta stormhatt</t>
        </is>
      </c>
      <c r="W415">
        <f>HYPERLINK("https://klasma.github.io/Logging_0188/artfynd/A 13860-2023 artfynd.xlsx", "A 13860-2023")</f>
        <v/>
      </c>
      <c r="X415">
        <f>HYPERLINK("https://klasma.github.io/Logging_0188/kartor/A 13860-2023 karta.png", "A 13860-2023")</f>
        <v/>
      </c>
      <c r="Y415">
        <f>HYPERLINK("https://klasma.github.io/Logging_0188/kartor_geotiff/A 13860-2023 georefererad karta.tif", "A 13860-2023")</f>
        <v/>
      </c>
      <c r="AA415">
        <f>HYPERLINK("https://klasma.github.io/Logging_0188/klagomål/A 13860-2023 FSC-klagomål.docx", "A 13860-2023")</f>
        <v/>
      </c>
      <c r="AB415">
        <f>HYPERLINK("https://klasma.github.io/Logging_0188/klagomålsmail/A 13860-2023 FSC-klagomål mail.docx", "A 13860-2023")</f>
        <v/>
      </c>
      <c r="AC415">
        <f>HYPERLINK("https://klasma.github.io/Logging_0188/tillsyn/A 13860-2023 tillsynsbegäran.docx", "A 13860-2023")</f>
        <v/>
      </c>
      <c r="AD415">
        <f>HYPERLINK("https://klasma.github.io/Logging_0188/tillsynsmail/A 13860-2023 tillsynsbegäran mail.docx", "A 13860-2023")</f>
        <v/>
      </c>
    </row>
    <row r="416" ht="15" customHeight="1">
      <c r="A416" t="inlineStr">
        <is>
          <t>A 13794-2023</t>
        </is>
      </c>
      <c r="B416" t="inlineStr">
        <is>
          <t>avverkningsanmälan</t>
        </is>
      </c>
      <c r="C416" t="inlineStr">
        <is>
          <t>Föryngringsavverkning</t>
        </is>
      </c>
      <c r="D416" s="1" t="n">
        <v>45007</v>
      </c>
      <c r="E416" s="1" t="n">
        <v>46326</v>
      </c>
      <c r="F416" t="inlineStr">
        <is>
          <t>STOCKHOLMS LÄN</t>
        </is>
      </c>
      <c r="G416" t="inlineStr">
        <is>
          <t>EKERÖ</t>
        </is>
      </c>
      <c r="I416" t="n">
        <v>4.8</v>
      </c>
      <c r="J416" t="n">
        <v>0</v>
      </c>
      <c r="K416" t="n">
        <v>0</v>
      </c>
      <c r="L416" t="n">
        <v>1</v>
      </c>
      <c r="M416" t="n">
        <v>0</v>
      </c>
      <c r="N416" t="n">
        <v>0</v>
      </c>
      <c r="O416" t="n">
        <v>0</v>
      </c>
      <c r="P416" t="n">
        <v>0</v>
      </c>
      <c r="Q416" t="n">
        <v>1</v>
      </c>
      <c r="R416" t="n">
        <v>0</v>
      </c>
      <c r="S416" t="n">
        <v>1</v>
      </c>
      <c r="T416" t="n">
        <v>1</v>
      </c>
      <c r="U416" t="n">
        <v>0</v>
      </c>
      <c r="V416" s="2" t="inlineStr">
        <is>
          <t>Tallticka</t>
        </is>
      </c>
      <c r="W416">
        <f>HYPERLINK("https://klasma.github.io/Logging_0125/artfynd/A 13794-2023 artfynd.xlsx", "A 13794-2023")</f>
        <v/>
      </c>
      <c r="X416">
        <f>HYPERLINK("https://klasma.github.io/Logging_0125/kartor/A 13794-2023 karta.png", "A 13794-2023")</f>
        <v/>
      </c>
      <c r="Y416">
        <f>HYPERLINK("https://klasma.github.io/Logging_0125/kartor_geotiff/A 13794-2023 georefererad karta.tif", "A 13794-2023")</f>
        <v/>
      </c>
      <c r="AA416">
        <f>HYPERLINK("https://klasma.github.io/Logging_0125/klagomål/A 13794-2023 FSC-klagomål.docx", "A 13794-2023")</f>
        <v/>
      </c>
      <c r="AB416">
        <f>HYPERLINK("https://klasma.github.io/Logging_0125/klagomålsmail/A 13794-2023 FSC-klagomål mail.docx", "A 13794-2023")</f>
        <v/>
      </c>
      <c r="AC416">
        <f>HYPERLINK("https://klasma.github.io/Logging_0125/tillsyn/A 13794-2023 tillsynsbegäran.docx", "A 13794-2023")</f>
        <v/>
      </c>
      <c r="AD416">
        <f>HYPERLINK("https://klasma.github.io/Logging_0125/tillsynsmail/A 13794-2023 tillsynsbegäran mail.docx", "A 13794-2023")</f>
        <v/>
      </c>
    </row>
    <row r="417" ht="15" customHeight="1">
      <c r="A417" t="inlineStr">
        <is>
          <t>A 5823-2023</t>
        </is>
      </c>
      <c r="B417" t="inlineStr">
        <is>
          <t>avverkningsanmälan</t>
        </is>
      </c>
      <c r="C417" t="inlineStr">
        <is>
          <t>Föryngringsavverkning</t>
        </is>
      </c>
      <c r="D417" s="1" t="n">
        <v>44963</v>
      </c>
      <c r="E417" s="1" t="n">
        <v>46326</v>
      </c>
      <c r="F417" t="inlineStr">
        <is>
          <t>STOCKHOLMS LÄN</t>
        </is>
      </c>
      <c r="G417" t="inlineStr">
        <is>
          <t>NORRTÄLJE</t>
        </is>
      </c>
      <c r="I417" t="n">
        <v>0.7</v>
      </c>
      <c r="J417" t="n">
        <v>0</v>
      </c>
      <c r="K417" t="n">
        <v>0</v>
      </c>
      <c r="L417" t="n">
        <v>1</v>
      </c>
      <c r="M417" t="n">
        <v>0</v>
      </c>
      <c r="N417" t="n">
        <v>0</v>
      </c>
      <c r="O417" t="n">
        <v>0</v>
      </c>
      <c r="P417" t="n">
        <v>0</v>
      </c>
      <c r="Q417" t="n">
        <v>1</v>
      </c>
      <c r="R417" t="n">
        <v>0</v>
      </c>
      <c r="S417" t="n">
        <v>1</v>
      </c>
      <c r="T417" t="n">
        <v>2</v>
      </c>
      <c r="U417" t="n">
        <v>1</v>
      </c>
      <c r="V417" s="2" t="inlineStr">
        <is>
          <t>Slåtterfibbla</t>
        </is>
      </c>
      <c r="W417">
        <f>HYPERLINK("https://klasma.github.io/Logging_0188/artfynd/A 5823-2023 artfynd.xlsx", "A 5823-2023")</f>
        <v/>
      </c>
      <c r="X417">
        <f>HYPERLINK("https://klasma.github.io/Logging_0188/kartor/A 5823-2023 karta.png", "A 5823-2023")</f>
        <v/>
      </c>
      <c r="Y417">
        <f>HYPERLINK("https://klasma.github.io/Logging_0188/kartor_geotiff/A 5823-2023 georefererad karta.tif", "A 5823-2023")</f>
        <v/>
      </c>
      <c r="AA417">
        <f>HYPERLINK("https://klasma.github.io/Logging_0188/klagomål/A 5823-2023 FSC-klagomål.docx", "A 5823-2023")</f>
        <v/>
      </c>
      <c r="AB417">
        <f>HYPERLINK("https://klasma.github.io/Logging_0188/klagomålsmail/A 5823-2023 FSC-klagomål mail.docx", "A 5823-2023")</f>
        <v/>
      </c>
      <c r="AC417">
        <f>HYPERLINK("https://klasma.github.io/Logging_0188/tillsyn/A 5823-2023 tillsynsbegäran.docx", "A 5823-2023")</f>
        <v/>
      </c>
      <c r="AD417">
        <f>HYPERLINK("https://klasma.github.io/Logging_0188/tillsynsmail/A 5823-2023 tillsynsbegäran mail.docx", "A 5823-2023")</f>
        <v/>
      </c>
    </row>
    <row r="418" ht="15" customHeight="1">
      <c r="A418" t="inlineStr">
        <is>
          <t>A 11388-2024</t>
        </is>
      </c>
      <c r="B418" t="inlineStr">
        <is>
          <t>avverkningsanmälan</t>
        </is>
      </c>
      <c r="C418" t="inlineStr">
        <is>
          <t>Föryngringsavverkning</t>
        </is>
      </c>
      <c r="D418" s="1" t="n">
        <v>45372</v>
      </c>
      <c r="E418" s="1" t="n">
        <v>46326</v>
      </c>
      <c r="F418" t="inlineStr">
        <is>
          <t>STOCKHOLMS LÄN</t>
        </is>
      </c>
      <c r="G418" t="inlineStr">
        <is>
          <t>NYKVARN</t>
        </is>
      </c>
      <c r="I418" t="n">
        <v>4</v>
      </c>
      <c r="J418" t="n">
        <v>0</v>
      </c>
      <c r="K418" t="n">
        <v>0</v>
      </c>
      <c r="L418" t="n">
        <v>0</v>
      </c>
      <c r="M418" t="n">
        <v>1</v>
      </c>
      <c r="N418" t="n">
        <v>0</v>
      </c>
      <c r="O418" t="n">
        <v>0</v>
      </c>
      <c r="P418" t="n">
        <v>0</v>
      </c>
      <c r="Q418" t="n">
        <v>1</v>
      </c>
      <c r="R418" t="n">
        <v>1</v>
      </c>
      <c r="S418" t="n">
        <v>1</v>
      </c>
      <c r="T418" t="n">
        <v>3</v>
      </c>
      <c r="U418" t="n">
        <v>3</v>
      </c>
      <c r="V418" s="2" t="inlineStr">
        <is>
          <t>Igelkott</t>
        </is>
      </c>
      <c r="W418">
        <f>HYPERLINK("https://klasma.github.io/Logging_0140/artfynd/A 11388-2024 artfynd.xlsx", "A 11388-2024")</f>
        <v/>
      </c>
      <c r="X418">
        <f>HYPERLINK("https://klasma.github.io/Logging_0140/kartor/A 11388-2024 karta.png", "A 11388-2024")</f>
        <v/>
      </c>
      <c r="Y418">
        <f>HYPERLINK("https://klasma.github.io/Logging_0140/kartor_geotiff/A 11388-2024 georefererad karta.tif", "A 11388-2024")</f>
        <v/>
      </c>
      <c r="AA418">
        <f>HYPERLINK("https://klasma.github.io/Logging_0140/klagomål/A 11388-2024 FSC-klagomål.docx", "A 11388-2024")</f>
        <v/>
      </c>
      <c r="AB418">
        <f>HYPERLINK("https://klasma.github.io/Logging_0140/klagomålsmail/A 11388-2024 FSC-klagomål mail.docx", "A 11388-2024")</f>
        <v/>
      </c>
      <c r="AC418">
        <f>HYPERLINK("https://klasma.github.io/Logging_0140/tillsyn/A 11388-2024 tillsynsbegäran.docx", "A 11388-2024")</f>
        <v/>
      </c>
      <c r="AD418">
        <f>HYPERLINK("https://klasma.github.io/Logging_0140/tillsynsmail/A 11388-2024 tillsynsbegäran mail.docx", "A 11388-2024")</f>
        <v/>
      </c>
    </row>
    <row r="419" ht="15" customHeight="1">
      <c r="A419" t="inlineStr">
        <is>
          <t>A 51312-2023</t>
        </is>
      </c>
      <c r="B419" t="inlineStr">
        <is>
          <t>avverkningsanmälan</t>
        </is>
      </c>
      <c r="C419" t="inlineStr">
        <is>
          <t>Föryngringsavverkning</t>
        </is>
      </c>
      <c r="D419" s="1" t="n">
        <v>45219</v>
      </c>
      <c r="E419" s="1" t="n">
        <v>46326</v>
      </c>
      <c r="F419" t="inlineStr">
        <is>
          <t>STOCKHOLMS LÄN</t>
        </is>
      </c>
      <c r="G419" t="inlineStr">
        <is>
          <t>NORRTÄLJE</t>
        </is>
      </c>
      <c r="I419" t="n">
        <v>1.9</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51312-2023 artfynd.xlsx", "A 51312-2023")</f>
        <v/>
      </c>
      <c r="X419">
        <f>HYPERLINK("https://klasma.github.io/Logging_0188/kartor/A 51312-2023 karta.png", "A 51312-2023")</f>
        <v/>
      </c>
      <c r="Y419">
        <f>HYPERLINK("https://klasma.github.io/Logging_0188/kartor_geotiff/A 51312-2023 georefererad karta.tif", "A 51312-2023")</f>
        <v/>
      </c>
      <c r="AA419">
        <f>HYPERLINK("https://klasma.github.io/Logging_0188/klagomål/A 51312-2023 FSC-klagomål.docx", "A 51312-2023")</f>
        <v/>
      </c>
      <c r="AB419">
        <f>HYPERLINK("https://klasma.github.io/Logging_0188/klagomålsmail/A 51312-2023 FSC-klagomål mail.docx", "A 51312-2023")</f>
        <v/>
      </c>
      <c r="AC419">
        <f>HYPERLINK("https://klasma.github.io/Logging_0188/tillsyn/A 51312-2023 tillsynsbegäran.docx", "A 51312-2023")</f>
        <v/>
      </c>
      <c r="AD419">
        <f>HYPERLINK("https://klasma.github.io/Logging_0188/tillsynsmail/A 51312-2023 tillsynsbegäran mail.docx", "A 51312-2023")</f>
        <v/>
      </c>
    </row>
    <row r="420" ht="15" customHeight="1">
      <c r="A420" t="inlineStr">
        <is>
          <t>A 31842-2023</t>
        </is>
      </c>
      <c r="B420" t="inlineStr">
        <is>
          <t>avverkningsanmälan</t>
        </is>
      </c>
      <c r="C420" t="inlineStr">
        <is>
          <t>Föryngringsavverkning</t>
        </is>
      </c>
      <c r="D420" s="1" t="n">
        <v>45118</v>
      </c>
      <c r="E420" s="1" t="n">
        <v>46326</v>
      </c>
      <c r="F420" t="inlineStr">
        <is>
          <t>STOCKHOLMS LÄN</t>
        </is>
      </c>
      <c r="G420" t="inlineStr">
        <is>
          <t>NYNÄSHAMN</t>
        </is>
      </c>
      <c r="H420" t="inlineStr">
        <is>
          <t>Kommuner</t>
        </is>
      </c>
      <c r="I420" t="n">
        <v>3.8</v>
      </c>
      <c r="J420" t="n">
        <v>1</v>
      </c>
      <c r="K420" t="n">
        <v>1</v>
      </c>
      <c r="L420" t="n">
        <v>0</v>
      </c>
      <c r="M420" t="n">
        <v>0</v>
      </c>
      <c r="N420" t="n">
        <v>0</v>
      </c>
      <c r="O420" t="n">
        <v>0</v>
      </c>
      <c r="P420" t="n">
        <v>0</v>
      </c>
      <c r="Q420" t="n">
        <v>0</v>
      </c>
      <c r="R420" t="n">
        <v>0</v>
      </c>
      <c r="S420" t="n">
        <v>1</v>
      </c>
      <c r="T420" t="n">
        <v>2</v>
      </c>
      <c r="U420" t="n">
        <v>2</v>
      </c>
      <c r="V420" s="2" t="inlineStr">
        <is>
          <t>Grön sköldmossa</t>
        </is>
      </c>
      <c r="W420">
        <f>HYPERLINK("https://klasma.github.io/Logging_0192/artfynd/A 31842-2023 artfynd.xlsx", "A 31842-2023")</f>
        <v/>
      </c>
      <c r="X420">
        <f>HYPERLINK("https://klasma.github.io/Logging_0192/kartor/A 31842-2023 karta.png", "A 31842-2023")</f>
        <v/>
      </c>
      <c r="Y420">
        <f>HYPERLINK("https://klasma.github.io/Logging_0192/kartor_geotiff/A 31842-2023 georefererad karta.tif", "A 31842-2023")</f>
        <v/>
      </c>
      <c r="AA420">
        <f>HYPERLINK("https://klasma.github.io/Logging_0192/klagomål/A 31842-2023 FSC-klagomål.docx", "A 31842-2023")</f>
        <v/>
      </c>
      <c r="AB420">
        <f>HYPERLINK("https://klasma.github.io/Logging_0192/klagomålsmail/A 31842-2023 FSC-klagomål mail.docx", "A 31842-2023")</f>
        <v/>
      </c>
      <c r="AC420">
        <f>HYPERLINK("https://klasma.github.io/Logging_0192/tillsyn/A 31842-2023 tillsynsbegäran.docx", "A 31842-2023")</f>
        <v/>
      </c>
      <c r="AD420">
        <f>HYPERLINK("https://klasma.github.io/Logging_0192/tillsynsmail/A 31842-2023 tillsynsbegäran mail.docx", "A 31842-2023")</f>
        <v/>
      </c>
    </row>
    <row r="421" ht="15" customHeight="1">
      <c r="A421" t="inlineStr">
        <is>
          <t>A 35764-2024</t>
        </is>
      </c>
      <c r="B421" t="inlineStr">
        <is>
          <t>avverkningsanmälan</t>
        </is>
      </c>
      <c r="C421" t="inlineStr">
        <is>
          <t>Föryngringsavverkning</t>
        </is>
      </c>
      <c r="D421" s="1" t="n">
        <v>45532</v>
      </c>
      <c r="E421" s="1" t="n">
        <v>46326</v>
      </c>
      <c r="F421" t="inlineStr">
        <is>
          <t>STOCKHOLMS LÄN</t>
        </is>
      </c>
      <c r="G421" t="inlineStr">
        <is>
          <t>NORRTÄLJE</t>
        </is>
      </c>
      <c r="I421" t="n">
        <v>14.2</v>
      </c>
      <c r="J421" t="n">
        <v>1</v>
      </c>
      <c r="K421" t="n">
        <v>0</v>
      </c>
      <c r="L421" t="n">
        <v>0</v>
      </c>
      <c r="M421" t="n">
        <v>1</v>
      </c>
      <c r="N421" t="n">
        <v>0</v>
      </c>
      <c r="O421" t="n">
        <v>0</v>
      </c>
      <c r="P421" t="n">
        <v>0</v>
      </c>
      <c r="Q421" t="n">
        <v>1</v>
      </c>
      <c r="R421" t="n">
        <v>1</v>
      </c>
      <c r="S421" t="n">
        <v>1</v>
      </c>
      <c r="T421" t="n">
        <v>3</v>
      </c>
      <c r="U421" t="n">
        <v>3</v>
      </c>
      <c r="V421" s="2" t="inlineStr">
        <is>
          <t>Knärot</t>
        </is>
      </c>
      <c r="W421">
        <f>HYPERLINK("https://klasma.github.io/Logging_0188/artfynd/A 35764-2024 artfynd.xlsx", "A 35764-2024")</f>
        <v/>
      </c>
      <c r="X421">
        <f>HYPERLINK("https://klasma.github.io/Logging_0188/kartor/A 35764-2024 karta.png", "A 35764-2024")</f>
        <v/>
      </c>
      <c r="Y421">
        <f>HYPERLINK("https://klasma.github.io/Logging_0188/kartor_geotiff/A 35764-2024 georefererad karta.tif", "A 35764-2024")</f>
        <v/>
      </c>
      <c r="Z421">
        <f>HYPERLINK("https://klasma.github.io/Logging_0188/knärot/A 35764-2024 karta knärot.png", "A 35764-2024")</f>
        <v/>
      </c>
      <c r="AA421">
        <f>HYPERLINK("https://klasma.github.io/Logging_0188/klagomål/A 35764-2024 FSC-klagomål.docx", "A 35764-2024")</f>
        <v/>
      </c>
      <c r="AB421">
        <f>HYPERLINK("https://klasma.github.io/Logging_0188/klagomålsmail/A 35764-2024 FSC-klagomål mail.docx", "A 35764-2024")</f>
        <v/>
      </c>
      <c r="AC421">
        <f>HYPERLINK("https://klasma.github.io/Logging_0188/tillsyn/A 35764-2024 tillsynsbegäran.docx", "A 35764-2024")</f>
        <v/>
      </c>
      <c r="AD421">
        <f>HYPERLINK("https://klasma.github.io/Logging_0188/tillsynsmail/A 35764-2024 tillsynsbegäran mail.docx", "A 35764-2024")</f>
        <v/>
      </c>
    </row>
    <row r="422" ht="15" customHeight="1">
      <c r="A422" t="inlineStr">
        <is>
          <t>A 39238-2024</t>
        </is>
      </c>
      <c r="B422" t="inlineStr">
        <is>
          <t>avverkningsanmälan</t>
        </is>
      </c>
      <c r="C422" t="inlineStr">
        <is>
          <t>Föryngringsavverkning</t>
        </is>
      </c>
      <c r="D422" s="1" t="n">
        <v>45549</v>
      </c>
      <c r="E422" s="1" t="n">
        <v>46326</v>
      </c>
      <c r="F422" t="inlineStr">
        <is>
          <t>STOCKHOLMS LÄN</t>
        </is>
      </c>
      <c r="G422" t="inlineStr">
        <is>
          <t>NORRTÄLJE</t>
        </is>
      </c>
      <c r="I422" t="n">
        <v>3.6</v>
      </c>
      <c r="J422" t="n">
        <v>0</v>
      </c>
      <c r="K422" t="n">
        <v>1</v>
      </c>
      <c r="L422" t="n">
        <v>0</v>
      </c>
      <c r="M422" t="n">
        <v>0</v>
      </c>
      <c r="N422" t="n">
        <v>0</v>
      </c>
      <c r="O422" t="n">
        <v>0</v>
      </c>
      <c r="P422" t="n">
        <v>0</v>
      </c>
      <c r="Q422" t="n">
        <v>0</v>
      </c>
      <c r="R422" t="n">
        <v>0</v>
      </c>
      <c r="S422" t="n">
        <v>1</v>
      </c>
      <c r="T422" t="n">
        <v>1</v>
      </c>
      <c r="U422" t="n">
        <v>1</v>
      </c>
      <c r="V422" s="2" t="inlineStr">
        <is>
          <t>Stor aspticka</t>
        </is>
      </c>
      <c r="W422">
        <f>HYPERLINK("https://klasma.github.io/Logging_0188/artfynd/A 39238-2024 artfynd.xlsx", "A 39238-2024")</f>
        <v/>
      </c>
      <c r="X422">
        <f>HYPERLINK("https://klasma.github.io/Logging_0188/kartor/A 39238-2024 karta.png", "A 39238-2024")</f>
        <v/>
      </c>
      <c r="Y422">
        <f>HYPERLINK("https://klasma.github.io/Logging_0188/kartor_geotiff/A 39238-2024 georefererad karta.tif", "A 39238-2024")</f>
        <v/>
      </c>
      <c r="AA422">
        <f>HYPERLINK("https://klasma.github.io/Logging_0188/klagomål/A 39238-2024 FSC-klagomål.docx", "A 39238-2024")</f>
        <v/>
      </c>
      <c r="AB422">
        <f>HYPERLINK("https://klasma.github.io/Logging_0188/klagomålsmail/A 39238-2024 FSC-klagomål mail.docx", "A 39238-2024")</f>
        <v/>
      </c>
      <c r="AC422">
        <f>HYPERLINK("https://klasma.github.io/Logging_0188/tillsyn/A 39238-2024 tillsynsbegäran.docx", "A 39238-2024")</f>
        <v/>
      </c>
      <c r="AD422">
        <f>HYPERLINK("https://klasma.github.io/Logging_0188/tillsynsmail/A 39238-2024 tillsynsbegäran mail.docx", "A 39238-2024")</f>
        <v/>
      </c>
    </row>
    <row r="423" ht="15" customHeight="1">
      <c r="A423" t="inlineStr">
        <is>
          <t>A 25561-2025</t>
        </is>
      </c>
      <c r="B423" t="inlineStr">
        <is>
          <t>avverkningsanmälan</t>
        </is>
      </c>
      <c r="C423" t="inlineStr">
        <is>
          <t>Föryngringsavverkning</t>
        </is>
      </c>
      <c r="D423" s="1" t="n">
        <v>45803</v>
      </c>
      <c r="E423" s="1" t="n">
        <v>46326</v>
      </c>
      <c r="F423" t="inlineStr">
        <is>
          <t>STOCKHOLMS LÄN</t>
        </is>
      </c>
      <c r="G423" t="inlineStr">
        <is>
          <t>UPPLANDS-BRO</t>
        </is>
      </c>
      <c r="I423" t="n">
        <v>1.6</v>
      </c>
      <c r="J423" t="n">
        <v>1</v>
      </c>
      <c r="K423" t="n">
        <v>0</v>
      </c>
      <c r="L423" t="n">
        <v>0</v>
      </c>
      <c r="M423" t="n">
        <v>0</v>
      </c>
      <c r="N423" t="n">
        <v>1</v>
      </c>
      <c r="O423" t="n">
        <v>0</v>
      </c>
      <c r="P423" t="n">
        <v>0</v>
      </c>
      <c r="Q423" t="n">
        <v>1</v>
      </c>
      <c r="R423" t="n">
        <v>1</v>
      </c>
      <c r="S423" t="n">
        <v>1</v>
      </c>
      <c r="T423" t="n">
        <v>1</v>
      </c>
      <c r="U423" t="n">
        <v>0</v>
      </c>
      <c r="V423" s="2" t="inlineStr">
        <is>
          <t>Bombmurkla</t>
        </is>
      </c>
      <c r="W423">
        <f>HYPERLINK("https://klasma.github.io/Logging_0139/artfynd/A 25561-2025 artfynd.xlsx", "A 25561-2025")</f>
        <v/>
      </c>
      <c r="X423">
        <f>HYPERLINK("https://klasma.github.io/Logging_0139/kartor/A 25561-2025 karta.png", "A 25561-2025")</f>
        <v/>
      </c>
      <c r="Y423">
        <f>HYPERLINK("https://klasma.github.io/Logging_0139/kartor_geotiff/A 25561-2025 georefererad karta.tif", "A 25561-2025")</f>
        <v/>
      </c>
      <c r="AA423">
        <f>HYPERLINK("https://klasma.github.io/Logging_0139/klagomål/A 25561-2025 FSC-klagomål.docx", "A 25561-2025")</f>
        <v/>
      </c>
      <c r="AB423">
        <f>HYPERLINK("https://klasma.github.io/Logging_0139/klagomålsmail/A 25561-2025 FSC-klagomål mail.docx", "A 25561-2025")</f>
        <v/>
      </c>
      <c r="AC423">
        <f>HYPERLINK("https://klasma.github.io/Logging_0139/tillsyn/A 25561-2025 tillsynsbegäran.docx", "A 25561-2025")</f>
        <v/>
      </c>
      <c r="AD423">
        <f>HYPERLINK("https://klasma.github.io/Logging_0139/tillsynsmail/A 25561-2025 tillsynsbegäran mail.docx", "A 25561-2025")</f>
        <v/>
      </c>
    </row>
    <row r="424" ht="15" customHeight="1">
      <c r="A424" t="inlineStr">
        <is>
          <t>A 4532-2025</t>
        </is>
      </c>
      <c r="B424" t="inlineStr">
        <is>
          <t>avverkningsanmälan</t>
        </is>
      </c>
      <c r="C424" t="inlineStr">
        <is>
          <t>Föryngringsavverkning</t>
        </is>
      </c>
      <c r="D424" s="1" t="n">
        <v>45687</v>
      </c>
      <c r="E424" s="1" t="n">
        <v>46326</v>
      </c>
      <c r="F424" t="inlineStr">
        <is>
          <t>STOCKHOLMS LÄN</t>
        </is>
      </c>
      <c r="G424" t="inlineStr">
        <is>
          <t>NORRTÄLJE</t>
        </is>
      </c>
      <c r="H424" t="inlineStr">
        <is>
          <t>Holmen skog AB</t>
        </is>
      </c>
      <c r="I424" t="n">
        <v>6.4</v>
      </c>
      <c r="J424" t="n">
        <v>1</v>
      </c>
      <c r="K424" t="n">
        <v>0</v>
      </c>
      <c r="L424" t="n">
        <v>0</v>
      </c>
      <c r="M424" t="n">
        <v>0</v>
      </c>
      <c r="N424" t="n">
        <v>1</v>
      </c>
      <c r="O424" t="n">
        <v>0</v>
      </c>
      <c r="P424" t="n">
        <v>0</v>
      </c>
      <c r="Q424" t="n">
        <v>1</v>
      </c>
      <c r="R424" t="n">
        <v>1</v>
      </c>
      <c r="S424" t="n">
        <v>1</v>
      </c>
      <c r="T424" t="n">
        <v>23</v>
      </c>
      <c r="U424" t="n">
        <v>3</v>
      </c>
      <c r="V424" s="2" t="inlineStr">
        <is>
          <t>Asknätfjäril</t>
        </is>
      </c>
      <c r="W424">
        <f>HYPERLINK("https://klasma.github.io/Logging_0188/artfynd/A 4532-2025 artfynd.xlsx", "A 4532-2025")</f>
        <v/>
      </c>
      <c r="X424">
        <f>HYPERLINK("https://klasma.github.io/Logging_0188/kartor/A 4532-2025 karta.png", "A 4532-2025")</f>
        <v/>
      </c>
      <c r="Y424">
        <f>HYPERLINK("https://klasma.github.io/Logging_0188/kartor_geotiff/A 4532-2025 georefererad karta.tif", "A 4532-2025")</f>
        <v/>
      </c>
      <c r="AA424">
        <f>HYPERLINK("https://klasma.github.io/Logging_0188/klagomål/A 4532-2025 FSC-klagomål.docx", "A 4532-2025")</f>
        <v/>
      </c>
      <c r="AB424">
        <f>HYPERLINK("https://klasma.github.io/Logging_0188/klagomålsmail/A 4532-2025 FSC-klagomål mail.docx", "A 4532-2025")</f>
        <v/>
      </c>
      <c r="AC424">
        <f>HYPERLINK("https://klasma.github.io/Logging_0188/tillsyn/A 4532-2025 tillsynsbegäran.docx", "A 4532-2025")</f>
        <v/>
      </c>
      <c r="AD424">
        <f>HYPERLINK("https://klasma.github.io/Logging_0188/tillsynsmail/A 4532-2025 tillsynsbegäran mail.docx", "A 4532-2025")</f>
        <v/>
      </c>
    </row>
    <row r="425" ht="15" customHeight="1">
      <c r="A425" t="inlineStr">
        <is>
          <t>A 35691-2023</t>
        </is>
      </c>
      <c r="B425" t="inlineStr">
        <is>
          <t>avverkningsanmälan</t>
        </is>
      </c>
      <c r="C425" t="inlineStr">
        <is>
          <t>Föryngringsavverkning</t>
        </is>
      </c>
      <c r="D425" s="1" t="n">
        <v>45147</v>
      </c>
      <c r="E425" s="1" t="n">
        <v>46326</v>
      </c>
      <c r="F425" t="inlineStr">
        <is>
          <t>STOCKHOLMS LÄN</t>
        </is>
      </c>
      <c r="G425" t="inlineStr">
        <is>
          <t>NORRTÄLJE</t>
        </is>
      </c>
      <c r="I425" t="n">
        <v>2.3</v>
      </c>
      <c r="J425" t="n">
        <v>1</v>
      </c>
      <c r="K425" t="n">
        <v>0</v>
      </c>
      <c r="L425" t="n">
        <v>0</v>
      </c>
      <c r="M425" t="n">
        <v>0</v>
      </c>
      <c r="N425" t="n">
        <v>0</v>
      </c>
      <c r="O425" t="n">
        <v>0</v>
      </c>
      <c r="P425" t="n">
        <v>0</v>
      </c>
      <c r="Q425" t="n">
        <v>0</v>
      </c>
      <c r="R425" t="n">
        <v>0</v>
      </c>
      <c r="S425" t="n">
        <v>1</v>
      </c>
      <c r="T425" t="n">
        <v>1</v>
      </c>
      <c r="U425" t="n">
        <v>1</v>
      </c>
      <c r="V425" s="2" t="inlineStr">
        <is>
          <t>Kungsfågel</t>
        </is>
      </c>
      <c r="W425">
        <f>HYPERLINK("https://klasma.github.io/Logging_0188/artfynd/A 35691-2023 artfynd.xlsx", "A 35691-2023")</f>
        <v/>
      </c>
      <c r="X425">
        <f>HYPERLINK("https://klasma.github.io/Logging_0188/kartor/A 35691-2023 karta.png", "A 35691-2023")</f>
        <v/>
      </c>
      <c r="Y425">
        <f>HYPERLINK("https://klasma.github.io/Logging_0188/kartor_geotiff/A 35691-2023 georefererad karta.tif", "A 35691-2023")</f>
        <v/>
      </c>
      <c r="AA425">
        <f>HYPERLINK("https://klasma.github.io/Logging_0188/klagomål/A 35691-2023 FSC-klagomål.docx", "A 35691-2023")</f>
        <v/>
      </c>
      <c r="AB425">
        <f>HYPERLINK("https://klasma.github.io/Logging_0188/klagomålsmail/A 35691-2023 FSC-klagomål mail.docx", "A 35691-2023")</f>
        <v/>
      </c>
      <c r="AC425">
        <f>HYPERLINK("https://klasma.github.io/Logging_0188/tillsyn/A 35691-2023 tillsynsbegäran.docx", "A 35691-2023")</f>
        <v/>
      </c>
      <c r="AD425">
        <f>HYPERLINK("https://klasma.github.io/Logging_0188/tillsynsmail/A 35691-2023 tillsynsbegäran mail.docx", "A 35691-2023")</f>
        <v/>
      </c>
    </row>
    <row r="426" ht="15" customHeight="1">
      <c r="A426" t="inlineStr">
        <is>
          <t>A 35693-2023</t>
        </is>
      </c>
      <c r="B426" t="inlineStr">
        <is>
          <t>avverkningsanmälan</t>
        </is>
      </c>
      <c r="C426" t="inlineStr">
        <is>
          <t>Föryngringsavverkning</t>
        </is>
      </c>
      <c r="D426" s="1" t="n">
        <v>45147</v>
      </c>
      <c r="E426" s="1" t="n">
        <v>46326</v>
      </c>
      <c r="F426" t="inlineStr">
        <is>
          <t>STOCKHOLMS LÄN</t>
        </is>
      </c>
      <c r="G426" t="inlineStr">
        <is>
          <t>NORRTÄLJE</t>
        </is>
      </c>
      <c r="I426" t="n">
        <v>2.2</v>
      </c>
      <c r="J426" t="n">
        <v>0</v>
      </c>
      <c r="K426" t="n">
        <v>0</v>
      </c>
      <c r="L426" t="n">
        <v>1</v>
      </c>
      <c r="M426" t="n">
        <v>0</v>
      </c>
      <c r="N426" t="n">
        <v>0</v>
      </c>
      <c r="O426" t="n">
        <v>0</v>
      </c>
      <c r="P426" t="n">
        <v>0</v>
      </c>
      <c r="Q426" t="n">
        <v>1</v>
      </c>
      <c r="R426" t="n">
        <v>0</v>
      </c>
      <c r="S426" t="n">
        <v>1</v>
      </c>
      <c r="T426" t="n">
        <v>1</v>
      </c>
      <c r="U426" t="n">
        <v>1</v>
      </c>
      <c r="V426" s="2" t="inlineStr">
        <is>
          <t>Motaggsvamp</t>
        </is>
      </c>
      <c r="W426">
        <f>HYPERLINK("https://klasma.github.io/Logging_0188/artfynd/A 35693-2023 artfynd.xlsx", "A 35693-2023")</f>
        <v/>
      </c>
      <c r="X426">
        <f>HYPERLINK("https://klasma.github.io/Logging_0188/kartor/A 35693-2023 karta.png", "A 35693-2023")</f>
        <v/>
      </c>
      <c r="Y426">
        <f>HYPERLINK("https://klasma.github.io/Logging_0188/kartor_geotiff/A 35693-2023 georefererad karta.tif", "A 35693-2023")</f>
        <v/>
      </c>
      <c r="AA426">
        <f>HYPERLINK("https://klasma.github.io/Logging_0188/klagomål/A 35693-2023 FSC-klagomål.docx", "A 35693-2023")</f>
        <v/>
      </c>
      <c r="AB426">
        <f>HYPERLINK("https://klasma.github.io/Logging_0188/klagomålsmail/A 35693-2023 FSC-klagomål mail.docx", "A 35693-2023")</f>
        <v/>
      </c>
      <c r="AC426">
        <f>HYPERLINK("https://klasma.github.io/Logging_0188/tillsyn/A 35693-2023 tillsynsbegäran.docx", "A 35693-2023")</f>
        <v/>
      </c>
      <c r="AD426">
        <f>HYPERLINK("https://klasma.github.io/Logging_0188/tillsynsmail/A 35693-2023 tillsynsbegäran mail.docx", "A 35693-2023")</f>
        <v/>
      </c>
    </row>
    <row r="427" ht="15" customHeight="1">
      <c r="A427" t="inlineStr">
        <is>
          <t>A 18848-2024</t>
        </is>
      </c>
      <c r="B427" t="inlineStr">
        <is>
          <t>avverkningsanmälan</t>
        </is>
      </c>
      <c r="C427" t="inlineStr">
        <is>
          <t>Föryngringsavverkning</t>
        </is>
      </c>
      <c r="D427" s="1" t="n">
        <v>45426</v>
      </c>
      <c r="E427" s="1" t="n">
        <v>46326</v>
      </c>
      <c r="F427" t="inlineStr">
        <is>
          <t>STOCKHOLMS LÄN</t>
        </is>
      </c>
      <c r="G427" t="inlineStr">
        <is>
          <t>NYKVARN</t>
        </is>
      </c>
      <c r="I427" t="n">
        <v>0.6</v>
      </c>
      <c r="J427" t="n">
        <v>0</v>
      </c>
      <c r="K427" t="n">
        <v>0</v>
      </c>
      <c r="L427" t="n">
        <v>0</v>
      </c>
      <c r="M427" t="n">
        <v>1</v>
      </c>
      <c r="N427" t="n">
        <v>0</v>
      </c>
      <c r="O427" t="n">
        <v>0</v>
      </c>
      <c r="P427" t="n">
        <v>0</v>
      </c>
      <c r="Q427" t="n">
        <v>1</v>
      </c>
      <c r="R427" t="n">
        <v>1</v>
      </c>
      <c r="S427" t="n">
        <v>1</v>
      </c>
      <c r="T427" t="n">
        <v>1</v>
      </c>
      <c r="U427" t="n">
        <v>1</v>
      </c>
      <c r="V427" s="2" t="inlineStr">
        <is>
          <t>Igelkott</t>
        </is>
      </c>
      <c r="W427">
        <f>HYPERLINK("https://klasma.github.io/Logging_0140/artfynd/A 18848-2024 artfynd.xlsx", "A 18848-2024")</f>
        <v/>
      </c>
      <c r="X427">
        <f>HYPERLINK("https://klasma.github.io/Logging_0140/kartor/A 18848-2024 karta.png", "A 18848-2024")</f>
        <v/>
      </c>
      <c r="Y427">
        <f>HYPERLINK("https://klasma.github.io/Logging_0140/kartor_geotiff/A 18848-2024 georefererad karta.tif", "A 18848-2024")</f>
        <v/>
      </c>
      <c r="AA427">
        <f>HYPERLINK("https://klasma.github.io/Logging_0140/klagomål/A 18848-2024 FSC-klagomål.docx", "A 18848-2024")</f>
        <v/>
      </c>
      <c r="AB427">
        <f>HYPERLINK("https://klasma.github.io/Logging_0140/klagomålsmail/A 18848-2024 FSC-klagomål mail.docx", "A 18848-2024")</f>
        <v/>
      </c>
      <c r="AC427">
        <f>HYPERLINK("https://klasma.github.io/Logging_0140/tillsyn/A 18848-2024 tillsynsbegäran.docx", "A 18848-2024")</f>
        <v/>
      </c>
      <c r="AD427">
        <f>HYPERLINK("https://klasma.github.io/Logging_0140/tillsynsmail/A 18848-2024 tillsynsbegäran mail.docx", "A 18848-2024")</f>
        <v/>
      </c>
    </row>
    <row r="428" ht="15" customHeight="1">
      <c r="A428" t="inlineStr">
        <is>
          <t>A 6381-2023</t>
        </is>
      </c>
      <c r="B428" t="inlineStr">
        <is>
          <t>avverkningsanmälan</t>
        </is>
      </c>
      <c r="C428" t="inlineStr">
        <is>
          <t>Avverkning för annat ändamål</t>
        </is>
      </c>
      <c r="D428" s="1" t="n">
        <v>44965</v>
      </c>
      <c r="E428" s="1" t="n">
        <v>46326</v>
      </c>
      <c r="F428" t="inlineStr">
        <is>
          <t>STOCKHOLMS LÄN</t>
        </is>
      </c>
      <c r="G428" t="inlineStr">
        <is>
          <t>NORRTÄLJE</t>
        </is>
      </c>
      <c r="I428" t="n">
        <v>3.5</v>
      </c>
      <c r="J428" t="n">
        <v>1</v>
      </c>
      <c r="K428" t="n">
        <v>1</v>
      </c>
      <c r="L428" t="n">
        <v>0</v>
      </c>
      <c r="M428" t="n">
        <v>0</v>
      </c>
      <c r="N428" t="n">
        <v>0</v>
      </c>
      <c r="O428" t="n">
        <v>0</v>
      </c>
      <c r="P428" t="n">
        <v>0</v>
      </c>
      <c r="Q428" t="n">
        <v>0</v>
      </c>
      <c r="R428" t="n">
        <v>0</v>
      </c>
      <c r="S428" t="n">
        <v>1</v>
      </c>
      <c r="T428" t="n">
        <v>2</v>
      </c>
      <c r="U428" t="n">
        <v>2</v>
      </c>
      <c r="V428" s="2" t="inlineStr">
        <is>
          <t>Guckusko</t>
        </is>
      </c>
      <c r="W428">
        <f>HYPERLINK("https://klasma.github.io/Logging_0188/artfynd/A 6381-2023 artfynd.xlsx", "A 6381-2023")</f>
        <v/>
      </c>
      <c r="X428">
        <f>HYPERLINK("https://klasma.github.io/Logging_0188/kartor/A 6381-2023 karta.png", "A 6381-2023")</f>
        <v/>
      </c>
      <c r="Y428">
        <f>HYPERLINK("https://klasma.github.io/Logging_0188/kartor_geotiff/A 6381-2023 georefererad karta.tif", "A 6381-2023")</f>
        <v/>
      </c>
      <c r="AA428">
        <f>HYPERLINK("https://klasma.github.io/Logging_0188/klagomål/A 6381-2023 FSC-klagomål.docx", "A 6381-2023")</f>
        <v/>
      </c>
      <c r="AB428">
        <f>HYPERLINK("https://klasma.github.io/Logging_0188/klagomålsmail/A 6381-2023 FSC-klagomål mail.docx", "A 6381-2023")</f>
        <v/>
      </c>
      <c r="AC428">
        <f>HYPERLINK("https://klasma.github.io/Logging_0188/tillsyn/A 6381-2023 tillsynsbegäran.docx", "A 6381-2023")</f>
        <v/>
      </c>
      <c r="AD428">
        <f>HYPERLINK("https://klasma.github.io/Logging_0188/tillsynsmail/A 6381-2023 tillsynsbegäran mail.docx", "A 6381-2023")</f>
        <v/>
      </c>
    </row>
    <row r="429" ht="15" customHeight="1">
      <c r="A429" t="inlineStr">
        <is>
          <t>A 13718-2022</t>
        </is>
      </c>
      <c r="B429" t="inlineStr">
        <is>
          <t>avverkningsanmälan</t>
        </is>
      </c>
      <c r="C429" t="inlineStr">
        <is>
          <t>Föryngringsavverkning</t>
        </is>
      </c>
      <c r="D429" s="1" t="n">
        <v>44649</v>
      </c>
      <c r="E429" s="1" t="n">
        <v>46326</v>
      </c>
      <c r="F429" t="inlineStr">
        <is>
          <t>STOCKHOLMS LÄN</t>
        </is>
      </c>
      <c r="G429" t="inlineStr">
        <is>
          <t>NORRTÄLJE</t>
        </is>
      </c>
      <c r="I429" t="n">
        <v>8.800000000000001</v>
      </c>
      <c r="J429" t="n">
        <v>0</v>
      </c>
      <c r="K429" t="n">
        <v>0</v>
      </c>
      <c r="L429" t="n">
        <v>1</v>
      </c>
      <c r="M429" t="n">
        <v>0</v>
      </c>
      <c r="N429" t="n">
        <v>0</v>
      </c>
      <c r="O429" t="n">
        <v>0</v>
      </c>
      <c r="P429" t="n">
        <v>0</v>
      </c>
      <c r="Q429" t="n">
        <v>1</v>
      </c>
      <c r="R429" t="n">
        <v>0</v>
      </c>
      <c r="S429" t="n">
        <v>1</v>
      </c>
      <c r="T429" t="n">
        <v>1</v>
      </c>
      <c r="U429" t="n">
        <v>0</v>
      </c>
      <c r="V429" s="2" t="inlineStr">
        <is>
          <t>Flattoppad klubbsvamp</t>
        </is>
      </c>
      <c r="W429">
        <f>HYPERLINK("https://klasma.github.io/Logging_0188/artfynd/A 13718-2022 artfynd.xlsx", "A 13718-2022")</f>
        <v/>
      </c>
      <c r="X429">
        <f>HYPERLINK("https://klasma.github.io/Logging_0188/kartor/A 13718-2022 karta.png", "A 13718-2022")</f>
        <v/>
      </c>
      <c r="Y429">
        <f>HYPERLINK("https://klasma.github.io/Logging_0188/kartor_geotiff/A 13718-2022 georefererad karta.tif", "A 13718-2022")</f>
        <v/>
      </c>
      <c r="AA429">
        <f>HYPERLINK("https://klasma.github.io/Logging_0188/klagomål/A 13718-2022 FSC-klagomål.docx", "A 13718-2022")</f>
        <v/>
      </c>
      <c r="AB429">
        <f>HYPERLINK("https://klasma.github.io/Logging_0188/klagomålsmail/A 13718-2022 FSC-klagomål mail.docx", "A 13718-2022")</f>
        <v/>
      </c>
      <c r="AC429">
        <f>HYPERLINK("https://klasma.github.io/Logging_0188/tillsyn/A 13718-2022 tillsynsbegäran.docx", "A 13718-2022")</f>
        <v/>
      </c>
      <c r="AD429">
        <f>HYPERLINK("https://klasma.github.io/Logging_0188/tillsynsmail/A 13718-2022 tillsynsbegäran mail.docx", "A 13718-2022")</f>
        <v/>
      </c>
    </row>
    <row r="430" ht="15" customHeight="1">
      <c r="A430" t="inlineStr">
        <is>
          <t>A 32092-2023</t>
        </is>
      </c>
      <c r="B430" t="inlineStr">
        <is>
          <t>avverkningsanmälan</t>
        </is>
      </c>
      <c r="C430" t="inlineStr">
        <is>
          <t>Föryngringsavverkning</t>
        </is>
      </c>
      <c r="D430" s="1" t="n">
        <v>45119</v>
      </c>
      <c r="E430" s="1" t="n">
        <v>46326</v>
      </c>
      <c r="F430" t="inlineStr">
        <is>
          <t>STOCKHOLMS LÄN</t>
        </is>
      </c>
      <c r="G430" t="inlineStr">
        <is>
          <t>NYNÄSHAMN</t>
        </is>
      </c>
      <c r="H430" t="inlineStr">
        <is>
          <t>Kommuner</t>
        </is>
      </c>
      <c r="I430" t="n">
        <v>12.4</v>
      </c>
      <c r="J430" t="n">
        <v>0</v>
      </c>
      <c r="K430" t="n">
        <v>0</v>
      </c>
      <c r="L430" t="n">
        <v>0</v>
      </c>
      <c r="M430" t="n">
        <v>0</v>
      </c>
      <c r="N430" t="n">
        <v>0</v>
      </c>
      <c r="O430" t="n">
        <v>0</v>
      </c>
      <c r="P430" t="n">
        <v>0</v>
      </c>
      <c r="Q430" t="n">
        <v>0</v>
      </c>
      <c r="R430" t="n">
        <v>0</v>
      </c>
      <c r="S430" t="n">
        <v>1</v>
      </c>
      <c r="T430" t="n">
        <v>1</v>
      </c>
      <c r="U430" t="n">
        <v>1</v>
      </c>
      <c r="V430" s="2" t="inlineStr">
        <is>
          <t>Skärmstarr</t>
        </is>
      </c>
      <c r="W430">
        <f>HYPERLINK("https://klasma.github.io/Logging_0192/artfynd/A 32092-2023 artfynd.xlsx", "A 32092-2023")</f>
        <v/>
      </c>
      <c r="X430">
        <f>HYPERLINK("https://klasma.github.io/Logging_0192/kartor/A 32092-2023 karta.png", "A 32092-2023")</f>
        <v/>
      </c>
      <c r="Y430">
        <f>HYPERLINK("https://klasma.github.io/Logging_0192/kartor_geotiff/A 32092-2023 georefererad karta.tif", "A 32092-2023")</f>
        <v/>
      </c>
      <c r="AA430">
        <f>HYPERLINK("https://klasma.github.io/Logging_0192/klagomål/A 32092-2023 FSC-klagomål.docx", "A 32092-2023")</f>
        <v/>
      </c>
      <c r="AB430">
        <f>HYPERLINK("https://klasma.github.io/Logging_0192/klagomålsmail/A 32092-2023 FSC-klagomål mail.docx", "A 32092-2023")</f>
        <v/>
      </c>
      <c r="AC430">
        <f>HYPERLINK("https://klasma.github.io/Logging_0192/tillsyn/A 32092-2023 tillsynsbegäran.docx", "A 32092-2023")</f>
        <v/>
      </c>
      <c r="AD430">
        <f>HYPERLINK("https://klasma.github.io/Logging_0192/tillsynsmail/A 32092-2023 tillsynsbegäran mail.docx", "A 32092-2023")</f>
        <v/>
      </c>
    </row>
    <row r="431" ht="15" customHeight="1">
      <c r="A431" t="inlineStr">
        <is>
          <t>A 9654-2022</t>
        </is>
      </c>
      <c r="B431" t="inlineStr">
        <is>
          <t>avverkningsanmälan</t>
        </is>
      </c>
      <c r="C431" t="inlineStr">
        <is>
          <t>Föryngringsavverkning</t>
        </is>
      </c>
      <c r="D431" s="1" t="n">
        <v>44617</v>
      </c>
      <c r="E431" s="1" t="n">
        <v>46326</v>
      </c>
      <c r="F431" t="inlineStr">
        <is>
          <t>STOCKHOLMS LÄN</t>
        </is>
      </c>
      <c r="G431" t="inlineStr">
        <is>
          <t>NORRTÄLJE</t>
        </is>
      </c>
      <c r="I431" t="n">
        <v>6.4</v>
      </c>
      <c r="J431" t="n">
        <v>1</v>
      </c>
      <c r="K431" t="n">
        <v>0</v>
      </c>
      <c r="L431" t="n">
        <v>0</v>
      </c>
      <c r="M431" t="n">
        <v>0</v>
      </c>
      <c r="N431" t="n">
        <v>0</v>
      </c>
      <c r="O431" t="n">
        <v>0</v>
      </c>
      <c r="P431" t="n">
        <v>0</v>
      </c>
      <c r="Q431" t="n">
        <v>0</v>
      </c>
      <c r="R431" t="n">
        <v>0</v>
      </c>
      <c r="S431" t="n">
        <v>1</v>
      </c>
      <c r="T431" t="n">
        <v>1</v>
      </c>
      <c r="U431" t="n">
        <v>1</v>
      </c>
      <c r="V431" s="2" t="inlineStr">
        <is>
          <t>Törnskata</t>
        </is>
      </c>
      <c r="W431">
        <f>HYPERLINK("https://klasma.github.io/Logging_0188/artfynd/A 9654-2022 artfynd.xlsx", "A 9654-2022")</f>
        <v/>
      </c>
      <c r="X431">
        <f>HYPERLINK("https://klasma.github.io/Logging_0188/kartor/A 9654-2022 karta.png", "A 9654-2022")</f>
        <v/>
      </c>
      <c r="Y431">
        <f>HYPERLINK("https://klasma.github.io/Logging_0188/kartor_geotiff/A 9654-2022 georefererad karta.tif", "A 9654-2022")</f>
        <v/>
      </c>
      <c r="AA431">
        <f>HYPERLINK("https://klasma.github.io/Logging_0188/klagomål/A 9654-2022 FSC-klagomål.docx", "A 9654-2022")</f>
        <v/>
      </c>
      <c r="AB431">
        <f>HYPERLINK("https://klasma.github.io/Logging_0188/klagomålsmail/A 9654-2022 FSC-klagomål mail.docx", "A 9654-2022")</f>
        <v/>
      </c>
      <c r="AC431">
        <f>HYPERLINK("https://klasma.github.io/Logging_0188/tillsyn/A 9654-2022 tillsynsbegäran.docx", "A 9654-2022")</f>
        <v/>
      </c>
      <c r="AD431">
        <f>HYPERLINK("https://klasma.github.io/Logging_0188/tillsynsmail/A 9654-2022 tillsynsbegäran mail.docx", "A 9654-2022")</f>
        <v/>
      </c>
      <c r="AE431">
        <f>HYPERLINK("https://klasma.github.io/Logging_0188/fåglar/A 9654-2022 prioriterade fågelarter.docx", "A 9654-2022")</f>
        <v/>
      </c>
    </row>
    <row r="432" ht="15" customHeight="1">
      <c r="A432" t="inlineStr">
        <is>
          <t>A 50907-2022</t>
        </is>
      </c>
      <c r="B432" t="inlineStr">
        <is>
          <t>avverkningsanmälan</t>
        </is>
      </c>
      <c r="C432" t="inlineStr">
        <is>
          <t>Föryngringsavverkning</t>
        </is>
      </c>
      <c r="D432" s="1" t="n">
        <v>44867</v>
      </c>
      <c r="E432" s="1" t="n">
        <v>46326</v>
      </c>
      <c r="F432" t="inlineStr">
        <is>
          <t>STOCKHOLMS LÄN</t>
        </is>
      </c>
      <c r="G432" t="inlineStr">
        <is>
          <t>NORRTÄLJE</t>
        </is>
      </c>
      <c r="I432" t="n">
        <v>8.199999999999999</v>
      </c>
      <c r="J432" t="n">
        <v>0</v>
      </c>
      <c r="K432" t="n">
        <v>1</v>
      </c>
      <c r="L432" t="n">
        <v>0</v>
      </c>
      <c r="M432" t="n">
        <v>0</v>
      </c>
      <c r="N432" t="n">
        <v>0</v>
      </c>
      <c r="O432" t="n">
        <v>0</v>
      </c>
      <c r="P432" t="n">
        <v>0</v>
      </c>
      <c r="Q432" t="n">
        <v>0</v>
      </c>
      <c r="R432" t="n">
        <v>0</v>
      </c>
      <c r="S432" t="n">
        <v>1</v>
      </c>
      <c r="T432" t="n">
        <v>1</v>
      </c>
      <c r="U432" t="n">
        <v>1</v>
      </c>
      <c r="V432" s="2" t="inlineStr">
        <is>
          <t>Tibast</t>
        </is>
      </c>
      <c r="W432">
        <f>HYPERLINK("https://klasma.github.io/Logging_0188/artfynd/A 50907-2022 artfynd.xlsx", "A 50907-2022")</f>
        <v/>
      </c>
      <c r="X432">
        <f>HYPERLINK("https://klasma.github.io/Logging_0188/kartor/A 50907-2022 karta.png", "A 50907-2022")</f>
        <v/>
      </c>
      <c r="Y432">
        <f>HYPERLINK("https://klasma.github.io/Logging_0188/kartor_geotiff/A 50907-2022 georefererad karta.tif", "A 50907-2022")</f>
        <v/>
      </c>
      <c r="AA432">
        <f>HYPERLINK("https://klasma.github.io/Logging_0188/klagomål/A 50907-2022 FSC-klagomål.docx", "A 50907-2022")</f>
        <v/>
      </c>
      <c r="AB432">
        <f>HYPERLINK("https://klasma.github.io/Logging_0188/klagomålsmail/A 50907-2022 FSC-klagomål mail.docx", "A 50907-2022")</f>
        <v/>
      </c>
      <c r="AC432">
        <f>HYPERLINK("https://klasma.github.io/Logging_0188/tillsyn/A 50907-2022 tillsynsbegäran.docx", "A 50907-2022")</f>
        <v/>
      </c>
      <c r="AD432">
        <f>HYPERLINK("https://klasma.github.io/Logging_0188/tillsynsmail/A 50907-2022 tillsynsbegäran mail.docx", "A 50907-2022")</f>
        <v/>
      </c>
    </row>
    <row r="433" ht="15" customHeight="1">
      <c r="A433" t="inlineStr">
        <is>
          <t>A 40861-2025</t>
        </is>
      </c>
      <c r="B433" t="inlineStr">
        <is>
          <t>avverkningsanmälan</t>
        </is>
      </c>
      <c r="C433" t="inlineStr">
        <is>
          <t>Föryngringsavverkning</t>
        </is>
      </c>
      <c r="D433" s="1" t="n">
        <v>45897</v>
      </c>
      <c r="E433" s="1" t="n">
        <v>46326</v>
      </c>
      <c r="F433" t="inlineStr">
        <is>
          <t>STOCKHOLMS LÄN</t>
        </is>
      </c>
      <c r="G433" t="inlineStr">
        <is>
          <t>NORRTÄLJE</t>
        </is>
      </c>
      <c r="I433" t="n">
        <v>4</v>
      </c>
      <c r="J433" t="n">
        <v>0</v>
      </c>
      <c r="K433" t="n">
        <v>0</v>
      </c>
      <c r="L433" t="n">
        <v>1</v>
      </c>
      <c r="M433" t="n">
        <v>0</v>
      </c>
      <c r="N433" t="n">
        <v>0</v>
      </c>
      <c r="O433" t="n">
        <v>0</v>
      </c>
      <c r="P433" t="n">
        <v>0</v>
      </c>
      <c r="Q433" t="n">
        <v>1</v>
      </c>
      <c r="R433" t="n">
        <v>0</v>
      </c>
      <c r="S433" t="n">
        <v>1</v>
      </c>
      <c r="T433" t="n">
        <v>2</v>
      </c>
      <c r="U433" t="n">
        <v>0</v>
      </c>
      <c r="V433" s="2" t="inlineStr">
        <is>
          <t>Skogsklocka</t>
        </is>
      </c>
      <c r="W433">
        <f>HYPERLINK("https://klasma.github.io/Logging_0188/artfynd/A 40861-2025 artfynd.xlsx", "A 40861-2025")</f>
        <v/>
      </c>
      <c r="X433">
        <f>HYPERLINK("https://klasma.github.io/Logging_0188/kartor/A 40861-2025 karta.png", "A 40861-2025")</f>
        <v/>
      </c>
      <c r="Y433">
        <f>HYPERLINK("https://klasma.github.io/Logging_0188/kartor_geotiff/A 40861-2025 georefererad karta.tif", "A 40861-2025")</f>
        <v/>
      </c>
      <c r="AA433">
        <f>HYPERLINK("https://klasma.github.io/Logging_0188/klagomål/A 40861-2025 FSC-klagomål.docx", "A 40861-2025")</f>
        <v/>
      </c>
      <c r="AB433">
        <f>HYPERLINK("https://klasma.github.io/Logging_0188/klagomålsmail/A 40861-2025 FSC-klagomål mail.docx", "A 40861-2025")</f>
        <v/>
      </c>
      <c r="AC433">
        <f>HYPERLINK("https://klasma.github.io/Logging_0188/tillsyn/A 40861-2025 tillsynsbegäran.docx", "A 40861-2025")</f>
        <v/>
      </c>
      <c r="AD433">
        <f>HYPERLINK("https://klasma.github.io/Logging_0188/tillsynsmail/A 40861-2025 tillsynsbegäran mail.docx", "A 40861-2025")</f>
        <v/>
      </c>
    </row>
    <row r="434" ht="15" customHeight="1">
      <c r="A434" t="inlineStr">
        <is>
          <t>A 2533-2026</t>
        </is>
      </c>
      <c r="B434" t="inlineStr">
        <is>
          <t>avverkningsanmälan</t>
        </is>
      </c>
      <c r="C434" t="inlineStr">
        <is>
          <t>Föryngringsavverkning</t>
        </is>
      </c>
      <c r="D434" s="1" t="n">
        <v>46037</v>
      </c>
      <c r="E434" s="1" t="n">
        <v>46326</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29946-2025</t>
        </is>
      </c>
      <c r="B435" t="inlineStr">
        <is>
          <t>avverkningsanmälan</t>
        </is>
      </c>
      <c r="C435" t="inlineStr">
        <is>
          <t>Föryngringsavverkning</t>
        </is>
      </c>
      <c r="D435" s="1" t="n">
        <v>45826</v>
      </c>
      <c r="E435" s="1" t="n">
        <v>46326</v>
      </c>
      <c r="F435" t="inlineStr">
        <is>
          <t>STOCKHOLMS LÄN</t>
        </is>
      </c>
      <c r="G435" t="inlineStr">
        <is>
          <t>NORRTÄLJE</t>
        </is>
      </c>
      <c r="H435" t="inlineStr">
        <is>
          <t>Holmen skog AB</t>
        </is>
      </c>
      <c r="I435" t="n">
        <v>3.6</v>
      </c>
      <c r="J435" t="n">
        <v>1</v>
      </c>
      <c r="K435" t="n">
        <v>0</v>
      </c>
      <c r="L435" t="n">
        <v>0</v>
      </c>
      <c r="M435" t="n">
        <v>0</v>
      </c>
      <c r="N435" t="n">
        <v>1</v>
      </c>
      <c r="O435" t="n">
        <v>0</v>
      </c>
      <c r="P435" t="n">
        <v>0</v>
      </c>
      <c r="Q435" t="n">
        <v>1</v>
      </c>
      <c r="R435" t="n">
        <v>1</v>
      </c>
      <c r="S435" t="n">
        <v>1</v>
      </c>
      <c r="T435" t="n">
        <v>53</v>
      </c>
      <c r="U435" t="n">
        <v>5</v>
      </c>
      <c r="V435" s="2" t="inlineStr">
        <is>
          <t>Asknätfjäril</t>
        </is>
      </c>
      <c r="W435">
        <f>HYPERLINK("https://klasma.github.io/Logging_0188/artfynd/A 29946-2025 artfynd.xlsx", "A 29946-2025")</f>
        <v/>
      </c>
      <c r="X435">
        <f>HYPERLINK("https://klasma.github.io/Logging_0188/kartor/A 29946-2025 karta.png", "A 29946-2025")</f>
        <v/>
      </c>
      <c r="Y435">
        <f>HYPERLINK("https://klasma.github.io/Logging_0188/kartor_geotiff/A 29946-2025 georefererad karta.tif", "A 29946-2025")</f>
        <v/>
      </c>
      <c r="AA435">
        <f>HYPERLINK("https://klasma.github.io/Logging_0188/klagomål/A 29946-2025 FSC-klagomål.docx", "A 29946-2025")</f>
        <v/>
      </c>
      <c r="AB435">
        <f>HYPERLINK("https://klasma.github.io/Logging_0188/klagomålsmail/A 29946-2025 FSC-klagomål mail.docx", "A 29946-2025")</f>
        <v/>
      </c>
      <c r="AC435">
        <f>HYPERLINK("https://klasma.github.io/Logging_0188/tillsyn/A 29946-2025 tillsynsbegäran.docx", "A 29946-2025")</f>
        <v/>
      </c>
      <c r="AD435">
        <f>HYPERLINK("https://klasma.github.io/Logging_0188/tillsynsmail/A 29946-2025 tillsynsbegäran mail.docx", "A 29946-2025")</f>
        <v/>
      </c>
    </row>
    <row r="436" ht="15" customHeight="1">
      <c r="A436" t="inlineStr">
        <is>
          <t>A 64196-2023</t>
        </is>
      </c>
      <c r="B436" t="inlineStr">
        <is>
          <t>avverkningsanmälan</t>
        </is>
      </c>
      <c r="C436" t="inlineStr">
        <is>
          <t>Föryngringsavverkning</t>
        </is>
      </c>
      <c r="D436" s="1" t="n">
        <v>45279</v>
      </c>
      <c r="E436" s="1" t="n">
        <v>46326</v>
      </c>
      <c r="F436" t="inlineStr">
        <is>
          <t>STOCKHOLMS LÄN</t>
        </is>
      </c>
      <c r="G436" t="inlineStr">
        <is>
          <t>NYNÄSHAMN</t>
        </is>
      </c>
      <c r="I436" t="n">
        <v>2.1</v>
      </c>
      <c r="J436" t="n">
        <v>1</v>
      </c>
      <c r="K436" t="n">
        <v>0</v>
      </c>
      <c r="L436" t="n">
        <v>0</v>
      </c>
      <c r="M436" t="n">
        <v>0</v>
      </c>
      <c r="N436" t="n">
        <v>0</v>
      </c>
      <c r="O436" t="n">
        <v>0</v>
      </c>
      <c r="P436" t="n">
        <v>0</v>
      </c>
      <c r="Q436" t="n">
        <v>0</v>
      </c>
      <c r="R436" t="n">
        <v>0</v>
      </c>
      <c r="S436" t="n">
        <v>1</v>
      </c>
      <c r="T436" t="n">
        <v>2</v>
      </c>
      <c r="U436" t="n">
        <v>2</v>
      </c>
      <c r="V436" s="2" t="inlineStr">
        <is>
          <t>Revlummer</t>
        </is>
      </c>
      <c r="W436">
        <f>HYPERLINK("https://klasma.github.io/Logging_0192/artfynd/A 64196-2023 artfynd.xlsx", "A 64196-2023")</f>
        <v/>
      </c>
      <c r="X436">
        <f>HYPERLINK("https://klasma.github.io/Logging_0192/kartor/A 64196-2023 karta.png", "A 64196-2023")</f>
        <v/>
      </c>
      <c r="Y436">
        <f>HYPERLINK("https://klasma.github.io/Logging_0192/kartor_geotiff/A 64196-2023 georefererad karta.tif", "A 64196-2023")</f>
        <v/>
      </c>
      <c r="AA436">
        <f>HYPERLINK("https://klasma.github.io/Logging_0192/klagomål/A 64196-2023 FSC-klagomål.docx", "A 64196-2023")</f>
        <v/>
      </c>
      <c r="AB436">
        <f>HYPERLINK("https://klasma.github.io/Logging_0192/klagomålsmail/A 64196-2023 FSC-klagomål mail.docx", "A 64196-2023")</f>
        <v/>
      </c>
      <c r="AC436">
        <f>HYPERLINK("https://klasma.github.io/Logging_0192/tillsyn/A 64196-2023 tillsynsbegäran.docx", "A 64196-2023")</f>
        <v/>
      </c>
      <c r="AD436">
        <f>HYPERLINK("https://klasma.github.io/Logging_0192/tillsynsmail/A 64196-2023 tillsynsbegäran mail.docx", "A 64196-2023")</f>
        <v/>
      </c>
    </row>
    <row r="437" ht="15" customHeight="1">
      <c r="A437" t="inlineStr">
        <is>
          <t>A 41702-2025</t>
        </is>
      </c>
      <c r="B437" t="inlineStr">
        <is>
          <t>avverkningsanmälan</t>
        </is>
      </c>
      <c r="C437" t="inlineStr">
        <is>
          <t>Föryngringsavverkning</t>
        </is>
      </c>
      <c r="D437" s="1" t="n">
        <v>45902</v>
      </c>
      <c r="E437" s="1" t="n">
        <v>46326</v>
      </c>
      <c r="F437" t="inlineStr">
        <is>
          <t>STOCKHOLMS LÄN</t>
        </is>
      </c>
      <c r="G437" t="inlineStr">
        <is>
          <t>SÖDERTÄLJE</t>
        </is>
      </c>
      <c r="I437" t="n">
        <v>2.1</v>
      </c>
      <c r="J437" t="n">
        <v>1</v>
      </c>
      <c r="K437" t="n">
        <v>0</v>
      </c>
      <c r="L437" t="n">
        <v>1</v>
      </c>
      <c r="M437" t="n">
        <v>0</v>
      </c>
      <c r="N437" t="n">
        <v>0</v>
      </c>
      <c r="O437" t="n">
        <v>0</v>
      </c>
      <c r="P437" t="n">
        <v>0</v>
      </c>
      <c r="Q437" t="n">
        <v>1</v>
      </c>
      <c r="R437" t="n">
        <v>0</v>
      </c>
      <c r="S437" t="n">
        <v>1</v>
      </c>
      <c r="T437" t="n">
        <v>1</v>
      </c>
      <c r="U437" t="n">
        <v>0</v>
      </c>
      <c r="V437" s="2" t="inlineStr">
        <is>
          <t>Björktrast</t>
        </is>
      </c>
      <c r="W437">
        <f>HYPERLINK("https://klasma.github.io/Logging_0181/artfynd/A 41702-2025 artfynd.xlsx", "A 41702-2025")</f>
        <v/>
      </c>
      <c r="X437">
        <f>HYPERLINK("https://klasma.github.io/Logging_0181/kartor/A 41702-2025 karta.png", "A 41702-2025")</f>
        <v/>
      </c>
      <c r="Y437">
        <f>HYPERLINK("https://klasma.github.io/Logging_0181/kartor_geotiff/A 41702-2025 georefererad karta.tif", "A 41702-2025")</f>
        <v/>
      </c>
      <c r="AA437">
        <f>HYPERLINK("https://klasma.github.io/Logging_0181/klagomål/A 41702-2025 FSC-klagomål.docx", "A 41702-2025")</f>
        <v/>
      </c>
      <c r="AB437">
        <f>HYPERLINK("https://klasma.github.io/Logging_0181/klagomålsmail/A 41702-2025 FSC-klagomål mail.docx", "A 41702-2025")</f>
        <v/>
      </c>
      <c r="AC437">
        <f>HYPERLINK("https://klasma.github.io/Logging_0181/tillsyn/A 41702-2025 tillsynsbegäran.docx", "A 41702-2025")</f>
        <v/>
      </c>
      <c r="AD437">
        <f>HYPERLINK("https://klasma.github.io/Logging_0181/tillsynsmail/A 41702-2025 tillsynsbegäran mail.docx", "A 41702-2025")</f>
        <v/>
      </c>
      <c r="AE437">
        <f>HYPERLINK("https://klasma.github.io/Logging_0181/fåglar/A 41702-2025 prioriterade fågelarter.docx", "A 41702-2025")</f>
        <v/>
      </c>
    </row>
    <row r="438" ht="15" customHeight="1">
      <c r="A438" t="inlineStr">
        <is>
          <t>A 55952-2024</t>
        </is>
      </c>
      <c r="B438" t="inlineStr">
        <is>
          <t>avverkningsanmälan</t>
        </is>
      </c>
      <c r="C438" t="inlineStr">
        <is>
          <t>Föryngringsavverkning</t>
        </is>
      </c>
      <c r="D438" s="1" t="n">
        <v>45623</v>
      </c>
      <c r="E438" s="1" t="n">
        <v>46326</v>
      </c>
      <c r="F438" t="inlineStr">
        <is>
          <t>STOCKHOLMS LÄN</t>
        </is>
      </c>
      <c r="G438" t="inlineStr">
        <is>
          <t>NORRTÄLJE</t>
        </is>
      </c>
      <c r="H438" t="inlineStr">
        <is>
          <t>Holmen skog AB</t>
        </is>
      </c>
      <c r="I438" t="n">
        <v>2.8</v>
      </c>
      <c r="J438" t="n">
        <v>1</v>
      </c>
      <c r="K438" t="n">
        <v>0</v>
      </c>
      <c r="L438" t="n">
        <v>0</v>
      </c>
      <c r="M438" t="n">
        <v>0</v>
      </c>
      <c r="N438" t="n">
        <v>1</v>
      </c>
      <c r="O438" t="n">
        <v>0</v>
      </c>
      <c r="P438" t="n">
        <v>0</v>
      </c>
      <c r="Q438" t="n">
        <v>1</v>
      </c>
      <c r="R438" t="n">
        <v>1</v>
      </c>
      <c r="S438" t="n">
        <v>1</v>
      </c>
      <c r="T438" t="n">
        <v>70</v>
      </c>
      <c r="U438" t="n">
        <v>11</v>
      </c>
      <c r="V438" s="2" t="inlineStr">
        <is>
          <t>Asknätfjäril</t>
        </is>
      </c>
      <c r="W438">
        <f>HYPERLINK("https://klasma.github.io/Logging_0188/artfynd/A 55952-2024 artfynd.xlsx", "A 55952-2024")</f>
        <v/>
      </c>
      <c r="X438">
        <f>HYPERLINK("https://klasma.github.io/Logging_0188/kartor/A 55952-2024 karta.png", "A 55952-2024")</f>
        <v/>
      </c>
      <c r="Y438">
        <f>HYPERLINK("https://klasma.github.io/Logging_0188/kartor_geotiff/A 55952-2024 georefererad karta.tif", "A 55952-2024")</f>
        <v/>
      </c>
      <c r="AA438">
        <f>HYPERLINK("https://klasma.github.io/Logging_0188/klagomål/A 55952-2024 FSC-klagomål.docx", "A 55952-2024")</f>
        <v/>
      </c>
      <c r="AB438">
        <f>HYPERLINK("https://klasma.github.io/Logging_0188/klagomålsmail/A 55952-2024 FSC-klagomål mail.docx", "A 55952-2024")</f>
        <v/>
      </c>
      <c r="AC438">
        <f>HYPERLINK("https://klasma.github.io/Logging_0188/tillsyn/A 55952-2024 tillsynsbegäran.docx", "A 55952-2024")</f>
        <v/>
      </c>
      <c r="AD438">
        <f>HYPERLINK("https://klasma.github.io/Logging_0188/tillsynsmail/A 55952-2024 tillsynsbegäran mail.docx", "A 55952-2024")</f>
        <v/>
      </c>
    </row>
    <row r="439" ht="15" customHeight="1">
      <c r="A439" t="inlineStr">
        <is>
          <t>A 31593-2025</t>
        </is>
      </c>
      <c r="B439" t="inlineStr">
        <is>
          <t>avverkningsanmälan</t>
        </is>
      </c>
      <c r="C439" t="inlineStr">
        <is>
          <t>Föryngringsavverkning</t>
        </is>
      </c>
      <c r="D439" s="1" t="n">
        <v>45833</v>
      </c>
      <c r="E439" s="1" t="n">
        <v>46326</v>
      </c>
      <c r="F439" t="inlineStr">
        <is>
          <t>STOCKHOLMS LÄN</t>
        </is>
      </c>
      <c r="G439" t="inlineStr">
        <is>
          <t>VÄRMDÖ</t>
        </is>
      </c>
      <c r="I439" t="n">
        <v>2</v>
      </c>
      <c r="J439" t="n">
        <v>0</v>
      </c>
      <c r="K439" t="n">
        <v>0</v>
      </c>
      <c r="L439" t="n">
        <v>1</v>
      </c>
      <c r="M439" t="n">
        <v>0</v>
      </c>
      <c r="N439" t="n">
        <v>0</v>
      </c>
      <c r="O439" t="n">
        <v>0</v>
      </c>
      <c r="P439" t="n">
        <v>0</v>
      </c>
      <c r="Q439" t="n">
        <v>1</v>
      </c>
      <c r="R439" t="n">
        <v>0</v>
      </c>
      <c r="S439" t="n">
        <v>1</v>
      </c>
      <c r="T439" t="n">
        <v>1</v>
      </c>
      <c r="U439" t="n">
        <v>0</v>
      </c>
      <c r="V439" s="2" t="inlineStr">
        <is>
          <t>Tallticka</t>
        </is>
      </c>
      <c r="W439">
        <f>HYPERLINK("https://klasma.github.io/Logging_0120/artfynd/A 31593-2025 artfynd.xlsx", "A 31593-2025")</f>
        <v/>
      </c>
      <c r="X439">
        <f>HYPERLINK("https://klasma.github.io/Logging_0120/kartor/A 31593-2025 karta.png", "A 31593-2025")</f>
        <v/>
      </c>
      <c r="Y439">
        <f>HYPERLINK("https://klasma.github.io/Logging_0120/kartor_geotiff/A 31593-2025 georefererad karta.tif", "A 31593-2025")</f>
        <v/>
      </c>
      <c r="AA439">
        <f>HYPERLINK("https://klasma.github.io/Logging_0120/klagomål/A 31593-2025 FSC-klagomål.docx", "A 31593-2025")</f>
        <v/>
      </c>
      <c r="AB439">
        <f>HYPERLINK("https://klasma.github.io/Logging_0120/klagomålsmail/A 31593-2025 FSC-klagomål mail.docx", "A 31593-2025")</f>
        <v/>
      </c>
      <c r="AC439">
        <f>HYPERLINK("https://klasma.github.io/Logging_0120/tillsyn/A 31593-2025 tillsynsbegäran.docx", "A 31593-2025")</f>
        <v/>
      </c>
      <c r="AD439">
        <f>HYPERLINK("https://klasma.github.io/Logging_0120/tillsynsmail/A 31593-2025 tillsynsbegäran mail.docx", "A 31593-2025")</f>
        <v/>
      </c>
    </row>
    <row r="440" ht="15" customHeight="1">
      <c r="A440" t="inlineStr">
        <is>
          <t>A 61323-2022</t>
        </is>
      </c>
      <c r="B440" t="inlineStr">
        <is>
          <t>avverkningsanmälan</t>
        </is>
      </c>
      <c r="C440" t="inlineStr">
        <is>
          <t>Föryngringsavverkning</t>
        </is>
      </c>
      <c r="D440" s="1" t="n">
        <v>44915</v>
      </c>
      <c r="E440" s="1" t="n">
        <v>46326</v>
      </c>
      <c r="F440" t="inlineStr">
        <is>
          <t>STOCKHOLMS LÄN</t>
        </is>
      </c>
      <c r="G440" t="inlineStr">
        <is>
          <t>ÖSTERÅKER</t>
        </is>
      </c>
      <c r="I440" t="n">
        <v>2.7</v>
      </c>
      <c r="J440" t="n">
        <v>0</v>
      </c>
      <c r="K440" t="n">
        <v>0</v>
      </c>
      <c r="L440" t="n">
        <v>0</v>
      </c>
      <c r="M440" t="n">
        <v>1</v>
      </c>
      <c r="N440" t="n">
        <v>0</v>
      </c>
      <c r="O440" t="n">
        <v>0</v>
      </c>
      <c r="P440" t="n">
        <v>0</v>
      </c>
      <c r="Q440" t="n">
        <v>1</v>
      </c>
      <c r="R440" t="n">
        <v>1</v>
      </c>
      <c r="S440" t="n">
        <v>1</v>
      </c>
      <c r="T440" t="n">
        <v>1</v>
      </c>
      <c r="U440" t="n">
        <v>1</v>
      </c>
      <c r="V440" s="2" t="inlineStr">
        <is>
          <t>Gulvit blekspik</t>
        </is>
      </c>
      <c r="W440">
        <f>HYPERLINK("https://klasma.github.io/Logging_0117/artfynd/A 61323-2022 artfynd.xlsx", "A 61323-2022")</f>
        <v/>
      </c>
      <c r="X440">
        <f>HYPERLINK("https://klasma.github.io/Logging_0117/kartor/A 61323-2022 karta.png", "A 61323-2022")</f>
        <v/>
      </c>
      <c r="Y440">
        <f>HYPERLINK("https://klasma.github.io/Logging_0117/kartor_geotiff/A 61323-2022 georefererad karta.tif", "A 61323-2022")</f>
        <v/>
      </c>
      <c r="AA440">
        <f>HYPERLINK("https://klasma.github.io/Logging_0117/klagomål/A 61323-2022 FSC-klagomål.docx", "A 61323-2022")</f>
        <v/>
      </c>
      <c r="AB440">
        <f>HYPERLINK("https://klasma.github.io/Logging_0117/klagomålsmail/A 61323-2022 FSC-klagomål mail.docx", "A 61323-2022")</f>
        <v/>
      </c>
      <c r="AC440">
        <f>HYPERLINK("https://klasma.github.io/Logging_0117/tillsyn/A 61323-2022 tillsynsbegäran.docx", "A 61323-2022")</f>
        <v/>
      </c>
      <c r="AD440">
        <f>HYPERLINK("https://klasma.github.io/Logging_0117/tillsynsmail/A 61323-2022 tillsynsbegäran mail.docx", "A 61323-2022")</f>
        <v/>
      </c>
    </row>
    <row r="441" ht="15" customHeight="1">
      <c r="A441" t="inlineStr">
        <is>
          <t>A 31716-2025</t>
        </is>
      </c>
      <c r="B441" t="inlineStr">
        <is>
          <t>avverkningsanmälan</t>
        </is>
      </c>
      <c r="C441" t="inlineStr">
        <is>
          <t>Föryngringsavverkning</t>
        </is>
      </c>
      <c r="D441" s="1" t="n">
        <v>45834</v>
      </c>
      <c r="E441" s="1" t="n">
        <v>46326</v>
      </c>
      <c r="F441" t="inlineStr">
        <is>
          <t>STOCKHOLMS LÄN</t>
        </is>
      </c>
      <c r="G441" t="inlineStr">
        <is>
          <t>ÖSTERÅKER</t>
        </is>
      </c>
      <c r="I441" t="n">
        <v>2.8</v>
      </c>
      <c r="J441" t="n">
        <v>1</v>
      </c>
      <c r="K441" t="n">
        <v>0</v>
      </c>
      <c r="L441" t="n">
        <v>0</v>
      </c>
      <c r="M441" t="n">
        <v>0</v>
      </c>
      <c r="N441" t="n">
        <v>0</v>
      </c>
      <c r="O441" t="n">
        <v>0</v>
      </c>
      <c r="P441" t="n">
        <v>0</v>
      </c>
      <c r="Q441" t="n">
        <v>0</v>
      </c>
      <c r="R441" t="n">
        <v>0</v>
      </c>
      <c r="S441" t="n">
        <v>1</v>
      </c>
      <c r="T441" t="n">
        <v>1</v>
      </c>
      <c r="U441" t="n">
        <v>0</v>
      </c>
      <c r="V441" s="2" t="inlineStr">
        <is>
          <t>Revlummer</t>
        </is>
      </c>
      <c r="W441">
        <f>HYPERLINK("https://klasma.github.io/Logging_0117/artfynd/A 31716-2025 artfynd.xlsx", "A 31716-2025")</f>
        <v/>
      </c>
      <c r="X441">
        <f>HYPERLINK("https://klasma.github.io/Logging_0117/kartor/A 31716-2025 karta.png", "A 31716-2025")</f>
        <v/>
      </c>
      <c r="Y441">
        <f>HYPERLINK("https://klasma.github.io/Logging_0117/kartor_geotiff/A 31716-2025 georefererad karta.tif", "A 31716-2025")</f>
        <v/>
      </c>
      <c r="AA441">
        <f>HYPERLINK("https://klasma.github.io/Logging_0117/klagomål/A 31716-2025 FSC-klagomål.docx", "A 31716-2025")</f>
        <v/>
      </c>
      <c r="AB441">
        <f>HYPERLINK("https://klasma.github.io/Logging_0117/klagomålsmail/A 31716-2025 FSC-klagomål mail.docx", "A 31716-2025")</f>
        <v/>
      </c>
      <c r="AC441">
        <f>HYPERLINK("https://klasma.github.io/Logging_0117/tillsyn/A 31716-2025 tillsynsbegäran.docx", "A 31716-2025")</f>
        <v/>
      </c>
      <c r="AD441">
        <f>HYPERLINK("https://klasma.github.io/Logging_0117/tillsynsmail/A 31716-2025 tillsynsbegäran mail.docx", "A 31716-2025")</f>
        <v/>
      </c>
    </row>
    <row r="442" ht="15" customHeight="1">
      <c r="A442" t="inlineStr">
        <is>
          <t>A 12363-2025</t>
        </is>
      </c>
      <c r="B442" t="inlineStr">
        <is>
          <t>avverkningsanmälan</t>
        </is>
      </c>
      <c r="C442" t="inlineStr">
        <is>
          <t>Föryngringsavverkning</t>
        </is>
      </c>
      <c r="D442" s="1" t="n">
        <v>45730</v>
      </c>
      <c r="E442" s="1" t="n">
        <v>46326</v>
      </c>
      <c r="F442" t="inlineStr">
        <is>
          <t>STOCKHOLMS LÄN</t>
        </is>
      </c>
      <c r="G442" t="inlineStr">
        <is>
          <t>UPPLANDS-BRO</t>
        </is>
      </c>
      <c r="I442" t="n">
        <v>0.8</v>
      </c>
      <c r="J442" t="n">
        <v>1</v>
      </c>
      <c r="K442" t="n">
        <v>1</v>
      </c>
      <c r="L442" t="n">
        <v>0</v>
      </c>
      <c r="M442" t="n">
        <v>0</v>
      </c>
      <c r="N442" t="n">
        <v>0</v>
      </c>
      <c r="O442" t="n">
        <v>0</v>
      </c>
      <c r="P442" t="n">
        <v>0</v>
      </c>
      <c r="Q442" t="n">
        <v>0</v>
      </c>
      <c r="R442" t="n">
        <v>0</v>
      </c>
      <c r="S442" t="n">
        <v>1</v>
      </c>
      <c r="T442" t="n">
        <v>1</v>
      </c>
      <c r="U442" t="n">
        <v>0</v>
      </c>
      <c r="V442" s="2" t="inlineStr">
        <is>
          <t>Nästrot</t>
        </is>
      </c>
      <c r="W442">
        <f>HYPERLINK("https://klasma.github.io/Logging_0139/artfynd/A 12363-2025 artfynd.xlsx", "A 12363-2025")</f>
        <v/>
      </c>
      <c r="X442">
        <f>HYPERLINK("https://klasma.github.io/Logging_0139/kartor/A 12363-2025 karta.png", "A 12363-2025")</f>
        <v/>
      </c>
      <c r="Y442">
        <f>HYPERLINK("https://klasma.github.io/Logging_0139/kartor_geotiff/A 12363-2025 georefererad karta.tif", "A 12363-2025")</f>
        <v/>
      </c>
      <c r="AA442">
        <f>HYPERLINK("https://klasma.github.io/Logging_0139/klagomål/A 12363-2025 FSC-klagomål.docx", "A 12363-2025")</f>
        <v/>
      </c>
      <c r="AB442">
        <f>HYPERLINK("https://klasma.github.io/Logging_0139/klagomålsmail/A 12363-2025 FSC-klagomål mail.docx", "A 12363-2025")</f>
        <v/>
      </c>
      <c r="AC442">
        <f>HYPERLINK("https://klasma.github.io/Logging_0139/tillsyn/A 12363-2025 tillsynsbegäran.docx", "A 12363-2025")</f>
        <v/>
      </c>
      <c r="AD442">
        <f>HYPERLINK("https://klasma.github.io/Logging_0139/tillsynsmail/A 12363-2025 tillsynsbegäran mail.docx", "A 12363-2025")</f>
        <v/>
      </c>
    </row>
    <row r="443" ht="15" customHeight="1">
      <c r="A443" t="inlineStr">
        <is>
          <t>A 33473-2025</t>
        </is>
      </c>
      <c r="B443" t="inlineStr">
        <is>
          <t>avverkningsanmälan</t>
        </is>
      </c>
      <c r="C443" t="inlineStr">
        <is>
          <t>Avverkning för att bevara och utveckla /försöksver</t>
        </is>
      </c>
      <c r="D443" s="1" t="n">
        <v>45839</v>
      </c>
      <c r="E443" s="1" t="n">
        <v>46326</v>
      </c>
      <c r="F443" t="inlineStr">
        <is>
          <t>STOCKHOLMS LÄN</t>
        </is>
      </c>
      <c r="G443" t="inlineStr">
        <is>
          <t>SALEM</t>
        </is>
      </c>
      <c r="I443" t="n">
        <v>5.7</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HYPERLINK("https://klasma.github.io/Logging_0128/artfynd/A 33473-2025 artfynd.xlsx", "A 33473-2025")</f>
        <v/>
      </c>
      <c r="X443">
        <f>HYPERLINK("https://klasma.github.io/Logging_0128/kartor/A 33473-2025 karta.png", "A 33473-2025")</f>
        <v/>
      </c>
      <c r="Y443">
        <f>HYPERLINK("https://klasma.github.io/Logging_0128/kartor_geotiff/A 33473-2025 georefererad karta.tif", "A 33473-2025")</f>
        <v/>
      </c>
      <c r="AA443">
        <f>HYPERLINK("https://klasma.github.io/Logging_0128/klagomål/A 33473-2025 FSC-klagomål.docx", "A 33473-2025")</f>
        <v/>
      </c>
      <c r="AB443">
        <f>HYPERLINK("https://klasma.github.io/Logging_0128/klagomålsmail/A 33473-2025 FSC-klagomål mail.docx", "A 33473-2025")</f>
        <v/>
      </c>
      <c r="AC443">
        <f>HYPERLINK("https://klasma.github.io/Logging_0128/tillsyn/A 33473-2025 tillsynsbegäran.docx", "A 33473-2025")</f>
        <v/>
      </c>
      <c r="AD443">
        <f>HYPERLINK("https://klasma.github.io/Logging_0128/tillsynsmail/A 33473-2025 tillsynsbegäran mail.docx", "A 33473-2025")</f>
        <v/>
      </c>
    </row>
    <row r="444" ht="15" customHeight="1">
      <c r="A444" t="inlineStr">
        <is>
          <t>A 25754-2023</t>
        </is>
      </c>
      <c r="B444" t="inlineStr">
        <is>
          <t>avverkningsanmälan</t>
        </is>
      </c>
      <c r="C444" t="inlineStr">
        <is>
          <t>Avverkning för annat ändamål</t>
        </is>
      </c>
      <c r="D444" s="1" t="n">
        <v>45084</v>
      </c>
      <c r="E444" s="1" t="n">
        <v>46326</v>
      </c>
      <c r="F444" t="inlineStr">
        <is>
          <t>STOCKHOLMS LÄN</t>
        </is>
      </c>
      <c r="G444" t="inlineStr">
        <is>
          <t>NYKVARN</t>
        </is>
      </c>
      <c r="I444" t="n">
        <v>1.2</v>
      </c>
      <c r="J444" t="n">
        <v>1</v>
      </c>
      <c r="K444" t="n">
        <v>0</v>
      </c>
      <c r="L444" t="n">
        <v>0</v>
      </c>
      <c r="M444" t="n">
        <v>0</v>
      </c>
      <c r="N444" t="n">
        <v>0</v>
      </c>
      <c r="O444" t="n">
        <v>0</v>
      </c>
      <c r="P444" t="n">
        <v>0</v>
      </c>
      <c r="Q444" t="n">
        <v>0</v>
      </c>
      <c r="R444" t="n">
        <v>0</v>
      </c>
      <c r="S444" t="n">
        <v>1</v>
      </c>
      <c r="T444" t="n">
        <v>1</v>
      </c>
      <c r="U444" t="n">
        <v>0</v>
      </c>
      <c r="V444" s="2" t="inlineStr">
        <is>
          <t>Trana</t>
        </is>
      </c>
      <c r="W444">
        <f>HYPERLINK("https://klasma.github.io/Logging_0140/artfynd/A 25754-2023 artfynd.xlsx", "A 25754-2023")</f>
        <v/>
      </c>
      <c r="X444">
        <f>HYPERLINK("https://klasma.github.io/Logging_0140/kartor/A 25754-2023 karta.png", "A 25754-2023")</f>
        <v/>
      </c>
      <c r="Y444">
        <f>HYPERLINK("https://klasma.github.io/Logging_0140/kartor_geotiff/A 25754-2023 georefererad karta.tif", "A 25754-2023")</f>
        <v/>
      </c>
      <c r="AA444">
        <f>HYPERLINK("https://klasma.github.io/Logging_0140/klagomål/A 25754-2023 FSC-klagomål.docx", "A 25754-2023")</f>
        <v/>
      </c>
      <c r="AB444">
        <f>HYPERLINK("https://klasma.github.io/Logging_0140/klagomålsmail/A 25754-2023 FSC-klagomål mail.docx", "A 25754-2023")</f>
        <v/>
      </c>
      <c r="AC444">
        <f>HYPERLINK("https://klasma.github.io/Logging_0140/tillsyn/A 25754-2023 tillsynsbegäran.docx", "A 25754-2023")</f>
        <v/>
      </c>
      <c r="AD444">
        <f>HYPERLINK("https://klasma.github.io/Logging_0140/tillsynsmail/A 25754-2023 tillsynsbegäran mail.docx", "A 25754-2023")</f>
        <v/>
      </c>
      <c r="AE444">
        <f>HYPERLINK("https://klasma.github.io/Logging_0140/fåglar/A 25754-2023 prioriterade fågelarter.docx", "A 25754-2023")</f>
        <v/>
      </c>
    </row>
    <row r="445" ht="15" customHeight="1">
      <c r="A445" t="inlineStr">
        <is>
          <t>A 12348-2025</t>
        </is>
      </c>
      <c r="B445" t="inlineStr">
        <is>
          <t>avverkningsanmälan</t>
        </is>
      </c>
      <c r="C445" t="inlineStr">
        <is>
          <t>Föryngringsavverkning</t>
        </is>
      </c>
      <c r="D445" s="1" t="n">
        <v>45730</v>
      </c>
      <c r="E445" s="1" t="n">
        <v>46326</v>
      </c>
      <c r="F445" t="inlineStr">
        <is>
          <t>STOCKHOLMS LÄN</t>
        </is>
      </c>
      <c r="G445" t="inlineStr">
        <is>
          <t>NORRTÄLJE</t>
        </is>
      </c>
      <c r="I445" t="n">
        <v>1.5</v>
      </c>
      <c r="J445" t="n">
        <v>0</v>
      </c>
      <c r="K445" t="n">
        <v>0</v>
      </c>
      <c r="L445" t="n">
        <v>0</v>
      </c>
      <c r="M445" t="n">
        <v>1</v>
      </c>
      <c r="N445" t="n">
        <v>0</v>
      </c>
      <c r="O445" t="n">
        <v>0</v>
      </c>
      <c r="P445" t="n">
        <v>0</v>
      </c>
      <c r="Q445" t="n">
        <v>1</v>
      </c>
      <c r="R445" t="n">
        <v>1</v>
      </c>
      <c r="S445" t="n">
        <v>1</v>
      </c>
      <c r="T445" t="n">
        <v>1</v>
      </c>
      <c r="U445" t="n">
        <v>0</v>
      </c>
      <c r="V445" s="2" t="inlineStr">
        <is>
          <t>Plattsäv</t>
        </is>
      </c>
      <c r="W445">
        <f>HYPERLINK("https://klasma.github.io/Logging_0188/artfynd/A 12348-2025 artfynd.xlsx", "A 12348-2025")</f>
        <v/>
      </c>
      <c r="X445">
        <f>HYPERLINK("https://klasma.github.io/Logging_0188/kartor/A 12348-2025 karta.png", "A 12348-2025")</f>
        <v/>
      </c>
      <c r="Y445">
        <f>HYPERLINK("https://klasma.github.io/Logging_0188/kartor_geotiff/A 12348-2025 georefererad karta.tif", "A 12348-2025")</f>
        <v/>
      </c>
      <c r="AA445">
        <f>HYPERLINK("https://klasma.github.io/Logging_0188/klagomål/A 12348-2025 FSC-klagomål.docx", "A 12348-2025")</f>
        <v/>
      </c>
      <c r="AB445">
        <f>HYPERLINK("https://klasma.github.io/Logging_0188/klagomålsmail/A 12348-2025 FSC-klagomål mail.docx", "A 12348-2025")</f>
        <v/>
      </c>
      <c r="AC445">
        <f>HYPERLINK("https://klasma.github.io/Logging_0188/tillsyn/A 12348-2025 tillsynsbegäran.docx", "A 12348-2025")</f>
        <v/>
      </c>
      <c r="AD445">
        <f>HYPERLINK("https://klasma.github.io/Logging_0188/tillsynsmail/A 12348-2025 tillsynsbegäran mail.docx", "A 12348-2025")</f>
        <v/>
      </c>
    </row>
    <row r="446" ht="15" customHeight="1">
      <c r="A446" t="inlineStr">
        <is>
          <t>A 35451-2025</t>
        </is>
      </c>
      <c r="B446" t="inlineStr">
        <is>
          <t>avverkningsanmälan</t>
        </is>
      </c>
      <c r="C446" t="inlineStr">
        <is>
          <t>Föryngringsavverkning</t>
        </is>
      </c>
      <c r="D446" s="1" t="n">
        <v>45855</v>
      </c>
      <c r="E446" s="1" t="n">
        <v>46326</v>
      </c>
      <c r="F446" t="inlineStr">
        <is>
          <t>STOCKHOLMS LÄN</t>
        </is>
      </c>
      <c r="G446" t="inlineStr">
        <is>
          <t>NORRTÄLJE</t>
        </is>
      </c>
      <c r="H446" t="inlineStr">
        <is>
          <t>Holmen skog AB</t>
        </is>
      </c>
      <c r="I446" t="n">
        <v>7.4</v>
      </c>
      <c r="J446" t="n">
        <v>1</v>
      </c>
      <c r="K446" t="n">
        <v>0</v>
      </c>
      <c r="L446" t="n">
        <v>0</v>
      </c>
      <c r="M446" t="n">
        <v>1</v>
      </c>
      <c r="N446" t="n">
        <v>0</v>
      </c>
      <c r="O446" t="n">
        <v>0</v>
      </c>
      <c r="P446" t="n">
        <v>0</v>
      </c>
      <c r="Q446" t="n">
        <v>1</v>
      </c>
      <c r="R446" t="n">
        <v>1</v>
      </c>
      <c r="S446" t="n">
        <v>1</v>
      </c>
      <c r="T446" t="n">
        <v>2</v>
      </c>
      <c r="U446" t="n">
        <v>0</v>
      </c>
      <c r="V446" s="2" t="inlineStr">
        <is>
          <t>Hällebräcka</t>
        </is>
      </c>
      <c r="W446">
        <f>HYPERLINK("https://klasma.github.io/Logging_0188/artfynd/A 35451-2025 artfynd.xlsx", "A 35451-2025")</f>
        <v/>
      </c>
      <c r="X446">
        <f>HYPERLINK("https://klasma.github.io/Logging_0188/kartor/A 35451-2025 karta.png", "A 35451-2025")</f>
        <v/>
      </c>
      <c r="Y446">
        <f>HYPERLINK("https://klasma.github.io/Logging_0188/kartor_geotiff/A 35451-2025 georefererad karta.tif", "A 35451-2025")</f>
        <v/>
      </c>
      <c r="AA446">
        <f>HYPERLINK("https://klasma.github.io/Logging_0188/klagomål/A 35451-2025 FSC-klagomål.docx", "A 35451-2025")</f>
        <v/>
      </c>
      <c r="AB446">
        <f>HYPERLINK("https://klasma.github.io/Logging_0188/klagomålsmail/A 35451-2025 FSC-klagomål mail.docx", "A 35451-2025")</f>
        <v/>
      </c>
      <c r="AC446">
        <f>HYPERLINK("https://klasma.github.io/Logging_0188/tillsyn/A 35451-2025 tillsynsbegäran.docx", "A 35451-2025")</f>
        <v/>
      </c>
      <c r="AD446">
        <f>HYPERLINK("https://klasma.github.io/Logging_0188/tillsynsmail/A 35451-2025 tillsynsbegäran mail.docx", "A 35451-2025")</f>
        <v/>
      </c>
    </row>
    <row r="447" ht="15" customHeight="1">
      <c r="A447" t="inlineStr">
        <is>
          <t>A 36502-2025</t>
        </is>
      </c>
      <c r="B447" t="inlineStr">
        <is>
          <t>avverkningsanmälan</t>
        </is>
      </c>
      <c r="C447" t="inlineStr">
        <is>
          <t>Föryngringsavverkning</t>
        </is>
      </c>
      <c r="D447" s="1" t="n">
        <v>45869</v>
      </c>
      <c r="E447" s="1" t="n">
        <v>46326</v>
      </c>
      <c r="F447" t="inlineStr">
        <is>
          <t>STOCKHOLMS LÄN</t>
        </is>
      </c>
      <c r="G447" t="inlineStr">
        <is>
          <t>SÖDERTÄLJE</t>
        </is>
      </c>
      <c r="H447" t="inlineStr">
        <is>
          <t>Sveaskog</t>
        </is>
      </c>
      <c r="I447" t="n">
        <v>3.3</v>
      </c>
      <c r="J447" t="n">
        <v>1</v>
      </c>
      <c r="K447" t="n">
        <v>0</v>
      </c>
      <c r="L447" t="n">
        <v>0</v>
      </c>
      <c r="M447" t="n">
        <v>0</v>
      </c>
      <c r="N447" t="n">
        <v>0</v>
      </c>
      <c r="O447" t="n">
        <v>0</v>
      </c>
      <c r="P447" t="n">
        <v>0</v>
      </c>
      <c r="Q447" t="n">
        <v>0</v>
      </c>
      <c r="R447" t="n">
        <v>0</v>
      </c>
      <c r="S447" t="n">
        <v>1</v>
      </c>
      <c r="T447" t="n">
        <v>2</v>
      </c>
      <c r="U447" t="n">
        <v>2</v>
      </c>
      <c r="V447" s="2" t="inlineStr">
        <is>
          <t>Tjäder</t>
        </is>
      </c>
      <c r="W447">
        <f>HYPERLINK("https://klasma.github.io/Logging_0181/artfynd/A 36502-2025 artfynd.xlsx", "A 36502-2025")</f>
        <v/>
      </c>
      <c r="X447">
        <f>HYPERLINK("https://klasma.github.io/Logging_0181/kartor/A 36502-2025 karta.png", "A 36502-2025")</f>
        <v/>
      </c>
      <c r="Y447">
        <f>HYPERLINK("https://klasma.github.io/Logging_0181/kartor_geotiff/A 36502-2025 georefererad karta.tif", "A 36502-2025")</f>
        <v/>
      </c>
      <c r="AA447">
        <f>HYPERLINK("https://klasma.github.io/Logging_0181/klagomål/A 36502-2025 FSC-klagomål.docx", "A 36502-2025")</f>
        <v/>
      </c>
      <c r="AB447">
        <f>HYPERLINK("https://klasma.github.io/Logging_0181/klagomålsmail/A 36502-2025 FSC-klagomål mail.docx", "A 36502-2025")</f>
        <v/>
      </c>
      <c r="AC447">
        <f>HYPERLINK("https://klasma.github.io/Logging_0181/tillsyn/A 36502-2025 tillsynsbegäran.docx", "A 36502-2025")</f>
        <v/>
      </c>
      <c r="AD447">
        <f>HYPERLINK("https://klasma.github.io/Logging_0181/tillsynsmail/A 36502-2025 tillsynsbegäran mail.docx", "A 36502-2025")</f>
        <v/>
      </c>
      <c r="AE447">
        <f>HYPERLINK("https://klasma.github.io/Logging_0181/fåglar/A 36502-2025 prioriterade fågelarter.docx", "A 36502-2025")</f>
        <v/>
      </c>
    </row>
    <row r="448" ht="15" customHeight="1">
      <c r="A448" t="inlineStr">
        <is>
          <t>A 36505-2025</t>
        </is>
      </c>
      <c r="B448" t="inlineStr">
        <is>
          <t>avverkningsanmälan</t>
        </is>
      </c>
      <c r="C448" t="inlineStr">
        <is>
          <t>Föryngringsavverkning</t>
        </is>
      </c>
      <c r="D448" s="1" t="n">
        <v>45869</v>
      </c>
      <c r="E448" s="1" t="n">
        <v>46326</v>
      </c>
      <c r="F448" t="inlineStr">
        <is>
          <t>STOCKHOLMS LÄN</t>
        </is>
      </c>
      <c r="G448" t="inlineStr">
        <is>
          <t>SÖDERTÄLJE</t>
        </is>
      </c>
      <c r="H448" t="inlineStr">
        <is>
          <t>Sveaskog</t>
        </is>
      </c>
      <c r="I448" t="n">
        <v>1.7</v>
      </c>
      <c r="J448" t="n">
        <v>1</v>
      </c>
      <c r="K448" t="n">
        <v>0</v>
      </c>
      <c r="L448" t="n">
        <v>0</v>
      </c>
      <c r="M448" t="n">
        <v>0</v>
      </c>
      <c r="N448" t="n">
        <v>0</v>
      </c>
      <c r="O448" t="n">
        <v>0</v>
      </c>
      <c r="P448" t="n">
        <v>0</v>
      </c>
      <c r="Q448" t="n">
        <v>0</v>
      </c>
      <c r="R448" t="n">
        <v>0</v>
      </c>
      <c r="S448" t="n">
        <v>1</v>
      </c>
      <c r="T448" t="n">
        <v>1</v>
      </c>
      <c r="U448" t="n">
        <v>1</v>
      </c>
      <c r="V448" s="2" t="inlineStr">
        <is>
          <t>Mattlummer</t>
        </is>
      </c>
      <c r="W448">
        <f>HYPERLINK("https://klasma.github.io/Logging_0181/artfynd/A 36505-2025 artfynd.xlsx", "A 36505-2025")</f>
        <v/>
      </c>
      <c r="X448">
        <f>HYPERLINK("https://klasma.github.io/Logging_0181/kartor/A 36505-2025 karta.png", "A 36505-2025")</f>
        <v/>
      </c>
      <c r="Y448">
        <f>HYPERLINK("https://klasma.github.io/Logging_0181/kartor_geotiff/A 36505-2025 georefererad karta.tif", "A 36505-2025")</f>
        <v/>
      </c>
      <c r="AA448">
        <f>HYPERLINK("https://klasma.github.io/Logging_0181/klagomål/A 36505-2025 FSC-klagomål.docx", "A 36505-2025")</f>
        <v/>
      </c>
      <c r="AB448">
        <f>HYPERLINK("https://klasma.github.io/Logging_0181/klagomålsmail/A 36505-2025 FSC-klagomål mail.docx", "A 36505-2025")</f>
        <v/>
      </c>
      <c r="AC448">
        <f>HYPERLINK("https://klasma.github.io/Logging_0181/tillsyn/A 36505-2025 tillsynsbegäran.docx", "A 36505-2025")</f>
        <v/>
      </c>
      <c r="AD448">
        <f>HYPERLINK("https://klasma.github.io/Logging_0181/tillsynsmail/A 36505-2025 tillsynsbegäran mail.docx", "A 36505-2025")</f>
        <v/>
      </c>
    </row>
    <row r="449" ht="15" customHeight="1">
      <c r="A449" t="inlineStr">
        <is>
          <t>A 24262-2023</t>
        </is>
      </c>
      <c r="B449" t="inlineStr">
        <is>
          <t>avverkningsanmälan</t>
        </is>
      </c>
      <c r="C449" t="inlineStr">
        <is>
          <t>Föryngringsavverkning</t>
        </is>
      </c>
      <c r="D449" s="1" t="n">
        <v>45076</v>
      </c>
      <c r="E449" s="1" t="n">
        <v>46326</v>
      </c>
      <c r="F449" t="inlineStr">
        <is>
          <t>STOCKHOLMS LÄN</t>
        </is>
      </c>
      <c r="G449" t="inlineStr">
        <is>
          <t>HUDDINGE</t>
        </is>
      </c>
      <c r="I449" t="n">
        <v>2.5</v>
      </c>
      <c r="J449" t="n">
        <v>0</v>
      </c>
      <c r="K449" t="n">
        <v>1</v>
      </c>
      <c r="L449" t="n">
        <v>0</v>
      </c>
      <c r="M449" t="n">
        <v>0</v>
      </c>
      <c r="N449" t="n">
        <v>0</v>
      </c>
      <c r="O449" t="n">
        <v>0</v>
      </c>
      <c r="P449" t="n">
        <v>0</v>
      </c>
      <c r="Q449" t="n">
        <v>0</v>
      </c>
      <c r="R449" t="n">
        <v>0</v>
      </c>
      <c r="S449" t="n">
        <v>1</v>
      </c>
      <c r="T449" t="n">
        <v>1</v>
      </c>
      <c r="U449" t="n">
        <v>1</v>
      </c>
      <c r="V449" s="2" t="inlineStr">
        <is>
          <t>Tibast</t>
        </is>
      </c>
      <c r="W449">
        <f>HYPERLINK("https://klasma.github.io/Logging_0126/artfynd/A 24262-2023 artfynd.xlsx", "A 24262-2023")</f>
        <v/>
      </c>
      <c r="X449">
        <f>HYPERLINK("https://klasma.github.io/Logging_0126/kartor/A 24262-2023 karta.png", "A 24262-2023")</f>
        <v/>
      </c>
      <c r="Y449">
        <f>HYPERLINK("https://klasma.github.io/Logging_0126/kartor_geotiff/A 24262-2023 georefererad karta.tif", "A 24262-2023")</f>
        <v/>
      </c>
      <c r="AA449">
        <f>HYPERLINK("https://klasma.github.io/Logging_0126/klagomål/A 24262-2023 FSC-klagomål.docx", "A 24262-2023")</f>
        <v/>
      </c>
      <c r="AB449">
        <f>HYPERLINK("https://klasma.github.io/Logging_0126/klagomålsmail/A 24262-2023 FSC-klagomål mail.docx", "A 24262-2023")</f>
        <v/>
      </c>
      <c r="AC449">
        <f>HYPERLINK("https://klasma.github.io/Logging_0126/tillsyn/A 24262-2023 tillsynsbegäran.docx", "A 24262-2023")</f>
        <v/>
      </c>
      <c r="AD449">
        <f>HYPERLINK("https://klasma.github.io/Logging_0126/tillsynsmail/A 24262-2023 tillsynsbegäran mail.docx", "A 24262-2023")</f>
        <v/>
      </c>
    </row>
    <row r="450" ht="15" customHeight="1">
      <c r="A450" t="inlineStr">
        <is>
          <t>A 32044-2023</t>
        </is>
      </c>
      <c r="B450" t="inlineStr">
        <is>
          <t>avverkningsanmälan</t>
        </is>
      </c>
      <c r="C450" t="inlineStr">
        <is>
          <t>Föryngringsavverkning</t>
        </is>
      </c>
      <c r="D450" s="1" t="n">
        <v>45119</v>
      </c>
      <c r="E450" s="1" t="n">
        <v>46326</v>
      </c>
      <c r="F450" t="inlineStr">
        <is>
          <t>STOCKHOLMS LÄN</t>
        </is>
      </c>
      <c r="G450" t="inlineStr">
        <is>
          <t>SÖDERTÄLJE</t>
        </is>
      </c>
      <c r="H450" t="inlineStr">
        <is>
          <t>Sveaskog</t>
        </is>
      </c>
      <c r="I450" t="n">
        <v>1.1</v>
      </c>
      <c r="J450" t="n">
        <v>0</v>
      </c>
      <c r="K450" t="n">
        <v>0</v>
      </c>
      <c r="L450" t="n">
        <v>1</v>
      </c>
      <c r="M450" t="n">
        <v>0</v>
      </c>
      <c r="N450" t="n">
        <v>0</v>
      </c>
      <c r="O450" t="n">
        <v>0</v>
      </c>
      <c r="P450" t="n">
        <v>0</v>
      </c>
      <c r="Q450" t="n">
        <v>1</v>
      </c>
      <c r="R450" t="n">
        <v>0</v>
      </c>
      <c r="S450" t="n">
        <v>1</v>
      </c>
      <c r="T450" t="n">
        <v>2</v>
      </c>
      <c r="U450" t="n">
        <v>0</v>
      </c>
      <c r="V450" s="2" t="inlineStr">
        <is>
          <t>Slåtterfibbla</t>
        </is>
      </c>
      <c r="W450">
        <f>HYPERLINK("https://klasma.github.io/Logging_0181/artfynd/A 32044-2023 artfynd.xlsx", "A 32044-2023")</f>
        <v/>
      </c>
      <c r="X450">
        <f>HYPERLINK("https://klasma.github.io/Logging_0181/kartor/A 32044-2023 karta.png", "A 32044-2023")</f>
        <v/>
      </c>
      <c r="Y450">
        <f>HYPERLINK("https://klasma.github.io/Logging_0181/kartor_geotiff/A 32044-2023 georefererad karta.tif", "A 32044-2023")</f>
        <v/>
      </c>
      <c r="AA450">
        <f>HYPERLINK("https://klasma.github.io/Logging_0181/klagomål/A 32044-2023 FSC-klagomål.docx", "A 32044-2023")</f>
        <v/>
      </c>
      <c r="AB450">
        <f>HYPERLINK("https://klasma.github.io/Logging_0181/klagomålsmail/A 32044-2023 FSC-klagomål mail.docx", "A 32044-2023")</f>
        <v/>
      </c>
      <c r="AC450">
        <f>HYPERLINK("https://klasma.github.io/Logging_0181/tillsyn/A 32044-2023 tillsynsbegäran.docx", "A 32044-2023")</f>
        <v/>
      </c>
      <c r="AD450">
        <f>HYPERLINK("https://klasma.github.io/Logging_0181/tillsynsmail/A 32044-2023 tillsynsbegäran mail.docx", "A 32044-2023")</f>
        <v/>
      </c>
    </row>
    <row r="451" ht="15" customHeight="1">
      <c r="A451" t="inlineStr">
        <is>
          <t>A 32074-2023</t>
        </is>
      </c>
      <c r="B451" t="inlineStr">
        <is>
          <t>avverkningsanmälan</t>
        </is>
      </c>
      <c r="C451" t="inlineStr">
        <is>
          <t>Föryngringsavverkning</t>
        </is>
      </c>
      <c r="D451" s="1" t="n">
        <v>45119</v>
      </c>
      <c r="E451" s="1" t="n">
        <v>46326</v>
      </c>
      <c r="F451" t="inlineStr">
        <is>
          <t>STOCKHOLMS LÄN</t>
        </is>
      </c>
      <c r="G451" t="inlineStr">
        <is>
          <t>NYNÄSHAMN</t>
        </is>
      </c>
      <c r="H451" t="inlineStr">
        <is>
          <t>Kommuner</t>
        </is>
      </c>
      <c r="I451" t="n">
        <v>13.1</v>
      </c>
      <c r="J451" t="n">
        <v>0</v>
      </c>
      <c r="K451" t="n">
        <v>0</v>
      </c>
      <c r="L451" t="n">
        <v>1</v>
      </c>
      <c r="M451" t="n">
        <v>0</v>
      </c>
      <c r="N451" t="n">
        <v>0</v>
      </c>
      <c r="O451" t="n">
        <v>0</v>
      </c>
      <c r="P451" t="n">
        <v>0</v>
      </c>
      <c r="Q451" t="n">
        <v>1</v>
      </c>
      <c r="R451" t="n">
        <v>0</v>
      </c>
      <c r="S451" t="n">
        <v>1</v>
      </c>
      <c r="T451" t="n">
        <v>1</v>
      </c>
      <c r="U451" t="n">
        <v>1</v>
      </c>
      <c r="V451" s="2" t="inlineStr">
        <is>
          <t>Grå kantarell</t>
        </is>
      </c>
      <c r="W451">
        <f>HYPERLINK("https://klasma.github.io/Logging_0192/artfynd/A 32074-2023 artfynd.xlsx", "A 32074-2023")</f>
        <v/>
      </c>
      <c r="X451">
        <f>HYPERLINK("https://klasma.github.io/Logging_0192/kartor/A 32074-2023 karta.png", "A 32074-2023")</f>
        <v/>
      </c>
      <c r="Y451">
        <f>HYPERLINK("https://klasma.github.io/Logging_0192/kartor_geotiff/A 32074-2023 georefererad karta.tif", "A 32074-2023")</f>
        <v/>
      </c>
      <c r="AA451">
        <f>HYPERLINK("https://klasma.github.io/Logging_0192/klagomål/A 32074-2023 FSC-klagomål.docx", "A 32074-2023")</f>
        <v/>
      </c>
      <c r="AB451">
        <f>HYPERLINK("https://klasma.github.io/Logging_0192/klagomålsmail/A 32074-2023 FSC-klagomål mail.docx", "A 32074-2023")</f>
        <v/>
      </c>
      <c r="AC451">
        <f>HYPERLINK("https://klasma.github.io/Logging_0192/tillsyn/A 32074-2023 tillsynsbegäran.docx", "A 32074-2023")</f>
        <v/>
      </c>
      <c r="AD451">
        <f>HYPERLINK("https://klasma.github.io/Logging_0192/tillsynsmail/A 32074-2023 tillsynsbegäran mail.docx", "A 32074-2023")</f>
        <v/>
      </c>
    </row>
    <row r="452" ht="15" customHeight="1">
      <c r="A452" t="inlineStr">
        <is>
          <t>A 64456-2023</t>
        </is>
      </c>
      <c r="B452" t="inlineStr">
        <is>
          <t>avverkningsanmälan</t>
        </is>
      </c>
      <c r="C452" t="inlineStr">
        <is>
          <t>Avverkning för att bevara och utveckla /försöksver</t>
        </is>
      </c>
      <c r="D452" s="1" t="n">
        <v>45280</v>
      </c>
      <c r="E452" s="1" t="n">
        <v>46326</v>
      </c>
      <c r="F452" t="inlineStr">
        <is>
          <t>STOCKHOLMS LÄN</t>
        </is>
      </c>
      <c r="G452" t="inlineStr">
        <is>
          <t>NORRTÄLJE</t>
        </is>
      </c>
      <c r="I452" t="n">
        <v>2.5</v>
      </c>
      <c r="J452" t="n">
        <v>0</v>
      </c>
      <c r="K452" t="n">
        <v>1</v>
      </c>
      <c r="L452" t="n">
        <v>0</v>
      </c>
      <c r="M452" t="n">
        <v>0</v>
      </c>
      <c r="N452" t="n">
        <v>0</v>
      </c>
      <c r="O452" t="n">
        <v>0</v>
      </c>
      <c r="P452" t="n">
        <v>0</v>
      </c>
      <c r="Q452" t="n">
        <v>0</v>
      </c>
      <c r="R452" t="n">
        <v>0</v>
      </c>
      <c r="S452" t="n">
        <v>1</v>
      </c>
      <c r="T452" t="n">
        <v>1</v>
      </c>
      <c r="U452" t="n">
        <v>0</v>
      </c>
      <c r="V452" s="2" t="inlineStr">
        <is>
          <t>Rödgul trumpetsvamp</t>
        </is>
      </c>
      <c r="W452">
        <f>HYPERLINK("https://klasma.github.io/Logging_0188/artfynd/A 64456-2023 artfynd.xlsx", "A 64456-2023")</f>
        <v/>
      </c>
      <c r="X452">
        <f>HYPERLINK("https://klasma.github.io/Logging_0188/kartor/A 64456-2023 karta.png", "A 64456-2023")</f>
        <v/>
      </c>
      <c r="Y452">
        <f>HYPERLINK("https://klasma.github.io/Logging_0188/kartor_geotiff/A 64456-2023 georefererad karta.tif", "A 64456-2023")</f>
        <v/>
      </c>
      <c r="AA452">
        <f>HYPERLINK("https://klasma.github.io/Logging_0188/klagomål/A 64456-2023 FSC-klagomål.docx", "A 64456-2023")</f>
        <v/>
      </c>
      <c r="AB452">
        <f>HYPERLINK("https://klasma.github.io/Logging_0188/klagomålsmail/A 64456-2023 FSC-klagomål mail.docx", "A 64456-2023")</f>
        <v/>
      </c>
      <c r="AC452">
        <f>HYPERLINK("https://klasma.github.io/Logging_0188/tillsyn/A 64456-2023 tillsynsbegäran.docx", "A 64456-2023")</f>
        <v/>
      </c>
      <c r="AD452">
        <f>HYPERLINK("https://klasma.github.io/Logging_0188/tillsynsmail/A 64456-2023 tillsynsbegäran mail.docx", "A 64456-2023")</f>
        <v/>
      </c>
    </row>
    <row r="453" ht="15" customHeight="1">
      <c r="A453" t="inlineStr">
        <is>
          <t>A 9017-2023</t>
        </is>
      </c>
      <c r="B453" t="inlineStr">
        <is>
          <t>avverkningsanmälan</t>
        </is>
      </c>
      <c r="C453" t="inlineStr">
        <is>
          <t>Avverkning för att bevara och utveckla /försöksver</t>
        </is>
      </c>
      <c r="D453" s="1" t="n">
        <v>44979</v>
      </c>
      <c r="E453" s="1" t="n">
        <v>46326</v>
      </c>
      <c r="F453" t="inlineStr">
        <is>
          <t>STOCKHOLMS LÄN</t>
        </is>
      </c>
      <c r="G453" t="inlineStr">
        <is>
          <t>NYNÄSHAMN</t>
        </is>
      </c>
      <c r="H453" t="inlineStr">
        <is>
          <t>Kommuner</t>
        </is>
      </c>
      <c r="I453" t="n">
        <v>2.7</v>
      </c>
      <c r="J453" t="n">
        <v>1</v>
      </c>
      <c r="K453" t="n">
        <v>0</v>
      </c>
      <c r="L453" t="n">
        <v>0</v>
      </c>
      <c r="M453" t="n">
        <v>1</v>
      </c>
      <c r="N453" t="n">
        <v>0</v>
      </c>
      <c r="O453" t="n">
        <v>0</v>
      </c>
      <c r="P453" t="n">
        <v>0</v>
      </c>
      <c r="Q453" t="n">
        <v>1</v>
      </c>
      <c r="R453" t="n">
        <v>1</v>
      </c>
      <c r="S453" t="n">
        <v>1</v>
      </c>
      <c r="T453" t="n">
        <v>1</v>
      </c>
      <c r="U453" t="n">
        <v>1</v>
      </c>
      <c r="V453" s="2" t="inlineStr">
        <is>
          <t>Tofsvipa</t>
        </is>
      </c>
      <c r="W453">
        <f>HYPERLINK("https://klasma.github.io/Logging_0192/artfynd/A 9017-2023 artfynd.xlsx", "A 9017-2023")</f>
        <v/>
      </c>
      <c r="X453">
        <f>HYPERLINK("https://klasma.github.io/Logging_0192/kartor/A 9017-2023 karta.png", "A 9017-2023")</f>
        <v/>
      </c>
      <c r="Y453">
        <f>HYPERLINK("https://klasma.github.io/Logging_0192/kartor_geotiff/A 9017-2023 georefererad karta.tif", "A 9017-2023")</f>
        <v/>
      </c>
      <c r="AA453">
        <f>HYPERLINK("https://klasma.github.io/Logging_0192/klagomål/A 9017-2023 FSC-klagomål.docx", "A 9017-2023")</f>
        <v/>
      </c>
      <c r="AB453">
        <f>HYPERLINK("https://klasma.github.io/Logging_0192/klagomålsmail/A 9017-2023 FSC-klagomål mail.docx", "A 9017-2023")</f>
        <v/>
      </c>
      <c r="AC453">
        <f>HYPERLINK("https://klasma.github.io/Logging_0192/tillsyn/A 9017-2023 tillsynsbegäran.docx", "A 9017-2023")</f>
        <v/>
      </c>
      <c r="AD453">
        <f>HYPERLINK("https://klasma.github.io/Logging_0192/tillsynsmail/A 9017-2023 tillsynsbegäran mail.docx", "A 9017-2023")</f>
        <v/>
      </c>
    </row>
    <row r="454" ht="15" customHeight="1">
      <c r="A454" t="inlineStr">
        <is>
          <t>A 8371-2025</t>
        </is>
      </c>
      <c r="B454" t="inlineStr">
        <is>
          <t>avverkningsanmälan</t>
        </is>
      </c>
      <c r="C454" t="inlineStr">
        <is>
          <t>Föryngringsavverkning</t>
        </is>
      </c>
      <c r="D454" s="1" t="n">
        <v>45708</v>
      </c>
      <c r="E454" s="1" t="n">
        <v>46326</v>
      </c>
      <c r="F454" t="inlineStr">
        <is>
          <t>STOCKHOLMS LÄN</t>
        </is>
      </c>
      <c r="G454" t="inlineStr">
        <is>
          <t>NORRTÄLJE</t>
        </is>
      </c>
      <c r="H454" t="inlineStr">
        <is>
          <t>Övriga Aktiebolag</t>
        </is>
      </c>
      <c r="I454" t="n">
        <v>2.9</v>
      </c>
      <c r="J454" t="n">
        <v>1</v>
      </c>
      <c r="K454" t="n">
        <v>0</v>
      </c>
      <c r="L454" t="n">
        <v>0</v>
      </c>
      <c r="M454" t="n">
        <v>0</v>
      </c>
      <c r="N454" t="n">
        <v>0</v>
      </c>
      <c r="O454" t="n">
        <v>0</v>
      </c>
      <c r="P454" t="n">
        <v>0</v>
      </c>
      <c r="Q454" t="n">
        <v>0</v>
      </c>
      <c r="R454" t="n">
        <v>0</v>
      </c>
      <c r="S454" t="n">
        <v>1</v>
      </c>
      <c r="T454" t="n">
        <v>1</v>
      </c>
      <c r="U454" t="n">
        <v>0</v>
      </c>
      <c r="V454" s="2" t="inlineStr">
        <is>
          <t>Spillkråka</t>
        </is>
      </c>
      <c r="W454">
        <f>HYPERLINK("https://klasma.github.io/Logging_0188/artfynd/A 8371-2025 artfynd.xlsx", "A 8371-2025")</f>
        <v/>
      </c>
      <c r="X454">
        <f>HYPERLINK("https://klasma.github.io/Logging_0188/kartor/A 8371-2025 karta.png", "A 8371-2025")</f>
        <v/>
      </c>
      <c r="Y454">
        <f>HYPERLINK("https://klasma.github.io/Logging_0188/kartor_geotiff/A 8371-2025 georefererad karta.tif", "A 8371-2025")</f>
        <v/>
      </c>
      <c r="AA454">
        <f>HYPERLINK("https://klasma.github.io/Logging_0188/klagomål/A 8371-2025 FSC-klagomål.docx", "A 8371-2025")</f>
        <v/>
      </c>
      <c r="AB454">
        <f>HYPERLINK("https://klasma.github.io/Logging_0188/klagomålsmail/A 8371-2025 FSC-klagomål mail.docx", "A 8371-2025")</f>
        <v/>
      </c>
      <c r="AC454">
        <f>HYPERLINK("https://klasma.github.io/Logging_0188/tillsyn/A 8371-2025 tillsynsbegäran.docx", "A 8371-2025")</f>
        <v/>
      </c>
      <c r="AD454">
        <f>HYPERLINK("https://klasma.github.io/Logging_0188/tillsynsmail/A 8371-2025 tillsynsbegäran mail.docx", "A 8371-2025")</f>
        <v/>
      </c>
      <c r="AE454">
        <f>HYPERLINK("https://klasma.github.io/Logging_0188/fåglar/A 8371-2025 prioriterade fågelarter.docx", "A 8371-2025")</f>
        <v/>
      </c>
    </row>
    <row r="455" ht="15" customHeight="1">
      <c r="A455" t="inlineStr">
        <is>
          <t>A 6893-2026</t>
        </is>
      </c>
      <c r="B455" t="inlineStr">
        <is>
          <t>avverkningsanmälan</t>
        </is>
      </c>
      <c r="C455" t="inlineStr">
        <is>
          <t>Föryngringsavverkning</t>
        </is>
      </c>
      <c r="D455" s="1" t="n">
        <v>46057</v>
      </c>
      <c r="E455" s="1" t="n">
        <v>46326</v>
      </c>
      <c r="F455" t="inlineStr">
        <is>
          <t>STOCKHOLMS LÄN</t>
        </is>
      </c>
      <c r="G455" t="inlineStr">
        <is>
          <t>SIGTUNA</t>
        </is>
      </c>
      <c r="I455" t="n">
        <v>3</v>
      </c>
      <c r="J455" t="n">
        <v>0</v>
      </c>
      <c r="K455" t="n">
        <v>0</v>
      </c>
      <c r="L455" t="n">
        <v>1</v>
      </c>
      <c r="M455" t="n">
        <v>0</v>
      </c>
      <c r="N455" t="n">
        <v>0</v>
      </c>
      <c r="O455" t="n">
        <v>0</v>
      </c>
      <c r="P455" t="n">
        <v>0</v>
      </c>
      <c r="Q455" t="n">
        <v>1</v>
      </c>
      <c r="R455" t="n">
        <v>0</v>
      </c>
      <c r="S455" t="n">
        <v>1</v>
      </c>
      <c r="T455" t="n">
        <v>1</v>
      </c>
      <c r="U455" t="n">
        <v>0</v>
      </c>
      <c r="V455" s="2" t="inlineStr">
        <is>
          <t>Gullklöver</t>
        </is>
      </c>
      <c r="W455">
        <f>HYPERLINK("https://klasma.github.io/Logging_0191/artfynd/A 6893-2026 artfynd.xlsx", "A 6893-2026")</f>
        <v/>
      </c>
      <c r="X455">
        <f>HYPERLINK("https://klasma.github.io/Logging_0191/kartor/A 6893-2026 karta.png", "A 6893-2026")</f>
        <v/>
      </c>
      <c r="Y455">
        <f>HYPERLINK("https://klasma.github.io/Logging_0191/kartor_geotiff/A 6893-2026 georefererad karta.tif", "A 6893-2026")</f>
        <v/>
      </c>
      <c r="AA455">
        <f>HYPERLINK("https://klasma.github.io/Logging_0191/klagomål/A 6893-2026 FSC-klagomål.docx", "A 6893-2026")</f>
        <v/>
      </c>
      <c r="AB455">
        <f>HYPERLINK("https://klasma.github.io/Logging_0191/klagomålsmail/A 6893-2026 FSC-klagomål mail.docx", "A 6893-2026")</f>
        <v/>
      </c>
      <c r="AC455">
        <f>HYPERLINK("https://klasma.github.io/Logging_0191/tillsyn/A 6893-2026 tillsynsbegäran.docx", "A 6893-2026")</f>
        <v/>
      </c>
      <c r="AD455">
        <f>HYPERLINK("https://klasma.github.io/Logging_0191/tillsynsmail/A 6893-2026 tillsynsbegäran mail.docx", "A 6893-2026")</f>
        <v/>
      </c>
    </row>
    <row r="456" ht="15" customHeight="1">
      <c r="A456" t="inlineStr">
        <is>
          <t>A 7890-2023</t>
        </is>
      </c>
      <c r="B456" t="inlineStr">
        <is>
          <t>avverkningsanmälan</t>
        </is>
      </c>
      <c r="C456" t="inlineStr">
        <is>
          <t>Föryngringsavverkning</t>
        </is>
      </c>
      <c r="D456" s="1" t="n">
        <v>44973</v>
      </c>
      <c r="E456" s="1" t="n">
        <v>46326</v>
      </c>
      <c r="F456" t="inlineStr">
        <is>
          <t>STOCKHOLMS LÄN</t>
        </is>
      </c>
      <c r="G456" t="inlineStr">
        <is>
          <t>VALLENTUNA</t>
        </is>
      </c>
      <c r="I456" t="n">
        <v>0.5</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HYPERLINK("https://klasma.github.io/Logging_0115/artfynd/A 7890-2023 artfynd.xlsx", "A 7890-2023")</f>
        <v/>
      </c>
      <c r="X456">
        <f>HYPERLINK("https://klasma.github.io/Logging_0115/kartor/A 7890-2023 karta.png", "A 7890-2023")</f>
        <v/>
      </c>
      <c r="Y456">
        <f>HYPERLINK("https://klasma.github.io/Logging_0115/kartor_geotiff/A 7890-2023 georefererad karta.tif", "A 7890-2023")</f>
        <v/>
      </c>
      <c r="AA456">
        <f>HYPERLINK("https://klasma.github.io/Logging_0115/klagomål/A 7890-2023 FSC-klagomål.docx", "A 7890-2023")</f>
        <v/>
      </c>
      <c r="AB456">
        <f>HYPERLINK("https://klasma.github.io/Logging_0115/klagomålsmail/A 7890-2023 FSC-klagomål mail.docx", "A 7890-2023")</f>
        <v/>
      </c>
      <c r="AC456">
        <f>HYPERLINK("https://klasma.github.io/Logging_0115/tillsyn/A 7890-2023 tillsynsbegäran.docx", "A 7890-2023")</f>
        <v/>
      </c>
      <c r="AD456">
        <f>HYPERLINK("https://klasma.github.io/Logging_0115/tillsynsmail/A 7890-2023 tillsynsbegäran mail.docx", "A 7890-2023")</f>
        <v/>
      </c>
    </row>
    <row r="457" ht="15" customHeight="1">
      <c r="A457" t="inlineStr">
        <is>
          <t>A 33046-2022</t>
        </is>
      </c>
      <c r="B457" t="inlineStr">
        <is>
          <t>avverkningsanmälan</t>
        </is>
      </c>
      <c r="C457" t="inlineStr">
        <is>
          <t>Föryngringsavverkning</t>
        </is>
      </c>
      <c r="D457" s="1" t="n">
        <v>44785</v>
      </c>
      <c r="E457" s="1" t="n">
        <v>46326</v>
      </c>
      <c r="F457" t="inlineStr">
        <is>
          <t>STOCKHOLMS LÄN</t>
        </is>
      </c>
      <c r="G457" t="inlineStr">
        <is>
          <t>VÄRMDÖ</t>
        </is>
      </c>
      <c r="I457" t="n">
        <v>1</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HYPERLINK("https://klasma.github.io/Logging_0120/artfynd/A 33046-2022 artfynd.xlsx", "A 33046-2022")</f>
        <v/>
      </c>
      <c r="X457">
        <f>HYPERLINK("https://klasma.github.io/Logging_0120/kartor/A 33046-2022 karta.png", "A 33046-2022")</f>
        <v/>
      </c>
      <c r="Y457">
        <f>HYPERLINK("https://klasma.github.io/Logging_0120/kartor_geotiff/A 33046-2022 georefererad karta.tif", "A 33046-2022")</f>
        <v/>
      </c>
      <c r="AA457">
        <f>HYPERLINK("https://klasma.github.io/Logging_0120/klagomål/A 33046-2022 FSC-klagomål.docx", "A 33046-2022")</f>
        <v/>
      </c>
      <c r="AB457">
        <f>HYPERLINK("https://klasma.github.io/Logging_0120/klagomålsmail/A 33046-2022 FSC-klagomål mail.docx", "A 33046-2022")</f>
        <v/>
      </c>
      <c r="AC457">
        <f>HYPERLINK("https://klasma.github.io/Logging_0120/tillsyn/A 33046-2022 tillsynsbegäran.docx", "A 33046-2022")</f>
        <v/>
      </c>
      <c r="AD457">
        <f>HYPERLINK("https://klasma.github.io/Logging_0120/tillsynsmail/A 33046-2022 tillsynsbegäran mail.docx", "A 33046-2022")</f>
        <v/>
      </c>
      <c r="AE457">
        <f>HYPERLINK("https://klasma.github.io/Logging_0120/fåglar/A 33046-2022 prioriterade fågelarter.docx", "A 33046-2022")</f>
        <v/>
      </c>
    </row>
    <row r="458" ht="15" customHeight="1">
      <c r="A458" t="inlineStr">
        <is>
          <t>A 62765-2022</t>
        </is>
      </c>
      <c r="B458" t="inlineStr">
        <is>
          <t>avverkningsanmälan</t>
        </is>
      </c>
      <c r="C458" t="inlineStr">
        <is>
          <t>Föryngringsavverkning</t>
        </is>
      </c>
      <c r="D458" s="1" t="n">
        <v>44637</v>
      </c>
      <c r="E458" s="1" t="n">
        <v>46326</v>
      </c>
      <c r="F458" t="inlineStr">
        <is>
          <t>STOCKHOLMS LÄN</t>
        </is>
      </c>
      <c r="G458" t="inlineStr">
        <is>
          <t>NORRTÄLJE</t>
        </is>
      </c>
      <c r="I458" t="n">
        <v>2.7</v>
      </c>
      <c r="J458" t="n">
        <v>1</v>
      </c>
      <c r="K458" t="n">
        <v>0</v>
      </c>
      <c r="L458" t="n">
        <v>1</v>
      </c>
      <c r="M458" t="n">
        <v>0</v>
      </c>
      <c r="N458" t="n">
        <v>0</v>
      </c>
      <c r="O458" t="n">
        <v>0</v>
      </c>
      <c r="P458" t="n">
        <v>0</v>
      </c>
      <c r="Q458" t="n">
        <v>1</v>
      </c>
      <c r="R458" t="n">
        <v>0</v>
      </c>
      <c r="S458" t="n">
        <v>1</v>
      </c>
      <c r="T458" t="n">
        <v>1</v>
      </c>
      <c r="U458" t="n">
        <v>0</v>
      </c>
      <c r="V458" s="2" t="inlineStr">
        <is>
          <t>Adam och eva</t>
        </is>
      </c>
      <c r="W458">
        <f>HYPERLINK("https://klasma.github.io/Logging_0188/artfynd/A 62765-2022 artfynd.xlsx", "A 62765-2022")</f>
        <v/>
      </c>
      <c r="X458">
        <f>HYPERLINK("https://klasma.github.io/Logging_0188/kartor/A 62765-2022 karta.png", "A 62765-2022")</f>
        <v/>
      </c>
      <c r="Y458">
        <f>HYPERLINK("https://klasma.github.io/Logging_0188/kartor_geotiff/A 62765-2022 georefererad karta.tif", "A 62765-2022")</f>
        <v/>
      </c>
      <c r="AA458">
        <f>HYPERLINK("https://klasma.github.io/Logging_0188/klagomål/A 62765-2022 FSC-klagomål.docx", "A 62765-2022")</f>
        <v/>
      </c>
      <c r="AB458">
        <f>HYPERLINK("https://klasma.github.io/Logging_0188/klagomålsmail/A 62765-2022 FSC-klagomål mail.docx", "A 62765-2022")</f>
        <v/>
      </c>
      <c r="AC458">
        <f>HYPERLINK("https://klasma.github.io/Logging_0188/tillsyn/A 62765-2022 tillsynsbegäran.docx", "A 62765-2022")</f>
        <v/>
      </c>
      <c r="AD458">
        <f>HYPERLINK("https://klasma.github.io/Logging_0188/tillsynsmail/A 62765-2022 tillsynsbegäran mail.docx", "A 62765-2022")</f>
        <v/>
      </c>
    </row>
    <row r="459" ht="15" customHeight="1">
      <c r="A459" t="inlineStr">
        <is>
          <t>A 52775-2025</t>
        </is>
      </c>
      <c r="B459" t="inlineStr">
        <is>
          <t>avverkningsanmälan</t>
        </is>
      </c>
      <c r="C459" t="inlineStr">
        <is>
          <t>Föryngringsavverkning</t>
        </is>
      </c>
      <c r="D459" s="1" t="n">
        <v>45957</v>
      </c>
      <c r="E459" s="1" t="n">
        <v>46326</v>
      </c>
      <c r="F459" t="inlineStr">
        <is>
          <t>STOCKHOLMS LÄN</t>
        </is>
      </c>
      <c r="G459" t="inlineStr">
        <is>
          <t>NORRTÄLJE</t>
        </is>
      </c>
      <c r="H459" t="inlineStr">
        <is>
          <t>Sveaskog</t>
        </is>
      </c>
      <c r="I459" t="n">
        <v>5.6</v>
      </c>
      <c r="J459" t="n">
        <v>0</v>
      </c>
      <c r="K459" t="n">
        <v>0</v>
      </c>
      <c r="L459" t="n">
        <v>1</v>
      </c>
      <c r="M459" t="n">
        <v>0</v>
      </c>
      <c r="N459" t="n">
        <v>0</v>
      </c>
      <c r="O459" t="n">
        <v>0</v>
      </c>
      <c r="P459" t="n">
        <v>0</v>
      </c>
      <c r="Q459" t="n">
        <v>1</v>
      </c>
      <c r="R459" t="n">
        <v>0</v>
      </c>
      <c r="S459" t="n">
        <v>1</v>
      </c>
      <c r="T459" t="n">
        <v>1</v>
      </c>
      <c r="U459" t="n">
        <v>1</v>
      </c>
      <c r="V459" s="2" t="inlineStr">
        <is>
          <t>Vedtrappmossa</t>
        </is>
      </c>
      <c r="W459">
        <f>HYPERLINK("https://klasma.github.io/Logging_0188/artfynd/A 52775-2025 artfynd.xlsx", "A 52775-2025")</f>
        <v/>
      </c>
      <c r="X459">
        <f>HYPERLINK("https://klasma.github.io/Logging_0188/kartor/A 52775-2025 karta.png", "A 52775-2025")</f>
        <v/>
      </c>
      <c r="Y459">
        <f>HYPERLINK("https://klasma.github.io/Logging_0188/kartor_geotiff/A 52775-2025 georefererad karta.tif", "A 52775-2025")</f>
        <v/>
      </c>
      <c r="AA459">
        <f>HYPERLINK("https://klasma.github.io/Logging_0188/klagomål/A 52775-2025 FSC-klagomål.docx", "A 52775-2025")</f>
        <v/>
      </c>
      <c r="AB459">
        <f>HYPERLINK("https://klasma.github.io/Logging_0188/klagomålsmail/A 52775-2025 FSC-klagomål mail.docx", "A 52775-2025")</f>
        <v/>
      </c>
      <c r="AC459">
        <f>HYPERLINK("https://klasma.github.io/Logging_0188/tillsyn/A 52775-2025 tillsynsbegäran.docx", "A 52775-2025")</f>
        <v/>
      </c>
      <c r="AD459">
        <f>HYPERLINK("https://klasma.github.io/Logging_0188/tillsynsmail/A 52775-2025 tillsynsbegäran mail.docx", "A 52775-2025")</f>
        <v/>
      </c>
    </row>
    <row r="460" ht="15" customHeight="1">
      <c r="A460" t="inlineStr">
        <is>
          <t>A 53357-2025</t>
        </is>
      </c>
      <c r="B460" t="inlineStr">
        <is>
          <t>avverkningsanmälan</t>
        </is>
      </c>
      <c r="C460" t="inlineStr">
        <is>
          <t>Föryngringsavverkning</t>
        </is>
      </c>
      <c r="D460" s="1" t="n">
        <v>45959</v>
      </c>
      <c r="E460" s="1" t="n">
        <v>46326</v>
      </c>
      <c r="F460" t="inlineStr">
        <is>
          <t>STOCKHOLMS LÄN</t>
        </is>
      </c>
      <c r="G460" t="inlineStr">
        <is>
          <t>UPPLANDS-BRO</t>
        </is>
      </c>
      <c r="I460" t="n">
        <v>2.4</v>
      </c>
      <c r="J460" t="n">
        <v>1</v>
      </c>
      <c r="K460" t="n">
        <v>0</v>
      </c>
      <c r="L460" t="n">
        <v>0</v>
      </c>
      <c r="M460" t="n">
        <v>0</v>
      </c>
      <c r="N460" t="n">
        <v>1</v>
      </c>
      <c r="O460" t="n">
        <v>0</v>
      </c>
      <c r="P460" t="n">
        <v>0</v>
      </c>
      <c r="Q460" t="n">
        <v>1</v>
      </c>
      <c r="R460" t="n">
        <v>1</v>
      </c>
      <c r="S460" t="n">
        <v>1</v>
      </c>
      <c r="T460" t="n">
        <v>4</v>
      </c>
      <c r="U460" t="n">
        <v>0</v>
      </c>
      <c r="V460" s="2" t="inlineStr">
        <is>
          <t>Bombmurkla</t>
        </is>
      </c>
      <c r="W460">
        <f>HYPERLINK("https://klasma.github.io/Logging_0139/artfynd/A 53357-2025 artfynd.xlsx", "A 53357-2025")</f>
        <v/>
      </c>
      <c r="X460">
        <f>HYPERLINK("https://klasma.github.io/Logging_0139/kartor/A 53357-2025 karta.png", "A 53357-2025")</f>
        <v/>
      </c>
      <c r="Y460">
        <f>HYPERLINK("https://klasma.github.io/Logging_0139/kartor_geotiff/A 53357-2025 georefererad karta.tif", "A 53357-2025")</f>
        <v/>
      </c>
      <c r="AA460">
        <f>HYPERLINK("https://klasma.github.io/Logging_0139/klagomål/A 53357-2025 FSC-klagomål.docx", "A 53357-2025")</f>
        <v/>
      </c>
      <c r="AB460">
        <f>HYPERLINK("https://klasma.github.io/Logging_0139/klagomålsmail/A 53357-2025 FSC-klagomål mail.docx", "A 53357-2025")</f>
        <v/>
      </c>
      <c r="AC460">
        <f>HYPERLINK("https://klasma.github.io/Logging_0139/tillsyn/A 53357-2025 tillsynsbegäran.docx", "A 53357-2025")</f>
        <v/>
      </c>
      <c r="AD460">
        <f>HYPERLINK("https://klasma.github.io/Logging_0139/tillsynsmail/A 53357-2025 tillsynsbegäran mail.docx", "A 53357-2025")</f>
        <v/>
      </c>
    </row>
    <row r="461" ht="15" customHeight="1">
      <c r="A461" t="inlineStr">
        <is>
          <t>A 53629-2025</t>
        </is>
      </c>
      <c r="B461" t="inlineStr">
        <is>
          <t>avverkningsanmälan</t>
        </is>
      </c>
      <c r="C461" t="inlineStr">
        <is>
          <t>Föryngringsavverkning</t>
        </is>
      </c>
      <c r="D461" s="1" t="n">
        <v>45960</v>
      </c>
      <c r="E461" s="1" t="n">
        <v>46326</v>
      </c>
      <c r="F461" t="inlineStr">
        <is>
          <t>STOCKHOLMS LÄN</t>
        </is>
      </c>
      <c r="G461" t="inlineStr">
        <is>
          <t>NORRTÄLJE</t>
        </is>
      </c>
      <c r="H461" t="inlineStr">
        <is>
          <t>Naturvårdsverket</t>
        </is>
      </c>
      <c r="I461" t="n">
        <v>7.9</v>
      </c>
      <c r="J461" t="n">
        <v>0</v>
      </c>
      <c r="K461" t="n">
        <v>0</v>
      </c>
      <c r="L461" t="n">
        <v>1</v>
      </c>
      <c r="M461" t="n">
        <v>0</v>
      </c>
      <c r="N461" t="n">
        <v>0</v>
      </c>
      <c r="O461" t="n">
        <v>0</v>
      </c>
      <c r="P461" t="n">
        <v>0</v>
      </c>
      <c r="Q461" t="n">
        <v>1</v>
      </c>
      <c r="R461" t="n">
        <v>0</v>
      </c>
      <c r="S461" t="n">
        <v>1</v>
      </c>
      <c r="T461" t="n">
        <v>1</v>
      </c>
      <c r="U461" t="n">
        <v>0</v>
      </c>
      <c r="V461" s="2" t="inlineStr">
        <is>
          <t>Olvonglasvinge</t>
        </is>
      </c>
      <c r="W461">
        <f>HYPERLINK("https://klasma.github.io/Logging_0188/artfynd/A 53629-2025 artfynd.xlsx", "A 53629-2025")</f>
        <v/>
      </c>
      <c r="X461">
        <f>HYPERLINK("https://klasma.github.io/Logging_0188/kartor/A 53629-2025 karta.png", "A 53629-2025")</f>
        <v/>
      </c>
      <c r="Y461">
        <f>HYPERLINK("https://klasma.github.io/Logging_0188/kartor_geotiff/A 53629-2025 georefererad karta.tif", "A 53629-2025")</f>
        <v/>
      </c>
      <c r="AA461">
        <f>HYPERLINK("https://klasma.github.io/Logging_0188/klagomål/A 53629-2025 FSC-klagomål.docx", "A 53629-2025")</f>
        <v/>
      </c>
      <c r="AB461">
        <f>HYPERLINK("https://klasma.github.io/Logging_0188/klagomålsmail/A 53629-2025 FSC-klagomål mail.docx", "A 53629-2025")</f>
        <v/>
      </c>
      <c r="AC461">
        <f>HYPERLINK("https://klasma.github.io/Logging_0188/tillsyn/A 53629-2025 tillsynsbegäran.docx", "A 53629-2025")</f>
        <v/>
      </c>
      <c r="AD461">
        <f>HYPERLINK("https://klasma.github.io/Logging_0188/tillsynsmail/A 53629-2025 tillsynsbegäran mail.docx", "A 53629-2025")</f>
        <v/>
      </c>
    </row>
    <row r="462" ht="15" customHeight="1">
      <c r="A462" t="inlineStr">
        <is>
          <t>A 22830-2024</t>
        </is>
      </c>
      <c r="B462" t="inlineStr">
        <is>
          <t>avverkningsanmälan</t>
        </is>
      </c>
      <c r="C462" t="inlineStr">
        <is>
          <t>Föryngringsavverkning</t>
        </is>
      </c>
      <c r="D462" s="1" t="n">
        <v>45448</v>
      </c>
      <c r="E462" s="1" t="n">
        <v>46326</v>
      </c>
      <c r="F462" t="inlineStr">
        <is>
          <t>STOCKHOLMS LÄN</t>
        </is>
      </c>
      <c r="G462" t="inlineStr">
        <is>
          <t>VALLENTUNA</t>
        </is>
      </c>
      <c r="I462" t="n">
        <v>0.3</v>
      </c>
      <c r="J462" t="n">
        <v>0</v>
      </c>
      <c r="K462" t="n">
        <v>0</v>
      </c>
      <c r="L462" t="n">
        <v>1</v>
      </c>
      <c r="M462" t="n">
        <v>0</v>
      </c>
      <c r="N462" t="n">
        <v>0</v>
      </c>
      <c r="O462" t="n">
        <v>0</v>
      </c>
      <c r="P462" t="n">
        <v>0</v>
      </c>
      <c r="Q462" t="n">
        <v>1</v>
      </c>
      <c r="R462" t="n">
        <v>0</v>
      </c>
      <c r="S462" t="n">
        <v>1</v>
      </c>
      <c r="T462" t="n">
        <v>1</v>
      </c>
      <c r="U462" t="n">
        <v>0</v>
      </c>
      <c r="V462" s="2" t="inlineStr">
        <is>
          <t>Tallticka</t>
        </is>
      </c>
      <c r="W462">
        <f>HYPERLINK("https://klasma.github.io/Logging_0115/artfynd/A 22830-2024 artfynd.xlsx", "A 22830-2024")</f>
        <v/>
      </c>
      <c r="X462">
        <f>HYPERLINK("https://klasma.github.io/Logging_0115/kartor/A 22830-2024 karta.png", "A 22830-2024")</f>
        <v/>
      </c>
      <c r="Y462">
        <f>HYPERLINK("https://klasma.github.io/Logging_0115/kartor_geotiff/A 22830-2024 georefererad karta.tif", "A 22830-2024")</f>
        <v/>
      </c>
      <c r="AA462">
        <f>HYPERLINK("https://klasma.github.io/Logging_0115/klagomål/A 22830-2024 FSC-klagomål.docx", "A 22830-2024")</f>
        <v/>
      </c>
      <c r="AB462">
        <f>HYPERLINK("https://klasma.github.io/Logging_0115/klagomålsmail/A 22830-2024 FSC-klagomål mail.docx", "A 22830-2024")</f>
        <v/>
      </c>
      <c r="AC462">
        <f>HYPERLINK("https://klasma.github.io/Logging_0115/tillsyn/A 22830-2024 tillsynsbegäran.docx", "A 22830-2024")</f>
        <v/>
      </c>
      <c r="AD462">
        <f>HYPERLINK("https://klasma.github.io/Logging_0115/tillsynsmail/A 22830-2024 tillsynsbegäran mail.docx", "A 22830-2024")</f>
        <v/>
      </c>
    </row>
    <row r="463" ht="15" customHeight="1">
      <c r="A463" t="inlineStr">
        <is>
          <t>A 24330-2023</t>
        </is>
      </c>
      <c r="B463" t="inlineStr">
        <is>
          <t>avverkningsanmälan</t>
        </is>
      </c>
      <c r="C463" t="inlineStr">
        <is>
          <t>Föryngringsavverkning</t>
        </is>
      </c>
      <c r="D463" s="1" t="n">
        <v>45081</v>
      </c>
      <c r="E463" s="1" t="n">
        <v>46326</v>
      </c>
      <c r="F463" t="inlineStr">
        <is>
          <t>STOCKHOLMS LÄN</t>
        </is>
      </c>
      <c r="G463" t="inlineStr">
        <is>
          <t>NORRTÄLJE</t>
        </is>
      </c>
      <c r="I463" t="n">
        <v>5</v>
      </c>
      <c r="J463" t="n">
        <v>1</v>
      </c>
      <c r="K463" t="n">
        <v>0</v>
      </c>
      <c r="L463" t="n">
        <v>1</v>
      </c>
      <c r="M463" t="n">
        <v>0</v>
      </c>
      <c r="N463" t="n">
        <v>0</v>
      </c>
      <c r="O463" t="n">
        <v>0</v>
      </c>
      <c r="P463" t="n">
        <v>0</v>
      </c>
      <c r="Q463" t="n">
        <v>1</v>
      </c>
      <c r="R463" t="n">
        <v>0</v>
      </c>
      <c r="S463" t="n">
        <v>1</v>
      </c>
      <c r="T463" t="n">
        <v>1</v>
      </c>
      <c r="U463" t="n">
        <v>1</v>
      </c>
      <c r="V463" s="2" t="inlineStr">
        <is>
          <t>Mindre hackspett</t>
        </is>
      </c>
      <c r="W463">
        <f>HYPERLINK("https://klasma.github.io/Logging_0188/artfynd/A 24330-2023 artfynd.xlsx", "A 24330-2023")</f>
        <v/>
      </c>
      <c r="X463">
        <f>HYPERLINK("https://klasma.github.io/Logging_0188/kartor/A 24330-2023 karta.png", "A 24330-2023")</f>
        <v/>
      </c>
      <c r="Y463">
        <f>HYPERLINK("https://klasma.github.io/Logging_0188/kartor_geotiff/A 24330-2023 georefererad karta.tif", "A 24330-2023")</f>
        <v/>
      </c>
      <c r="AA463">
        <f>HYPERLINK("https://klasma.github.io/Logging_0188/klagomål/A 24330-2023 FSC-klagomål.docx", "A 24330-2023")</f>
        <v/>
      </c>
      <c r="AB463">
        <f>HYPERLINK("https://klasma.github.io/Logging_0188/klagomålsmail/A 24330-2023 FSC-klagomål mail.docx", "A 24330-2023")</f>
        <v/>
      </c>
      <c r="AC463">
        <f>HYPERLINK("https://klasma.github.io/Logging_0188/tillsyn/A 24330-2023 tillsynsbegäran.docx", "A 24330-2023")</f>
        <v/>
      </c>
      <c r="AD463">
        <f>HYPERLINK("https://klasma.github.io/Logging_0188/tillsynsmail/A 24330-2023 tillsynsbegäran mail.docx", "A 24330-2023")</f>
        <v/>
      </c>
      <c r="AE463">
        <f>HYPERLINK("https://klasma.github.io/Logging_0188/fåglar/A 24330-2023 prioriterade fågelarter.docx", "A 24330-2023")</f>
        <v/>
      </c>
    </row>
    <row r="464" ht="15" customHeight="1">
      <c r="A464" t="inlineStr">
        <is>
          <t>A 54460-2025</t>
        </is>
      </c>
      <c r="B464" t="inlineStr">
        <is>
          <t>avverkningsanmälan</t>
        </is>
      </c>
      <c r="C464" t="inlineStr">
        <is>
          <t>Föryngringsavverkning</t>
        </is>
      </c>
      <c r="D464" s="1" t="n">
        <v>45965</v>
      </c>
      <c r="E464" s="1" t="n">
        <v>46326</v>
      </c>
      <c r="F464" t="inlineStr">
        <is>
          <t>STOCKHOLMS LÄN</t>
        </is>
      </c>
      <c r="G464" t="inlineStr">
        <is>
          <t>VALLENTUNA</t>
        </is>
      </c>
      <c r="I464" t="n">
        <v>22.9</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HYPERLINK("https://klasma.github.io/Logging_0115/artfynd/A 54460-2025 artfynd.xlsx", "A 54460-2025")</f>
        <v/>
      </c>
      <c r="X464">
        <f>HYPERLINK("https://klasma.github.io/Logging_0115/kartor/A 54460-2025 karta.png", "A 54460-2025")</f>
        <v/>
      </c>
      <c r="Y464">
        <f>HYPERLINK("https://klasma.github.io/Logging_0115/kartor_geotiff/A 54460-2025 georefererad karta.tif", "A 54460-2025")</f>
        <v/>
      </c>
      <c r="AA464">
        <f>HYPERLINK("https://klasma.github.io/Logging_0115/klagomål/A 54460-2025 FSC-klagomål.docx", "A 54460-2025")</f>
        <v/>
      </c>
      <c r="AB464">
        <f>HYPERLINK("https://klasma.github.io/Logging_0115/klagomålsmail/A 54460-2025 FSC-klagomål mail.docx", "A 54460-2025")</f>
        <v/>
      </c>
      <c r="AC464">
        <f>HYPERLINK("https://klasma.github.io/Logging_0115/tillsyn/A 54460-2025 tillsynsbegäran.docx", "A 54460-2025")</f>
        <v/>
      </c>
      <c r="AD464">
        <f>HYPERLINK("https://klasma.github.io/Logging_0115/tillsynsmail/A 54460-2025 tillsynsbegäran mail.docx", "A 54460-2025")</f>
        <v/>
      </c>
    </row>
    <row r="465" ht="15" customHeight="1">
      <c r="A465" t="inlineStr">
        <is>
          <t>A 54481-2025</t>
        </is>
      </c>
      <c r="B465" t="inlineStr">
        <is>
          <t>avverkningsanmälan</t>
        </is>
      </c>
      <c r="C465" t="inlineStr">
        <is>
          <t>Föryngringsavverkning</t>
        </is>
      </c>
      <c r="D465" s="1" t="n">
        <v>45965</v>
      </c>
      <c r="E465" s="1" t="n">
        <v>46326</v>
      </c>
      <c r="F465" t="inlineStr">
        <is>
          <t>STOCKHOLMS LÄN</t>
        </is>
      </c>
      <c r="G465" t="inlineStr">
        <is>
          <t>VALLENTUNA</t>
        </is>
      </c>
      <c r="I465" t="n">
        <v>1.4</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HYPERLINK("https://klasma.github.io/Logging_0115/artfynd/A 54481-2025 artfynd.xlsx", "A 54481-2025")</f>
        <v/>
      </c>
      <c r="X465">
        <f>HYPERLINK("https://klasma.github.io/Logging_0115/kartor/A 54481-2025 karta.png", "A 54481-2025")</f>
        <v/>
      </c>
      <c r="Y465">
        <f>HYPERLINK("https://klasma.github.io/Logging_0115/kartor_geotiff/A 54481-2025 georefererad karta.tif", "A 54481-2025")</f>
        <v/>
      </c>
      <c r="AA465">
        <f>HYPERLINK("https://klasma.github.io/Logging_0115/klagomål/A 54481-2025 FSC-klagomål.docx", "A 54481-2025")</f>
        <v/>
      </c>
      <c r="AB465">
        <f>HYPERLINK("https://klasma.github.io/Logging_0115/klagomålsmail/A 54481-2025 FSC-klagomål mail.docx", "A 54481-2025")</f>
        <v/>
      </c>
      <c r="AC465">
        <f>HYPERLINK("https://klasma.github.io/Logging_0115/tillsyn/A 54481-2025 tillsynsbegäran.docx", "A 54481-2025")</f>
        <v/>
      </c>
      <c r="AD465">
        <f>HYPERLINK("https://klasma.github.io/Logging_0115/tillsynsmail/A 54481-2025 tillsynsbegäran mail.docx", "A 54481-2025")</f>
        <v/>
      </c>
    </row>
    <row r="466" ht="15" customHeight="1">
      <c r="A466" t="inlineStr">
        <is>
          <t>A 58993-2022</t>
        </is>
      </c>
      <c r="B466" t="inlineStr">
        <is>
          <t>avverkningsanmälan</t>
        </is>
      </c>
      <c r="C466" t="inlineStr">
        <is>
          <t>Föryngringsavverkning</t>
        </is>
      </c>
      <c r="D466" s="1" t="n">
        <v>44903</v>
      </c>
      <c r="E466" s="1" t="n">
        <v>46326</v>
      </c>
      <c r="F466" t="inlineStr">
        <is>
          <t>STOCKHOLMS LÄN</t>
        </is>
      </c>
      <c r="G466" t="inlineStr">
        <is>
          <t>NORRTÄLJE</t>
        </is>
      </c>
      <c r="I466" t="n">
        <v>2.3</v>
      </c>
      <c r="J466" t="n">
        <v>0</v>
      </c>
      <c r="K466" t="n">
        <v>0</v>
      </c>
      <c r="L466" t="n">
        <v>1</v>
      </c>
      <c r="M466" t="n">
        <v>0</v>
      </c>
      <c r="N466" t="n">
        <v>0</v>
      </c>
      <c r="O466" t="n">
        <v>0</v>
      </c>
      <c r="P466" t="n">
        <v>0</v>
      </c>
      <c r="Q466" t="n">
        <v>1</v>
      </c>
      <c r="R466" t="n">
        <v>0</v>
      </c>
      <c r="S466" t="n">
        <v>1</v>
      </c>
      <c r="T466" t="n">
        <v>1</v>
      </c>
      <c r="U466" t="n">
        <v>0</v>
      </c>
      <c r="V466" s="2" t="inlineStr">
        <is>
          <t>Rödlånke</t>
        </is>
      </c>
      <c r="W466">
        <f>HYPERLINK("https://klasma.github.io/Logging_0188/artfynd/A 58993-2022 artfynd.xlsx", "A 58993-2022")</f>
        <v/>
      </c>
      <c r="X466">
        <f>HYPERLINK("https://klasma.github.io/Logging_0188/kartor/A 58993-2022 karta.png", "A 58993-2022")</f>
        <v/>
      </c>
      <c r="Y466">
        <f>HYPERLINK("https://klasma.github.io/Logging_0188/kartor_geotiff/A 58993-2022 georefererad karta.tif", "A 58993-2022")</f>
        <v/>
      </c>
      <c r="AA466">
        <f>HYPERLINK("https://klasma.github.io/Logging_0188/klagomål/A 58993-2022 FSC-klagomål.docx", "A 58993-2022")</f>
        <v/>
      </c>
      <c r="AB466">
        <f>HYPERLINK("https://klasma.github.io/Logging_0188/klagomålsmail/A 58993-2022 FSC-klagomål mail.docx", "A 58993-2022")</f>
        <v/>
      </c>
      <c r="AC466">
        <f>HYPERLINK("https://klasma.github.io/Logging_0188/tillsyn/A 58993-2022 tillsynsbegäran.docx", "A 58993-2022")</f>
        <v/>
      </c>
      <c r="AD466">
        <f>HYPERLINK("https://klasma.github.io/Logging_0188/tillsynsmail/A 58993-2022 tillsynsbegäran mail.docx", "A 58993-2022")</f>
        <v/>
      </c>
    </row>
    <row r="467" ht="15" customHeight="1">
      <c r="A467" t="inlineStr">
        <is>
          <t>A 58939-2025</t>
        </is>
      </c>
      <c r="B467" t="inlineStr">
        <is>
          <t>avverkningsanmälan</t>
        </is>
      </c>
      <c r="C467" t="inlineStr">
        <is>
          <t>Föryngringsavverkning</t>
        </is>
      </c>
      <c r="D467" s="1" t="n">
        <v>45987</v>
      </c>
      <c r="E467" s="1" t="n">
        <v>46326</v>
      </c>
      <c r="F467" t="inlineStr">
        <is>
          <t>STOCKHOLMS LÄN</t>
        </is>
      </c>
      <c r="G467" t="inlineStr">
        <is>
          <t>NORRTÄLJE</t>
        </is>
      </c>
      <c r="I467" t="n">
        <v>2</v>
      </c>
      <c r="J467" t="n">
        <v>0</v>
      </c>
      <c r="K467" t="n">
        <v>1</v>
      </c>
      <c r="L467" t="n">
        <v>0</v>
      </c>
      <c r="M467" t="n">
        <v>0</v>
      </c>
      <c r="N467" t="n">
        <v>0</v>
      </c>
      <c r="O467" t="n">
        <v>0</v>
      </c>
      <c r="P467" t="n">
        <v>0</v>
      </c>
      <c r="Q467" t="n">
        <v>0</v>
      </c>
      <c r="R467" t="n">
        <v>0</v>
      </c>
      <c r="S467" t="n">
        <v>1</v>
      </c>
      <c r="T467" t="n">
        <v>1</v>
      </c>
      <c r="U467" t="n">
        <v>0</v>
      </c>
      <c r="V467" s="2" t="inlineStr">
        <is>
          <t>Bronshjon</t>
        </is>
      </c>
      <c r="W467">
        <f>HYPERLINK("https://klasma.github.io/Logging_0188/artfynd/A 58939-2025 artfynd.xlsx", "A 58939-2025")</f>
        <v/>
      </c>
      <c r="X467">
        <f>HYPERLINK("https://klasma.github.io/Logging_0188/kartor/A 58939-2025 karta.png", "A 58939-2025")</f>
        <v/>
      </c>
      <c r="Y467">
        <f>HYPERLINK("https://klasma.github.io/Logging_0188/kartor_geotiff/A 58939-2025 georefererad karta.tif", "A 58939-2025")</f>
        <v/>
      </c>
      <c r="AA467">
        <f>HYPERLINK("https://klasma.github.io/Logging_0188/klagomål/A 58939-2025 FSC-klagomål.docx", "A 58939-2025")</f>
        <v/>
      </c>
      <c r="AB467">
        <f>HYPERLINK("https://klasma.github.io/Logging_0188/klagomålsmail/A 58939-2025 FSC-klagomål mail.docx", "A 58939-2025")</f>
        <v/>
      </c>
      <c r="AC467">
        <f>HYPERLINK("https://klasma.github.io/Logging_0188/tillsyn/A 58939-2025 tillsynsbegäran.docx", "A 58939-2025")</f>
        <v/>
      </c>
      <c r="AD467">
        <f>HYPERLINK("https://klasma.github.io/Logging_0188/tillsynsmail/A 58939-2025 tillsynsbegäran mail.docx", "A 58939-2025")</f>
        <v/>
      </c>
    </row>
    <row r="468" ht="15" customHeight="1">
      <c r="A468" t="inlineStr">
        <is>
          <t>A 59342-2025</t>
        </is>
      </c>
      <c r="B468" t="inlineStr">
        <is>
          <t>avverkningsanmälan</t>
        </is>
      </c>
      <c r="C468" t="inlineStr">
        <is>
          <t>Föryngringsavverkning</t>
        </is>
      </c>
      <c r="D468" s="1" t="n">
        <v>45989</v>
      </c>
      <c r="E468" s="1" t="n">
        <v>46326</v>
      </c>
      <c r="F468" t="inlineStr">
        <is>
          <t>STOCKHOLMS LÄN</t>
        </is>
      </c>
      <c r="G468" t="inlineStr">
        <is>
          <t>NYKVARN</t>
        </is>
      </c>
      <c r="I468" t="n">
        <v>1.9</v>
      </c>
      <c r="J468" t="n">
        <v>0</v>
      </c>
      <c r="K468" t="n">
        <v>0</v>
      </c>
      <c r="L468" t="n">
        <v>1</v>
      </c>
      <c r="M468" t="n">
        <v>0</v>
      </c>
      <c r="N468" t="n">
        <v>0</v>
      </c>
      <c r="O468" t="n">
        <v>0</v>
      </c>
      <c r="P468" t="n">
        <v>0</v>
      </c>
      <c r="Q468" t="n">
        <v>1</v>
      </c>
      <c r="R468" t="n">
        <v>0</v>
      </c>
      <c r="S468" t="n">
        <v>1</v>
      </c>
      <c r="T468" t="n">
        <v>1</v>
      </c>
      <c r="U468" t="n">
        <v>0</v>
      </c>
      <c r="V468" s="2" t="inlineStr">
        <is>
          <t>Kösa</t>
        </is>
      </c>
      <c r="W468">
        <f>HYPERLINK("https://klasma.github.io/Logging_0140/artfynd/A 59342-2025 artfynd.xlsx", "A 59342-2025")</f>
        <v/>
      </c>
      <c r="X468">
        <f>HYPERLINK("https://klasma.github.io/Logging_0140/kartor/A 59342-2025 karta.png", "A 59342-2025")</f>
        <v/>
      </c>
      <c r="Y468">
        <f>HYPERLINK("https://klasma.github.io/Logging_0140/kartor_geotiff/A 59342-2025 georefererad karta.tif", "A 59342-2025")</f>
        <v/>
      </c>
      <c r="AA468">
        <f>HYPERLINK("https://klasma.github.io/Logging_0140/klagomål/A 59342-2025 FSC-klagomål.docx", "A 59342-2025")</f>
        <v/>
      </c>
      <c r="AB468">
        <f>HYPERLINK("https://klasma.github.io/Logging_0140/klagomålsmail/A 59342-2025 FSC-klagomål mail.docx", "A 59342-2025")</f>
        <v/>
      </c>
      <c r="AC468">
        <f>HYPERLINK("https://klasma.github.io/Logging_0140/tillsyn/A 59342-2025 tillsynsbegäran.docx", "A 59342-2025")</f>
        <v/>
      </c>
      <c r="AD468">
        <f>HYPERLINK("https://klasma.github.io/Logging_0140/tillsynsmail/A 59342-2025 tillsynsbegäran mail.docx", "A 59342-2025")</f>
        <v/>
      </c>
    </row>
    <row r="469" ht="15" customHeight="1">
      <c r="A469" t="inlineStr">
        <is>
          <t>A 12305-2026</t>
        </is>
      </c>
      <c r="B469" t="inlineStr">
        <is>
          <t>avverkningsanmälan</t>
        </is>
      </c>
      <c r="C469" t="inlineStr">
        <is>
          <t>Föryngringsavverkning</t>
        </is>
      </c>
      <c r="D469" s="1" t="n">
        <v>46087</v>
      </c>
      <c r="E469" s="1" t="n">
        <v>46326</v>
      </c>
      <c r="F469" t="inlineStr">
        <is>
          <t>STOCKHOLMS LÄN</t>
        </is>
      </c>
      <c r="G469" t="inlineStr">
        <is>
          <t>BOTKYRKA</t>
        </is>
      </c>
      <c r="H469" t="inlineStr">
        <is>
          <t>Övriga Aktiebolag</t>
        </is>
      </c>
      <c r="I469" t="n">
        <v>2.4</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HYPERLINK("https://klasma.github.io/Logging_0127/artfynd/A 12305-2026 artfynd.xlsx", "A 12305-2026")</f>
        <v/>
      </c>
      <c r="X469">
        <f>HYPERLINK("https://klasma.github.io/Logging_0127/kartor/A 12305-2026 karta.png", "A 12305-2026")</f>
        <v/>
      </c>
      <c r="Y469">
        <f>HYPERLINK("https://klasma.github.io/Logging_0127/kartor_geotiff/A 12305-2026 georefererad karta.tif", "A 12305-2026")</f>
        <v/>
      </c>
      <c r="AA469">
        <f>HYPERLINK("https://klasma.github.io/Logging_0127/klagomål/A 12305-2026 FSC-klagomål.docx", "A 12305-2026")</f>
        <v/>
      </c>
      <c r="AB469">
        <f>HYPERLINK("https://klasma.github.io/Logging_0127/klagomålsmail/A 12305-2026 FSC-klagomål mail.docx", "A 12305-2026")</f>
        <v/>
      </c>
      <c r="AC469">
        <f>HYPERLINK("https://klasma.github.io/Logging_0127/tillsyn/A 12305-2026 tillsynsbegäran.docx", "A 12305-2026")</f>
        <v/>
      </c>
      <c r="AD469">
        <f>HYPERLINK("https://klasma.github.io/Logging_0127/tillsynsmail/A 12305-2026 tillsynsbegäran mail.docx", "A 12305-2026")</f>
        <v/>
      </c>
      <c r="AE469">
        <f>HYPERLINK("https://klasma.github.io/Logging_0127/fåglar/A 12305-2026 prioriterade fågelarter.docx", "A 12305-2026")</f>
        <v/>
      </c>
    </row>
    <row r="470" ht="15" customHeight="1">
      <c r="A470" t="inlineStr">
        <is>
          <t>A 59682-2025</t>
        </is>
      </c>
      <c r="B470" t="inlineStr">
        <is>
          <t>avverkningsanmälan</t>
        </is>
      </c>
      <c r="C470" t="inlineStr">
        <is>
          <t>Föryngringsavverkning</t>
        </is>
      </c>
      <c r="D470" s="1" t="n">
        <v>45992</v>
      </c>
      <c r="E470" s="1" t="n">
        <v>46326</v>
      </c>
      <c r="F470" t="inlineStr">
        <is>
          <t>STOCKHOLMS LÄN</t>
        </is>
      </c>
      <c r="G470" t="inlineStr">
        <is>
          <t>NORRTÄLJE</t>
        </is>
      </c>
      <c r="I470" t="n">
        <v>1.6</v>
      </c>
      <c r="J470" t="n">
        <v>0</v>
      </c>
      <c r="K470" t="n">
        <v>1</v>
      </c>
      <c r="L470" t="n">
        <v>0</v>
      </c>
      <c r="M470" t="n">
        <v>0</v>
      </c>
      <c r="N470" t="n">
        <v>0</v>
      </c>
      <c r="O470" t="n">
        <v>0</v>
      </c>
      <c r="P470" t="n">
        <v>0</v>
      </c>
      <c r="Q470" t="n">
        <v>0</v>
      </c>
      <c r="R470" t="n">
        <v>0</v>
      </c>
      <c r="S470" t="n">
        <v>1</v>
      </c>
      <c r="T470" t="n">
        <v>2</v>
      </c>
      <c r="U470" t="n">
        <v>0</v>
      </c>
      <c r="V470" s="2" t="inlineStr">
        <is>
          <t>Grönpyrola</t>
        </is>
      </c>
      <c r="W470">
        <f>HYPERLINK("https://klasma.github.io/Logging_0188/artfynd/A 59682-2025 artfynd.xlsx", "A 59682-2025")</f>
        <v/>
      </c>
      <c r="X470">
        <f>HYPERLINK("https://klasma.github.io/Logging_0188/kartor/A 59682-2025 karta.png", "A 59682-2025")</f>
        <v/>
      </c>
      <c r="Y470">
        <f>HYPERLINK("https://klasma.github.io/Logging_0188/kartor_geotiff/A 59682-2025 georefererad karta.tif", "A 59682-2025")</f>
        <v/>
      </c>
      <c r="AA470">
        <f>HYPERLINK("https://klasma.github.io/Logging_0188/klagomål/A 59682-2025 FSC-klagomål.docx", "A 59682-2025")</f>
        <v/>
      </c>
      <c r="AB470">
        <f>HYPERLINK("https://klasma.github.io/Logging_0188/klagomålsmail/A 59682-2025 FSC-klagomål mail.docx", "A 59682-2025")</f>
        <v/>
      </c>
      <c r="AC470">
        <f>HYPERLINK("https://klasma.github.io/Logging_0188/tillsyn/A 59682-2025 tillsynsbegäran.docx", "A 59682-2025")</f>
        <v/>
      </c>
      <c r="AD470">
        <f>HYPERLINK("https://klasma.github.io/Logging_0188/tillsynsmail/A 59682-2025 tillsynsbegäran mail.docx", "A 59682-2025")</f>
        <v/>
      </c>
    </row>
    <row r="471" ht="15" customHeight="1">
      <c r="A471" t="inlineStr">
        <is>
          <t>A 12590-2026</t>
        </is>
      </c>
      <c r="B471" t="inlineStr">
        <is>
          <t>avverkningsanmälan</t>
        </is>
      </c>
      <c r="C471" t="inlineStr">
        <is>
          <t>Föryngringsavverkning</t>
        </is>
      </c>
      <c r="D471" s="1" t="n">
        <v>46090</v>
      </c>
      <c r="E471" s="1" t="n">
        <v>46326</v>
      </c>
      <c r="F471" t="inlineStr">
        <is>
          <t>STOCKHOLMS LÄN</t>
        </is>
      </c>
      <c r="G471" t="inlineStr">
        <is>
          <t>BOTKYRKA</t>
        </is>
      </c>
      <c r="H471" t="inlineStr">
        <is>
          <t>Övriga Aktiebolag</t>
        </is>
      </c>
      <c r="I471" t="n">
        <v>1.5</v>
      </c>
      <c r="J471" t="n">
        <v>1</v>
      </c>
      <c r="K471" t="n">
        <v>0</v>
      </c>
      <c r="L471" t="n">
        <v>1</v>
      </c>
      <c r="M471" t="n">
        <v>0</v>
      </c>
      <c r="N471" t="n">
        <v>0</v>
      </c>
      <c r="O471" t="n">
        <v>0</v>
      </c>
      <c r="P471" t="n">
        <v>0</v>
      </c>
      <c r="Q471" t="n">
        <v>1</v>
      </c>
      <c r="R471" t="n">
        <v>0</v>
      </c>
      <c r="S471" t="n">
        <v>1</v>
      </c>
      <c r="T471" t="n">
        <v>1</v>
      </c>
      <c r="U471" t="n">
        <v>0</v>
      </c>
      <c r="V471" s="2" t="inlineStr">
        <is>
          <t>Mindre hackspett</t>
        </is>
      </c>
      <c r="W471">
        <f>HYPERLINK("https://klasma.github.io/Logging_0127/artfynd/A 12590-2026 artfynd.xlsx", "A 12590-2026")</f>
        <v/>
      </c>
      <c r="X471">
        <f>HYPERLINK("https://klasma.github.io/Logging_0127/kartor/A 12590-2026 karta.png", "A 12590-2026")</f>
        <v/>
      </c>
      <c r="Y471">
        <f>HYPERLINK("https://klasma.github.io/Logging_0127/kartor_geotiff/A 12590-2026 georefererad karta.tif", "A 12590-2026")</f>
        <v/>
      </c>
      <c r="AA471">
        <f>HYPERLINK("https://klasma.github.io/Logging_0127/klagomål/A 12590-2026 FSC-klagomål.docx", "A 12590-2026")</f>
        <v/>
      </c>
      <c r="AB471">
        <f>HYPERLINK("https://klasma.github.io/Logging_0127/klagomålsmail/A 12590-2026 FSC-klagomål mail.docx", "A 12590-2026")</f>
        <v/>
      </c>
      <c r="AC471">
        <f>HYPERLINK("https://klasma.github.io/Logging_0127/tillsyn/A 12590-2026 tillsynsbegäran.docx", "A 12590-2026")</f>
        <v/>
      </c>
      <c r="AD471">
        <f>HYPERLINK("https://klasma.github.io/Logging_0127/tillsynsmail/A 12590-2026 tillsynsbegäran mail.docx", "A 12590-2026")</f>
        <v/>
      </c>
      <c r="AE471">
        <f>HYPERLINK("https://klasma.github.io/Logging_0127/fåglar/A 12590-2026 prioriterade fågelarter.docx", "A 12590-2026")</f>
        <v/>
      </c>
    </row>
    <row r="472" ht="15" customHeight="1">
      <c r="A472" t="inlineStr">
        <is>
          <t>A 12396-2026</t>
        </is>
      </c>
      <c r="B472" t="inlineStr">
        <is>
          <t>avverkningsanmälan</t>
        </is>
      </c>
      <c r="C472" t="inlineStr">
        <is>
          <t>Föryngringsavverkning</t>
        </is>
      </c>
      <c r="D472" s="1" t="n">
        <v>46090</v>
      </c>
      <c r="E472" s="1" t="n">
        <v>46326</v>
      </c>
      <c r="F472" t="inlineStr">
        <is>
          <t>STOCKHOLMS LÄN</t>
        </is>
      </c>
      <c r="G472" t="inlineStr">
        <is>
          <t>VALLENTUNA</t>
        </is>
      </c>
      <c r="I472" t="n">
        <v>3</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HYPERLINK("https://klasma.github.io/Logging_0115/artfynd/A 12396-2026 artfynd.xlsx", "A 12396-2026")</f>
        <v/>
      </c>
      <c r="X472">
        <f>HYPERLINK("https://klasma.github.io/Logging_0115/kartor/A 12396-2026 karta.png", "A 12396-2026")</f>
        <v/>
      </c>
      <c r="Y472">
        <f>HYPERLINK("https://klasma.github.io/Logging_0115/kartor_geotiff/A 12396-2026 georefererad karta.tif", "A 12396-2026")</f>
        <v/>
      </c>
      <c r="AA472">
        <f>HYPERLINK("https://klasma.github.io/Logging_0115/klagomål/A 12396-2026 FSC-klagomål.docx", "A 12396-2026")</f>
        <v/>
      </c>
      <c r="AB472">
        <f>HYPERLINK("https://klasma.github.io/Logging_0115/klagomålsmail/A 12396-2026 FSC-klagomål mail.docx", "A 12396-2026")</f>
        <v/>
      </c>
      <c r="AC472">
        <f>HYPERLINK("https://klasma.github.io/Logging_0115/tillsyn/A 12396-2026 tillsynsbegäran.docx", "A 12396-2026")</f>
        <v/>
      </c>
      <c r="AD472">
        <f>HYPERLINK("https://klasma.github.io/Logging_0115/tillsynsmail/A 12396-2026 tillsynsbegäran mail.docx", "A 12396-2026")</f>
        <v/>
      </c>
      <c r="AE472">
        <f>HYPERLINK("https://klasma.github.io/Logging_0115/fåglar/A 12396-2026 prioriterade fågelarter.docx", "A 12396-2026")</f>
        <v/>
      </c>
    </row>
    <row r="473" ht="15" customHeight="1">
      <c r="A473" t="inlineStr">
        <is>
          <t>A 24363-2023</t>
        </is>
      </c>
      <c r="B473" t="inlineStr">
        <is>
          <t>avverkningsanmälan</t>
        </is>
      </c>
      <c r="C473" t="inlineStr">
        <is>
          <t>Föryngringsavverkning</t>
        </is>
      </c>
      <c r="D473" s="1" t="n">
        <v>45076</v>
      </c>
      <c r="E473" s="1" t="n">
        <v>46326</v>
      </c>
      <c r="F473" t="inlineStr">
        <is>
          <t>STOCKHOLMS LÄN</t>
        </is>
      </c>
      <c r="G473" t="inlineStr">
        <is>
          <t>HUDDINGE</t>
        </is>
      </c>
      <c r="I473" t="n">
        <v>2.4</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HYPERLINK("https://klasma.github.io/Logging_0126/artfynd/A 24363-2023 artfynd.xlsx", "A 24363-2023")</f>
        <v/>
      </c>
      <c r="X473">
        <f>HYPERLINK("https://klasma.github.io/Logging_0126/kartor/A 24363-2023 karta.png", "A 24363-2023")</f>
        <v/>
      </c>
      <c r="Y473">
        <f>HYPERLINK("https://klasma.github.io/Logging_0126/kartor_geotiff/A 24363-2023 georefererad karta.tif", "A 24363-2023")</f>
        <v/>
      </c>
      <c r="AA473">
        <f>HYPERLINK("https://klasma.github.io/Logging_0126/klagomål/A 24363-2023 FSC-klagomål.docx", "A 24363-2023")</f>
        <v/>
      </c>
      <c r="AB473">
        <f>HYPERLINK("https://klasma.github.io/Logging_0126/klagomålsmail/A 24363-2023 FSC-klagomål mail.docx", "A 24363-2023")</f>
        <v/>
      </c>
      <c r="AC473">
        <f>HYPERLINK("https://klasma.github.io/Logging_0126/tillsyn/A 24363-2023 tillsynsbegäran.docx", "A 24363-2023")</f>
        <v/>
      </c>
      <c r="AD473">
        <f>HYPERLINK("https://klasma.github.io/Logging_0126/tillsynsmail/A 24363-2023 tillsynsbegäran mail.docx", "A 24363-2023")</f>
        <v/>
      </c>
    </row>
    <row r="474" ht="15" customHeight="1">
      <c r="A474" t="inlineStr">
        <is>
          <t>A 12842-2026</t>
        </is>
      </c>
      <c r="B474" t="inlineStr">
        <is>
          <t>avverkningsanmälan</t>
        </is>
      </c>
      <c r="C474" t="inlineStr">
        <is>
          <t>Föryngringsavverkning</t>
        </is>
      </c>
      <c r="D474" s="1" t="n">
        <v>46092</v>
      </c>
      <c r="E474" s="1" t="n">
        <v>46326</v>
      </c>
      <c r="F474" t="inlineStr">
        <is>
          <t>STOCKHOLMS LÄN</t>
        </is>
      </c>
      <c r="G474" t="inlineStr">
        <is>
          <t>BOTKYRKA</t>
        </is>
      </c>
      <c r="H474" t="inlineStr">
        <is>
          <t>Övriga Aktiebolag</t>
        </is>
      </c>
      <c r="I474" t="n">
        <v>1.7</v>
      </c>
      <c r="J474" t="n">
        <v>0</v>
      </c>
      <c r="K474" t="n">
        <v>0</v>
      </c>
      <c r="L474" t="n">
        <v>1</v>
      </c>
      <c r="M474" t="n">
        <v>0</v>
      </c>
      <c r="N474" t="n">
        <v>0</v>
      </c>
      <c r="O474" t="n">
        <v>0</v>
      </c>
      <c r="P474" t="n">
        <v>0</v>
      </c>
      <c r="Q474" t="n">
        <v>1</v>
      </c>
      <c r="R474" t="n">
        <v>0</v>
      </c>
      <c r="S474" t="n">
        <v>1</v>
      </c>
      <c r="T474" t="n">
        <v>1</v>
      </c>
      <c r="U474" t="n">
        <v>0</v>
      </c>
      <c r="V474" s="2" t="inlineStr">
        <is>
          <t>Fyrflikig jordstjärna</t>
        </is>
      </c>
      <c r="W474">
        <f>HYPERLINK("https://klasma.github.io/Logging_0127/artfynd/A 12842-2026 artfynd.xlsx", "A 12842-2026")</f>
        <v/>
      </c>
      <c r="X474">
        <f>HYPERLINK("https://klasma.github.io/Logging_0127/kartor/A 12842-2026 karta.png", "A 12842-2026")</f>
        <v/>
      </c>
      <c r="Y474">
        <f>HYPERLINK("https://klasma.github.io/Logging_0127/kartor_geotiff/A 12842-2026 georefererad karta.tif", "A 12842-2026")</f>
        <v/>
      </c>
      <c r="AA474">
        <f>HYPERLINK("https://klasma.github.io/Logging_0127/klagomål/A 12842-2026 FSC-klagomål.docx", "A 12842-2026")</f>
        <v/>
      </c>
      <c r="AB474">
        <f>HYPERLINK("https://klasma.github.io/Logging_0127/klagomålsmail/A 12842-2026 FSC-klagomål mail.docx", "A 12842-2026")</f>
        <v/>
      </c>
      <c r="AC474">
        <f>HYPERLINK("https://klasma.github.io/Logging_0127/tillsyn/A 12842-2026 tillsynsbegäran.docx", "A 12842-2026")</f>
        <v/>
      </c>
      <c r="AD474">
        <f>HYPERLINK("https://klasma.github.io/Logging_0127/tillsynsmail/A 12842-2026 tillsynsbegäran mail.docx", "A 12842-2026")</f>
        <v/>
      </c>
    </row>
    <row r="475" ht="15" customHeight="1">
      <c r="A475" t="inlineStr">
        <is>
          <t>A 13109-2026</t>
        </is>
      </c>
      <c r="B475" t="inlineStr">
        <is>
          <t>avverkningsanmälan</t>
        </is>
      </c>
      <c r="C475" t="inlineStr">
        <is>
          <t>Föryngringsavverkning</t>
        </is>
      </c>
      <c r="D475" s="1" t="n">
        <v>46093</v>
      </c>
      <c r="E475" s="1" t="n">
        <v>46326</v>
      </c>
      <c r="F475" t="inlineStr">
        <is>
          <t>STOCKHOLMS LÄN</t>
        </is>
      </c>
      <c r="G475" t="inlineStr">
        <is>
          <t>NORRTÄLJE</t>
        </is>
      </c>
      <c r="I475" t="n">
        <v>4</v>
      </c>
      <c r="J475" t="n">
        <v>1</v>
      </c>
      <c r="K475" t="n">
        <v>0</v>
      </c>
      <c r="L475" t="n">
        <v>0</v>
      </c>
      <c r="M475" t="n">
        <v>0</v>
      </c>
      <c r="N475" t="n">
        <v>1</v>
      </c>
      <c r="O475" t="n">
        <v>0</v>
      </c>
      <c r="P475" t="n">
        <v>0</v>
      </c>
      <c r="Q475" t="n">
        <v>1</v>
      </c>
      <c r="R475" t="n">
        <v>1</v>
      </c>
      <c r="S475" t="n">
        <v>1</v>
      </c>
      <c r="T475" t="n">
        <v>13</v>
      </c>
      <c r="U475" t="n">
        <v>1</v>
      </c>
      <c r="V475" s="2" t="inlineStr">
        <is>
          <t>Asknätfjäril</t>
        </is>
      </c>
      <c r="W475">
        <f>HYPERLINK("https://klasma.github.io/Logging_0188/artfynd/A 13109-2026 artfynd.xlsx", "A 13109-2026")</f>
        <v/>
      </c>
      <c r="X475">
        <f>HYPERLINK("https://klasma.github.io/Logging_0188/kartor/A 13109-2026 karta.png", "A 13109-2026")</f>
        <v/>
      </c>
      <c r="Y475">
        <f>HYPERLINK("https://klasma.github.io/Logging_0188/kartor_geotiff/A 13109-2026 georefererad karta.tif", "A 13109-2026")</f>
        <v/>
      </c>
      <c r="AA475">
        <f>HYPERLINK("https://klasma.github.io/Logging_0188/klagomål/A 13109-2026 FSC-klagomål.docx", "A 13109-2026")</f>
        <v/>
      </c>
      <c r="AB475">
        <f>HYPERLINK("https://klasma.github.io/Logging_0188/klagomålsmail/A 13109-2026 FSC-klagomål mail.docx", "A 13109-2026")</f>
        <v/>
      </c>
      <c r="AC475">
        <f>HYPERLINK("https://klasma.github.io/Logging_0188/tillsyn/A 13109-2026 tillsynsbegäran.docx", "A 13109-2026")</f>
        <v/>
      </c>
      <c r="AD475">
        <f>HYPERLINK("https://klasma.github.io/Logging_0188/tillsynsmail/A 13109-2026 tillsynsbegäran mail.docx", "A 13109-2026")</f>
        <v/>
      </c>
    </row>
    <row r="476" ht="15" customHeight="1">
      <c r="A476" t="inlineStr">
        <is>
          <t>A 23099-2024</t>
        </is>
      </c>
      <c r="B476" t="inlineStr">
        <is>
          <t>avverkningsanmälan</t>
        </is>
      </c>
      <c r="C476" t="inlineStr">
        <is>
          <t>Föryngringsavverkning</t>
        </is>
      </c>
      <c r="D476" s="1" t="n">
        <v>45450</v>
      </c>
      <c r="E476" s="1" t="n">
        <v>46326</v>
      </c>
      <c r="F476" t="inlineStr">
        <is>
          <t>STOCKHOLMS LÄN</t>
        </is>
      </c>
      <c r="G476" t="inlineStr">
        <is>
          <t>UPPLANDS-BRO</t>
        </is>
      </c>
      <c r="H476" t="inlineStr">
        <is>
          <t>Övriga statliga verk och myndigheter</t>
        </is>
      </c>
      <c r="I476" t="n">
        <v>0.7</v>
      </c>
      <c r="J476" t="n">
        <v>0</v>
      </c>
      <c r="K476" t="n">
        <v>0</v>
      </c>
      <c r="L476" t="n">
        <v>0</v>
      </c>
      <c r="M476" t="n">
        <v>1</v>
      </c>
      <c r="N476" t="n">
        <v>0</v>
      </c>
      <c r="O476" t="n">
        <v>0</v>
      </c>
      <c r="P476" t="n">
        <v>0</v>
      </c>
      <c r="Q476" t="n">
        <v>1</v>
      </c>
      <c r="R476" t="n">
        <v>1</v>
      </c>
      <c r="S476" t="n">
        <v>1</v>
      </c>
      <c r="T476" t="n">
        <v>1</v>
      </c>
      <c r="U476" t="n">
        <v>1</v>
      </c>
      <c r="V476" s="2" t="inlineStr">
        <is>
          <t>Bredbrämad bastardsvärmare</t>
        </is>
      </c>
      <c r="W476">
        <f>HYPERLINK("https://klasma.github.io/Logging_0139/artfynd/A 23099-2024 artfynd.xlsx", "A 23099-2024")</f>
        <v/>
      </c>
      <c r="X476">
        <f>HYPERLINK("https://klasma.github.io/Logging_0139/kartor/A 23099-2024 karta.png", "A 23099-2024")</f>
        <v/>
      </c>
      <c r="Y476">
        <f>HYPERLINK("https://klasma.github.io/Logging_0139/kartor_geotiff/A 23099-2024 georefererad karta.tif", "A 23099-2024")</f>
        <v/>
      </c>
      <c r="AA476">
        <f>HYPERLINK("https://klasma.github.io/Logging_0139/klagomål/A 23099-2024 FSC-klagomål.docx", "A 23099-2024")</f>
        <v/>
      </c>
      <c r="AB476">
        <f>HYPERLINK("https://klasma.github.io/Logging_0139/klagomålsmail/A 23099-2024 FSC-klagomål mail.docx", "A 23099-2024")</f>
        <v/>
      </c>
      <c r="AC476">
        <f>HYPERLINK("https://klasma.github.io/Logging_0139/tillsyn/A 23099-2024 tillsynsbegäran.docx", "A 23099-2024")</f>
        <v/>
      </c>
      <c r="AD476">
        <f>HYPERLINK("https://klasma.github.io/Logging_0139/tillsynsmail/A 23099-2024 tillsynsbegäran mail.docx", "A 23099-2024")</f>
        <v/>
      </c>
    </row>
    <row r="477" ht="15" customHeight="1">
      <c r="A477" t="inlineStr">
        <is>
          <t>A 28365-2022</t>
        </is>
      </c>
      <c r="B477" t="inlineStr">
        <is>
          <t>avverkningsanmälan</t>
        </is>
      </c>
      <c r="C477" t="inlineStr">
        <is>
          <t>Avverkning för annat ändamål</t>
        </is>
      </c>
      <c r="D477" s="1" t="n">
        <v>44747</v>
      </c>
      <c r="E477" s="1" t="n">
        <v>46326</v>
      </c>
      <c r="F477" t="inlineStr">
        <is>
          <t>STOCKHOLMS LÄN</t>
        </is>
      </c>
      <c r="G477" t="inlineStr">
        <is>
          <t>NORRTÄLJE</t>
        </is>
      </c>
      <c r="I477" t="n">
        <v>5.1</v>
      </c>
      <c r="J477" t="n">
        <v>0</v>
      </c>
      <c r="K477" t="n">
        <v>0</v>
      </c>
      <c r="L477" t="n">
        <v>1</v>
      </c>
      <c r="M477" t="n">
        <v>0</v>
      </c>
      <c r="N477" t="n">
        <v>0</v>
      </c>
      <c r="O477" t="n">
        <v>0</v>
      </c>
      <c r="P477" t="n">
        <v>0</v>
      </c>
      <c r="Q477" t="n">
        <v>1</v>
      </c>
      <c r="R477" t="n">
        <v>0</v>
      </c>
      <c r="S477" t="n">
        <v>1</v>
      </c>
      <c r="T477" t="n">
        <v>1</v>
      </c>
      <c r="U477" t="n">
        <v>1</v>
      </c>
      <c r="V477" s="2" t="inlineStr">
        <is>
          <t>Oxtungssvamp</t>
        </is>
      </c>
      <c r="W477">
        <f>HYPERLINK("https://klasma.github.io/Logging_0188/artfynd/A 28365-2022 artfynd.xlsx", "A 28365-2022")</f>
        <v/>
      </c>
      <c r="X477">
        <f>HYPERLINK("https://klasma.github.io/Logging_0188/kartor/A 28365-2022 karta.png", "A 28365-2022")</f>
        <v/>
      </c>
      <c r="Y477">
        <f>HYPERLINK("https://klasma.github.io/Logging_0188/kartor_geotiff/A 28365-2022 georefererad karta.tif", "A 28365-2022")</f>
        <v/>
      </c>
      <c r="AA477">
        <f>HYPERLINK("https://klasma.github.io/Logging_0188/klagomål/A 28365-2022 FSC-klagomål.docx", "A 28365-2022")</f>
        <v/>
      </c>
      <c r="AB477">
        <f>HYPERLINK("https://klasma.github.io/Logging_0188/klagomålsmail/A 28365-2022 FSC-klagomål mail.docx", "A 28365-2022")</f>
        <v/>
      </c>
      <c r="AC477">
        <f>HYPERLINK("https://klasma.github.io/Logging_0188/tillsyn/A 28365-2022 tillsynsbegäran.docx", "A 28365-2022")</f>
        <v/>
      </c>
      <c r="AD477">
        <f>HYPERLINK("https://klasma.github.io/Logging_0188/tillsynsmail/A 28365-2022 tillsynsbegäran mail.docx", "A 28365-2022")</f>
        <v/>
      </c>
    </row>
    <row r="478" ht="15" customHeight="1">
      <c r="A478" t="inlineStr">
        <is>
          <t>A 12968-2024</t>
        </is>
      </c>
      <c r="B478" t="inlineStr">
        <is>
          <t>avverkningsanmälan</t>
        </is>
      </c>
      <c r="C478" t="inlineStr">
        <is>
          <t>Föryngringsavverkning</t>
        </is>
      </c>
      <c r="D478" s="1" t="n">
        <v>45385</v>
      </c>
      <c r="E478" s="1" t="n">
        <v>46326</v>
      </c>
      <c r="F478" t="inlineStr">
        <is>
          <t>STOCKHOLMS LÄN</t>
        </is>
      </c>
      <c r="G478" t="inlineStr">
        <is>
          <t>SÖDERTÄLJE</t>
        </is>
      </c>
      <c r="H478" t="inlineStr">
        <is>
          <t>Kommuner</t>
        </is>
      </c>
      <c r="I478" t="n">
        <v>5.5</v>
      </c>
      <c r="J478" t="n">
        <v>0</v>
      </c>
      <c r="K478" t="n">
        <v>0</v>
      </c>
      <c r="L478" t="n">
        <v>0</v>
      </c>
      <c r="M478" t="n">
        <v>0</v>
      </c>
      <c r="N478" t="n">
        <v>1</v>
      </c>
      <c r="O478" t="n">
        <v>0</v>
      </c>
      <c r="P478" t="n">
        <v>0</v>
      </c>
      <c r="Q478" t="n">
        <v>1</v>
      </c>
      <c r="R478" t="n">
        <v>1</v>
      </c>
      <c r="S478" t="n">
        <v>1</v>
      </c>
      <c r="T478" t="n">
        <v>6</v>
      </c>
      <c r="U478" t="n">
        <v>0</v>
      </c>
      <c r="V478" s="2" t="inlineStr">
        <is>
          <t>Ask</t>
        </is>
      </c>
      <c r="W478">
        <f>HYPERLINK("https://klasma.github.io/Logging_0181/artfynd/A 12968-2024 artfynd.xlsx", "A 12968-2024")</f>
        <v/>
      </c>
      <c r="X478">
        <f>HYPERLINK("https://klasma.github.io/Logging_0181/kartor/A 12968-2024 karta.png", "A 12968-2024")</f>
        <v/>
      </c>
      <c r="Y478">
        <f>HYPERLINK("https://klasma.github.io/Logging_0181/kartor_geotiff/A 12968-2024 georefererad karta.tif", "A 12968-2024")</f>
        <v/>
      </c>
      <c r="AA478">
        <f>HYPERLINK("https://klasma.github.io/Logging_0181/klagomål/A 12968-2024 FSC-klagomål.docx", "A 12968-2024")</f>
        <v/>
      </c>
      <c r="AB478">
        <f>HYPERLINK("https://klasma.github.io/Logging_0181/klagomålsmail/A 12968-2024 FSC-klagomål mail.docx", "A 12968-2024")</f>
        <v/>
      </c>
      <c r="AC478">
        <f>HYPERLINK("https://klasma.github.io/Logging_0181/tillsyn/A 12968-2024 tillsynsbegäran.docx", "A 12968-2024")</f>
        <v/>
      </c>
      <c r="AD478">
        <f>HYPERLINK("https://klasma.github.io/Logging_0181/tillsynsmail/A 12968-2024 tillsynsbegäran mail.docx", "A 12968-2024")</f>
        <v/>
      </c>
    </row>
    <row r="479" ht="15" customHeight="1">
      <c r="A479" t="inlineStr">
        <is>
          <t>A 62831-2025</t>
        </is>
      </c>
      <c r="B479" t="inlineStr">
        <is>
          <t>avverkningsanmälan</t>
        </is>
      </c>
      <c r="C479" t="inlineStr">
        <is>
          <t>Föryngringsavverkning</t>
        </is>
      </c>
      <c r="D479" s="1" t="n">
        <v>46008</v>
      </c>
      <c r="E479" s="1" t="n">
        <v>46326</v>
      </c>
      <c r="F479" t="inlineStr">
        <is>
          <t>STOCKHOLMS LÄN</t>
        </is>
      </c>
      <c r="G479" t="inlineStr">
        <is>
          <t>ÖSTERÅKER</t>
        </is>
      </c>
      <c r="I479" t="n">
        <v>1.2</v>
      </c>
      <c r="J479" t="n">
        <v>0</v>
      </c>
      <c r="K479" t="n">
        <v>1</v>
      </c>
      <c r="L479" t="n">
        <v>0</v>
      </c>
      <c r="M479" t="n">
        <v>0</v>
      </c>
      <c r="N479" t="n">
        <v>0</v>
      </c>
      <c r="O479" t="n">
        <v>0</v>
      </c>
      <c r="P479" t="n">
        <v>0</v>
      </c>
      <c r="Q479" t="n">
        <v>0</v>
      </c>
      <c r="R479" t="n">
        <v>0</v>
      </c>
      <c r="S479" t="n">
        <v>1</v>
      </c>
      <c r="T479" t="n">
        <v>1</v>
      </c>
      <c r="U479" t="n">
        <v>0</v>
      </c>
      <c r="V479" s="2" t="inlineStr">
        <is>
          <t>Vedticka</t>
        </is>
      </c>
      <c r="W479">
        <f>HYPERLINK("https://klasma.github.io/Logging_0117/artfynd/A 62831-2025 artfynd.xlsx", "A 62831-2025")</f>
        <v/>
      </c>
      <c r="X479">
        <f>HYPERLINK("https://klasma.github.io/Logging_0117/kartor/A 62831-2025 karta.png", "A 62831-2025")</f>
        <v/>
      </c>
      <c r="Y479">
        <f>HYPERLINK("https://klasma.github.io/Logging_0117/kartor_geotiff/A 62831-2025 georefererad karta.tif", "A 62831-2025")</f>
        <v/>
      </c>
      <c r="AA479">
        <f>HYPERLINK("https://klasma.github.io/Logging_0117/klagomål/A 62831-2025 FSC-klagomål.docx", "A 62831-2025")</f>
        <v/>
      </c>
      <c r="AB479">
        <f>HYPERLINK("https://klasma.github.io/Logging_0117/klagomålsmail/A 62831-2025 FSC-klagomål mail.docx", "A 62831-2025")</f>
        <v/>
      </c>
      <c r="AC479">
        <f>HYPERLINK("https://klasma.github.io/Logging_0117/tillsyn/A 62831-2025 tillsynsbegäran.docx", "A 62831-2025")</f>
        <v/>
      </c>
      <c r="AD479">
        <f>HYPERLINK("https://klasma.github.io/Logging_0117/tillsynsmail/A 62831-2025 tillsynsbegäran mail.docx", "A 62831-2025")</f>
        <v/>
      </c>
    </row>
    <row r="480" ht="15" customHeight="1">
      <c r="A480" t="inlineStr">
        <is>
          <t>A 34823-2022</t>
        </is>
      </c>
      <c r="B480" t="inlineStr">
        <is>
          <t>avverkningsanmälan</t>
        </is>
      </c>
      <c r="C480" t="inlineStr">
        <is>
          <t>Föryngringsavverkning</t>
        </is>
      </c>
      <c r="D480" s="1" t="n">
        <v>44796</v>
      </c>
      <c r="E480" s="1" t="n">
        <v>46326</v>
      </c>
      <c r="F480" t="inlineStr">
        <is>
          <t>STOCKHOLMS LÄN</t>
        </is>
      </c>
      <c r="G480" t="inlineStr">
        <is>
          <t>HANINGE</t>
        </is>
      </c>
      <c r="I480" t="n">
        <v>12</v>
      </c>
      <c r="J480" t="n">
        <v>0</v>
      </c>
      <c r="K480" t="n">
        <v>0</v>
      </c>
      <c r="L480" t="n">
        <v>0</v>
      </c>
      <c r="M480" t="n">
        <v>1</v>
      </c>
      <c r="N480" t="n">
        <v>0</v>
      </c>
      <c r="O480" t="n">
        <v>0</v>
      </c>
      <c r="P480" t="n">
        <v>0</v>
      </c>
      <c r="Q480" t="n">
        <v>1</v>
      </c>
      <c r="R480" t="n">
        <v>1</v>
      </c>
      <c r="S480" t="n">
        <v>1</v>
      </c>
      <c r="T480" t="n">
        <v>1</v>
      </c>
      <c r="U480" t="n">
        <v>0</v>
      </c>
      <c r="V480" s="2" t="inlineStr">
        <is>
          <t>Mörk kraterlav</t>
        </is>
      </c>
      <c r="W480">
        <f>HYPERLINK("https://klasma.github.io/Logging_0136/artfynd/A 34823-2022 artfynd.xlsx", "A 34823-2022")</f>
        <v/>
      </c>
      <c r="X480">
        <f>HYPERLINK("https://klasma.github.io/Logging_0136/kartor/A 34823-2022 karta.png", "A 34823-2022")</f>
        <v/>
      </c>
      <c r="Y480">
        <f>HYPERLINK("https://klasma.github.io/Logging_0136/kartor_geotiff/A 34823-2022 georefererad karta.tif", "A 34823-2022")</f>
        <v/>
      </c>
      <c r="AA480">
        <f>HYPERLINK("https://klasma.github.io/Logging_0136/klagomål/A 34823-2022 FSC-klagomål.docx", "A 34823-2022")</f>
        <v/>
      </c>
      <c r="AB480">
        <f>HYPERLINK("https://klasma.github.io/Logging_0136/klagomålsmail/A 34823-2022 FSC-klagomål mail.docx", "A 34823-2022")</f>
        <v/>
      </c>
      <c r="AC480">
        <f>HYPERLINK("https://klasma.github.io/Logging_0136/tillsyn/A 34823-2022 tillsynsbegäran.docx", "A 34823-2022")</f>
        <v/>
      </c>
      <c r="AD480">
        <f>HYPERLINK("https://klasma.github.io/Logging_0136/tillsynsmail/A 34823-2022 tillsynsbegäran mail.docx", "A 34823-2022")</f>
        <v/>
      </c>
    </row>
    <row r="481" ht="15" customHeight="1">
      <c r="A481" t="inlineStr">
        <is>
          <t>A 33279-2025</t>
        </is>
      </c>
      <c r="B481" t="inlineStr">
        <is>
          <t>avverkningsanmälan</t>
        </is>
      </c>
      <c r="C481" t="inlineStr">
        <is>
          <t>Föryngringsavverkning</t>
        </is>
      </c>
      <c r="D481" s="1" t="n">
        <v>45840</v>
      </c>
      <c r="E481" s="1" t="n">
        <v>46326</v>
      </c>
      <c r="F481" t="inlineStr">
        <is>
          <t>STOCKHOLMS LÄN</t>
        </is>
      </c>
      <c r="G481" t="inlineStr">
        <is>
          <t>NORRTÄLJE</t>
        </is>
      </c>
      <c r="I481" t="n">
        <v>1.8</v>
      </c>
      <c r="J481" t="n">
        <v>0</v>
      </c>
      <c r="K481" t="n">
        <v>1</v>
      </c>
      <c r="L481" t="n">
        <v>0</v>
      </c>
      <c r="M481" t="n">
        <v>0</v>
      </c>
      <c r="N481" t="n">
        <v>0</v>
      </c>
      <c r="O481" t="n">
        <v>0</v>
      </c>
      <c r="P481" t="n">
        <v>0</v>
      </c>
      <c r="Q481" t="n">
        <v>0</v>
      </c>
      <c r="R481" t="n">
        <v>0</v>
      </c>
      <c r="S481" t="n">
        <v>1</v>
      </c>
      <c r="T481" t="n">
        <v>1</v>
      </c>
      <c r="U481" t="n">
        <v>0</v>
      </c>
      <c r="V481" s="2" t="inlineStr">
        <is>
          <t>Platt fjädermossa</t>
        </is>
      </c>
      <c r="W481">
        <f>HYPERLINK("https://klasma.github.io/Logging_0188/artfynd/A 33279-2025 artfynd.xlsx", "A 33279-2025")</f>
        <v/>
      </c>
      <c r="X481">
        <f>HYPERLINK("https://klasma.github.io/Logging_0188/kartor/A 33279-2025 karta.png", "A 33279-2025")</f>
        <v/>
      </c>
      <c r="Y481">
        <f>HYPERLINK("https://klasma.github.io/Logging_0188/kartor_geotiff/A 33279-2025 georefererad karta.tif", "A 33279-2025")</f>
        <v/>
      </c>
      <c r="AA481">
        <f>HYPERLINK("https://klasma.github.io/Logging_0188/klagomål/A 33279-2025 FSC-klagomål.docx", "A 33279-2025")</f>
        <v/>
      </c>
      <c r="AB481">
        <f>HYPERLINK("https://klasma.github.io/Logging_0188/klagomålsmail/A 33279-2025 FSC-klagomål mail.docx", "A 33279-2025")</f>
        <v/>
      </c>
      <c r="AC481">
        <f>HYPERLINK("https://klasma.github.io/Logging_0188/tillsyn/A 33279-2025 tillsynsbegäran.docx", "A 33279-2025")</f>
        <v/>
      </c>
      <c r="AD481">
        <f>HYPERLINK("https://klasma.github.io/Logging_0188/tillsynsmail/A 33279-2025 tillsynsbegäran mail.docx", "A 33279-2025")</f>
        <v/>
      </c>
    </row>
    <row r="482" ht="15" customHeight="1">
      <c r="A482" t="inlineStr">
        <is>
          <t>A 46438-2023</t>
        </is>
      </c>
      <c r="B482" t="inlineStr">
        <is>
          <t>avverkningsanmälan</t>
        </is>
      </c>
      <c r="C482" t="inlineStr">
        <is>
          <t>Föryngringsavverkning</t>
        </is>
      </c>
      <c r="D482" s="1" t="n">
        <v>45197</v>
      </c>
      <c r="E482" s="1" t="n">
        <v>46326</v>
      </c>
      <c r="F482" t="inlineStr">
        <is>
          <t>STOCKHOLMS LÄN</t>
        </is>
      </c>
      <c r="G482" t="inlineStr">
        <is>
          <t>UPPLANDS-BRO</t>
        </is>
      </c>
      <c r="I482" t="n">
        <v>0.5</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46438-2023 artfynd.xlsx", "A 46438-2023")</f>
        <v/>
      </c>
      <c r="X482">
        <f>HYPERLINK("https://klasma.github.io/Logging_0139/kartor/A 46438-2023 karta.png", "A 46438-2023")</f>
        <v/>
      </c>
      <c r="Y482">
        <f>HYPERLINK("https://klasma.github.io/Logging_0139/kartor_geotiff/A 46438-2023 georefererad karta.tif", "A 46438-2023")</f>
        <v/>
      </c>
      <c r="AA482">
        <f>HYPERLINK("https://klasma.github.io/Logging_0139/klagomål/A 46438-2023 FSC-klagomål.docx", "A 46438-2023")</f>
        <v/>
      </c>
      <c r="AB482">
        <f>HYPERLINK("https://klasma.github.io/Logging_0139/klagomålsmail/A 46438-2023 FSC-klagomål mail.docx", "A 46438-2023")</f>
        <v/>
      </c>
      <c r="AC482">
        <f>HYPERLINK("https://klasma.github.io/Logging_0139/tillsyn/A 46438-2023 tillsynsbegäran.docx", "A 46438-2023")</f>
        <v/>
      </c>
      <c r="AD482">
        <f>HYPERLINK("https://klasma.github.io/Logging_0139/tillsynsmail/A 46438-2023 tillsynsbegäran mail.docx", "A 46438-2023")</f>
        <v/>
      </c>
    </row>
    <row r="483" ht="15" customHeight="1">
      <c r="A483" t="inlineStr">
        <is>
          <t>A 51087-2023</t>
        </is>
      </c>
      <c r="B483" t="inlineStr">
        <is>
          <t>avverkningsanmälan</t>
        </is>
      </c>
      <c r="C483" t="inlineStr">
        <is>
          <t>Föryngringsavverkning</t>
        </is>
      </c>
      <c r="D483" s="1" t="n">
        <v>45218</v>
      </c>
      <c r="E483" s="1" t="n">
        <v>46326</v>
      </c>
      <c r="F483" t="inlineStr">
        <is>
          <t>STOCKHOLMS LÄN</t>
        </is>
      </c>
      <c r="G483" t="inlineStr">
        <is>
          <t>SÖDERTÄLJE</t>
        </is>
      </c>
      <c r="I483" t="n">
        <v>4.2</v>
      </c>
      <c r="J483" t="n">
        <v>1</v>
      </c>
      <c r="K483" t="n">
        <v>0</v>
      </c>
      <c r="L483" t="n">
        <v>0</v>
      </c>
      <c r="M483" t="n">
        <v>0</v>
      </c>
      <c r="N483" t="n">
        <v>0</v>
      </c>
      <c r="O483" t="n">
        <v>0</v>
      </c>
      <c r="P483" t="n">
        <v>0</v>
      </c>
      <c r="Q483" t="n">
        <v>0</v>
      </c>
      <c r="R483" t="n">
        <v>0</v>
      </c>
      <c r="S483" t="n">
        <v>1</v>
      </c>
      <c r="T483" t="n">
        <v>1</v>
      </c>
      <c r="U483" t="n">
        <v>1</v>
      </c>
      <c r="V483" s="2" t="inlineStr">
        <is>
          <t>Kopparödla</t>
        </is>
      </c>
      <c r="W483">
        <f>HYPERLINK("https://klasma.github.io/Logging_0181/artfynd/A 51087-2023 artfynd.xlsx", "A 51087-2023")</f>
        <v/>
      </c>
      <c r="X483">
        <f>HYPERLINK("https://klasma.github.io/Logging_0181/kartor/A 51087-2023 karta.png", "A 51087-2023")</f>
        <v/>
      </c>
      <c r="Y483">
        <f>HYPERLINK("https://klasma.github.io/Logging_0181/kartor_geotiff/A 51087-2023 georefererad karta.tif", "A 51087-2023")</f>
        <v/>
      </c>
      <c r="AA483">
        <f>HYPERLINK("https://klasma.github.io/Logging_0181/klagomål/A 51087-2023 FSC-klagomål.docx", "A 51087-2023")</f>
        <v/>
      </c>
      <c r="AB483">
        <f>HYPERLINK("https://klasma.github.io/Logging_0181/klagomålsmail/A 51087-2023 FSC-klagomål mail.docx", "A 51087-2023")</f>
        <v/>
      </c>
      <c r="AC483">
        <f>HYPERLINK("https://klasma.github.io/Logging_0181/tillsyn/A 51087-2023 tillsynsbegäran.docx", "A 51087-2023")</f>
        <v/>
      </c>
      <c r="AD483">
        <f>HYPERLINK("https://klasma.github.io/Logging_0181/tillsynsmail/A 51087-2023 tillsynsbegäran mail.docx", "A 51087-2023")</f>
        <v/>
      </c>
    </row>
    <row r="484" ht="15" customHeight="1">
      <c r="A484" t="inlineStr">
        <is>
          <t>A 15912-2026</t>
        </is>
      </c>
      <c r="B484" t="inlineStr">
        <is>
          <t>avverkningsanmälan</t>
        </is>
      </c>
      <c r="C484" t="inlineStr">
        <is>
          <t>Föryngringsavverkning</t>
        </is>
      </c>
      <c r="D484" s="1" t="n">
        <v>46107</v>
      </c>
      <c r="E484" s="1" t="n">
        <v>46326</v>
      </c>
      <c r="F484" t="inlineStr">
        <is>
          <t>STOCKHOLMS LÄN</t>
        </is>
      </c>
      <c r="G484" t="inlineStr">
        <is>
          <t>NYKVARN</t>
        </is>
      </c>
      <c r="H484" t="inlineStr">
        <is>
          <t>Sveaskog</t>
        </is>
      </c>
      <c r="I484" t="n">
        <v>12.9</v>
      </c>
      <c r="J484" t="n">
        <v>1</v>
      </c>
      <c r="K484" t="n">
        <v>0</v>
      </c>
      <c r="L484" t="n">
        <v>0</v>
      </c>
      <c r="M484" t="n">
        <v>0</v>
      </c>
      <c r="N484" t="n">
        <v>0</v>
      </c>
      <c r="O484" t="n">
        <v>0</v>
      </c>
      <c r="P484" t="n">
        <v>0</v>
      </c>
      <c r="Q484" t="n">
        <v>0</v>
      </c>
      <c r="R484" t="n">
        <v>0</v>
      </c>
      <c r="S484" t="n">
        <v>1</v>
      </c>
      <c r="T484" t="n">
        <v>1</v>
      </c>
      <c r="U484" t="n">
        <v>0</v>
      </c>
      <c r="V484" s="2" t="inlineStr">
        <is>
          <t>Skogsödla</t>
        </is>
      </c>
      <c r="W484">
        <f>HYPERLINK("https://klasma.github.io/Logging_0140/artfynd/A 15912-2026 artfynd.xlsx", "A 15912-2026")</f>
        <v/>
      </c>
      <c r="X484">
        <f>HYPERLINK("https://klasma.github.io/Logging_0140/kartor/A 15912-2026 karta.png", "A 15912-2026")</f>
        <v/>
      </c>
      <c r="Y484">
        <f>HYPERLINK("https://klasma.github.io/Logging_0140/kartor_geotiff/A 15912-2026 georefererad karta.tif", "A 15912-2026")</f>
        <v/>
      </c>
      <c r="AA484">
        <f>HYPERLINK("https://klasma.github.io/Logging_0140/klagomål/A 15912-2026 FSC-klagomål.docx", "A 15912-2026")</f>
        <v/>
      </c>
      <c r="AB484">
        <f>HYPERLINK("https://klasma.github.io/Logging_0140/klagomålsmail/A 15912-2026 FSC-klagomål mail.docx", "A 15912-2026")</f>
        <v/>
      </c>
      <c r="AC484">
        <f>HYPERLINK("https://klasma.github.io/Logging_0140/tillsyn/A 15912-2026 tillsynsbegäran.docx", "A 15912-2026")</f>
        <v/>
      </c>
      <c r="AD484">
        <f>HYPERLINK("https://klasma.github.io/Logging_0140/tillsynsmail/A 15912-2026 tillsynsbegäran mail.docx", "A 15912-2026")</f>
        <v/>
      </c>
    </row>
    <row r="485" ht="15" customHeight="1">
      <c r="A485" t="inlineStr">
        <is>
          <t>A 19025-2025</t>
        </is>
      </c>
      <c r="B485" t="inlineStr">
        <is>
          <t>avverkningsanmälan</t>
        </is>
      </c>
      <c r="C485" t="inlineStr">
        <is>
          <t>Föryngringsavverkning</t>
        </is>
      </c>
      <c r="D485" s="1" t="n">
        <v>45764</v>
      </c>
      <c r="E485" s="1" t="n">
        <v>46326</v>
      </c>
      <c r="F485" t="inlineStr">
        <is>
          <t>STOCKHOLMS LÄN</t>
        </is>
      </c>
      <c r="G485" t="inlineStr">
        <is>
          <t>NORRTÄLJE</t>
        </is>
      </c>
      <c r="I485" t="n">
        <v>1.2</v>
      </c>
      <c r="J485" t="n">
        <v>0</v>
      </c>
      <c r="K485" t="n">
        <v>1</v>
      </c>
      <c r="L485" t="n">
        <v>0</v>
      </c>
      <c r="M485" t="n">
        <v>0</v>
      </c>
      <c r="N485" t="n">
        <v>0</v>
      </c>
      <c r="O485" t="n">
        <v>0</v>
      </c>
      <c r="P485" t="n">
        <v>0</v>
      </c>
      <c r="Q485" t="n">
        <v>0</v>
      </c>
      <c r="R485" t="n">
        <v>0</v>
      </c>
      <c r="S485" t="n">
        <v>1</v>
      </c>
      <c r="T485" t="n">
        <v>1</v>
      </c>
      <c r="U485" t="n">
        <v>0</v>
      </c>
      <c r="V485" s="2" t="inlineStr">
        <is>
          <t>Granbarkgnagare</t>
        </is>
      </c>
      <c r="W485">
        <f>HYPERLINK("https://klasma.github.io/Logging_0188/artfynd/A 19025-2025 artfynd.xlsx", "A 19025-2025")</f>
        <v/>
      </c>
      <c r="X485">
        <f>HYPERLINK("https://klasma.github.io/Logging_0188/kartor/A 19025-2025 karta.png", "A 19025-2025")</f>
        <v/>
      </c>
      <c r="Y485">
        <f>HYPERLINK("https://klasma.github.io/Logging_0188/kartor_geotiff/A 19025-2025 georefererad karta.tif", "A 19025-2025")</f>
        <v/>
      </c>
      <c r="AA485">
        <f>HYPERLINK("https://klasma.github.io/Logging_0188/klagomål/A 19025-2025 FSC-klagomål.docx", "A 19025-2025")</f>
        <v/>
      </c>
      <c r="AB485">
        <f>HYPERLINK("https://klasma.github.io/Logging_0188/klagomålsmail/A 19025-2025 FSC-klagomål mail.docx", "A 19025-2025")</f>
        <v/>
      </c>
      <c r="AC485">
        <f>HYPERLINK("https://klasma.github.io/Logging_0188/tillsyn/A 19025-2025 tillsynsbegäran.docx", "A 19025-2025")</f>
        <v/>
      </c>
      <c r="AD485">
        <f>HYPERLINK("https://klasma.github.io/Logging_0188/tillsynsmail/A 19025-2025 tillsynsbegäran mail.docx", "A 19025-2025")</f>
        <v/>
      </c>
    </row>
    <row r="486" ht="15" customHeight="1">
      <c r="A486" t="inlineStr">
        <is>
          <t>A 40895-2024</t>
        </is>
      </c>
      <c r="B486" t="inlineStr">
        <is>
          <t>avverkningsanmälan</t>
        </is>
      </c>
      <c r="C486" t="inlineStr">
        <is>
          <t>Föryngringsavverkning</t>
        </is>
      </c>
      <c r="D486" s="1" t="n">
        <v>45558</v>
      </c>
      <c r="E486" s="1" t="n">
        <v>46326</v>
      </c>
      <c r="F486" t="inlineStr">
        <is>
          <t>STOCKHOLMS LÄN</t>
        </is>
      </c>
      <c r="G486" t="inlineStr">
        <is>
          <t>NYNÄSHAMN</t>
        </is>
      </c>
      <c r="I486" t="n">
        <v>3.7</v>
      </c>
      <c r="J486" t="n">
        <v>0</v>
      </c>
      <c r="K486" t="n">
        <v>1</v>
      </c>
      <c r="L486" t="n">
        <v>0</v>
      </c>
      <c r="M486" t="n">
        <v>0</v>
      </c>
      <c r="N486" t="n">
        <v>0</v>
      </c>
      <c r="O486" t="n">
        <v>0</v>
      </c>
      <c r="P486" t="n">
        <v>0</v>
      </c>
      <c r="Q486" t="n">
        <v>0</v>
      </c>
      <c r="R486" t="n">
        <v>0</v>
      </c>
      <c r="S486" t="n">
        <v>1</v>
      </c>
      <c r="T486" t="n">
        <v>1</v>
      </c>
      <c r="U486" t="n">
        <v>1</v>
      </c>
      <c r="V486" s="2" t="inlineStr">
        <is>
          <t>Stubbspretmossa</t>
        </is>
      </c>
      <c r="W486">
        <f>HYPERLINK("https://klasma.github.io/Logging_0192/artfynd/A 40895-2024 artfynd.xlsx", "A 40895-2024")</f>
        <v/>
      </c>
      <c r="X486">
        <f>HYPERLINK("https://klasma.github.io/Logging_0192/kartor/A 40895-2024 karta.png", "A 40895-2024")</f>
        <v/>
      </c>
      <c r="Y486">
        <f>HYPERLINK("https://klasma.github.io/Logging_0192/kartor_geotiff/A 40895-2024 georefererad karta.tif", "A 40895-2024")</f>
        <v/>
      </c>
      <c r="AA486">
        <f>HYPERLINK("https://klasma.github.io/Logging_0192/klagomål/A 40895-2024 FSC-klagomål.docx", "A 40895-2024")</f>
        <v/>
      </c>
      <c r="AB486">
        <f>HYPERLINK("https://klasma.github.io/Logging_0192/klagomålsmail/A 40895-2024 FSC-klagomål mail.docx", "A 40895-2024")</f>
        <v/>
      </c>
      <c r="AC486">
        <f>HYPERLINK("https://klasma.github.io/Logging_0192/tillsyn/A 40895-2024 tillsynsbegäran.docx", "A 40895-2024")</f>
        <v/>
      </c>
      <c r="AD486">
        <f>HYPERLINK("https://klasma.github.io/Logging_0192/tillsynsmail/A 40895-2024 tillsynsbegäran mail.docx", "A 40895-2024")</f>
        <v/>
      </c>
    </row>
    <row r="487" ht="15" customHeight="1">
      <c r="A487" t="inlineStr">
        <is>
          <t>A 19355-2026</t>
        </is>
      </c>
      <c r="B487" t="inlineStr">
        <is>
          <t>avverkningsanmälan</t>
        </is>
      </c>
      <c r="C487" t="inlineStr">
        <is>
          <t>Föryngringsavverkning</t>
        </is>
      </c>
      <c r="D487" s="1" t="n">
        <v>46133</v>
      </c>
      <c r="E487" s="1" t="n">
        <v>46326</v>
      </c>
      <c r="F487" t="inlineStr">
        <is>
          <t>STOCKHOLMS LÄN</t>
        </is>
      </c>
      <c r="G487" t="inlineStr">
        <is>
          <t>NORRTÄLJE</t>
        </is>
      </c>
      <c r="I487" t="n">
        <v>22.5</v>
      </c>
      <c r="J487" t="n">
        <v>0</v>
      </c>
      <c r="K487" t="n">
        <v>1</v>
      </c>
      <c r="L487" t="n">
        <v>0</v>
      </c>
      <c r="M487" t="n">
        <v>0</v>
      </c>
      <c r="N487" t="n">
        <v>0</v>
      </c>
      <c r="O487" t="n">
        <v>0</v>
      </c>
      <c r="P487" t="n">
        <v>0</v>
      </c>
      <c r="Q487" t="n">
        <v>0</v>
      </c>
      <c r="R487" t="n">
        <v>0</v>
      </c>
      <c r="S487" t="n">
        <v>1</v>
      </c>
      <c r="T487" t="n">
        <v>1</v>
      </c>
      <c r="U487" t="n">
        <v>0</v>
      </c>
      <c r="V487" s="2" t="inlineStr">
        <is>
          <t>Mönjevaxing</t>
        </is>
      </c>
      <c r="W487">
        <f>HYPERLINK("https://klasma.github.io/Logging_0188/artfynd/A 19355-2026 artfynd.xlsx", "A 19355-2026")</f>
        <v/>
      </c>
      <c r="X487">
        <f>HYPERLINK("https://klasma.github.io/Logging_0188/kartor/A 19355-2026 karta.png", "A 19355-2026")</f>
        <v/>
      </c>
      <c r="Y487">
        <f>HYPERLINK("https://klasma.github.io/Logging_0188/kartor_geotiff/A 19355-2026 georefererad karta.tif", "A 19355-2026")</f>
        <v/>
      </c>
      <c r="AA487">
        <f>HYPERLINK("https://klasma.github.io/Logging_0188/klagomål/A 19355-2026 FSC-klagomål.docx", "A 19355-2026")</f>
        <v/>
      </c>
      <c r="AB487">
        <f>HYPERLINK("https://klasma.github.io/Logging_0188/klagomålsmail/A 19355-2026 FSC-klagomål mail.docx", "A 19355-2026")</f>
        <v/>
      </c>
      <c r="AC487">
        <f>HYPERLINK("https://klasma.github.io/Logging_0188/tillsyn/A 19355-2026 tillsynsbegäran.docx", "A 19355-2026")</f>
        <v/>
      </c>
      <c r="AD487">
        <f>HYPERLINK("https://klasma.github.io/Logging_0188/tillsynsmail/A 19355-2026 tillsynsbegäran mail.docx", "A 19355-2026")</f>
        <v/>
      </c>
    </row>
    <row r="488" ht="15" customHeight="1">
      <c r="A488" t="inlineStr">
        <is>
          <t>A 17843-2024</t>
        </is>
      </c>
      <c r="B488" t="inlineStr">
        <is>
          <t>avverkningsanmälan</t>
        </is>
      </c>
      <c r="C488" t="inlineStr">
        <is>
          <t>Föryngringsavverkning</t>
        </is>
      </c>
      <c r="D488" s="1" t="n">
        <v>45418</v>
      </c>
      <c r="E488" s="1" t="n">
        <v>46326</v>
      </c>
      <c r="F488" t="inlineStr">
        <is>
          <t>STOCKHOLMS LÄN</t>
        </is>
      </c>
      <c r="G488" t="inlineStr">
        <is>
          <t>NORRTÄLJE</t>
        </is>
      </c>
      <c r="I488" t="n">
        <v>5.4</v>
      </c>
      <c r="J488" t="n">
        <v>0</v>
      </c>
      <c r="K488" t="n">
        <v>0</v>
      </c>
      <c r="L488" t="n">
        <v>1</v>
      </c>
      <c r="M488" t="n">
        <v>0</v>
      </c>
      <c r="N488" t="n">
        <v>0</v>
      </c>
      <c r="O488" t="n">
        <v>0</v>
      </c>
      <c r="P488" t="n">
        <v>0</v>
      </c>
      <c r="Q488" t="n">
        <v>1</v>
      </c>
      <c r="R488" t="n">
        <v>0</v>
      </c>
      <c r="S488" t="n">
        <v>1</v>
      </c>
      <c r="T488" t="n">
        <v>1</v>
      </c>
      <c r="U488" t="n">
        <v>0</v>
      </c>
      <c r="V488" s="2" t="inlineStr">
        <is>
          <t>Krisslesköldbagge</t>
        </is>
      </c>
      <c r="W488">
        <f>HYPERLINK("https://klasma.github.io/Logging_0188/artfynd/A 17843-2024 artfynd.xlsx", "A 17843-2024")</f>
        <v/>
      </c>
      <c r="X488">
        <f>HYPERLINK("https://klasma.github.io/Logging_0188/kartor/A 17843-2024 karta.png", "A 17843-2024")</f>
        <v/>
      </c>
      <c r="Y488">
        <f>HYPERLINK("https://klasma.github.io/Logging_0188/kartor_geotiff/A 17843-2024 georefererad karta.tif", "A 17843-2024")</f>
        <v/>
      </c>
      <c r="AA488">
        <f>HYPERLINK("https://klasma.github.io/Logging_0188/klagomål/A 17843-2024 FSC-klagomål.docx", "A 17843-2024")</f>
        <v/>
      </c>
      <c r="AB488">
        <f>HYPERLINK("https://klasma.github.io/Logging_0188/klagomålsmail/A 17843-2024 FSC-klagomål mail.docx", "A 17843-2024")</f>
        <v/>
      </c>
      <c r="AC488">
        <f>HYPERLINK("https://klasma.github.io/Logging_0188/tillsyn/A 17843-2024 tillsynsbegäran.docx", "A 17843-2024")</f>
        <v/>
      </c>
      <c r="AD488">
        <f>HYPERLINK("https://klasma.github.io/Logging_0188/tillsynsmail/A 17843-2024 tillsynsbegäran mail.docx", "A 17843-2024")</f>
        <v/>
      </c>
    </row>
    <row r="489" ht="15" customHeight="1">
      <c r="A489" t="inlineStr">
        <is>
          <t>A 7734-2026</t>
        </is>
      </c>
      <c r="B489" t="inlineStr">
        <is>
          <t>avverkningsanmälan</t>
        </is>
      </c>
      <c r="C489" t="inlineStr">
        <is>
          <t>Föryngringsavverkning</t>
        </is>
      </c>
      <c r="D489" s="1" t="n">
        <v>46062</v>
      </c>
      <c r="E489" s="1" t="n">
        <v>46326</v>
      </c>
      <c r="F489" t="inlineStr">
        <is>
          <t>STOCKHOLMS LÄN</t>
        </is>
      </c>
      <c r="G489" t="inlineStr">
        <is>
          <t>NORRTÄLJE</t>
        </is>
      </c>
      <c r="I489" t="n">
        <v>6.6</v>
      </c>
      <c r="J489" t="n">
        <v>0</v>
      </c>
      <c r="K489" t="n">
        <v>1</v>
      </c>
      <c r="L489" t="n">
        <v>0</v>
      </c>
      <c r="M489" t="n">
        <v>0</v>
      </c>
      <c r="N489" t="n">
        <v>0</v>
      </c>
      <c r="O489" t="n">
        <v>0</v>
      </c>
      <c r="P489" t="n">
        <v>0</v>
      </c>
      <c r="Q489" t="n">
        <v>0</v>
      </c>
      <c r="R489" t="n">
        <v>0</v>
      </c>
      <c r="S489" t="n">
        <v>1</v>
      </c>
      <c r="T489" t="n">
        <v>1</v>
      </c>
      <c r="U489" t="n">
        <v>0</v>
      </c>
      <c r="V489" s="2" t="inlineStr">
        <is>
          <t>Kastanjefjällskivling</t>
        </is>
      </c>
      <c r="W489">
        <f>HYPERLINK("https://klasma.github.io/Logging_0188/artfynd/A 7734-2026 artfynd.xlsx", "A 7734-2026")</f>
        <v/>
      </c>
      <c r="X489">
        <f>HYPERLINK("https://klasma.github.io/Logging_0188/kartor/A 7734-2026 karta.png", "A 7734-2026")</f>
        <v/>
      </c>
      <c r="Y489">
        <f>HYPERLINK("https://klasma.github.io/Logging_0188/kartor_geotiff/A 7734-2026 georefererad karta.tif", "A 7734-2026")</f>
        <v/>
      </c>
      <c r="AA489">
        <f>HYPERLINK("https://klasma.github.io/Logging_0188/klagomål/A 7734-2026 FSC-klagomål.docx", "A 7734-2026")</f>
        <v/>
      </c>
      <c r="AB489">
        <f>HYPERLINK("https://klasma.github.io/Logging_0188/klagomålsmail/A 7734-2026 FSC-klagomål mail.docx", "A 7734-2026")</f>
        <v/>
      </c>
      <c r="AC489">
        <f>HYPERLINK("https://klasma.github.io/Logging_0188/tillsyn/A 7734-2026 tillsynsbegäran.docx", "A 7734-2026")</f>
        <v/>
      </c>
      <c r="AD489">
        <f>HYPERLINK("https://klasma.github.io/Logging_0188/tillsynsmail/A 7734-2026 tillsynsbegäran mail.docx", "A 7734-2026")</f>
        <v/>
      </c>
    </row>
    <row r="490" ht="15" customHeight="1">
      <c r="A490" t="inlineStr">
        <is>
          <t>A 17348-2025</t>
        </is>
      </c>
      <c r="B490" t="inlineStr">
        <is>
          <t>avverkningsanmälan</t>
        </is>
      </c>
      <c r="C490" t="inlineStr">
        <is>
          <t>Föryngringsavverkning</t>
        </is>
      </c>
      <c r="D490" s="1" t="n">
        <v>45756</v>
      </c>
      <c r="E490" s="1" t="n">
        <v>46326</v>
      </c>
      <c r="F490" t="inlineStr">
        <is>
          <t>STOCKHOLMS LÄN</t>
        </is>
      </c>
      <c r="G490" t="inlineStr">
        <is>
          <t>VALLENTUNA</t>
        </is>
      </c>
      <c r="H490" t="inlineStr">
        <is>
          <t>Övriga Aktiebolag</t>
        </is>
      </c>
      <c r="I490" t="n">
        <v>2.2</v>
      </c>
      <c r="J490" t="n">
        <v>0</v>
      </c>
      <c r="K490" t="n">
        <v>1</v>
      </c>
      <c r="L490" t="n">
        <v>0</v>
      </c>
      <c r="M490" t="n">
        <v>0</v>
      </c>
      <c r="N490" t="n">
        <v>0</v>
      </c>
      <c r="O490" t="n">
        <v>0</v>
      </c>
      <c r="P490" t="n">
        <v>0</v>
      </c>
      <c r="Q490" t="n">
        <v>0</v>
      </c>
      <c r="R490" t="n">
        <v>0</v>
      </c>
      <c r="S490" t="n">
        <v>1</v>
      </c>
      <c r="T490" t="n">
        <v>1</v>
      </c>
      <c r="U490" t="n">
        <v>0</v>
      </c>
      <c r="V490" s="2" t="inlineStr">
        <is>
          <t>Björksplintborre</t>
        </is>
      </c>
      <c r="W490">
        <f>HYPERLINK("https://klasma.github.io/Logging_0115/artfynd/A 17348-2025 artfynd.xlsx", "A 17348-2025")</f>
        <v/>
      </c>
      <c r="X490">
        <f>HYPERLINK("https://klasma.github.io/Logging_0115/kartor/A 17348-2025 karta.png", "A 17348-2025")</f>
        <v/>
      </c>
      <c r="Y490">
        <f>HYPERLINK("https://klasma.github.io/Logging_0115/kartor_geotiff/A 17348-2025 georefererad karta.tif", "A 17348-2025")</f>
        <v/>
      </c>
      <c r="AA490">
        <f>HYPERLINK("https://klasma.github.io/Logging_0115/klagomål/A 17348-2025 FSC-klagomål.docx", "A 17348-2025")</f>
        <v/>
      </c>
      <c r="AB490">
        <f>HYPERLINK("https://klasma.github.io/Logging_0115/klagomålsmail/A 17348-2025 FSC-klagomål mail.docx", "A 17348-2025")</f>
        <v/>
      </c>
      <c r="AC490">
        <f>HYPERLINK("https://klasma.github.io/Logging_0115/tillsyn/A 17348-2025 tillsynsbegäran.docx", "A 17348-2025")</f>
        <v/>
      </c>
      <c r="AD490">
        <f>HYPERLINK("https://klasma.github.io/Logging_0115/tillsynsmail/A 17348-2025 tillsynsbegäran mail.docx", "A 17348-2025")</f>
        <v/>
      </c>
    </row>
    <row r="491" ht="15" customHeight="1">
      <c r="A491" t="inlineStr">
        <is>
          <t>A 32011-2023</t>
        </is>
      </c>
      <c r="B491" t="inlineStr">
        <is>
          <t>avverkningsanmälan</t>
        </is>
      </c>
      <c r="C491" t="inlineStr">
        <is>
          <t>Föryngringsavverkning</t>
        </is>
      </c>
      <c r="D491" s="1" t="n">
        <v>45119</v>
      </c>
      <c r="E491" s="1" t="n">
        <v>46326</v>
      </c>
      <c r="F491" t="inlineStr">
        <is>
          <t>STOCKHOLMS LÄN</t>
        </is>
      </c>
      <c r="G491" t="inlineStr">
        <is>
          <t>NYNÄSHAMN</t>
        </is>
      </c>
      <c r="H491" t="inlineStr">
        <is>
          <t>Kommuner</t>
        </is>
      </c>
      <c r="I491" t="n">
        <v>5.4</v>
      </c>
      <c r="J491" t="n">
        <v>1</v>
      </c>
      <c r="K491" t="n">
        <v>0</v>
      </c>
      <c r="L491" t="n">
        <v>0</v>
      </c>
      <c r="M491" t="n">
        <v>0</v>
      </c>
      <c r="N491" t="n">
        <v>0</v>
      </c>
      <c r="O491" t="n">
        <v>0</v>
      </c>
      <c r="P491" t="n">
        <v>0</v>
      </c>
      <c r="Q491" t="n">
        <v>0</v>
      </c>
      <c r="R491" t="n">
        <v>0</v>
      </c>
      <c r="S491" t="n">
        <v>1</v>
      </c>
      <c r="T491" t="n">
        <v>1</v>
      </c>
      <c r="U491" t="n">
        <v>1</v>
      </c>
      <c r="V491" s="2" t="inlineStr">
        <is>
          <t>Fiskgjuse</t>
        </is>
      </c>
      <c r="W491">
        <f>HYPERLINK("https://klasma.github.io/Logging_0192/artfynd/A 32011-2023 artfynd.xlsx", "A 32011-2023")</f>
        <v/>
      </c>
      <c r="X491">
        <f>HYPERLINK("https://klasma.github.io/Logging_0192/kartor/A 32011-2023 karta.png", "A 32011-2023")</f>
        <v/>
      </c>
      <c r="Y491">
        <f>HYPERLINK("https://klasma.github.io/Logging_0192/kartor_geotiff/A 32011-2023 georefererad karta.tif", "A 32011-2023")</f>
        <v/>
      </c>
      <c r="AA491">
        <f>HYPERLINK("https://klasma.github.io/Logging_0192/klagomål/A 32011-2023 FSC-klagomål.docx", "A 32011-2023")</f>
        <v/>
      </c>
      <c r="AB491">
        <f>HYPERLINK("https://klasma.github.io/Logging_0192/klagomålsmail/A 32011-2023 FSC-klagomål mail.docx", "A 32011-2023")</f>
        <v/>
      </c>
      <c r="AC491">
        <f>HYPERLINK("https://klasma.github.io/Logging_0192/tillsyn/A 32011-2023 tillsynsbegäran.docx", "A 32011-2023")</f>
        <v/>
      </c>
      <c r="AD491">
        <f>HYPERLINK("https://klasma.github.io/Logging_0192/tillsynsmail/A 32011-2023 tillsynsbegäran mail.docx", "A 32011-2023")</f>
        <v/>
      </c>
      <c r="AE491">
        <f>HYPERLINK("https://klasma.github.io/Logging_0192/fåglar/A 32011-2023 prioriterade fågelarter.docx", "A 32011-2023")</f>
        <v/>
      </c>
    </row>
    <row r="492" ht="15" customHeight="1">
      <c r="A492" t="inlineStr">
        <is>
          <t>A 63292-2025</t>
        </is>
      </c>
      <c r="B492" t="inlineStr">
        <is>
          <t>avverkningsanmälan</t>
        </is>
      </c>
      <c r="C492" t="inlineStr">
        <is>
          <t>Föryngringsavverkning</t>
        </is>
      </c>
      <c r="D492" s="1" t="n">
        <v>46010</v>
      </c>
      <c r="E492" s="1" t="n">
        <v>46326</v>
      </c>
      <c r="F492" t="inlineStr">
        <is>
          <t>STOCKHOLMS LÄN</t>
        </is>
      </c>
      <c r="G492" t="inlineStr">
        <is>
          <t>NORRTÄLJE</t>
        </is>
      </c>
      <c r="I492" t="n">
        <v>11.1</v>
      </c>
      <c r="J492" t="n">
        <v>1</v>
      </c>
      <c r="K492" t="n">
        <v>1</v>
      </c>
      <c r="L492" t="n">
        <v>0</v>
      </c>
      <c r="M492" t="n">
        <v>0</v>
      </c>
      <c r="N492" t="n">
        <v>0</v>
      </c>
      <c r="O492" t="n">
        <v>0</v>
      </c>
      <c r="P492" t="n">
        <v>0</v>
      </c>
      <c r="Q492" t="n">
        <v>0</v>
      </c>
      <c r="R492" t="n">
        <v>0</v>
      </c>
      <c r="S492" t="n">
        <v>1</v>
      </c>
      <c r="T492" t="n">
        <v>1</v>
      </c>
      <c r="U492" t="n">
        <v>1</v>
      </c>
      <c r="V492" s="2" t="inlineStr">
        <is>
          <t>Nästrot</t>
        </is>
      </c>
      <c r="W492">
        <f>HYPERLINK("https://klasma.github.io/Logging_0188/artfynd/A 63292-2025 artfynd.xlsx", "A 63292-2025")</f>
        <v/>
      </c>
      <c r="X492">
        <f>HYPERLINK("https://klasma.github.io/Logging_0188/kartor/A 63292-2025 karta.png", "A 63292-2025")</f>
        <v/>
      </c>
      <c r="Y492">
        <f>HYPERLINK("https://klasma.github.io/Logging_0188/kartor_geotiff/A 63292-2025 georefererad karta.tif", "A 63292-2025")</f>
        <v/>
      </c>
      <c r="AA492">
        <f>HYPERLINK("https://klasma.github.io/Logging_0188/klagomål/A 63292-2025 FSC-klagomål.docx", "A 63292-2025")</f>
        <v/>
      </c>
      <c r="AB492">
        <f>HYPERLINK("https://klasma.github.io/Logging_0188/klagomålsmail/A 63292-2025 FSC-klagomål mail.docx", "A 63292-2025")</f>
        <v/>
      </c>
      <c r="AC492">
        <f>HYPERLINK("https://klasma.github.io/Logging_0188/tillsyn/A 63292-2025 tillsynsbegäran.docx", "A 63292-2025")</f>
        <v/>
      </c>
      <c r="AD492">
        <f>HYPERLINK("https://klasma.github.io/Logging_0188/tillsynsmail/A 63292-2025 tillsynsbegäran mail.docx", "A 63292-2025")</f>
        <v/>
      </c>
    </row>
    <row r="493" ht="15" customHeight="1">
      <c r="A493" t="inlineStr">
        <is>
          <t>A 6648-2023</t>
        </is>
      </c>
      <c r="B493" t="inlineStr">
        <is>
          <t>avverkningsanmälan</t>
        </is>
      </c>
      <c r="C493" t="inlineStr">
        <is>
          <t>Föryngringsavverkning</t>
        </is>
      </c>
      <c r="D493" s="1" t="n">
        <v>44966</v>
      </c>
      <c r="E493" s="1" t="n">
        <v>46326</v>
      </c>
      <c r="F493" t="inlineStr">
        <is>
          <t>STOCKHOLMS LÄN</t>
        </is>
      </c>
      <c r="G493" t="inlineStr">
        <is>
          <t>HANINGE</t>
        </is>
      </c>
      <c r="I493" t="n">
        <v>4</v>
      </c>
      <c r="J493" t="n">
        <v>1</v>
      </c>
      <c r="K493" t="n">
        <v>0</v>
      </c>
      <c r="L493" t="n">
        <v>1</v>
      </c>
      <c r="M493" t="n">
        <v>0</v>
      </c>
      <c r="N493" t="n">
        <v>0</v>
      </c>
      <c r="O493" t="n">
        <v>0</v>
      </c>
      <c r="P493" t="n">
        <v>0</v>
      </c>
      <c r="Q493" t="n">
        <v>1</v>
      </c>
      <c r="R493" t="n">
        <v>0</v>
      </c>
      <c r="S493" t="n">
        <v>1</v>
      </c>
      <c r="T493" t="n">
        <v>1</v>
      </c>
      <c r="U493" t="n">
        <v>0</v>
      </c>
      <c r="V493" s="2" t="inlineStr">
        <is>
          <t>Nötkråka</t>
        </is>
      </c>
      <c r="W493">
        <f>HYPERLINK("https://klasma.github.io/Logging_0136/artfynd/A 6648-2023 artfynd.xlsx", "A 6648-2023")</f>
        <v/>
      </c>
      <c r="X493">
        <f>HYPERLINK("https://klasma.github.io/Logging_0136/kartor/A 6648-2023 karta.png", "A 6648-2023")</f>
        <v/>
      </c>
      <c r="Y493">
        <f>HYPERLINK("https://klasma.github.io/Logging_0136/kartor_geotiff/A 6648-2023 georefererad karta.tif", "A 6648-2023")</f>
        <v/>
      </c>
      <c r="AA493">
        <f>HYPERLINK("https://klasma.github.io/Logging_0136/klagomål/A 6648-2023 FSC-klagomål.docx", "A 6648-2023")</f>
        <v/>
      </c>
      <c r="AB493">
        <f>HYPERLINK("https://klasma.github.io/Logging_0136/klagomålsmail/A 6648-2023 FSC-klagomål mail.docx", "A 6648-2023")</f>
        <v/>
      </c>
      <c r="AC493">
        <f>HYPERLINK("https://klasma.github.io/Logging_0136/tillsyn/A 6648-2023 tillsynsbegäran.docx", "A 6648-2023")</f>
        <v/>
      </c>
      <c r="AD493">
        <f>HYPERLINK("https://klasma.github.io/Logging_0136/tillsynsmail/A 6648-2023 tillsynsbegäran mail.docx", "A 6648-2023")</f>
        <v/>
      </c>
      <c r="AE493">
        <f>HYPERLINK("https://klasma.github.io/Logging_0136/fåglar/A 6648-2023 prioriterade fågelarter.docx", "A 6648-2023")</f>
        <v/>
      </c>
    </row>
    <row r="494" ht="15" customHeight="1">
      <c r="A494" t="inlineStr">
        <is>
          <t>A 11447-2025</t>
        </is>
      </c>
      <c r="B494" t="inlineStr">
        <is>
          <t>avverkningsanmälan</t>
        </is>
      </c>
      <c r="C494" t="inlineStr">
        <is>
          <t>Avverkning för annat ändamål</t>
        </is>
      </c>
      <c r="D494" s="1" t="n">
        <v>45726</v>
      </c>
      <c r="E494" s="1" t="n">
        <v>46326</v>
      </c>
      <c r="F494" t="inlineStr">
        <is>
          <t>STOCKHOLMS LÄN</t>
        </is>
      </c>
      <c r="G494" t="inlineStr">
        <is>
          <t>UPPLANDS-BRO</t>
        </is>
      </c>
      <c r="I494" t="n">
        <v>1.5</v>
      </c>
      <c r="J494" t="n">
        <v>0</v>
      </c>
      <c r="K494" t="n">
        <v>1</v>
      </c>
      <c r="L494" t="n">
        <v>0</v>
      </c>
      <c r="M494" t="n">
        <v>0</v>
      </c>
      <c r="N494" t="n">
        <v>0</v>
      </c>
      <c r="O494" t="n">
        <v>0</v>
      </c>
      <c r="P494" t="n">
        <v>0</v>
      </c>
      <c r="Q494" t="n">
        <v>0</v>
      </c>
      <c r="R494" t="n">
        <v>0</v>
      </c>
      <c r="S494" t="n">
        <v>1</v>
      </c>
      <c r="T494" t="n">
        <v>1</v>
      </c>
      <c r="U494" t="n">
        <v>0</v>
      </c>
      <c r="V494" s="2" t="inlineStr">
        <is>
          <t>Myskbock</t>
        </is>
      </c>
      <c r="W494">
        <f>HYPERLINK("https://klasma.github.io/Logging_0139/artfynd/A 11447-2025 artfynd.xlsx", "A 11447-2025")</f>
        <v/>
      </c>
      <c r="X494">
        <f>HYPERLINK("https://klasma.github.io/Logging_0139/kartor/A 11447-2025 karta.png", "A 11447-2025")</f>
        <v/>
      </c>
      <c r="Y494">
        <f>HYPERLINK("https://klasma.github.io/Logging_0139/kartor_geotiff/A 11447-2025 georefererad karta.tif", "A 11447-2025")</f>
        <v/>
      </c>
      <c r="AA494">
        <f>HYPERLINK("https://klasma.github.io/Logging_0139/klagomål/A 11447-2025 FSC-klagomål.docx", "A 11447-2025")</f>
        <v/>
      </c>
      <c r="AB494">
        <f>HYPERLINK("https://klasma.github.io/Logging_0139/klagomålsmail/A 11447-2025 FSC-klagomål mail.docx", "A 11447-2025")</f>
        <v/>
      </c>
      <c r="AC494">
        <f>HYPERLINK("https://klasma.github.io/Logging_0139/tillsyn/A 11447-2025 tillsynsbegäran.docx", "A 11447-2025")</f>
        <v/>
      </c>
      <c r="AD494">
        <f>HYPERLINK("https://klasma.github.io/Logging_0139/tillsynsmail/A 11447-2025 tillsynsbegäran mail.docx", "A 11447-2025")</f>
        <v/>
      </c>
    </row>
    <row r="495" ht="15" customHeight="1">
      <c r="A495" t="inlineStr">
        <is>
          <t>A 32111-2022</t>
        </is>
      </c>
      <c r="B495" t="inlineStr">
        <is>
          <t>avverkningsanmälan</t>
        </is>
      </c>
      <c r="C495" t="inlineStr">
        <is>
          <t>Föryngringsavverkning</t>
        </is>
      </c>
      <c r="D495" s="1" t="n">
        <v>44778</v>
      </c>
      <c r="E495" s="1" t="n">
        <v>46326</v>
      </c>
      <c r="F495" t="inlineStr">
        <is>
          <t>STOCKHOLMS LÄN</t>
        </is>
      </c>
      <c r="G495" t="inlineStr">
        <is>
          <t>NORRTÄLJE</t>
        </is>
      </c>
      <c r="I495" t="n">
        <v>3.1</v>
      </c>
      <c r="J495" t="n">
        <v>0</v>
      </c>
      <c r="K495" t="n">
        <v>0</v>
      </c>
      <c r="L495" t="n">
        <v>1</v>
      </c>
      <c r="M495" t="n">
        <v>0</v>
      </c>
      <c r="N495" t="n">
        <v>0</v>
      </c>
      <c r="O495" t="n">
        <v>0</v>
      </c>
      <c r="P495" t="n">
        <v>0</v>
      </c>
      <c r="Q495" t="n">
        <v>1</v>
      </c>
      <c r="R495" t="n">
        <v>0</v>
      </c>
      <c r="S495" t="n">
        <v>1</v>
      </c>
      <c r="T495" t="n">
        <v>1</v>
      </c>
      <c r="U495" t="n">
        <v>1</v>
      </c>
      <c r="V495" s="2" t="inlineStr">
        <is>
          <t>Orange taggsvamp</t>
        </is>
      </c>
      <c r="W495">
        <f>HYPERLINK("https://klasma.github.io/Logging_0188/artfynd/A 32111-2022 artfynd.xlsx", "A 32111-2022")</f>
        <v/>
      </c>
      <c r="X495">
        <f>HYPERLINK("https://klasma.github.io/Logging_0188/kartor/A 32111-2022 karta.png", "A 32111-2022")</f>
        <v/>
      </c>
      <c r="Y495">
        <f>HYPERLINK("https://klasma.github.io/Logging_0188/kartor_geotiff/A 32111-2022 georefererad karta.tif", "A 32111-2022")</f>
        <v/>
      </c>
      <c r="AA495">
        <f>HYPERLINK("https://klasma.github.io/Logging_0188/klagomål/A 32111-2022 FSC-klagomål.docx", "A 32111-2022")</f>
        <v/>
      </c>
      <c r="AB495">
        <f>HYPERLINK("https://klasma.github.io/Logging_0188/klagomålsmail/A 32111-2022 FSC-klagomål mail.docx", "A 32111-2022")</f>
        <v/>
      </c>
      <c r="AC495">
        <f>HYPERLINK("https://klasma.github.io/Logging_0188/tillsyn/A 32111-2022 tillsynsbegäran.docx", "A 32111-2022")</f>
        <v/>
      </c>
      <c r="AD495">
        <f>HYPERLINK("https://klasma.github.io/Logging_0188/tillsynsmail/A 32111-2022 tillsynsbegäran mail.docx", "A 32111-2022")</f>
        <v/>
      </c>
    </row>
    <row r="496" ht="15" customHeight="1">
      <c r="A496" t="inlineStr">
        <is>
          <t>A 14092-2023</t>
        </is>
      </c>
      <c r="B496" t="inlineStr">
        <is>
          <t>avverkningsanmälan</t>
        </is>
      </c>
      <c r="C496" t="inlineStr">
        <is>
          <t>Föryngringsavverkning</t>
        </is>
      </c>
      <c r="D496" s="1" t="n">
        <v>45009</v>
      </c>
      <c r="E496" s="1" t="n">
        <v>46326</v>
      </c>
      <c r="F496" t="inlineStr">
        <is>
          <t>STOCKHOLMS LÄN</t>
        </is>
      </c>
      <c r="G496" t="inlineStr">
        <is>
          <t>SÖDERTÄLJE</t>
        </is>
      </c>
      <c r="H496" t="inlineStr">
        <is>
          <t>Kyrkan</t>
        </is>
      </c>
      <c r="I496" t="n">
        <v>4.1</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HYPERLINK("https://klasma.github.io/Logging_0181/artfynd/A 14092-2023 artfynd.xlsx", "A 14092-2023")</f>
        <v/>
      </c>
      <c r="X496">
        <f>HYPERLINK("https://klasma.github.io/Logging_0181/kartor/A 14092-2023 karta.png", "A 14092-2023")</f>
        <v/>
      </c>
      <c r="Y496">
        <f>HYPERLINK("https://klasma.github.io/Logging_0181/kartor_geotiff/A 14092-2023 georefererad karta.tif", "A 14092-2023")</f>
        <v/>
      </c>
      <c r="AA496">
        <f>HYPERLINK("https://klasma.github.io/Logging_0181/klagomål/A 14092-2023 FSC-klagomål.docx", "A 14092-2023")</f>
        <v/>
      </c>
      <c r="AB496">
        <f>HYPERLINK("https://klasma.github.io/Logging_0181/klagomålsmail/A 14092-2023 FSC-klagomål mail.docx", "A 14092-2023")</f>
        <v/>
      </c>
      <c r="AC496">
        <f>HYPERLINK("https://klasma.github.io/Logging_0181/tillsyn/A 14092-2023 tillsynsbegäran.docx", "A 14092-2023")</f>
        <v/>
      </c>
      <c r="AD496">
        <f>HYPERLINK("https://klasma.github.io/Logging_0181/tillsynsmail/A 14092-2023 tillsynsbegäran mail.docx", "A 14092-2023")</f>
        <v/>
      </c>
    </row>
    <row r="497" ht="15" customHeight="1">
      <c r="A497" t="inlineStr">
        <is>
          <t>A 62634-2022</t>
        </is>
      </c>
      <c r="B497" t="inlineStr">
        <is>
          <t>avverkningsanmälan</t>
        </is>
      </c>
      <c r="C497" t="inlineStr">
        <is>
          <t>Föryngringsavverkning</t>
        </is>
      </c>
      <c r="D497" s="1" t="n">
        <v>44917</v>
      </c>
      <c r="E497" s="1" t="n">
        <v>46326</v>
      </c>
      <c r="F497" t="inlineStr">
        <is>
          <t>STOCKHOLMS LÄN</t>
        </is>
      </c>
      <c r="G497" t="inlineStr">
        <is>
          <t>NYNÄSHAMN</t>
        </is>
      </c>
      <c r="I497" t="n">
        <v>15.8</v>
      </c>
      <c r="J497" t="n">
        <v>1</v>
      </c>
      <c r="K497" t="n">
        <v>0</v>
      </c>
      <c r="L497" t="n">
        <v>0</v>
      </c>
      <c r="M497" t="n">
        <v>0</v>
      </c>
      <c r="N497" t="n">
        <v>0</v>
      </c>
      <c r="O497" t="n">
        <v>0</v>
      </c>
      <c r="P497" t="n">
        <v>0</v>
      </c>
      <c r="Q497" t="n">
        <v>0</v>
      </c>
      <c r="R497" t="n">
        <v>0</v>
      </c>
      <c r="S497" t="n">
        <v>1</v>
      </c>
      <c r="T497" t="n">
        <v>1</v>
      </c>
      <c r="U497" t="n">
        <v>0</v>
      </c>
      <c r="V497" s="2" t="inlineStr">
        <is>
          <t>Vanlig padda</t>
        </is>
      </c>
      <c r="W497">
        <f>HYPERLINK("https://klasma.github.io/Logging_0192/artfynd/A 62634-2022 artfynd.xlsx", "A 62634-2022")</f>
        <v/>
      </c>
      <c r="X497">
        <f>HYPERLINK("https://klasma.github.io/Logging_0192/kartor/A 62634-2022 karta.png", "A 62634-2022")</f>
        <v/>
      </c>
      <c r="Y497">
        <f>HYPERLINK("https://klasma.github.io/Logging_0192/kartor_geotiff/A 62634-2022 georefererad karta.tif", "A 62634-2022")</f>
        <v/>
      </c>
      <c r="AA497">
        <f>HYPERLINK("https://klasma.github.io/Logging_0192/klagomål/A 62634-2022 FSC-klagomål.docx", "A 62634-2022")</f>
        <v/>
      </c>
      <c r="AB497">
        <f>HYPERLINK("https://klasma.github.io/Logging_0192/klagomålsmail/A 62634-2022 FSC-klagomål mail.docx", "A 62634-2022")</f>
        <v/>
      </c>
      <c r="AC497">
        <f>HYPERLINK("https://klasma.github.io/Logging_0192/tillsyn/A 62634-2022 tillsynsbegäran.docx", "A 62634-2022")</f>
        <v/>
      </c>
      <c r="AD497">
        <f>HYPERLINK("https://klasma.github.io/Logging_0192/tillsynsmail/A 62634-2022 tillsynsbegäran mail.docx", "A 62634-2022")</f>
        <v/>
      </c>
    </row>
    <row r="498" ht="15" customHeight="1">
      <c r="A498" t="inlineStr">
        <is>
          <t>A 35161-2022</t>
        </is>
      </c>
      <c r="B498" t="inlineStr">
        <is>
          <t>avverkningsanmälan</t>
        </is>
      </c>
      <c r="C498" t="inlineStr">
        <is>
          <t>Föryngringsavverkning</t>
        </is>
      </c>
      <c r="D498" s="1" t="n">
        <v>44797</v>
      </c>
      <c r="E498" s="1" t="n">
        <v>46326</v>
      </c>
      <c r="F498" t="inlineStr">
        <is>
          <t>STOCKHOLMS LÄN</t>
        </is>
      </c>
      <c r="G498" t="inlineStr">
        <is>
          <t>NORRTÄLJE</t>
        </is>
      </c>
      <c r="I498" t="n">
        <v>6</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HYPERLINK("https://klasma.github.io/Logging_0188/artfynd/A 35161-2022 artfynd.xlsx", "A 35161-2022")</f>
        <v/>
      </c>
      <c r="X498">
        <f>HYPERLINK("https://klasma.github.io/Logging_0188/kartor/A 35161-2022 karta.png", "A 35161-2022")</f>
        <v/>
      </c>
      <c r="Y498">
        <f>HYPERLINK("https://klasma.github.io/Logging_0188/kartor_geotiff/A 35161-2022 georefererad karta.tif", "A 35161-2022")</f>
        <v/>
      </c>
      <c r="AA498">
        <f>HYPERLINK("https://klasma.github.io/Logging_0188/klagomål/A 35161-2022 FSC-klagomål.docx", "A 35161-2022")</f>
        <v/>
      </c>
      <c r="AB498">
        <f>HYPERLINK("https://klasma.github.io/Logging_0188/klagomålsmail/A 35161-2022 FSC-klagomål mail.docx", "A 35161-2022")</f>
        <v/>
      </c>
      <c r="AC498">
        <f>HYPERLINK("https://klasma.github.io/Logging_0188/tillsyn/A 35161-2022 tillsynsbegäran.docx", "A 35161-2022")</f>
        <v/>
      </c>
      <c r="AD498">
        <f>HYPERLINK("https://klasma.github.io/Logging_0188/tillsynsmail/A 35161-2022 tillsynsbegäran mail.docx", "A 35161-2022")</f>
        <v/>
      </c>
    </row>
    <row r="499" ht="15" customHeight="1">
      <c r="A499" t="inlineStr">
        <is>
          <t>A 4385-2023</t>
        </is>
      </c>
      <c r="B499" t="inlineStr">
        <is>
          <t>avverkningsanmälan</t>
        </is>
      </c>
      <c r="C499" t="inlineStr">
        <is>
          <t>Föryngringsavverkning</t>
        </is>
      </c>
      <c r="D499" s="1" t="n">
        <v>44955</v>
      </c>
      <c r="E499" s="1" t="n">
        <v>46326</v>
      </c>
      <c r="F499" t="inlineStr">
        <is>
          <t>STOCKHOLMS LÄN</t>
        </is>
      </c>
      <c r="G499" t="inlineStr">
        <is>
          <t>NORRTÄLJE</t>
        </is>
      </c>
      <c r="I499" t="n">
        <v>7.8</v>
      </c>
      <c r="J499" t="n">
        <v>1</v>
      </c>
      <c r="K499" t="n">
        <v>1</v>
      </c>
      <c r="L499" t="n">
        <v>0</v>
      </c>
      <c r="M499" t="n">
        <v>0</v>
      </c>
      <c r="N499" t="n">
        <v>0</v>
      </c>
      <c r="O499" t="n">
        <v>0</v>
      </c>
      <c r="P499" t="n">
        <v>0</v>
      </c>
      <c r="Q499" t="n">
        <v>0</v>
      </c>
      <c r="R499" t="n">
        <v>0</v>
      </c>
      <c r="S499" t="n">
        <v>1</v>
      </c>
      <c r="T499" t="n">
        <v>2</v>
      </c>
      <c r="U499" t="n">
        <v>2</v>
      </c>
      <c r="V499" s="2" t="inlineStr">
        <is>
          <t>Skogsknipprot</t>
        </is>
      </c>
      <c r="W499">
        <f>HYPERLINK("https://klasma.github.io/Logging_0188/artfynd/A 4385-2023 artfynd.xlsx", "A 4385-2023")</f>
        <v/>
      </c>
      <c r="X499">
        <f>HYPERLINK("https://klasma.github.io/Logging_0188/kartor/A 4385-2023 karta.png", "A 4385-2023")</f>
        <v/>
      </c>
      <c r="Y499">
        <f>HYPERLINK("https://klasma.github.io/Logging_0188/kartor_geotiff/A 4385-2023 georefererad karta.tif", "A 4385-2023")</f>
        <v/>
      </c>
      <c r="AA499">
        <f>HYPERLINK("https://klasma.github.io/Logging_0188/klagomål/A 4385-2023 FSC-klagomål.docx", "A 4385-2023")</f>
        <v/>
      </c>
      <c r="AB499">
        <f>HYPERLINK("https://klasma.github.io/Logging_0188/klagomålsmail/A 4385-2023 FSC-klagomål mail.docx", "A 4385-2023")</f>
        <v/>
      </c>
      <c r="AC499">
        <f>HYPERLINK("https://klasma.github.io/Logging_0188/tillsyn/A 4385-2023 tillsynsbegäran.docx", "A 4385-2023")</f>
        <v/>
      </c>
      <c r="AD499">
        <f>HYPERLINK("https://klasma.github.io/Logging_0188/tillsynsmail/A 4385-2023 tillsynsbegäran mail.docx", "A 4385-2023")</f>
        <v/>
      </c>
    </row>
    <row r="500" ht="15" customHeight="1">
      <c r="A500" t="inlineStr">
        <is>
          <t>A 26902-2024</t>
        </is>
      </c>
      <c r="B500" t="inlineStr">
        <is>
          <t>avverkningsanmälan</t>
        </is>
      </c>
      <c r="C500" t="inlineStr">
        <is>
          <t>Föryngringsavverkning</t>
        </is>
      </c>
      <c r="D500" s="1" t="n">
        <v>45470</v>
      </c>
      <c r="E500" s="1" t="n">
        <v>46326</v>
      </c>
      <c r="F500" t="inlineStr">
        <is>
          <t>STOCKHOLMS LÄN</t>
        </is>
      </c>
      <c r="G500" t="inlineStr">
        <is>
          <t>SÖDERTÄLJE</t>
        </is>
      </c>
      <c r="H500" t="inlineStr">
        <is>
          <t>Kommuner</t>
        </is>
      </c>
      <c r="I500" t="n">
        <v>3.5</v>
      </c>
      <c r="J500" t="n">
        <v>0</v>
      </c>
      <c r="K500" t="n">
        <v>0</v>
      </c>
      <c r="L500" t="n">
        <v>1</v>
      </c>
      <c r="M500" t="n">
        <v>0</v>
      </c>
      <c r="N500" t="n">
        <v>0</v>
      </c>
      <c r="O500" t="n">
        <v>0</v>
      </c>
      <c r="P500" t="n">
        <v>0</v>
      </c>
      <c r="Q500" t="n">
        <v>1</v>
      </c>
      <c r="R500" t="n">
        <v>0</v>
      </c>
      <c r="S500" t="n">
        <v>1</v>
      </c>
      <c r="T500" t="n">
        <v>3</v>
      </c>
      <c r="U500" t="n">
        <v>3</v>
      </c>
      <c r="V500" s="2" t="inlineStr">
        <is>
          <t>Persiljespindling</t>
        </is>
      </c>
      <c r="W500">
        <f>HYPERLINK("https://klasma.github.io/Logging_0181/artfynd/A 26902-2024 artfynd.xlsx", "A 26902-2024")</f>
        <v/>
      </c>
      <c r="X500">
        <f>HYPERLINK("https://klasma.github.io/Logging_0181/kartor/A 26902-2024 karta.png", "A 26902-2024")</f>
        <v/>
      </c>
      <c r="Y500">
        <f>HYPERLINK("https://klasma.github.io/Logging_0181/kartor_geotiff/A 26902-2024 georefererad karta.tif", "A 26902-2024")</f>
        <v/>
      </c>
      <c r="AA500">
        <f>HYPERLINK("https://klasma.github.io/Logging_0181/klagomål/A 26902-2024 FSC-klagomål.docx", "A 26902-2024")</f>
        <v/>
      </c>
      <c r="AB500">
        <f>HYPERLINK("https://klasma.github.io/Logging_0181/klagomålsmail/A 26902-2024 FSC-klagomål mail.docx", "A 26902-2024")</f>
        <v/>
      </c>
      <c r="AC500">
        <f>HYPERLINK("https://klasma.github.io/Logging_0181/tillsyn/A 26902-2024 tillsynsbegäran.docx", "A 26902-2024")</f>
        <v/>
      </c>
      <c r="AD500">
        <f>HYPERLINK("https://klasma.github.io/Logging_0181/tillsynsmail/A 26902-2024 tillsynsbegäran mail.docx", "A 26902-2024")</f>
        <v/>
      </c>
    </row>
    <row r="501" ht="15" customHeight="1">
      <c r="A501" t="inlineStr">
        <is>
          <t>A 60369-2023</t>
        </is>
      </c>
      <c r="B501" t="inlineStr">
        <is>
          <t>avverkningsanmälan</t>
        </is>
      </c>
      <c r="C501" t="inlineStr">
        <is>
          <t>Föryngringsavverkning</t>
        </is>
      </c>
      <c r="D501" s="1" t="n">
        <v>45259</v>
      </c>
      <c r="E501" s="1" t="n">
        <v>46326</v>
      </c>
      <c r="F501" t="inlineStr">
        <is>
          <t>STOCKHOLMS LÄN</t>
        </is>
      </c>
      <c r="G501" t="inlineStr">
        <is>
          <t>HANINGE</t>
        </is>
      </c>
      <c r="I501" t="n">
        <v>2.9</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HYPERLINK("https://klasma.github.io/Logging_0136/artfynd/A 60369-2023 artfynd.xlsx", "A 60369-2023")</f>
        <v/>
      </c>
      <c r="X501">
        <f>HYPERLINK("https://klasma.github.io/Logging_0136/kartor/A 60369-2023 karta.png", "A 60369-2023")</f>
        <v/>
      </c>
      <c r="Y501">
        <f>HYPERLINK("https://klasma.github.io/Logging_0136/kartor_geotiff/A 60369-2023 georefererad karta.tif", "A 60369-2023")</f>
        <v/>
      </c>
      <c r="AA501">
        <f>HYPERLINK("https://klasma.github.io/Logging_0136/klagomål/A 60369-2023 FSC-klagomål.docx", "A 60369-2023")</f>
        <v/>
      </c>
      <c r="AB501">
        <f>HYPERLINK("https://klasma.github.io/Logging_0136/klagomålsmail/A 60369-2023 FSC-klagomål mail.docx", "A 60369-2023")</f>
        <v/>
      </c>
      <c r="AC501">
        <f>HYPERLINK("https://klasma.github.io/Logging_0136/tillsyn/A 60369-2023 tillsynsbegäran.docx", "A 60369-2023")</f>
        <v/>
      </c>
      <c r="AD501">
        <f>HYPERLINK("https://klasma.github.io/Logging_0136/tillsynsmail/A 60369-2023 tillsynsbegäran mail.docx", "A 60369-2023")</f>
        <v/>
      </c>
    </row>
    <row r="502" ht="15" customHeight="1">
      <c r="A502" t="inlineStr">
        <is>
          <t>A 4860-2022</t>
        </is>
      </c>
      <c r="B502" t="inlineStr">
        <is>
          <t>avverkningsanmälan</t>
        </is>
      </c>
      <c r="C502" t="inlineStr">
        <is>
          <t>Föryngringsavverkning</t>
        </is>
      </c>
      <c r="D502" s="1" t="n">
        <v>44592</v>
      </c>
      <c r="E502" s="1" t="n">
        <v>46326</v>
      </c>
      <c r="F502" t="inlineStr">
        <is>
          <t>STOCKHOLMS LÄN</t>
        </is>
      </c>
      <c r="G502" t="inlineStr">
        <is>
          <t>NORRTÄLJE</t>
        </is>
      </c>
      <c r="I502" t="n">
        <v>22.3</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HYPERLINK("https://klasma.github.io/Logging_0188/artfynd/A 4860-2022 artfynd.xlsx", "A 4860-2022")</f>
        <v/>
      </c>
      <c r="X502">
        <f>HYPERLINK("https://klasma.github.io/Logging_0188/kartor/A 4860-2022 karta.png", "A 4860-2022")</f>
        <v/>
      </c>
      <c r="Y502">
        <f>HYPERLINK("https://klasma.github.io/Logging_0188/kartor_geotiff/A 4860-2022 georefererad karta.tif", "A 4860-2022")</f>
        <v/>
      </c>
      <c r="AA502">
        <f>HYPERLINK("https://klasma.github.io/Logging_0188/klagomål/A 4860-2022 FSC-klagomål.docx", "A 4860-2022")</f>
        <v/>
      </c>
      <c r="AB502">
        <f>HYPERLINK("https://klasma.github.io/Logging_0188/klagomålsmail/A 4860-2022 FSC-klagomål mail.docx", "A 4860-2022")</f>
        <v/>
      </c>
      <c r="AC502">
        <f>HYPERLINK("https://klasma.github.io/Logging_0188/tillsyn/A 4860-2022 tillsynsbegäran.docx", "A 4860-2022")</f>
        <v/>
      </c>
      <c r="AD502">
        <f>HYPERLINK("https://klasma.github.io/Logging_0188/tillsynsmail/A 4860-2022 tillsynsbegäran mail.docx", "A 4860-2022")</f>
        <v/>
      </c>
    </row>
    <row r="503" ht="15" customHeight="1">
      <c r="A503" t="inlineStr">
        <is>
          <t>A 38612-2022</t>
        </is>
      </c>
      <c r="B503" t="inlineStr">
        <is>
          <t>avverkningsanmälan</t>
        </is>
      </c>
      <c r="C503" t="inlineStr">
        <is>
          <t>Föryngringsavverkning</t>
        </is>
      </c>
      <c r="D503" s="1" t="n">
        <v>44813</v>
      </c>
      <c r="E503" s="1" t="n">
        <v>46326</v>
      </c>
      <c r="F503" t="inlineStr">
        <is>
          <t>STOCKHOLMS LÄN</t>
        </is>
      </c>
      <c r="G503" t="inlineStr">
        <is>
          <t>NORRTÄLJE</t>
        </is>
      </c>
      <c r="I503" t="n">
        <v>1.7</v>
      </c>
      <c r="J503" t="n">
        <v>1</v>
      </c>
      <c r="K503" t="n">
        <v>0</v>
      </c>
      <c r="L503" t="n">
        <v>0</v>
      </c>
      <c r="M503" t="n">
        <v>1</v>
      </c>
      <c r="N503" t="n">
        <v>0</v>
      </c>
      <c r="O503" t="n">
        <v>0</v>
      </c>
      <c r="P503" t="n">
        <v>0</v>
      </c>
      <c r="Q503" t="n">
        <v>1</v>
      </c>
      <c r="R503" t="n">
        <v>1</v>
      </c>
      <c r="S503" t="n">
        <v>1</v>
      </c>
      <c r="T503" t="n">
        <v>1</v>
      </c>
      <c r="U503" t="n">
        <v>0</v>
      </c>
      <c r="V503" s="2" t="inlineStr">
        <is>
          <t>Hällebräcka</t>
        </is>
      </c>
      <c r="W503">
        <f>HYPERLINK("https://klasma.github.io/Logging_0188/artfynd/A 38612-2022 artfynd.xlsx", "A 38612-2022")</f>
        <v/>
      </c>
      <c r="X503">
        <f>HYPERLINK("https://klasma.github.io/Logging_0188/kartor/A 38612-2022 karta.png", "A 38612-2022")</f>
        <v/>
      </c>
      <c r="Y503">
        <f>HYPERLINK("https://klasma.github.io/Logging_0188/kartor_geotiff/A 38612-2022 georefererad karta.tif", "A 38612-2022")</f>
        <v/>
      </c>
      <c r="AA503">
        <f>HYPERLINK("https://klasma.github.io/Logging_0188/klagomål/A 38612-2022 FSC-klagomål.docx", "A 38612-2022")</f>
        <v/>
      </c>
      <c r="AB503">
        <f>HYPERLINK("https://klasma.github.io/Logging_0188/klagomålsmail/A 38612-2022 FSC-klagomål mail.docx", "A 38612-2022")</f>
        <v/>
      </c>
      <c r="AC503">
        <f>HYPERLINK("https://klasma.github.io/Logging_0188/tillsyn/A 38612-2022 tillsynsbegäran.docx", "A 38612-2022")</f>
        <v/>
      </c>
      <c r="AD503">
        <f>HYPERLINK("https://klasma.github.io/Logging_0188/tillsynsmail/A 38612-2022 tillsynsbegäran mail.docx", "A 38612-2022")</f>
        <v/>
      </c>
    </row>
    <row r="504" ht="15" customHeight="1">
      <c r="A504" t="inlineStr">
        <is>
          <t>A 3726-2022</t>
        </is>
      </c>
      <c r="B504" t="inlineStr">
        <is>
          <t>avverkningsanmälan</t>
        </is>
      </c>
      <c r="C504" t="inlineStr">
        <is>
          <t>Föryngringsavverkning</t>
        </is>
      </c>
      <c r="D504" s="1" t="n">
        <v>44586</v>
      </c>
      <c r="E504" s="1" t="n">
        <v>46326</v>
      </c>
      <c r="F504" t="inlineStr">
        <is>
          <t>STOCKHOLMS LÄN</t>
        </is>
      </c>
      <c r="G504" t="inlineStr">
        <is>
          <t>BOTKYRKA</t>
        </is>
      </c>
      <c r="I504" t="n">
        <v>17.1</v>
      </c>
      <c r="J504" t="n">
        <v>0</v>
      </c>
      <c r="K504" t="n">
        <v>1</v>
      </c>
      <c r="L504" t="n">
        <v>0</v>
      </c>
      <c r="M504" t="n">
        <v>0</v>
      </c>
      <c r="N504" t="n">
        <v>0</v>
      </c>
      <c r="O504" t="n">
        <v>0</v>
      </c>
      <c r="P504" t="n">
        <v>0</v>
      </c>
      <c r="Q504" t="n">
        <v>0</v>
      </c>
      <c r="R504" t="n">
        <v>0</v>
      </c>
      <c r="S504" t="n">
        <v>1</v>
      </c>
      <c r="T504" t="n">
        <v>1</v>
      </c>
      <c r="U504" t="n">
        <v>1</v>
      </c>
      <c r="V504" s="2" t="inlineStr">
        <is>
          <t>Blomkålssvamp</t>
        </is>
      </c>
      <c r="W504">
        <f>HYPERLINK("https://klasma.github.io/Logging_0127/artfynd/A 3726-2022 artfynd.xlsx", "A 3726-2022")</f>
        <v/>
      </c>
      <c r="X504">
        <f>HYPERLINK("https://klasma.github.io/Logging_0127/kartor/A 3726-2022 karta.png", "A 3726-2022")</f>
        <v/>
      </c>
      <c r="Y504">
        <f>HYPERLINK("https://klasma.github.io/Logging_0127/kartor_geotiff/A 3726-2022 georefererad karta.tif", "A 3726-2022")</f>
        <v/>
      </c>
      <c r="AA504">
        <f>HYPERLINK("https://klasma.github.io/Logging_0127/klagomål/A 3726-2022 FSC-klagomål.docx", "A 3726-2022")</f>
        <v/>
      </c>
      <c r="AB504">
        <f>HYPERLINK("https://klasma.github.io/Logging_0127/klagomålsmail/A 3726-2022 FSC-klagomål mail.docx", "A 3726-2022")</f>
        <v/>
      </c>
      <c r="AC504">
        <f>HYPERLINK("https://klasma.github.io/Logging_0127/tillsyn/A 3726-2022 tillsynsbegäran.docx", "A 3726-2022")</f>
        <v/>
      </c>
      <c r="AD504">
        <f>HYPERLINK("https://klasma.github.io/Logging_0127/tillsynsmail/A 3726-2022 tillsynsbegäran mail.docx", "A 3726-2022")</f>
        <v/>
      </c>
    </row>
    <row r="505" ht="15" customHeight="1">
      <c r="A505" t="inlineStr">
        <is>
          <t>A 28983-2024</t>
        </is>
      </c>
      <c r="B505" t="inlineStr">
        <is>
          <t>avverkningsanmälan</t>
        </is>
      </c>
      <c r="C505" t="inlineStr">
        <is>
          <t>Föryngringsavverkning</t>
        </is>
      </c>
      <c r="D505" s="1" t="n">
        <v>45481</v>
      </c>
      <c r="E505" s="1" t="n">
        <v>46326</v>
      </c>
      <c r="F505" t="inlineStr">
        <is>
          <t>STOCKHOLMS LÄN</t>
        </is>
      </c>
      <c r="G505" t="inlineStr">
        <is>
          <t>BOTKYRKA</t>
        </is>
      </c>
      <c r="I505" t="n">
        <v>0.8</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HYPERLINK("https://klasma.github.io/Logging_0127/artfynd/A 28983-2024 artfynd.xlsx", "A 28983-2024")</f>
        <v/>
      </c>
      <c r="X505">
        <f>HYPERLINK("https://klasma.github.io/Logging_0127/kartor/A 28983-2024 karta.png", "A 28983-2024")</f>
        <v/>
      </c>
      <c r="Y505">
        <f>HYPERLINK("https://klasma.github.io/Logging_0127/kartor_geotiff/A 28983-2024 georefererad karta.tif", "A 28983-2024")</f>
        <v/>
      </c>
      <c r="AA505">
        <f>HYPERLINK("https://klasma.github.io/Logging_0127/klagomål/A 28983-2024 FSC-klagomål.docx", "A 28983-2024")</f>
        <v/>
      </c>
      <c r="AB505">
        <f>HYPERLINK("https://klasma.github.io/Logging_0127/klagomålsmail/A 28983-2024 FSC-klagomål mail.docx", "A 28983-2024")</f>
        <v/>
      </c>
      <c r="AC505">
        <f>HYPERLINK("https://klasma.github.io/Logging_0127/tillsyn/A 28983-2024 tillsynsbegäran.docx", "A 28983-2024")</f>
        <v/>
      </c>
      <c r="AD505">
        <f>HYPERLINK("https://klasma.github.io/Logging_0127/tillsynsmail/A 28983-2024 tillsynsbegäran mail.docx", "A 28983-2024")</f>
        <v/>
      </c>
    </row>
    <row r="506" ht="15" customHeight="1">
      <c r="A506" t="inlineStr">
        <is>
          <t>A 62839-2025</t>
        </is>
      </c>
      <c r="B506" t="inlineStr">
        <is>
          <t>avverkningsanmälan</t>
        </is>
      </c>
      <c r="C506" t="inlineStr">
        <is>
          <t>Föryngringsavverkning</t>
        </is>
      </c>
      <c r="D506" s="1" t="n">
        <v>46008</v>
      </c>
      <c r="E506" s="1" t="n">
        <v>46326</v>
      </c>
      <c r="F506" t="inlineStr">
        <is>
          <t>STOCKHOLMS LÄN</t>
        </is>
      </c>
      <c r="G506" t="inlineStr">
        <is>
          <t>ÖSTERÅKER</t>
        </is>
      </c>
      <c r="I506" t="n">
        <v>1.4</v>
      </c>
      <c r="J506" t="n">
        <v>0</v>
      </c>
      <c r="K506" t="n">
        <v>0</v>
      </c>
      <c r="L506" t="n">
        <v>1</v>
      </c>
      <c r="M506" t="n">
        <v>0</v>
      </c>
      <c r="N506" t="n">
        <v>0</v>
      </c>
      <c r="O506" t="n">
        <v>0</v>
      </c>
      <c r="P506" t="n">
        <v>0</v>
      </c>
      <c r="Q506" t="n">
        <v>1</v>
      </c>
      <c r="R506" t="n">
        <v>0</v>
      </c>
      <c r="S506" t="n">
        <v>1</v>
      </c>
      <c r="T506" t="n">
        <v>1</v>
      </c>
      <c r="U506" t="n">
        <v>0</v>
      </c>
      <c r="V506" s="2" t="inlineStr">
        <is>
          <t>Gullpudra</t>
        </is>
      </c>
      <c r="W506">
        <f>HYPERLINK("https://klasma.github.io/Logging_0117/artfynd/A 62839-2025 artfynd.xlsx", "A 62839-2025")</f>
        <v/>
      </c>
      <c r="X506">
        <f>HYPERLINK("https://klasma.github.io/Logging_0117/kartor/A 62839-2025 karta.png", "A 62839-2025")</f>
        <v/>
      </c>
      <c r="Y506">
        <f>HYPERLINK("https://klasma.github.io/Logging_0117/kartor_geotiff/A 62839-2025 georefererad karta.tif", "A 62839-2025")</f>
        <v/>
      </c>
      <c r="AA506">
        <f>HYPERLINK("https://klasma.github.io/Logging_0117/klagomål/A 62839-2025 FSC-klagomål.docx", "A 62839-2025")</f>
        <v/>
      </c>
      <c r="AB506">
        <f>HYPERLINK("https://klasma.github.io/Logging_0117/klagomålsmail/A 62839-2025 FSC-klagomål mail.docx", "A 62839-2025")</f>
        <v/>
      </c>
      <c r="AC506">
        <f>HYPERLINK("https://klasma.github.io/Logging_0117/tillsyn/A 62839-2025 tillsynsbegäran.docx", "A 62839-2025")</f>
        <v/>
      </c>
      <c r="AD506">
        <f>HYPERLINK("https://klasma.github.io/Logging_0117/tillsynsmail/A 62839-2025 tillsynsbegäran mail.docx", "A 62839-2025")</f>
        <v/>
      </c>
    </row>
    <row r="507" ht="15" customHeight="1">
      <c r="A507" t="inlineStr">
        <is>
          <t>A 20910-2026</t>
        </is>
      </c>
      <c r="B507" t="inlineStr">
        <is>
          <t>avverkningsanmälan</t>
        </is>
      </c>
      <c r="C507" t="inlineStr">
        <is>
          <t>Föryngringsavverkning</t>
        </is>
      </c>
      <c r="D507" s="1" t="n">
        <v>46142</v>
      </c>
      <c r="E507" s="1" t="n">
        <v>46326</v>
      </c>
      <c r="F507" t="inlineStr">
        <is>
          <t>STOCKHOLMS LÄN</t>
        </is>
      </c>
      <c r="G507" t="inlineStr">
        <is>
          <t>VALLENTUNA</t>
        </is>
      </c>
      <c r="I507" t="n">
        <v>1.8</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HYPERLINK("https://klasma.github.io/Logging_0115/artfynd/A 20910-2026 artfynd.xlsx", "A 20910-2026")</f>
        <v/>
      </c>
      <c r="X507">
        <f>HYPERLINK("https://klasma.github.io/Logging_0115/kartor/A 20910-2026 karta.png", "A 20910-2026")</f>
        <v/>
      </c>
      <c r="Y507">
        <f>HYPERLINK("https://klasma.github.io/Logging_0115/kartor_geotiff/A 20910-2026 georefererad karta.tif", "A 20910-2026")</f>
        <v/>
      </c>
      <c r="AA507">
        <f>HYPERLINK("https://klasma.github.io/Logging_0115/klagomål/A 20910-2026 FSC-klagomål.docx", "A 20910-2026")</f>
        <v/>
      </c>
      <c r="AB507">
        <f>HYPERLINK("https://klasma.github.io/Logging_0115/klagomålsmail/A 20910-2026 FSC-klagomål mail.docx", "A 20910-2026")</f>
        <v/>
      </c>
      <c r="AC507">
        <f>HYPERLINK("https://klasma.github.io/Logging_0115/tillsyn/A 20910-2026 tillsynsbegäran.docx", "A 20910-2026")</f>
        <v/>
      </c>
      <c r="AD507">
        <f>HYPERLINK("https://klasma.github.io/Logging_0115/tillsynsmail/A 20910-2026 tillsynsbegäran mail.docx", "A 20910-2026")</f>
        <v/>
      </c>
    </row>
    <row r="508" ht="15" customHeight="1">
      <c r="A508" t="inlineStr">
        <is>
          <t>A 54056-2022</t>
        </is>
      </c>
      <c r="B508" t="inlineStr">
        <is>
          <t>avverkningsanmälan</t>
        </is>
      </c>
      <c r="C508" t="inlineStr">
        <is>
          <t>Avverkning för att bevara och utveckla /försöksver</t>
        </is>
      </c>
      <c r="D508" s="1" t="n">
        <v>44876</v>
      </c>
      <c r="E508" s="1" t="n">
        <v>46326</v>
      </c>
      <c r="F508" t="inlineStr">
        <is>
          <t>STOCKHOLMS LÄN</t>
        </is>
      </c>
      <c r="G508" t="inlineStr">
        <is>
          <t>VÄRMDÖ</t>
        </is>
      </c>
      <c r="H508" t="inlineStr">
        <is>
          <t>Kommuner</t>
        </is>
      </c>
      <c r="I508" t="n">
        <v>2</v>
      </c>
      <c r="J508" t="n">
        <v>0</v>
      </c>
      <c r="K508" t="n">
        <v>0</v>
      </c>
      <c r="L508" t="n">
        <v>1</v>
      </c>
      <c r="M508" t="n">
        <v>0</v>
      </c>
      <c r="N508" t="n">
        <v>0</v>
      </c>
      <c r="O508" t="n">
        <v>0</v>
      </c>
      <c r="P508" t="n">
        <v>0</v>
      </c>
      <c r="Q508" t="n">
        <v>1</v>
      </c>
      <c r="R508" t="n">
        <v>0</v>
      </c>
      <c r="S508" t="n">
        <v>1</v>
      </c>
      <c r="T508" t="n">
        <v>1</v>
      </c>
      <c r="U508" t="n">
        <v>1</v>
      </c>
      <c r="V508" s="2" t="inlineStr">
        <is>
          <t>Tallticka</t>
        </is>
      </c>
      <c r="W508">
        <f>HYPERLINK("https://klasma.github.io/Logging_0120/artfynd/A 54056-2022 artfynd.xlsx", "A 54056-2022")</f>
        <v/>
      </c>
      <c r="X508">
        <f>HYPERLINK("https://klasma.github.io/Logging_0120/kartor/A 54056-2022 karta.png", "A 54056-2022")</f>
        <v/>
      </c>
      <c r="Y508">
        <f>HYPERLINK("https://klasma.github.io/Logging_0120/kartor_geotiff/A 54056-2022 georefererad karta.tif", "A 54056-2022")</f>
        <v/>
      </c>
      <c r="AA508">
        <f>HYPERLINK("https://klasma.github.io/Logging_0120/klagomål/A 54056-2022 FSC-klagomål.docx", "A 54056-2022")</f>
        <v/>
      </c>
      <c r="AB508">
        <f>HYPERLINK("https://klasma.github.io/Logging_0120/klagomålsmail/A 54056-2022 FSC-klagomål mail.docx", "A 54056-2022")</f>
        <v/>
      </c>
      <c r="AC508">
        <f>HYPERLINK("https://klasma.github.io/Logging_0120/tillsyn/A 54056-2022 tillsynsbegäran.docx", "A 54056-2022")</f>
        <v/>
      </c>
      <c r="AD508">
        <f>HYPERLINK("https://klasma.github.io/Logging_0120/tillsynsmail/A 54056-2022 tillsynsbegäran mail.docx", "A 54056-2022")</f>
        <v/>
      </c>
    </row>
    <row r="509" ht="15" customHeight="1">
      <c r="A509" t="inlineStr">
        <is>
          <t>A 7955-2023</t>
        </is>
      </c>
      <c r="B509" t="inlineStr">
        <is>
          <t>avverkningsanmälan</t>
        </is>
      </c>
      <c r="C509" t="inlineStr">
        <is>
          <t>Föryngringsavverkning</t>
        </is>
      </c>
      <c r="D509" s="1" t="n">
        <v>44973</v>
      </c>
      <c r="E509" s="1" t="n">
        <v>46326</v>
      </c>
      <c r="F509" t="inlineStr">
        <is>
          <t>STOCKHOLMS LÄN</t>
        </is>
      </c>
      <c r="G509" t="inlineStr">
        <is>
          <t>UPPLANDS-BRO</t>
        </is>
      </c>
      <c r="I509" t="n">
        <v>2.9</v>
      </c>
      <c r="J509" t="n">
        <v>1</v>
      </c>
      <c r="K509" t="n">
        <v>0</v>
      </c>
      <c r="L509" t="n">
        <v>0</v>
      </c>
      <c r="M509" t="n">
        <v>0</v>
      </c>
      <c r="N509" t="n">
        <v>1</v>
      </c>
      <c r="O509" t="n">
        <v>0</v>
      </c>
      <c r="P509" t="n">
        <v>0</v>
      </c>
      <c r="Q509" t="n">
        <v>1</v>
      </c>
      <c r="R509" t="n">
        <v>1</v>
      </c>
      <c r="S509" t="n">
        <v>1</v>
      </c>
      <c r="T509" t="n">
        <v>1</v>
      </c>
      <c r="U509" t="n">
        <v>1</v>
      </c>
      <c r="V509" s="2" t="inlineStr">
        <is>
          <t>Bombmurkla</t>
        </is>
      </c>
      <c r="W509">
        <f>HYPERLINK("https://klasma.github.io/Logging_0139/artfynd/A 7955-2023 artfynd.xlsx", "A 7955-2023")</f>
        <v/>
      </c>
      <c r="X509">
        <f>HYPERLINK("https://klasma.github.io/Logging_0139/kartor/A 7955-2023 karta.png", "A 7955-2023")</f>
        <v/>
      </c>
      <c r="Y509">
        <f>HYPERLINK("https://klasma.github.io/Logging_0139/kartor_geotiff/A 7955-2023 georefererad karta.tif", "A 7955-2023")</f>
        <v/>
      </c>
      <c r="AA509">
        <f>HYPERLINK("https://klasma.github.io/Logging_0139/klagomål/A 7955-2023 FSC-klagomål.docx", "A 7955-2023")</f>
        <v/>
      </c>
      <c r="AB509">
        <f>HYPERLINK("https://klasma.github.io/Logging_0139/klagomålsmail/A 7955-2023 FSC-klagomål mail.docx", "A 7955-2023")</f>
        <v/>
      </c>
      <c r="AC509">
        <f>HYPERLINK("https://klasma.github.io/Logging_0139/tillsyn/A 7955-2023 tillsynsbegäran.docx", "A 7955-2023")</f>
        <v/>
      </c>
      <c r="AD509">
        <f>HYPERLINK("https://klasma.github.io/Logging_0139/tillsynsmail/A 7955-2023 tillsynsbegäran mail.docx", "A 7955-2023")</f>
        <v/>
      </c>
    </row>
    <row r="510" ht="15" customHeight="1">
      <c r="A510" t="inlineStr">
        <is>
          <t>A 34458-2023</t>
        </is>
      </c>
      <c r="B510" t="inlineStr">
        <is>
          <t>avverkningsanmälan</t>
        </is>
      </c>
      <c r="C510" t="inlineStr">
        <is>
          <t>Föryngringsavverkning</t>
        </is>
      </c>
      <c r="D510" s="1" t="n">
        <v>45139</v>
      </c>
      <c r="E510" s="1" t="n">
        <v>46326</v>
      </c>
      <c r="F510" t="inlineStr">
        <is>
          <t>STOCKHOLMS LÄN</t>
        </is>
      </c>
      <c r="G510" t="inlineStr">
        <is>
          <t>VALLENTUNA</t>
        </is>
      </c>
      <c r="I510" t="n">
        <v>2.5</v>
      </c>
      <c r="J510" t="n">
        <v>0</v>
      </c>
      <c r="K510" t="n">
        <v>0</v>
      </c>
      <c r="L510" t="n">
        <v>1</v>
      </c>
      <c r="M510" t="n">
        <v>0</v>
      </c>
      <c r="N510" t="n">
        <v>0</v>
      </c>
      <c r="O510" t="n">
        <v>0</v>
      </c>
      <c r="P510" t="n">
        <v>0</v>
      </c>
      <c r="Q510" t="n">
        <v>1</v>
      </c>
      <c r="R510" t="n">
        <v>0</v>
      </c>
      <c r="S510" t="n">
        <v>1</v>
      </c>
      <c r="T510" t="n">
        <v>1</v>
      </c>
      <c r="U510" t="n">
        <v>1</v>
      </c>
      <c r="V510" s="2" t="inlineStr">
        <is>
          <t>Motaggsvamp</t>
        </is>
      </c>
      <c r="W510">
        <f>HYPERLINK("https://klasma.github.io/Logging_0115/artfynd/A 34458-2023 artfynd.xlsx", "A 34458-2023")</f>
        <v/>
      </c>
      <c r="X510">
        <f>HYPERLINK("https://klasma.github.io/Logging_0115/kartor/A 34458-2023 karta.png", "A 34458-2023")</f>
        <v/>
      </c>
      <c r="Y510">
        <f>HYPERLINK("https://klasma.github.io/Logging_0115/kartor_geotiff/A 34458-2023 georefererad karta.tif", "A 34458-2023")</f>
        <v/>
      </c>
      <c r="AA510">
        <f>HYPERLINK("https://klasma.github.io/Logging_0115/klagomål/A 34458-2023 FSC-klagomål.docx", "A 34458-2023")</f>
        <v/>
      </c>
      <c r="AB510">
        <f>HYPERLINK("https://klasma.github.io/Logging_0115/klagomålsmail/A 34458-2023 FSC-klagomål mail.docx", "A 34458-2023")</f>
        <v/>
      </c>
      <c r="AC510">
        <f>HYPERLINK("https://klasma.github.io/Logging_0115/tillsyn/A 34458-2023 tillsynsbegäran.docx", "A 34458-2023")</f>
        <v/>
      </c>
      <c r="AD510">
        <f>HYPERLINK("https://klasma.github.io/Logging_0115/tillsynsmail/A 34458-2023 tillsynsbegäran mail.docx", "A 34458-2023")</f>
        <v/>
      </c>
    </row>
    <row r="511" ht="15" customHeight="1">
      <c r="A511" t="inlineStr">
        <is>
          <t>A 24068-2024</t>
        </is>
      </c>
      <c r="B511" t="inlineStr">
        <is>
          <t>avverkningsanmälan</t>
        </is>
      </c>
      <c r="C511" t="inlineStr">
        <is>
          <t>Föryngringsavverkning</t>
        </is>
      </c>
      <c r="D511" s="1" t="n">
        <v>45456</v>
      </c>
      <c r="E511" s="1" t="n">
        <v>46326</v>
      </c>
      <c r="F511" t="inlineStr">
        <is>
          <t>STOCKHOLMS LÄN</t>
        </is>
      </c>
      <c r="G511" t="inlineStr">
        <is>
          <t>VALLENTUNA</t>
        </is>
      </c>
      <c r="I511" t="n">
        <v>7.4</v>
      </c>
      <c r="J511" t="n">
        <v>0</v>
      </c>
      <c r="K511" t="n">
        <v>0</v>
      </c>
      <c r="L511" t="n">
        <v>1</v>
      </c>
      <c r="M511" t="n">
        <v>0</v>
      </c>
      <c r="N511" t="n">
        <v>0</v>
      </c>
      <c r="O511" t="n">
        <v>0</v>
      </c>
      <c r="P511" t="n">
        <v>0</v>
      </c>
      <c r="Q511" t="n">
        <v>1</v>
      </c>
      <c r="R511" t="n">
        <v>0</v>
      </c>
      <c r="S511" t="n">
        <v>1</v>
      </c>
      <c r="T511" t="n">
        <v>1</v>
      </c>
      <c r="U511" t="n">
        <v>1</v>
      </c>
      <c r="V511" s="2" t="inlineStr">
        <is>
          <t>Vedskivlav</t>
        </is>
      </c>
      <c r="W511">
        <f>HYPERLINK("https://klasma.github.io/Logging_0115/artfynd/A 24068-2024 artfynd.xlsx", "A 24068-2024")</f>
        <v/>
      </c>
      <c r="X511">
        <f>HYPERLINK("https://klasma.github.io/Logging_0115/kartor/A 24068-2024 karta.png", "A 24068-2024")</f>
        <v/>
      </c>
      <c r="Y511">
        <f>HYPERLINK("https://klasma.github.io/Logging_0115/kartor_geotiff/A 24068-2024 georefererad karta.tif", "A 24068-2024")</f>
        <v/>
      </c>
      <c r="AA511">
        <f>HYPERLINK("https://klasma.github.io/Logging_0115/klagomål/A 24068-2024 FSC-klagomål.docx", "A 24068-2024")</f>
        <v/>
      </c>
      <c r="AB511">
        <f>HYPERLINK("https://klasma.github.io/Logging_0115/klagomålsmail/A 24068-2024 FSC-klagomål mail.docx", "A 24068-2024")</f>
        <v/>
      </c>
      <c r="AC511">
        <f>HYPERLINK("https://klasma.github.io/Logging_0115/tillsyn/A 24068-2024 tillsynsbegäran.docx", "A 24068-2024")</f>
        <v/>
      </c>
      <c r="AD511">
        <f>HYPERLINK("https://klasma.github.io/Logging_0115/tillsynsmail/A 24068-2024 tillsynsbegäran mail.docx", "A 24068-2024")</f>
        <v/>
      </c>
    </row>
    <row r="512" ht="15" customHeight="1">
      <c r="A512" t="inlineStr">
        <is>
          <t>A 42313-2025</t>
        </is>
      </c>
      <c r="B512" t="inlineStr">
        <is>
          <t>avverkningsanmälan</t>
        </is>
      </c>
      <c r="C512" t="inlineStr">
        <is>
          <t>Föryngringsavverkning</t>
        </is>
      </c>
      <c r="D512" s="1" t="n">
        <v>45904</v>
      </c>
      <c r="E512" s="1" t="n">
        <v>46326</v>
      </c>
      <c r="F512" t="inlineStr">
        <is>
          <t>STOCKHOLMS LÄN</t>
        </is>
      </c>
      <c r="G512" t="inlineStr">
        <is>
          <t>NORRTÄLJE</t>
        </is>
      </c>
      <c r="I512" t="n">
        <v>1.7</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HYPERLINK("https://klasma.github.io/Logging_0188/artfynd/A 42313-2025 artfynd.xlsx", "A 42313-2025")</f>
        <v/>
      </c>
      <c r="X512">
        <f>HYPERLINK("https://klasma.github.io/Logging_0188/kartor/A 42313-2025 karta.png", "A 42313-2025")</f>
        <v/>
      </c>
      <c r="Y512">
        <f>HYPERLINK("https://klasma.github.io/Logging_0188/kartor_geotiff/A 42313-2025 georefererad karta.tif", "A 42313-2025")</f>
        <v/>
      </c>
      <c r="AA512">
        <f>HYPERLINK("https://klasma.github.io/Logging_0188/klagomål/A 42313-2025 FSC-klagomål.docx", "A 42313-2025")</f>
        <v/>
      </c>
      <c r="AB512">
        <f>HYPERLINK("https://klasma.github.io/Logging_0188/klagomålsmail/A 42313-2025 FSC-klagomål mail.docx", "A 42313-2025")</f>
        <v/>
      </c>
      <c r="AC512">
        <f>HYPERLINK("https://klasma.github.io/Logging_0188/tillsyn/A 42313-2025 tillsynsbegäran.docx", "A 42313-2025")</f>
        <v/>
      </c>
      <c r="AD512">
        <f>HYPERLINK("https://klasma.github.io/Logging_0188/tillsynsmail/A 42313-2025 tillsynsbegäran mail.docx", "A 42313-2025")</f>
        <v/>
      </c>
    </row>
    <row r="513" ht="15" customHeight="1">
      <c r="A513" t="inlineStr">
        <is>
          <t>A 2987-2023</t>
        </is>
      </c>
      <c r="B513" t="inlineStr">
        <is>
          <t>avverkningsanmälan</t>
        </is>
      </c>
      <c r="C513" t="inlineStr">
        <is>
          <t>Föryngringsavverkning</t>
        </is>
      </c>
      <c r="D513" s="1" t="n">
        <v>44945</v>
      </c>
      <c r="E513" s="1" t="n">
        <v>46326</v>
      </c>
      <c r="F513" t="inlineStr">
        <is>
          <t>STOCKHOLMS LÄN</t>
        </is>
      </c>
      <c r="G513" t="inlineStr">
        <is>
          <t>SALEM</t>
        </is>
      </c>
      <c r="H513" t="inlineStr">
        <is>
          <t>Kommuner</t>
        </is>
      </c>
      <c r="I513" t="n">
        <v>6.2</v>
      </c>
      <c r="J513" t="n">
        <v>0</v>
      </c>
      <c r="K513" t="n">
        <v>0</v>
      </c>
      <c r="L513" t="n">
        <v>1</v>
      </c>
      <c r="M513" t="n">
        <v>0</v>
      </c>
      <c r="N513" t="n">
        <v>0</v>
      </c>
      <c r="O513" t="n">
        <v>0</v>
      </c>
      <c r="P513" t="n">
        <v>0</v>
      </c>
      <c r="Q513" t="n">
        <v>1</v>
      </c>
      <c r="R513" t="n">
        <v>0</v>
      </c>
      <c r="S513" t="n">
        <v>1</v>
      </c>
      <c r="T513" t="n">
        <v>2</v>
      </c>
      <c r="U513" t="n">
        <v>2</v>
      </c>
      <c r="V513" s="2" t="inlineStr">
        <is>
          <t>Tallticka</t>
        </is>
      </c>
      <c r="W513">
        <f>HYPERLINK("https://klasma.github.io/Logging_0128/artfynd/A 2987-2023 artfynd.xlsx", "A 2987-2023")</f>
        <v/>
      </c>
      <c r="X513">
        <f>HYPERLINK("https://klasma.github.io/Logging_0128/kartor/A 2987-2023 karta.png", "A 2987-2023")</f>
        <v/>
      </c>
      <c r="Y513">
        <f>HYPERLINK("https://klasma.github.io/Logging_0128/kartor_geotiff/A 2987-2023 georefererad karta.tif", "A 2987-2023")</f>
        <v/>
      </c>
      <c r="AA513">
        <f>HYPERLINK("https://klasma.github.io/Logging_0128/klagomål/A 2987-2023 FSC-klagomål.docx", "A 2987-2023")</f>
        <v/>
      </c>
      <c r="AB513">
        <f>HYPERLINK("https://klasma.github.io/Logging_0128/klagomålsmail/A 2987-2023 FSC-klagomål mail.docx", "A 2987-2023")</f>
        <v/>
      </c>
      <c r="AC513">
        <f>HYPERLINK("https://klasma.github.io/Logging_0128/tillsyn/A 2987-2023 tillsynsbegäran.docx", "A 2987-2023")</f>
        <v/>
      </c>
      <c r="AD513">
        <f>HYPERLINK("https://klasma.github.io/Logging_0128/tillsynsmail/A 2987-2023 tillsynsbegäran mail.docx", "A 2987-2023")</f>
        <v/>
      </c>
    </row>
    <row r="514" ht="15" customHeight="1">
      <c r="A514" t="inlineStr">
        <is>
          <t>A 67265-2021</t>
        </is>
      </c>
      <c r="B514" t="inlineStr">
        <is>
          <t>avverkningsanmälan</t>
        </is>
      </c>
      <c r="C514" t="inlineStr">
        <is>
          <t>Föryngringsavverkning</t>
        </is>
      </c>
      <c r="D514" s="1" t="n">
        <v>44523</v>
      </c>
      <c r="E514" s="1" t="n">
        <v>46326</v>
      </c>
      <c r="F514" t="inlineStr">
        <is>
          <t>STOCKHOLMS LÄN</t>
        </is>
      </c>
      <c r="G514" t="inlineStr">
        <is>
          <t>ÖSTERÅKER</t>
        </is>
      </c>
      <c r="H514" t="inlineStr">
        <is>
          <t>Kommuner</t>
        </is>
      </c>
      <c r="I514" t="n">
        <v>2.6</v>
      </c>
      <c r="J514" t="n">
        <v>1</v>
      </c>
      <c r="K514" t="n">
        <v>0</v>
      </c>
      <c r="L514" t="n">
        <v>1</v>
      </c>
      <c r="M514" t="n">
        <v>0</v>
      </c>
      <c r="N514" t="n">
        <v>0</v>
      </c>
      <c r="O514" t="n">
        <v>0</v>
      </c>
      <c r="P514" t="n">
        <v>0</v>
      </c>
      <c r="Q514" t="n">
        <v>1</v>
      </c>
      <c r="R514" t="n">
        <v>0</v>
      </c>
      <c r="S514" t="n">
        <v>1</v>
      </c>
      <c r="T514" t="n">
        <v>1</v>
      </c>
      <c r="U514" t="n">
        <v>1</v>
      </c>
      <c r="V514" s="2" t="inlineStr">
        <is>
          <t>Mindre hackspett</t>
        </is>
      </c>
      <c r="W514">
        <f>HYPERLINK("https://klasma.github.io/Logging_0117/artfynd/A 67265-2021 artfynd.xlsx", "A 67265-2021")</f>
        <v/>
      </c>
      <c r="X514">
        <f>HYPERLINK("https://klasma.github.io/Logging_0117/kartor/A 67265-2021 karta.png", "A 67265-2021")</f>
        <v/>
      </c>
      <c r="Y514">
        <f>HYPERLINK("https://klasma.github.io/Logging_0117/kartor_geotiff/A 67265-2021 georefererad karta.tif", "A 67265-2021")</f>
        <v/>
      </c>
      <c r="AA514">
        <f>HYPERLINK("https://klasma.github.io/Logging_0117/klagomål/A 67265-2021 FSC-klagomål.docx", "A 67265-2021")</f>
        <v/>
      </c>
      <c r="AB514">
        <f>HYPERLINK("https://klasma.github.io/Logging_0117/klagomålsmail/A 67265-2021 FSC-klagomål mail.docx", "A 67265-2021")</f>
        <v/>
      </c>
      <c r="AC514">
        <f>HYPERLINK("https://klasma.github.io/Logging_0117/tillsyn/A 67265-2021 tillsynsbegäran.docx", "A 67265-2021")</f>
        <v/>
      </c>
      <c r="AD514">
        <f>HYPERLINK("https://klasma.github.io/Logging_0117/tillsynsmail/A 67265-2021 tillsynsbegäran mail.docx", "A 67265-2021")</f>
        <v/>
      </c>
      <c r="AE514">
        <f>HYPERLINK("https://klasma.github.io/Logging_0117/fåglar/A 67265-2021 prioriterade fågelarter.docx", "A 67265-2021")</f>
        <v/>
      </c>
    </row>
    <row r="515" ht="15" customHeight="1">
      <c r="A515" t="inlineStr">
        <is>
          <t>A 1946-2022</t>
        </is>
      </c>
      <c r="B515" t="inlineStr">
        <is>
          <t>avverkningsanmälan</t>
        </is>
      </c>
      <c r="C515" t="inlineStr">
        <is>
          <t>Föryngringsavverkning</t>
        </is>
      </c>
      <c r="D515" s="1" t="n">
        <v>44575</v>
      </c>
      <c r="E515" s="1" t="n">
        <v>46326</v>
      </c>
      <c r="F515" t="inlineStr">
        <is>
          <t>STOCKHOLMS LÄN</t>
        </is>
      </c>
      <c r="G515" t="inlineStr">
        <is>
          <t>SÖDERTÄLJE</t>
        </is>
      </c>
      <c r="I515" t="n">
        <v>6.7</v>
      </c>
      <c r="J515" t="n">
        <v>1</v>
      </c>
      <c r="K515" t="n">
        <v>0</v>
      </c>
      <c r="L515" t="n">
        <v>0</v>
      </c>
      <c r="M515" t="n">
        <v>0</v>
      </c>
      <c r="N515" t="n">
        <v>0</v>
      </c>
      <c r="O515" t="n">
        <v>0</v>
      </c>
      <c r="P515" t="n">
        <v>0</v>
      </c>
      <c r="Q515" t="n">
        <v>0</v>
      </c>
      <c r="R515" t="n">
        <v>0</v>
      </c>
      <c r="S515" t="n">
        <v>1</v>
      </c>
      <c r="T515" t="n">
        <v>1</v>
      </c>
      <c r="U515" t="n">
        <v>0</v>
      </c>
      <c r="V515" s="2" t="inlineStr">
        <is>
          <t>Större vattensalamander</t>
        </is>
      </c>
      <c r="W515">
        <f>HYPERLINK("https://klasma.github.io/Logging_0181/artfynd/A 1946-2022 artfynd.xlsx", "A 1946-2022")</f>
        <v/>
      </c>
      <c r="X515">
        <f>HYPERLINK("https://klasma.github.io/Logging_0181/kartor/A 1946-2022 karta.png", "A 1946-2022")</f>
        <v/>
      </c>
      <c r="Y515">
        <f>HYPERLINK("https://klasma.github.io/Logging_0181/kartor_geotiff/A 1946-2022 georefererad karta.tif", "A 1946-2022")</f>
        <v/>
      </c>
      <c r="AA515">
        <f>HYPERLINK("https://klasma.github.io/Logging_0181/klagomål/A 1946-2022 FSC-klagomål.docx", "A 1946-2022")</f>
        <v/>
      </c>
      <c r="AB515">
        <f>HYPERLINK("https://klasma.github.io/Logging_0181/klagomålsmail/A 1946-2022 FSC-klagomål mail.docx", "A 1946-2022")</f>
        <v/>
      </c>
      <c r="AC515">
        <f>HYPERLINK("https://klasma.github.io/Logging_0181/tillsyn/A 1946-2022 tillsynsbegäran.docx", "A 1946-2022")</f>
        <v/>
      </c>
      <c r="AD515">
        <f>HYPERLINK("https://klasma.github.io/Logging_0181/tillsynsmail/A 1946-2022 tillsynsbegäran mail.docx", "A 1946-2022")</f>
        <v/>
      </c>
    </row>
    <row r="516" ht="15" customHeight="1">
      <c r="A516" t="inlineStr">
        <is>
          <t>A 37597-2024</t>
        </is>
      </c>
      <c r="B516" t="inlineStr">
        <is>
          <t>avverkningsanmälan</t>
        </is>
      </c>
      <c r="C516" t="inlineStr">
        <is>
          <t>Föryngringsavverkning</t>
        </is>
      </c>
      <c r="D516" s="1" t="n">
        <v>45541</v>
      </c>
      <c r="E516" s="1" t="n">
        <v>46326</v>
      </c>
      <c r="F516" t="inlineStr">
        <is>
          <t>STOCKHOLMS LÄN</t>
        </is>
      </c>
      <c r="G516" t="inlineStr">
        <is>
          <t>NYKVARN</t>
        </is>
      </c>
      <c r="I516" t="n">
        <v>1.3</v>
      </c>
      <c r="J516" t="n">
        <v>1</v>
      </c>
      <c r="K516" t="n">
        <v>0</v>
      </c>
      <c r="L516" t="n">
        <v>0</v>
      </c>
      <c r="M516" t="n">
        <v>0</v>
      </c>
      <c r="N516" t="n">
        <v>0</v>
      </c>
      <c r="O516" t="n">
        <v>0</v>
      </c>
      <c r="P516" t="n">
        <v>0</v>
      </c>
      <c r="Q516" t="n">
        <v>0</v>
      </c>
      <c r="R516" t="n">
        <v>0</v>
      </c>
      <c r="S516" t="n">
        <v>1</v>
      </c>
      <c r="T516" t="n">
        <v>1</v>
      </c>
      <c r="U516" t="n">
        <v>1</v>
      </c>
      <c r="V516" s="2" t="inlineStr">
        <is>
          <t>Röd glada</t>
        </is>
      </c>
      <c r="W516">
        <f>HYPERLINK("https://klasma.github.io/Logging_0140/artfynd/A 37597-2024 artfynd.xlsx", "A 37597-2024")</f>
        <v/>
      </c>
      <c r="X516">
        <f>HYPERLINK("https://klasma.github.io/Logging_0140/kartor/A 37597-2024 karta.png", "A 37597-2024")</f>
        <v/>
      </c>
      <c r="Y516">
        <f>HYPERLINK("https://klasma.github.io/Logging_0140/kartor_geotiff/A 37597-2024 georefererad karta.tif", "A 37597-2024")</f>
        <v/>
      </c>
      <c r="AA516">
        <f>HYPERLINK("https://klasma.github.io/Logging_0140/klagomål/A 37597-2024 FSC-klagomål.docx", "A 37597-2024")</f>
        <v/>
      </c>
      <c r="AB516">
        <f>HYPERLINK("https://klasma.github.io/Logging_0140/klagomålsmail/A 37597-2024 FSC-klagomål mail.docx", "A 37597-2024")</f>
        <v/>
      </c>
      <c r="AC516">
        <f>HYPERLINK("https://klasma.github.io/Logging_0140/tillsyn/A 37597-2024 tillsynsbegäran.docx", "A 37597-2024")</f>
        <v/>
      </c>
      <c r="AD516">
        <f>HYPERLINK("https://klasma.github.io/Logging_0140/tillsynsmail/A 37597-2024 tillsynsbegäran mail.docx", "A 37597-2024")</f>
        <v/>
      </c>
      <c r="AE516">
        <f>HYPERLINK("https://klasma.github.io/Logging_0140/fåglar/A 37597-2024 prioriterade fågelarter.docx", "A 37597-2024")</f>
        <v/>
      </c>
    </row>
    <row r="517" ht="15" customHeight="1">
      <c r="A517" t="inlineStr">
        <is>
          <t>A 39539-2023</t>
        </is>
      </c>
      <c r="B517" t="inlineStr">
        <is>
          <t>avverkningsanmälan</t>
        </is>
      </c>
      <c r="C517" t="inlineStr">
        <is>
          <t>Föryngringsavverkning</t>
        </is>
      </c>
      <c r="D517" s="1" t="n">
        <v>45167</v>
      </c>
      <c r="E517" s="1" t="n">
        <v>46326</v>
      </c>
      <c r="F517" t="inlineStr">
        <is>
          <t>STOCKHOLMS LÄN</t>
        </is>
      </c>
      <c r="G517" t="inlineStr">
        <is>
          <t>NYKVARN</t>
        </is>
      </c>
      <c r="I517" t="n">
        <v>2.3</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HYPERLINK("https://klasma.github.io/Logging_0140/artfynd/A 39539-2023 artfynd.xlsx", "A 39539-2023")</f>
        <v/>
      </c>
      <c r="X517">
        <f>HYPERLINK("https://klasma.github.io/Logging_0140/kartor/A 39539-2023 karta.png", "A 39539-2023")</f>
        <v/>
      </c>
      <c r="Y517">
        <f>HYPERLINK("https://klasma.github.io/Logging_0140/kartor_geotiff/A 39539-2023 georefererad karta.tif", "A 39539-2023")</f>
        <v/>
      </c>
      <c r="AA517">
        <f>HYPERLINK("https://klasma.github.io/Logging_0140/klagomål/A 39539-2023 FSC-klagomål.docx", "A 39539-2023")</f>
        <v/>
      </c>
      <c r="AB517">
        <f>HYPERLINK("https://klasma.github.io/Logging_0140/klagomålsmail/A 39539-2023 FSC-klagomål mail.docx", "A 39539-2023")</f>
        <v/>
      </c>
      <c r="AC517">
        <f>HYPERLINK("https://klasma.github.io/Logging_0140/tillsyn/A 39539-2023 tillsynsbegäran.docx", "A 39539-2023")</f>
        <v/>
      </c>
      <c r="AD517">
        <f>HYPERLINK("https://klasma.github.io/Logging_0140/tillsynsmail/A 39539-2023 tillsynsbegäran mail.docx", "A 39539-2023")</f>
        <v/>
      </c>
    </row>
    <row r="518" ht="15" customHeight="1">
      <c r="A518" t="inlineStr">
        <is>
          <t>A 6876-2022</t>
        </is>
      </c>
      <c r="B518" t="inlineStr">
        <is>
          <t>avverkningsanmälan</t>
        </is>
      </c>
      <c r="C518" t="inlineStr">
        <is>
          <t>Föryngringsavverkning</t>
        </is>
      </c>
      <c r="D518" s="1" t="n">
        <v>44602</v>
      </c>
      <c r="E518" s="1" t="n">
        <v>46326</v>
      </c>
      <c r="F518" t="inlineStr">
        <is>
          <t>STOCKHOLMS LÄN</t>
        </is>
      </c>
      <c r="G518" t="inlineStr">
        <is>
          <t>NYKVARN</t>
        </is>
      </c>
      <c r="H518" t="inlineStr">
        <is>
          <t>Kommuner</t>
        </is>
      </c>
      <c r="I518" t="n">
        <v>5.1</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HYPERLINK("https://klasma.github.io/Logging_0140/artfynd/A 6876-2022 artfynd.xlsx", "A 6876-2022")</f>
        <v/>
      </c>
      <c r="X518">
        <f>HYPERLINK("https://klasma.github.io/Logging_0140/kartor/A 6876-2022 karta.png", "A 6876-2022")</f>
        <v/>
      </c>
      <c r="Y518">
        <f>HYPERLINK("https://klasma.github.io/Logging_0140/kartor_geotiff/A 6876-2022 georefererad karta.tif", "A 6876-2022")</f>
        <v/>
      </c>
      <c r="AA518">
        <f>HYPERLINK("https://klasma.github.io/Logging_0140/klagomål/A 6876-2022 FSC-klagomål.docx", "A 6876-2022")</f>
        <v/>
      </c>
      <c r="AB518">
        <f>HYPERLINK("https://klasma.github.io/Logging_0140/klagomålsmail/A 6876-2022 FSC-klagomål mail.docx", "A 6876-2022")</f>
        <v/>
      </c>
      <c r="AC518">
        <f>HYPERLINK("https://klasma.github.io/Logging_0140/tillsyn/A 6876-2022 tillsynsbegäran.docx", "A 6876-2022")</f>
        <v/>
      </c>
      <c r="AD518">
        <f>HYPERLINK("https://klasma.github.io/Logging_0140/tillsynsmail/A 6876-2022 tillsynsbegäran mail.docx", "A 6876-2022")</f>
        <v/>
      </c>
    </row>
    <row r="519" ht="15" customHeight="1">
      <c r="A519" t="inlineStr">
        <is>
          <t>A 21-2022</t>
        </is>
      </c>
      <c r="B519" t="inlineStr">
        <is>
          <t>avverkningsanmälan</t>
        </is>
      </c>
      <c r="C519" t="inlineStr">
        <is>
          <t>Föryngringsavverkning</t>
        </is>
      </c>
      <c r="D519" s="1" t="n">
        <v>44560</v>
      </c>
      <c r="E519" s="1" t="n">
        <v>46326</v>
      </c>
      <c r="F519" t="inlineStr">
        <is>
          <t>STOCKHOLMS LÄN</t>
        </is>
      </c>
      <c r="G519" t="inlineStr">
        <is>
          <t>VALLENTUNA</t>
        </is>
      </c>
      <c r="H519" t="inlineStr">
        <is>
          <t>Övriga Aktiebolag</t>
        </is>
      </c>
      <c r="I519" t="n">
        <v>3.5</v>
      </c>
      <c r="J519" t="n">
        <v>1</v>
      </c>
      <c r="K519" t="n">
        <v>0</v>
      </c>
      <c r="L519" t="n">
        <v>0</v>
      </c>
      <c r="M519" t="n">
        <v>0</v>
      </c>
      <c r="N519" t="n">
        <v>0</v>
      </c>
      <c r="O519" t="n">
        <v>0</v>
      </c>
      <c r="P519" t="n">
        <v>0</v>
      </c>
      <c r="Q519" t="n">
        <v>0</v>
      </c>
      <c r="R519" t="n">
        <v>0</v>
      </c>
      <c r="S519" t="n">
        <v>1</v>
      </c>
      <c r="T519" t="n">
        <v>1</v>
      </c>
      <c r="U519" t="n">
        <v>1</v>
      </c>
      <c r="V519" s="2" t="inlineStr">
        <is>
          <t>Nattviol</t>
        </is>
      </c>
      <c r="W519">
        <f>HYPERLINK("https://klasma.github.io/Logging_0115/artfynd/A 21-2022 artfynd.xlsx", "A 21-2022")</f>
        <v/>
      </c>
      <c r="X519">
        <f>HYPERLINK("https://klasma.github.io/Logging_0115/kartor/A 21-2022 karta.png", "A 21-2022")</f>
        <v/>
      </c>
      <c r="Y519">
        <f>HYPERLINK("https://klasma.github.io/Logging_0115/kartor_geotiff/A 21-2022 georefererad karta.tif", "A 21-2022")</f>
        <v/>
      </c>
      <c r="AA519">
        <f>HYPERLINK("https://klasma.github.io/Logging_0115/klagomål/A 21-2022 FSC-klagomål.docx", "A 21-2022")</f>
        <v/>
      </c>
      <c r="AB519">
        <f>HYPERLINK("https://klasma.github.io/Logging_0115/klagomålsmail/A 21-2022 FSC-klagomål mail.docx", "A 21-2022")</f>
        <v/>
      </c>
      <c r="AC519">
        <f>HYPERLINK("https://klasma.github.io/Logging_0115/tillsyn/A 21-2022 tillsynsbegäran.docx", "A 21-2022")</f>
        <v/>
      </c>
      <c r="AD519">
        <f>HYPERLINK("https://klasma.github.io/Logging_0115/tillsynsmail/A 21-2022 tillsynsbegäran mail.docx", "A 21-2022")</f>
        <v/>
      </c>
    </row>
    <row r="520" ht="15" customHeight="1">
      <c r="A520" t="inlineStr">
        <is>
          <t>A 8285-2022</t>
        </is>
      </c>
      <c r="B520" t="inlineStr">
        <is>
          <t>avverkningsanmälan</t>
        </is>
      </c>
      <c r="C520" t="inlineStr">
        <is>
          <t>Föryngringsavverkning</t>
        </is>
      </c>
      <c r="D520" s="1" t="n">
        <v>44610</v>
      </c>
      <c r="E520" s="1" t="n">
        <v>46326</v>
      </c>
      <c r="F520" t="inlineStr">
        <is>
          <t>STOCKHOLMS LÄN</t>
        </is>
      </c>
      <c r="G520" t="inlineStr">
        <is>
          <t>NYKVARN</t>
        </is>
      </c>
      <c r="I520" t="n">
        <v>5</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HYPERLINK("https://klasma.github.io/Logging_0140/artfynd/A 8285-2022 artfynd.xlsx", "A 8285-2022")</f>
        <v/>
      </c>
      <c r="X520">
        <f>HYPERLINK("https://klasma.github.io/Logging_0140/kartor/A 8285-2022 karta.png", "A 8285-2022")</f>
        <v/>
      </c>
      <c r="Y520">
        <f>HYPERLINK("https://klasma.github.io/Logging_0140/kartor_geotiff/A 8285-2022 georefererad karta.tif", "A 8285-2022")</f>
        <v/>
      </c>
      <c r="AA520">
        <f>HYPERLINK("https://klasma.github.io/Logging_0140/klagomål/A 8285-2022 FSC-klagomål.docx", "A 8285-2022")</f>
        <v/>
      </c>
      <c r="AB520">
        <f>HYPERLINK("https://klasma.github.io/Logging_0140/klagomålsmail/A 8285-2022 FSC-klagomål mail.docx", "A 8285-2022")</f>
        <v/>
      </c>
      <c r="AC520">
        <f>HYPERLINK("https://klasma.github.io/Logging_0140/tillsyn/A 8285-2022 tillsynsbegäran.docx", "A 8285-2022")</f>
        <v/>
      </c>
      <c r="AD520">
        <f>HYPERLINK("https://klasma.github.io/Logging_0140/tillsynsmail/A 8285-2022 tillsynsbegäran mail.docx", "A 8285-2022")</f>
        <v/>
      </c>
    </row>
    <row r="521" ht="15" customHeight="1">
      <c r="A521" t="inlineStr">
        <is>
          <t>A 21329-2022</t>
        </is>
      </c>
      <c r="B521" t="inlineStr">
        <is>
          <t>avverkningsanmälan</t>
        </is>
      </c>
      <c r="C521" t="inlineStr">
        <is>
          <t>Föryngringsavverkning</t>
        </is>
      </c>
      <c r="D521" s="1" t="n">
        <v>44705</v>
      </c>
      <c r="E521" s="1" t="n">
        <v>46326</v>
      </c>
      <c r="F521" t="inlineStr">
        <is>
          <t>STOCKHOLMS LÄN</t>
        </is>
      </c>
      <c r="G521" t="inlineStr">
        <is>
          <t>NORRTÄLJE</t>
        </is>
      </c>
      <c r="I521" t="n">
        <v>4.1</v>
      </c>
      <c r="J521" t="n">
        <v>1</v>
      </c>
      <c r="K521" t="n">
        <v>1</v>
      </c>
      <c r="L521" t="n">
        <v>0</v>
      </c>
      <c r="M521" t="n">
        <v>0</v>
      </c>
      <c r="N521" t="n">
        <v>0</v>
      </c>
      <c r="O521" t="n">
        <v>0</v>
      </c>
      <c r="P521" t="n">
        <v>0</v>
      </c>
      <c r="Q521" t="n">
        <v>0</v>
      </c>
      <c r="R521" t="n">
        <v>0</v>
      </c>
      <c r="S521" t="n">
        <v>1</v>
      </c>
      <c r="T521" t="n">
        <v>1</v>
      </c>
      <c r="U521" t="n">
        <v>1</v>
      </c>
      <c r="V521" s="2" t="inlineStr">
        <is>
          <t>Skogsknipprot</t>
        </is>
      </c>
      <c r="W521">
        <f>HYPERLINK("https://klasma.github.io/Logging_0188/artfynd/A 21329-2022 artfynd.xlsx", "A 21329-2022")</f>
        <v/>
      </c>
      <c r="X521">
        <f>HYPERLINK("https://klasma.github.io/Logging_0188/kartor/A 21329-2022 karta.png", "A 21329-2022")</f>
        <v/>
      </c>
      <c r="Y521">
        <f>HYPERLINK("https://klasma.github.io/Logging_0188/kartor_geotiff/A 21329-2022 georefererad karta.tif", "A 21329-2022")</f>
        <v/>
      </c>
      <c r="AA521">
        <f>HYPERLINK("https://klasma.github.io/Logging_0188/klagomål/A 21329-2022 FSC-klagomål.docx", "A 21329-2022")</f>
        <v/>
      </c>
      <c r="AB521">
        <f>HYPERLINK("https://klasma.github.io/Logging_0188/klagomålsmail/A 21329-2022 FSC-klagomål mail.docx", "A 21329-2022")</f>
        <v/>
      </c>
      <c r="AC521">
        <f>HYPERLINK("https://klasma.github.io/Logging_0188/tillsyn/A 21329-2022 tillsynsbegäran.docx", "A 21329-2022")</f>
        <v/>
      </c>
      <c r="AD521">
        <f>HYPERLINK("https://klasma.github.io/Logging_0188/tillsynsmail/A 21329-2022 tillsynsbegäran mail.docx", "A 21329-2022")</f>
        <v/>
      </c>
    </row>
    <row r="522" ht="15" customHeight="1">
      <c r="A522" t="inlineStr">
        <is>
          <t>A 24790-2026</t>
        </is>
      </c>
      <c r="B522" t="inlineStr">
        <is>
          <t>avverkningsanmälan</t>
        </is>
      </c>
      <c r="C522" t="inlineStr">
        <is>
          <t>Föryngringsavverkning</t>
        </is>
      </c>
      <c r="D522" s="1" t="n">
        <v>46171</v>
      </c>
      <c r="E522" s="1" t="n">
        <v>46326</v>
      </c>
      <c r="F522" t="inlineStr">
        <is>
          <t>STOCKHOLMS LÄN</t>
        </is>
      </c>
      <c r="G522" t="inlineStr">
        <is>
          <t>NYKVARN</t>
        </is>
      </c>
      <c r="H522" t="inlineStr">
        <is>
          <t>Kommuner</t>
        </is>
      </c>
      <c r="I522" t="n">
        <v>0.8</v>
      </c>
      <c r="J522" t="n">
        <v>1</v>
      </c>
      <c r="K522" t="n">
        <v>0</v>
      </c>
      <c r="L522" t="n">
        <v>0</v>
      </c>
      <c r="M522" t="n">
        <v>0</v>
      </c>
      <c r="N522" t="n">
        <v>0</v>
      </c>
      <c r="O522" t="n">
        <v>0</v>
      </c>
      <c r="P522" t="n">
        <v>0</v>
      </c>
      <c r="Q522" t="n">
        <v>0</v>
      </c>
      <c r="R522" t="n">
        <v>0</v>
      </c>
      <c r="S522" t="n">
        <v>1</v>
      </c>
      <c r="T522" t="n">
        <v>1</v>
      </c>
      <c r="U522" t="n">
        <v>0</v>
      </c>
      <c r="V522" s="2" t="inlineStr">
        <is>
          <t>Kopparödla</t>
        </is>
      </c>
      <c r="W522">
        <f>HYPERLINK("https://klasma.github.io/Logging_0140/artfynd/A 24790-2026 artfynd.xlsx", "A 24790-2026")</f>
        <v/>
      </c>
      <c r="X522">
        <f>HYPERLINK("https://klasma.github.io/Logging_0140/kartor/A 24790-2026 karta.png", "A 24790-2026")</f>
        <v/>
      </c>
      <c r="Y522">
        <f>HYPERLINK("https://klasma.github.io/Logging_0140/kartor_geotiff/A 24790-2026 georefererad karta.tif", "A 24790-2026")</f>
        <v/>
      </c>
      <c r="AA522">
        <f>HYPERLINK("https://klasma.github.io/Logging_0140/klagomål/A 24790-2026 FSC-klagomål.docx", "A 24790-2026")</f>
        <v/>
      </c>
      <c r="AB522">
        <f>HYPERLINK("https://klasma.github.io/Logging_0140/klagomålsmail/A 24790-2026 FSC-klagomål mail.docx", "A 24790-2026")</f>
        <v/>
      </c>
      <c r="AC522">
        <f>HYPERLINK("https://klasma.github.io/Logging_0140/tillsyn/A 24790-2026 tillsynsbegäran.docx", "A 24790-2026")</f>
        <v/>
      </c>
      <c r="AD522">
        <f>HYPERLINK("https://klasma.github.io/Logging_0140/tillsynsmail/A 24790-2026 tillsynsbegäran mail.docx", "A 24790-2026")</f>
        <v/>
      </c>
    </row>
    <row r="523" ht="15" customHeight="1">
      <c r="A523" t="inlineStr">
        <is>
          <t>A 60765-2023</t>
        </is>
      </c>
      <c r="B523" t="inlineStr">
        <is>
          <t>avverkningsanmälan</t>
        </is>
      </c>
      <c r="C523" t="inlineStr">
        <is>
          <t>Föryngringsavverkning</t>
        </is>
      </c>
      <c r="D523" s="1" t="n">
        <v>45260</v>
      </c>
      <c r="E523" s="1" t="n">
        <v>46326</v>
      </c>
      <c r="F523" t="inlineStr">
        <is>
          <t>STOCKHOLMS LÄN</t>
        </is>
      </c>
      <c r="G523" t="inlineStr">
        <is>
          <t>NORRTÄLJE</t>
        </is>
      </c>
      <c r="I523" t="n">
        <v>3.7</v>
      </c>
      <c r="J523" t="n">
        <v>1</v>
      </c>
      <c r="K523" t="n">
        <v>0</v>
      </c>
      <c r="L523" t="n">
        <v>0</v>
      </c>
      <c r="M523" t="n">
        <v>0</v>
      </c>
      <c r="N523" t="n">
        <v>0</v>
      </c>
      <c r="O523" t="n">
        <v>0</v>
      </c>
      <c r="P523" t="n">
        <v>0</v>
      </c>
      <c r="Q523" t="n">
        <v>0</v>
      </c>
      <c r="R523" t="n">
        <v>0</v>
      </c>
      <c r="S523" t="n">
        <v>1</v>
      </c>
      <c r="T523" t="n">
        <v>1</v>
      </c>
      <c r="U523" t="n">
        <v>0</v>
      </c>
      <c r="V523" s="2" t="inlineStr">
        <is>
          <t>Pudrad kärrtrollslända</t>
        </is>
      </c>
      <c r="W523">
        <f>HYPERLINK("https://klasma.github.io/Logging_0188/artfynd/A 60765-2023 artfynd.xlsx", "A 60765-2023")</f>
        <v/>
      </c>
      <c r="X523">
        <f>HYPERLINK("https://klasma.github.io/Logging_0188/kartor/A 60765-2023 karta.png", "A 60765-2023")</f>
        <v/>
      </c>
      <c r="Y523">
        <f>HYPERLINK("https://klasma.github.io/Logging_0188/kartor_geotiff/A 60765-2023 georefererad karta.tif", "A 60765-2023")</f>
        <v/>
      </c>
      <c r="AA523">
        <f>HYPERLINK("https://klasma.github.io/Logging_0188/klagomål/A 60765-2023 FSC-klagomål.docx", "A 60765-2023")</f>
        <v/>
      </c>
      <c r="AB523">
        <f>HYPERLINK("https://klasma.github.io/Logging_0188/klagomålsmail/A 60765-2023 FSC-klagomål mail.docx", "A 60765-2023")</f>
        <v/>
      </c>
      <c r="AC523">
        <f>HYPERLINK("https://klasma.github.io/Logging_0188/tillsyn/A 60765-2023 tillsynsbegäran.docx", "A 60765-2023")</f>
        <v/>
      </c>
      <c r="AD523">
        <f>HYPERLINK("https://klasma.github.io/Logging_0188/tillsynsmail/A 60765-2023 tillsynsbegäran mail.docx", "A 60765-2023")</f>
        <v/>
      </c>
    </row>
    <row r="524" ht="15" customHeight="1">
      <c r="A524" t="inlineStr">
        <is>
          <t>A 30290-2022</t>
        </is>
      </c>
      <c r="B524" t="inlineStr">
        <is>
          <t>avverkningsanmälan</t>
        </is>
      </c>
      <c r="C524" t="inlineStr">
        <is>
          <t>Föryngringsavverkning</t>
        </is>
      </c>
      <c r="D524" s="1" t="n">
        <v>44760</v>
      </c>
      <c r="E524" s="1" t="n">
        <v>46326</v>
      </c>
      <c r="F524" t="inlineStr">
        <is>
          <t>STOCKHOLMS LÄN</t>
        </is>
      </c>
      <c r="G524" t="inlineStr">
        <is>
          <t>NORRTÄLJE</t>
        </is>
      </c>
      <c r="I524" t="n">
        <v>4.8</v>
      </c>
      <c r="J524" t="n">
        <v>1</v>
      </c>
      <c r="K524" t="n">
        <v>1</v>
      </c>
      <c r="L524" t="n">
        <v>0</v>
      </c>
      <c r="M524" t="n">
        <v>0</v>
      </c>
      <c r="N524" t="n">
        <v>0</v>
      </c>
      <c r="O524" t="n">
        <v>0</v>
      </c>
      <c r="P524" t="n">
        <v>0</v>
      </c>
      <c r="Q524" t="n">
        <v>0</v>
      </c>
      <c r="R524" t="n">
        <v>0</v>
      </c>
      <c r="S524" t="n">
        <v>1</v>
      </c>
      <c r="T524" t="n">
        <v>1</v>
      </c>
      <c r="U524" t="n">
        <v>1</v>
      </c>
      <c r="V524" s="2" t="inlineStr">
        <is>
          <t>Skogsknipprot</t>
        </is>
      </c>
      <c r="W524">
        <f>HYPERLINK("https://klasma.github.io/Logging_0188/artfynd/A 30290-2022 artfynd.xlsx", "A 30290-2022")</f>
        <v/>
      </c>
      <c r="X524">
        <f>HYPERLINK("https://klasma.github.io/Logging_0188/kartor/A 30290-2022 karta.png", "A 30290-2022")</f>
        <v/>
      </c>
      <c r="Y524">
        <f>HYPERLINK("https://klasma.github.io/Logging_0188/kartor_geotiff/A 30290-2022 georefererad karta.tif", "A 30290-2022")</f>
        <v/>
      </c>
      <c r="AA524">
        <f>HYPERLINK("https://klasma.github.io/Logging_0188/klagomål/A 30290-2022 FSC-klagomål.docx", "A 30290-2022")</f>
        <v/>
      </c>
      <c r="AB524">
        <f>HYPERLINK("https://klasma.github.io/Logging_0188/klagomålsmail/A 30290-2022 FSC-klagomål mail.docx", "A 30290-2022")</f>
        <v/>
      </c>
      <c r="AC524">
        <f>HYPERLINK("https://klasma.github.io/Logging_0188/tillsyn/A 30290-2022 tillsynsbegäran.docx", "A 30290-2022")</f>
        <v/>
      </c>
      <c r="AD524">
        <f>HYPERLINK("https://klasma.github.io/Logging_0188/tillsynsmail/A 30290-2022 tillsynsbegäran mail.docx", "A 30290-2022")</f>
        <v/>
      </c>
    </row>
    <row r="525" ht="15" customHeight="1">
      <c r="A525" t="inlineStr">
        <is>
          <t>A 26196-2026</t>
        </is>
      </c>
      <c r="B525" t="inlineStr">
        <is>
          <t>avverkningsanmälan</t>
        </is>
      </c>
      <c r="C525" t="inlineStr">
        <is>
          <t>Avverkning för annat ändamål</t>
        </is>
      </c>
      <c r="D525" s="1" t="n">
        <v>46182</v>
      </c>
      <c r="E525" s="1" t="n">
        <v>46326</v>
      </c>
      <c r="F525" t="inlineStr">
        <is>
          <t>STOCKHOLMS LÄN</t>
        </is>
      </c>
      <c r="G525" t="inlineStr">
        <is>
          <t>UPPLANDS-BRO</t>
        </is>
      </c>
      <c r="I525" t="n">
        <v>53.1</v>
      </c>
      <c r="J525" t="n">
        <v>0</v>
      </c>
      <c r="K525" t="n">
        <v>0</v>
      </c>
      <c r="L525" t="n">
        <v>0</v>
      </c>
      <c r="M525" t="n">
        <v>0</v>
      </c>
      <c r="N525" t="n">
        <v>0</v>
      </c>
      <c r="O525" t="n">
        <v>0</v>
      </c>
      <c r="P525" t="n">
        <v>0</v>
      </c>
      <c r="Q525" t="n">
        <v>0</v>
      </c>
      <c r="R525" t="n">
        <v>0</v>
      </c>
      <c r="S525" t="n">
        <v>1</v>
      </c>
      <c r="T525" t="n">
        <v>2</v>
      </c>
      <c r="U525" t="n">
        <v>2</v>
      </c>
      <c r="V525" s="2" t="inlineStr">
        <is>
          <t>Liljekonvalj</t>
        </is>
      </c>
      <c r="W525">
        <f>HYPERLINK("https://klasma.github.io/Logging_0139/artfynd/A 26196-2026 artfynd.xlsx", "A 26196-2026")</f>
        <v/>
      </c>
      <c r="X525">
        <f>HYPERLINK("https://klasma.github.io/Logging_0139/kartor/A 26196-2026 karta.png", "A 26196-2026")</f>
        <v/>
      </c>
      <c r="Y525">
        <f>HYPERLINK("https://klasma.github.io/Logging_0139/kartor_geotiff/A 26196-2026 georefererad karta.tif", "A 26196-2026")</f>
        <v/>
      </c>
      <c r="AA525">
        <f>HYPERLINK("https://klasma.github.io/Logging_0139/klagomål/A 26196-2026 FSC-klagomål.docx", "A 26196-2026")</f>
        <v/>
      </c>
      <c r="AB525">
        <f>HYPERLINK("https://klasma.github.io/Logging_0139/klagomålsmail/A 26196-2026 FSC-klagomål mail.docx", "A 26196-2026")</f>
        <v/>
      </c>
      <c r="AC525">
        <f>HYPERLINK("https://klasma.github.io/Logging_0139/tillsyn/A 26196-2026 tillsynsbegäran.docx", "A 26196-2026")</f>
        <v/>
      </c>
      <c r="AD525">
        <f>HYPERLINK("https://klasma.github.io/Logging_0139/tillsynsmail/A 26196-2026 tillsynsbegäran mail.docx", "A 26196-2026")</f>
        <v/>
      </c>
    </row>
    <row r="526" ht="15" customHeight="1">
      <c r="A526" t="inlineStr">
        <is>
          <t>A 20914-2026</t>
        </is>
      </c>
      <c r="B526" t="inlineStr">
        <is>
          <t>avverkningsanmälan</t>
        </is>
      </c>
      <c r="C526" t="inlineStr">
        <is>
          <t>Avverkning för att bevara och utveckla /försöksver</t>
        </is>
      </c>
      <c r="D526" s="1" t="n">
        <v>46142</v>
      </c>
      <c r="E526" s="1" t="n">
        <v>46326</v>
      </c>
      <c r="F526" t="inlineStr">
        <is>
          <t>STOCKHOLMS LÄN</t>
        </is>
      </c>
      <c r="G526" t="inlineStr">
        <is>
          <t>VALLENTUNA</t>
        </is>
      </c>
      <c r="I526" t="n">
        <v>1.1</v>
      </c>
      <c r="J526" t="n">
        <v>0</v>
      </c>
      <c r="K526" t="n">
        <v>0</v>
      </c>
      <c r="L526" t="n">
        <v>1</v>
      </c>
      <c r="M526" t="n">
        <v>0</v>
      </c>
      <c r="N526" t="n">
        <v>0</v>
      </c>
      <c r="O526" t="n">
        <v>0</v>
      </c>
      <c r="P526" t="n">
        <v>0</v>
      </c>
      <c r="Q526" t="n">
        <v>1</v>
      </c>
      <c r="R526" t="n">
        <v>0</v>
      </c>
      <c r="S526" t="n">
        <v>1</v>
      </c>
      <c r="T526" t="n">
        <v>2</v>
      </c>
      <c r="U526" t="n">
        <v>2</v>
      </c>
      <c r="V526" s="2" t="inlineStr">
        <is>
          <t>Tallticka</t>
        </is>
      </c>
      <c r="W526">
        <f>HYPERLINK("https://klasma.github.io/Logging_0115/artfynd/A 20914-2026 artfynd.xlsx", "A 20914-2026")</f>
        <v/>
      </c>
      <c r="X526">
        <f>HYPERLINK("https://klasma.github.io/Logging_0115/kartor/A 20914-2026 karta.png", "A 20914-2026")</f>
        <v/>
      </c>
      <c r="Y526">
        <f>HYPERLINK("https://klasma.github.io/Logging_0115/kartor_geotiff/A 20914-2026 georefererad karta.tif", "A 20914-2026")</f>
        <v/>
      </c>
      <c r="AA526">
        <f>HYPERLINK("https://klasma.github.io/Logging_0115/klagomål/A 20914-2026 FSC-klagomål.docx", "A 20914-2026")</f>
        <v/>
      </c>
      <c r="AB526">
        <f>HYPERLINK("https://klasma.github.io/Logging_0115/klagomålsmail/A 20914-2026 FSC-klagomål mail.docx", "A 20914-2026")</f>
        <v/>
      </c>
      <c r="AC526">
        <f>HYPERLINK("https://klasma.github.io/Logging_0115/tillsyn/A 20914-2026 tillsynsbegäran.docx", "A 20914-2026")</f>
        <v/>
      </c>
      <c r="AD526">
        <f>HYPERLINK("https://klasma.github.io/Logging_0115/tillsynsmail/A 20914-2026 tillsynsbegäran mail.docx", "A 20914-2026")</f>
        <v/>
      </c>
    </row>
    <row r="527" ht="15" customHeight="1">
      <c r="A527" t="inlineStr">
        <is>
          <t>A 19793-2024</t>
        </is>
      </c>
      <c r="B527" t="inlineStr">
        <is>
          <t>avverkningsanmälan</t>
        </is>
      </c>
      <c r="C527" t="inlineStr">
        <is>
          <t>Avverkning för annat ändamål</t>
        </is>
      </c>
      <c r="D527" s="1" t="n">
        <v>45432</v>
      </c>
      <c r="E527" s="1" t="n">
        <v>46326</v>
      </c>
      <c r="F527" t="inlineStr">
        <is>
          <t>STOCKHOLMS LÄN</t>
        </is>
      </c>
      <c r="G527" t="inlineStr">
        <is>
          <t>SÖDERTÄLJE</t>
        </is>
      </c>
      <c r="H527" t="inlineStr">
        <is>
          <t>Övriga Aktiebolag</t>
        </is>
      </c>
      <c r="I527" t="n">
        <v>4.1</v>
      </c>
      <c r="J527" t="n">
        <v>0</v>
      </c>
      <c r="K527" t="n">
        <v>0</v>
      </c>
      <c r="L527" t="n">
        <v>1</v>
      </c>
      <c r="M527" t="n">
        <v>0</v>
      </c>
      <c r="N527" t="n">
        <v>0</v>
      </c>
      <c r="O527" t="n">
        <v>0</v>
      </c>
      <c r="P527" t="n">
        <v>0</v>
      </c>
      <c r="Q527" t="n">
        <v>1</v>
      </c>
      <c r="R527" t="n">
        <v>0</v>
      </c>
      <c r="S527" t="n">
        <v>1</v>
      </c>
      <c r="T527" t="n">
        <v>1</v>
      </c>
      <c r="U527" t="n">
        <v>0</v>
      </c>
      <c r="V527" s="2" t="inlineStr">
        <is>
          <t>Fjällig taggsvamp s.str.</t>
        </is>
      </c>
      <c r="W527">
        <f>HYPERLINK("https://klasma.github.io/Logging_0181/artfynd/A 19793-2024 artfynd.xlsx", "A 19793-2024")</f>
        <v/>
      </c>
      <c r="X527">
        <f>HYPERLINK("https://klasma.github.io/Logging_0181/kartor/A 19793-2024 karta.png", "A 19793-2024")</f>
        <v/>
      </c>
      <c r="Y527">
        <f>HYPERLINK("https://klasma.github.io/Logging_0181/kartor_geotiff/A 19793-2024 georefererad karta.tif", "A 19793-2024")</f>
        <v/>
      </c>
      <c r="AA527">
        <f>HYPERLINK("https://klasma.github.io/Logging_0181/klagomål/A 19793-2024 FSC-klagomål.docx", "A 19793-2024")</f>
        <v/>
      </c>
      <c r="AB527">
        <f>HYPERLINK("https://klasma.github.io/Logging_0181/klagomålsmail/A 19793-2024 FSC-klagomål mail.docx", "A 19793-2024")</f>
        <v/>
      </c>
      <c r="AC527">
        <f>HYPERLINK("https://klasma.github.io/Logging_0181/tillsyn/A 19793-2024 tillsynsbegäran.docx", "A 19793-2024")</f>
        <v/>
      </c>
      <c r="AD527">
        <f>HYPERLINK("https://klasma.github.io/Logging_0181/tillsynsmail/A 19793-2024 tillsynsbegäran mail.docx", "A 19793-2024")</f>
        <v/>
      </c>
    </row>
    <row r="528" ht="15" customHeight="1">
      <c r="A528" t="inlineStr">
        <is>
          <t>A 38610-2022</t>
        </is>
      </c>
      <c r="B528" t="inlineStr">
        <is>
          <t>avverkningsanmälan</t>
        </is>
      </c>
      <c r="C528" t="inlineStr">
        <is>
          <t>Föryngringsavverkning</t>
        </is>
      </c>
      <c r="D528" s="1" t="n">
        <v>44813</v>
      </c>
      <c r="E528" s="1" t="n">
        <v>46326</v>
      </c>
      <c r="F528" t="inlineStr">
        <is>
          <t>STOCKHOLMS LÄN</t>
        </is>
      </c>
      <c r="G528" t="inlineStr">
        <is>
          <t>NORRTÄLJE</t>
        </is>
      </c>
      <c r="I528" t="n">
        <v>1.9</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HYPERLINK("https://klasma.github.io/Logging_0188/artfynd/A 38610-2022 artfynd.xlsx", "A 38610-2022")</f>
        <v/>
      </c>
      <c r="X528">
        <f>HYPERLINK("https://klasma.github.io/Logging_0188/kartor/A 38610-2022 karta.png", "A 38610-2022")</f>
        <v/>
      </c>
      <c r="Y528">
        <f>HYPERLINK("https://klasma.github.io/Logging_0188/kartor_geotiff/A 38610-2022 georefererad karta.tif", "A 38610-2022")</f>
        <v/>
      </c>
      <c r="AA528">
        <f>HYPERLINK("https://klasma.github.io/Logging_0188/klagomål/A 38610-2022 FSC-klagomål.docx", "A 38610-2022")</f>
        <v/>
      </c>
      <c r="AB528">
        <f>HYPERLINK("https://klasma.github.io/Logging_0188/klagomålsmail/A 38610-2022 FSC-klagomål mail.docx", "A 38610-2022")</f>
        <v/>
      </c>
      <c r="AC528">
        <f>HYPERLINK("https://klasma.github.io/Logging_0188/tillsyn/A 38610-2022 tillsynsbegäran.docx", "A 38610-2022")</f>
        <v/>
      </c>
      <c r="AD528">
        <f>HYPERLINK("https://klasma.github.io/Logging_0188/tillsynsmail/A 38610-2022 tillsynsbegäran mail.docx", "A 38610-2022")</f>
        <v/>
      </c>
    </row>
    <row r="529" ht="15" customHeight="1">
      <c r="A529" t="inlineStr">
        <is>
          <t>A 1691-2023</t>
        </is>
      </c>
      <c r="B529" t="inlineStr">
        <is>
          <t>avverkningsanmälan</t>
        </is>
      </c>
      <c r="C529" t="inlineStr">
        <is>
          <t>Föryngringsavverkning</t>
        </is>
      </c>
      <c r="D529" s="1" t="n">
        <v>44938</v>
      </c>
      <c r="E529" s="1" t="n">
        <v>46326</v>
      </c>
      <c r="F529" t="inlineStr">
        <is>
          <t>STOCKHOLMS LÄN</t>
        </is>
      </c>
      <c r="G529" t="inlineStr">
        <is>
          <t>BOTKYRKA</t>
        </is>
      </c>
      <c r="I529" t="n">
        <v>1.7</v>
      </c>
      <c r="J529" t="n">
        <v>0</v>
      </c>
      <c r="K529" t="n">
        <v>1</v>
      </c>
      <c r="L529" t="n">
        <v>0</v>
      </c>
      <c r="M529" t="n">
        <v>0</v>
      </c>
      <c r="N529" t="n">
        <v>0</v>
      </c>
      <c r="O529" t="n">
        <v>0</v>
      </c>
      <c r="P529" t="n">
        <v>0</v>
      </c>
      <c r="Q529" t="n">
        <v>0</v>
      </c>
      <c r="R529" t="n">
        <v>0</v>
      </c>
      <c r="S529" t="n">
        <v>1</v>
      </c>
      <c r="T529" t="n">
        <v>1</v>
      </c>
      <c r="U529" t="n">
        <v>0</v>
      </c>
      <c r="V529" s="2" t="inlineStr">
        <is>
          <t>Tibast</t>
        </is>
      </c>
      <c r="W529">
        <f>HYPERLINK("https://klasma.github.io/Logging_0127/artfynd/A 1691-2023 artfynd.xlsx", "A 1691-2023")</f>
        <v/>
      </c>
      <c r="X529">
        <f>HYPERLINK("https://klasma.github.io/Logging_0127/kartor/A 1691-2023 karta.png", "A 1691-2023")</f>
        <v/>
      </c>
      <c r="Y529">
        <f>HYPERLINK("https://klasma.github.io/Logging_0127/kartor_geotiff/A 1691-2023 georefererad karta.tif", "A 1691-2023")</f>
        <v/>
      </c>
      <c r="AA529">
        <f>HYPERLINK("https://klasma.github.io/Logging_0127/klagomål/A 1691-2023 FSC-klagomål.docx", "A 1691-2023")</f>
        <v/>
      </c>
      <c r="AB529">
        <f>HYPERLINK("https://klasma.github.io/Logging_0127/klagomålsmail/A 1691-2023 FSC-klagomål mail.docx", "A 1691-2023")</f>
        <v/>
      </c>
      <c r="AC529">
        <f>HYPERLINK("https://klasma.github.io/Logging_0127/tillsyn/A 1691-2023 tillsynsbegäran.docx", "A 1691-2023")</f>
        <v/>
      </c>
      <c r="AD529">
        <f>HYPERLINK("https://klasma.github.io/Logging_0127/tillsynsmail/A 1691-2023 tillsynsbegäran mail.docx", "A 1691-2023")</f>
        <v/>
      </c>
    </row>
    <row r="530" ht="15" customHeight="1">
      <c r="A530" t="inlineStr">
        <is>
          <t>A 28354-2026</t>
        </is>
      </c>
      <c r="B530" t="inlineStr">
        <is>
          <t>avverkningsanmälan</t>
        </is>
      </c>
      <c r="C530" t="inlineStr">
        <is>
          <t>Föryngringsavverkning</t>
        </is>
      </c>
      <c r="D530" s="1" t="n">
        <v>46195</v>
      </c>
      <c r="E530" s="1" t="n">
        <v>46326</v>
      </c>
      <c r="F530" t="inlineStr">
        <is>
          <t>STOCKHOLMS LÄN</t>
        </is>
      </c>
      <c r="G530" t="inlineStr">
        <is>
          <t>VÄRMDÖ</t>
        </is>
      </c>
      <c r="I530" t="n">
        <v>1.8</v>
      </c>
      <c r="J530" t="n">
        <v>0</v>
      </c>
      <c r="K530" t="n">
        <v>0</v>
      </c>
      <c r="L530" t="n">
        <v>1</v>
      </c>
      <c r="M530" t="n">
        <v>0</v>
      </c>
      <c r="N530" t="n">
        <v>0</v>
      </c>
      <c r="O530" t="n">
        <v>0</v>
      </c>
      <c r="P530" t="n">
        <v>0</v>
      </c>
      <c r="Q530" t="n">
        <v>1</v>
      </c>
      <c r="R530" t="n">
        <v>0</v>
      </c>
      <c r="S530" t="n">
        <v>1</v>
      </c>
      <c r="T530" t="n">
        <v>2</v>
      </c>
      <c r="U530" t="n">
        <v>0</v>
      </c>
      <c r="V530" s="2" t="inlineStr">
        <is>
          <t>Tallticka</t>
        </is>
      </c>
      <c r="W530">
        <f>HYPERLINK("https://klasma.github.io/Logging_0120/artfynd/A 28354-2026 artfynd.xlsx", "A 28354-2026")</f>
        <v/>
      </c>
      <c r="X530">
        <f>HYPERLINK("https://klasma.github.io/Logging_0120/kartor/A 28354-2026 karta.png", "A 28354-2026")</f>
        <v/>
      </c>
      <c r="Y530">
        <f>HYPERLINK("https://klasma.github.io/Logging_0120/kartor_geotiff/A 28354-2026 georefererad karta.tif", "A 28354-2026")</f>
        <v/>
      </c>
      <c r="AA530">
        <f>HYPERLINK("https://klasma.github.io/Logging_0120/klagomål/A 28354-2026 FSC-klagomål.docx", "A 28354-2026")</f>
        <v/>
      </c>
      <c r="AB530">
        <f>HYPERLINK("https://klasma.github.io/Logging_0120/klagomålsmail/A 28354-2026 FSC-klagomål mail.docx", "A 28354-2026")</f>
        <v/>
      </c>
      <c r="AC530">
        <f>HYPERLINK("https://klasma.github.io/Logging_0120/tillsyn/A 28354-2026 tillsynsbegäran.docx", "A 28354-2026")</f>
        <v/>
      </c>
      <c r="AD530">
        <f>HYPERLINK("https://klasma.github.io/Logging_0120/tillsynsmail/A 28354-2026 tillsynsbegäran mail.docx", "A 28354-2026")</f>
        <v/>
      </c>
    </row>
    <row r="531" ht="15" customHeight="1">
      <c r="A531" t="inlineStr">
        <is>
          <t>A 6435-2023</t>
        </is>
      </c>
      <c r="B531" t="inlineStr">
        <is>
          <t>avverkningsanmälan</t>
        </is>
      </c>
      <c r="C531" t="inlineStr">
        <is>
          <t>Föryngringsavverkning</t>
        </is>
      </c>
      <c r="D531" s="1" t="n">
        <v>44965</v>
      </c>
      <c r="E531" s="1" t="n">
        <v>46326</v>
      </c>
      <c r="F531" t="inlineStr">
        <is>
          <t>STOCKHOLMS LÄN</t>
        </is>
      </c>
      <c r="G531" t="inlineStr">
        <is>
          <t>NYNÄSHAMN</t>
        </is>
      </c>
      <c r="I531" t="n">
        <v>1.8</v>
      </c>
      <c r="J531" t="n">
        <v>0</v>
      </c>
      <c r="K531" t="n">
        <v>0</v>
      </c>
      <c r="L531" t="n">
        <v>1</v>
      </c>
      <c r="M531" t="n">
        <v>0</v>
      </c>
      <c r="N531" t="n">
        <v>0</v>
      </c>
      <c r="O531" t="n">
        <v>0</v>
      </c>
      <c r="P531" t="n">
        <v>0</v>
      </c>
      <c r="Q531" t="n">
        <v>1</v>
      </c>
      <c r="R531" t="n">
        <v>0</v>
      </c>
      <c r="S531" t="n">
        <v>1</v>
      </c>
      <c r="T531" t="n">
        <v>1</v>
      </c>
      <c r="U531" t="n">
        <v>1</v>
      </c>
      <c r="V531" s="2" t="inlineStr">
        <is>
          <t>Tallticka</t>
        </is>
      </c>
      <c r="W531">
        <f>HYPERLINK("https://klasma.github.io/Logging_0192/artfynd/A 6435-2023 artfynd.xlsx", "A 6435-2023")</f>
        <v/>
      </c>
      <c r="X531">
        <f>HYPERLINK("https://klasma.github.io/Logging_0192/kartor/A 6435-2023 karta.png", "A 6435-2023")</f>
        <v/>
      </c>
      <c r="Y531">
        <f>HYPERLINK("https://klasma.github.io/Logging_0192/kartor_geotiff/A 6435-2023 georefererad karta.tif", "A 6435-2023")</f>
        <v/>
      </c>
      <c r="AA531">
        <f>HYPERLINK("https://klasma.github.io/Logging_0192/klagomål/A 6435-2023 FSC-klagomål.docx", "A 6435-2023")</f>
        <v/>
      </c>
      <c r="AB531">
        <f>HYPERLINK("https://klasma.github.io/Logging_0192/klagomålsmail/A 6435-2023 FSC-klagomål mail.docx", "A 6435-2023")</f>
        <v/>
      </c>
      <c r="AC531">
        <f>HYPERLINK("https://klasma.github.io/Logging_0192/tillsyn/A 6435-2023 tillsynsbegäran.docx", "A 6435-2023")</f>
        <v/>
      </c>
      <c r="AD531">
        <f>HYPERLINK("https://klasma.github.io/Logging_0192/tillsynsmail/A 6435-2023 tillsynsbegäran mail.docx", "A 6435-2023")</f>
        <v/>
      </c>
    </row>
    <row r="532" ht="15" customHeight="1">
      <c r="A532" t="inlineStr">
        <is>
          <t>A 56596-2023</t>
        </is>
      </c>
      <c r="B532" t="inlineStr">
        <is>
          <t>avverkningsanmälan</t>
        </is>
      </c>
      <c r="C532" t="inlineStr">
        <is>
          <t>Föryngringsavverkning</t>
        </is>
      </c>
      <c r="D532" s="1" t="n">
        <v>45243</v>
      </c>
      <c r="E532" s="1" t="n">
        <v>46326</v>
      </c>
      <c r="F532" t="inlineStr">
        <is>
          <t>STOCKHOLMS LÄN</t>
        </is>
      </c>
      <c r="G532" t="inlineStr">
        <is>
          <t>SÖDERTÄLJE</t>
        </is>
      </c>
      <c r="I532" t="n">
        <v>1.6</v>
      </c>
      <c r="J532" t="n">
        <v>0</v>
      </c>
      <c r="K532" t="n">
        <v>1</v>
      </c>
      <c r="L532" t="n">
        <v>0</v>
      </c>
      <c r="M532" t="n">
        <v>0</v>
      </c>
      <c r="N532" t="n">
        <v>0</v>
      </c>
      <c r="O532" t="n">
        <v>0</v>
      </c>
      <c r="P532" t="n">
        <v>0</v>
      </c>
      <c r="Q532" t="n">
        <v>0</v>
      </c>
      <c r="R532" t="n">
        <v>0</v>
      </c>
      <c r="S532" t="n">
        <v>1</v>
      </c>
      <c r="T532" t="n">
        <v>1</v>
      </c>
      <c r="U532" t="n">
        <v>0</v>
      </c>
      <c r="V532" s="2" t="inlineStr">
        <is>
          <t>Jättesvampmal</t>
        </is>
      </c>
      <c r="W532">
        <f>HYPERLINK("https://klasma.github.io/Logging_0181/artfynd/A 56596-2023 artfynd.xlsx", "A 56596-2023")</f>
        <v/>
      </c>
      <c r="X532">
        <f>HYPERLINK("https://klasma.github.io/Logging_0181/kartor/A 56596-2023 karta.png", "A 56596-2023")</f>
        <v/>
      </c>
      <c r="Y532">
        <f>HYPERLINK("https://klasma.github.io/Logging_0181/kartor_geotiff/A 56596-2023 georefererad karta.tif", "A 56596-2023")</f>
        <v/>
      </c>
      <c r="AA532">
        <f>HYPERLINK("https://klasma.github.io/Logging_0181/klagomål/A 56596-2023 FSC-klagomål.docx", "A 56596-2023")</f>
        <v/>
      </c>
      <c r="AB532">
        <f>HYPERLINK("https://klasma.github.io/Logging_0181/klagomålsmail/A 56596-2023 FSC-klagomål mail.docx", "A 56596-2023")</f>
        <v/>
      </c>
      <c r="AC532">
        <f>HYPERLINK("https://klasma.github.io/Logging_0181/tillsyn/A 56596-2023 tillsynsbegäran.docx", "A 56596-2023")</f>
        <v/>
      </c>
      <c r="AD532">
        <f>HYPERLINK("https://klasma.github.io/Logging_0181/tillsynsmail/A 56596-2023 tillsynsbegäran mail.docx", "A 56596-2023")</f>
        <v/>
      </c>
    </row>
    <row r="533" ht="15" customHeight="1">
      <c r="A533" t="inlineStr">
        <is>
          <t>A 61514-2022</t>
        </is>
      </c>
      <c r="B533" t="inlineStr">
        <is>
          <t>avverkningsanmälan</t>
        </is>
      </c>
      <c r="C533" t="inlineStr">
        <is>
          <t>Föryngringsavverkning</t>
        </is>
      </c>
      <c r="D533" s="1" t="n">
        <v>44916</v>
      </c>
      <c r="E533" s="1" t="n">
        <v>46326</v>
      </c>
      <c r="F533" t="inlineStr">
        <is>
          <t>STOCKHOLMS LÄN</t>
        </is>
      </c>
      <c r="G533" t="inlineStr">
        <is>
          <t>BOTKYRKA</t>
        </is>
      </c>
      <c r="I533" t="n">
        <v>1.3</v>
      </c>
      <c r="J533" t="n">
        <v>1</v>
      </c>
      <c r="K533" t="n">
        <v>0</v>
      </c>
      <c r="L533" t="n">
        <v>0</v>
      </c>
      <c r="M533" t="n">
        <v>0</v>
      </c>
      <c r="N533" t="n">
        <v>0</v>
      </c>
      <c r="O533" t="n">
        <v>0</v>
      </c>
      <c r="P533" t="n">
        <v>0</v>
      </c>
      <c r="Q533" t="n">
        <v>0</v>
      </c>
      <c r="R533" t="n">
        <v>0</v>
      </c>
      <c r="S533" t="n">
        <v>1</v>
      </c>
      <c r="T533" t="n">
        <v>1</v>
      </c>
      <c r="U533" t="n">
        <v>1</v>
      </c>
      <c r="V533" s="2" t="inlineStr">
        <is>
          <t>Vanlig groda</t>
        </is>
      </c>
      <c r="W533">
        <f>HYPERLINK("https://klasma.github.io/Logging_0127/artfynd/A 61514-2022 artfynd.xlsx", "A 61514-2022")</f>
        <v/>
      </c>
      <c r="X533">
        <f>HYPERLINK("https://klasma.github.io/Logging_0127/kartor/A 61514-2022 karta.png", "A 61514-2022")</f>
        <v/>
      </c>
      <c r="Y533">
        <f>HYPERLINK("https://klasma.github.io/Logging_0127/kartor_geotiff/A 61514-2022 georefererad karta.tif", "A 61514-2022")</f>
        <v/>
      </c>
      <c r="AA533">
        <f>HYPERLINK("https://klasma.github.io/Logging_0127/klagomål/A 61514-2022 FSC-klagomål.docx", "A 61514-2022")</f>
        <v/>
      </c>
      <c r="AB533">
        <f>HYPERLINK("https://klasma.github.io/Logging_0127/klagomålsmail/A 61514-2022 FSC-klagomål mail.docx", "A 61514-2022")</f>
        <v/>
      </c>
      <c r="AC533">
        <f>HYPERLINK("https://klasma.github.io/Logging_0127/tillsyn/A 61514-2022 tillsynsbegäran.docx", "A 61514-2022")</f>
        <v/>
      </c>
      <c r="AD533">
        <f>HYPERLINK("https://klasma.github.io/Logging_0127/tillsynsmail/A 61514-2022 tillsynsbegäran mail.docx", "A 61514-2022")</f>
        <v/>
      </c>
    </row>
    <row r="534" ht="15" customHeight="1">
      <c r="A534" t="inlineStr">
        <is>
          <t>A 29650-2026</t>
        </is>
      </c>
      <c r="B534" t="inlineStr">
        <is>
          <t>avverkningsanmälan</t>
        </is>
      </c>
      <c r="C534" t="inlineStr">
        <is>
          <t>Föryngringsavverkning</t>
        </is>
      </c>
      <c r="D534" s="1" t="n">
        <v>46204</v>
      </c>
      <c r="E534" s="1" t="n">
        <v>46326</v>
      </c>
      <c r="F534" t="inlineStr">
        <is>
          <t>STOCKHOLMS LÄN</t>
        </is>
      </c>
      <c r="G534" t="inlineStr">
        <is>
          <t>NORRTÄLJE</t>
        </is>
      </c>
      <c r="H534" t="inlineStr">
        <is>
          <t>Sveaskog</t>
        </is>
      </c>
      <c r="I534" t="n">
        <v>1.2</v>
      </c>
      <c r="J534" t="n">
        <v>1</v>
      </c>
      <c r="K534" t="n">
        <v>0</v>
      </c>
      <c r="L534" t="n">
        <v>0</v>
      </c>
      <c r="M534" t="n">
        <v>0</v>
      </c>
      <c r="N534" t="n">
        <v>0</v>
      </c>
      <c r="O534" t="n">
        <v>0</v>
      </c>
      <c r="P534" t="n">
        <v>0</v>
      </c>
      <c r="Q534" t="n">
        <v>0</v>
      </c>
      <c r="R534" t="n">
        <v>0</v>
      </c>
      <c r="S534" t="n">
        <v>1</v>
      </c>
      <c r="T534" t="n">
        <v>1</v>
      </c>
      <c r="U534" t="n">
        <v>0</v>
      </c>
      <c r="V534" s="2" t="inlineStr">
        <is>
          <t>Slaguggla</t>
        </is>
      </c>
      <c r="W534">
        <f>HYPERLINK("https://klasma.github.io/Logging_0188/artfynd/A 29650-2026 artfynd.xlsx", "A 29650-2026")</f>
        <v/>
      </c>
      <c r="X534">
        <f>HYPERLINK("https://klasma.github.io/Logging_0188/kartor/A 29650-2026 karta.png", "A 29650-2026")</f>
        <v/>
      </c>
      <c r="Y534">
        <f>HYPERLINK("https://klasma.github.io/Logging_0188/kartor_geotiff/A 29650-2026 georefererad karta.tif", "A 29650-2026")</f>
        <v/>
      </c>
      <c r="AA534">
        <f>HYPERLINK("https://klasma.github.io/Logging_0188/klagomål/A 29650-2026 FSC-klagomål.docx", "A 29650-2026")</f>
        <v/>
      </c>
      <c r="AB534">
        <f>HYPERLINK("https://klasma.github.io/Logging_0188/klagomålsmail/A 29650-2026 FSC-klagomål mail.docx", "A 29650-2026")</f>
        <v/>
      </c>
      <c r="AC534">
        <f>HYPERLINK("https://klasma.github.io/Logging_0188/tillsyn/A 29650-2026 tillsynsbegäran.docx", "A 29650-2026")</f>
        <v/>
      </c>
      <c r="AD534">
        <f>HYPERLINK("https://klasma.github.io/Logging_0188/tillsynsmail/A 29650-2026 tillsynsbegäran mail.docx", "A 29650-2026")</f>
        <v/>
      </c>
      <c r="AE534">
        <f>HYPERLINK("https://klasma.github.io/Logging_0188/fåglar/A 29650-2026 prioriterade fågelarter.docx", "A 29650-2026")</f>
        <v/>
      </c>
    </row>
    <row r="535" ht="15" customHeight="1">
      <c r="A535" t="inlineStr">
        <is>
          <t>A 51978-2023</t>
        </is>
      </c>
      <c r="B535" t="inlineStr">
        <is>
          <t>avverkningsanmälan</t>
        </is>
      </c>
      <c r="C535" t="inlineStr">
        <is>
          <t>Föryngringsavverkning</t>
        </is>
      </c>
      <c r="D535" s="1" t="n">
        <v>45223</v>
      </c>
      <c r="E535" s="1" t="n">
        <v>46326</v>
      </c>
      <c r="F535" t="inlineStr">
        <is>
          <t>STOCKHOLMS LÄN</t>
        </is>
      </c>
      <c r="G535" t="inlineStr">
        <is>
          <t>NORRTÄLJE</t>
        </is>
      </c>
      <c r="I535" t="n">
        <v>1.9</v>
      </c>
      <c r="J535" t="n">
        <v>1</v>
      </c>
      <c r="K535" t="n">
        <v>1</v>
      </c>
      <c r="L535" t="n">
        <v>0</v>
      </c>
      <c r="M535" t="n">
        <v>0</v>
      </c>
      <c r="N535" t="n">
        <v>0</v>
      </c>
      <c r="O535" t="n">
        <v>0</v>
      </c>
      <c r="P535" t="n">
        <v>0</v>
      </c>
      <c r="Q535" t="n">
        <v>0</v>
      </c>
      <c r="R535" t="n">
        <v>0</v>
      </c>
      <c r="S535" t="n">
        <v>1</v>
      </c>
      <c r="T535" t="n">
        <v>1</v>
      </c>
      <c r="U535" t="n">
        <v>0</v>
      </c>
      <c r="V535" s="2" t="inlineStr">
        <is>
          <t>Skogsknipprot</t>
        </is>
      </c>
      <c r="W535">
        <f>HYPERLINK("https://klasma.github.io/Logging_0188/artfynd/A 51978-2023 artfynd.xlsx", "A 51978-2023")</f>
        <v/>
      </c>
      <c r="X535">
        <f>HYPERLINK("https://klasma.github.io/Logging_0188/kartor/A 51978-2023 karta.png", "A 51978-2023")</f>
        <v/>
      </c>
      <c r="Y535">
        <f>HYPERLINK("https://klasma.github.io/Logging_0188/kartor_geotiff/A 51978-2023 georefererad karta.tif", "A 51978-2023")</f>
        <v/>
      </c>
      <c r="AA535">
        <f>HYPERLINK("https://klasma.github.io/Logging_0188/klagomål/A 51978-2023 FSC-klagomål.docx", "A 51978-2023")</f>
        <v/>
      </c>
      <c r="AB535">
        <f>HYPERLINK("https://klasma.github.io/Logging_0188/klagomålsmail/A 51978-2023 FSC-klagomål mail.docx", "A 51978-2023")</f>
        <v/>
      </c>
      <c r="AC535">
        <f>HYPERLINK("https://klasma.github.io/Logging_0188/tillsyn/A 51978-2023 tillsynsbegäran.docx", "A 51978-2023")</f>
        <v/>
      </c>
      <c r="AD535">
        <f>HYPERLINK("https://klasma.github.io/Logging_0188/tillsynsmail/A 51978-2023 tillsynsbegäran mail.docx", "A 51978-2023")</f>
        <v/>
      </c>
    </row>
    <row r="536" ht="15" customHeight="1">
      <c r="A536" t="inlineStr">
        <is>
          <t>A 23146-2024</t>
        </is>
      </c>
      <c r="B536" t="inlineStr">
        <is>
          <t>avverkningsanmälan</t>
        </is>
      </c>
      <c r="C536" t="inlineStr">
        <is>
          <t>Föryngringsavverkning</t>
        </is>
      </c>
      <c r="D536" s="1" t="n">
        <v>45450</v>
      </c>
      <c r="E536" s="1" t="n">
        <v>46326</v>
      </c>
      <c r="F536" t="inlineStr">
        <is>
          <t>STOCKHOLMS LÄN</t>
        </is>
      </c>
      <c r="G536" t="inlineStr">
        <is>
          <t>NORRTÄLJE</t>
        </is>
      </c>
      <c r="H536" t="inlineStr">
        <is>
          <t>Kommuner</t>
        </is>
      </c>
      <c r="I536" t="n">
        <v>6</v>
      </c>
      <c r="J536" t="n">
        <v>0</v>
      </c>
      <c r="K536" t="n">
        <v>0</v>
      </c>
      <c r="L536" t="n">
        <v>1</v>
      </c>
      <c r="M536" t="n">
        <v>0</v>
      </c>
      <c r="N536" t="n">
        <v>0</v>
      </c>
      <c r="O536" t="n">
        <v>0</v>
      </c>
      <c r="P536" t="n">
        <v>0</v>
      </c>
      <c r="Q536" t="n">
        <v>1</v>
      </c>
      <c r="R536" t="n">
        <v>0</v>
      </c>
      <c r="S536" t="n">
        <v>1</v>
      </c>
      <c r="T536" t="n">
        <v>1</v>
      </c>
      <c r="U536" t="n">
        <v>0</v>
      </c>
      <c r="V536" s="2" t="inlineStr">
        <is>
          <t>Motaggsvamp</t>
        </is>
      </c>
      <c r="W536">
        <f>HYPERLINK("https://klasma.github.io/Logging_0188/artfynd/A 23146-2024 artfynd.xlsx", "A 23146-2024")</f>
        <v/>
      </c>
      <c r="X536">
        <f>HYPERLINK("https://klasma.github.io/Logging_0188/kartor/A 23146-2024 karta.png", "A 23146-2024")</f>
        <v/>
      </c>
      <c r="Y536">
        <f>HYPERLINK("https://klasma.github.io/Logging_0188/kartor_geotiff/A 23146-2024 georefererad karta.tif", "A 23146-2024")</f>
        <v/>
      </c>
      <c r="AA536">
        <f>HYPERLINK("https://klasma.github.io/Logging_0188/klagomål/A 23146-2024 FSC-klagomål.docx", "A 23146-2024")</f>
        <v/>
      </c>
      <c r="AB536">
        <f>HYPERLINK("https://klasma.github.io/Logging_0188/klagomålsmail/A 23146-2024 FSC-klagomål mail.docx", "A 23146-2024")</f>
        <v/>
      </c>
      <c r="AC536">
        <f>HYPERLINK("https://klasma.github.io/Logging_0188/tillsyn/A 23146-2024 tillsynsbegäran.docx", "A 23146-2024")</f>
        <v/>
      </c>
      <c r="AD536">
        <f>HYPERLINK("https://klasma.github.io/Logging_0188/tillsynsmail/A 23146-2024 tillsynsbegäran mail.docx", "A 23146-2024")</f>
        <v/>
      </c>
    </row>
    <row r="537" ht="15" customHeight="1">
      <c r="A537" t="inlineStr">
        <is>
          <t>A 24233-2023</t>
        </is>
      </c>
      <c r="B537" t="inlineStr">
        <is>
          <t>avverkningsanmälan</t>
        </is>
      </c>
      <c r="C537" t="inlineStr">
        <is>
          <t>Föryngringsavverkning</t>
        </is>
      </c>
      <c r="D537" s="1" t="n">
        <v>45076</v>
      </c>
      <c r="E537" s="1" t="n">
        <v>46326</v>
      </c>
      <c r="F537" t="inlineStr">
        <is>
          <t>STOCKHOLMS LÄN</t>
        </is>
      </c>
      <c r="G537" t="inlineStr">
        <is>
          <t>HUDDINGE</t>
        </is>
      </c>
      <c r="I537" t="n">
        <v>3.7</v>
      </c>
      <c r="J537" t="n">
        <v>0</v>
      </c>
      <c r="K537" t="n">
        <v>0</v>
      </c>
      <c r="L537" t="n">
        <v>1</v>
      </c>
      <c r="M537" t="n">
        <v>0</v>
      </c>
      <c r="N537" t="n">
        <v>0</v>
      </c>
      <c r="O537" t="n">
        <v>0</v>
      </c>
      <c r="P537" t="n">
        <v>0</v>
      </c>
      <c r="Q537" t="n">
        <v>1</v>
      </c>
      <c r="R537" t="n">
        <v>0</v>
      </c>
      <c r="S537" t="n">
        <v>1</v>
      </c>
      <c r="T537" t="n">
        <v>1</v>
      </c>
      <c r="U537" t="n">
        <v>1</v>
      </c>
      <c r="V537" s="2" t="inlineStr">
        <is>
          <t>Svartvit taggsvamp</t>
        </is>
      </c>
      <c r="W537">
        <f>HYPERLINK("https://klasma.github.io/Logging_0126/artfynd/A 24233-2023 artfynd.xlsx", "A 24233-2023")</f>
        <v/>
      </c>
      <c r="X537">
        <f>HYPERLINK("https://klasma.github.io/Logging_0126/kartor/A 24233-2023 karta.png", "A 24233-2023")</f>
        <v/>
      </c>
      <c r="Y537">
        <f>HYPERLINK("https://klasma.github.io/Logging_0126/kartor_geotiff/A 24233-2023 georefererad karta.tif", "A 24233-2023")</f>
        <v/>
      </c>
      <c r="AA537">
        <f>HYPERLINK("https://klasma.github.io/Logging_0126/klagomål/A 24233-2023 FSC-klagomål.docx", "A 24233-2023")</f>
        <v/>
      </c>
      <c r="AB537">
        <f>HYPERLINK("https://klasma.github.io/Logging_0126/klagomålsmail/A 24233-2023 FSC-klagomål mail.docx", "A 24233-2023")</f>
        <v/>
      </c>
      <c r="AC537">
        <f>HYPERLINK("https://klasma.github.io/Logging_0126/tillsyn/A 24233-2023 tillsynsbegäran.docx", "A 24233-2023")</f>
        <v/>
      </c>
      <c r="AD537">
        <f>HYPERLINK("https://klasma.github.io/Logging_0126/tillsynsmail/A 24233-2023 tillsynsbegäran mail.docx", "A 24233-2023")</f>
        <v/>
      </c>
    </row>
    <row r="538" ht="15" customHeight="1">
      <c r="A538" t="inlineStr">
        <is>
          <t>A 17341-2025</t>
        </is>
      </c>
      <c r="B538" t="inlineStr">
        <is>
          <t>avverkningsanmälan</t>
        </is>
      </c>
      <c r="C538" t="inlineStr">
        <is>
          <t>Föryngringsavverkning</t>
        </is>
      </c>
      <c r="D538" s="1" t="n">
        <v>45756</v>
      </c>
      <c r="E538" s="1" t="n">
        <v>46326</v>
      </c>
      <c r="F538" t="inlineStr">
        <is>
          <t>STOCKHOLMS LÄN</t>
        </is>
      </c>
      <c r="G538" t="inlineStr">
        <is>
          <t>VALLENTUNA</t>
        </is>
      </c>
      <c r="H538" t="inlineStr">
        <is>
          <t>Övriga Aktiebolag</t>
        </is>
      </c>
      <c r="I538" t="n">
        <v>5.2</v>
      </c>
      <c r="J538" t="n">
        <v>0</v>
      </c>
      <c r="K538" t="n">
        <v>1</v>
      </c>
      <c r="L538" t="n">
        <v>0</v>
      </c>
      <c r="M538" t="n">
        <v>0</v>
      </c>
      <c r="N538" t="n">
        <v>0</v>
      </c>
      <c r="O538" t="n">
        <v>0</v>
      </c>
      <c r="P538" t="n">
        <v>0</v>
      </c>
      <c r="Q538" t="n">
        <v>0</v>
      </c>
      <c r="R538" t="n">
        <v>0</v>
      </c>
      <c r="S538" t="n">
        <v>1</v>
      </c>
      <c r="T538" t="n">
        <v>2</v>
      </c>
      <c r="U538" t="n">
        <v>0</v>
      </c>
      <c r="V538" s="2" t="inlineStr">
        <is>
          <t>Björksplintborre</t>
        </is>
      </c>
      <c r="W538">
        <f>HYPERLINK("https://klasma.github.io/Logging_0115/artfynd/A 17341-2025 artfynd.xlsx", "A 17341-2025")</f>
        <v/>
      </c>
      <c r="X538">
        <f>HYPERLINK("https://klasma.github.io/Logging_0115/kartor/A 17341-2025 karta.png", "A 17341-2025")</f>
        <v/>
      </c>
      <c r="Y538">
        <f>HYPERLINK("https://klasma.github.io/Logging_0115/kartor_geotiff/A 17341-2025 georefererad karta.tif", "A 17341-2025")</f>
        <v/>
      </c>
      <c r="AA538">
        <f>HYPERLINK("https://klasma.github.io/Logging_0115/klagomål/A 17341-2025 FSC-klagomål.docx", "A 17341-2025")</f>
        <v/>
      </c>
      <c r="AB538">
        <f>HYPERLINK("https://klasma.github.io/Logging_0115/klagomålsmail/A 17341-2025 FSC-klagomål mail.docx", "A 17341-2025")</f>
        <v/>
      </c>
      <c r="AC538">
        <f>HYPERLINK("https://klasma.github.io/Logging_0115/tillsyn/A 17341-2025 tillsynsbegäran.docx", "A 17341-2025")</f>
        <v/>
      </c>
      <c r="AD538">
        <f>HYPERLINK("https://klasma.github.io/Logging_0115/tillsynsmail/A 17341-2025 tillsynsbegäran mail.docx", "A 17341-2025")</f>
        <v/>
      </c>
    </row>
    <row r="539" ht="15" customHeight="1">
      <c r="A539" t="inlineStr">
        <is>
          <t>A 43150-2023</t>
        </is>
      </c>
      <c r="B539" t="inlineStr">
        <is>
          <t>avverkningsanmälan</t>
        </is>
      </c>
      <c r="C539" t="inlineStr">
        <is>
          <t>Föryngringsavverkning</t>
        </is>
      </c>
      <c r="D539" s="1" t="n">
        <v>45183</v>
      </c>
      <c r="E539" s="1" t="n">
        <v>46326</v>
      </c>
      <c r="F539" t="inlineStr">
        <is>
          <t>STOCKHOLMS LÄN</t>
        </is>
      </c>
      <c r="G539" t="inlineStr">
        <is>
          <t>NORRTÄLJE</t>
        </is>
      </c>
      <c r="I539" t="n">
        <v>2.4</v>
      </c>
      <c r="J539" t="n">
        <v>0</v>
      </c>
      <c r="K539" t="n">
        <v>0</v>
      </c>
      <c r="L539" t="n">
        <v>0</v>
      </c>
      <c r="M539" t="n">
        <v>0</v>
      </c>
      <c r="N539" t="n">
        <v>1</v>
      </c>
      <c r="O539" t="n">
        <v>0</v>
      </c>
      <c r="P539" t="n">
        <v>0</v>
      </c>
      <c r="Q539" t="n">
        <v>1</v>
      </c>
      <c r="R539" t="n">
        <v>1</v>
      </c>
      <c r="S539" t="n">
        <v>1</v>
      </c>
      <c r="T539" t="n">
        <v>1</v>
      </c>
      <c r="U539" t="n">
        <v>0</v>
      </c>
      <c r="V539" s="2" t="inlineStr">
        <is>
          <t>Skogsalm</t>
        </is>
      </c>
      <c r="W539">
        <f>HYPERLINK("https://klasma.github.io/Logging_0188/artfynd/A 43150-2023 artfynd.xlsx", "A 43150-2023")</f>
        <v/>
      </c>
      <c r="X539">
        <f>HYPERLINK("https://klasma.github.io/Logging_0188/kartor/A 43150-2023 karta.png", "A 43150-2023")</f>
        <v/>
      </c>
      <c r="Y539">
        <f>HYPERLINK("https://klasma.github.io/Logging_0188/kartor_geotiff/A 43150-2023 georefererad karta.tif", "A 43150-2023")</f>
        <v/>
      </c>
      <c r="AA539">
        <f>HYPERLINK("https://klasma.github.io/Logging_0188/klagomål/A 43150-2023 FSC-klagomål.docx", "A 43150-2023")</f>
        <v/>
      </c>
      <c r="AB539">
        <f>HYPERLINK("https://klasma.github.io/Logging_0188/klagomålsmail/A 43150-2023 FSC-klagomål mail.docx", "A 43150-2023")</f>
        <v/>
      </c>
      <c r="AC539">
        <f>HYPERLINK("https://klasma.github.io/Logging_0188/tillsyn/A 43150-2023 tillsynsbegäran.docx", "A 43150-2023")</f>
        <v/>
      </c>
      <c r="AD539">
        <f>HYPERLINK("https://klasma.github.io/Logging_0188/tillsynsmail/A 43150-2023 tillsynsbegäran mail.docx", "A 43150-2023")</f>
        <v/>
      </c>
    </row>
    <row r="540" ht="15" customHeight="1">
      <c r="A540" t="inlineStr">
        <is>
          <t>A 11393-2022</t>
        </is>
      </c>
      <c r="B540" t="inlineStr">
        <is>
          <t>avverkningsanmälan</t>
        </is>
      </c>
      <c r="C540" t="inlineStr">
        <is>
          <t>Föryngringsavverkning</t>
        </is>
      </c>
      <c r="D540" s="1" t="n">
        <v>44630</v>
      </c>
      <c r="E540" s="1" t="n">
        <v>46326</v>
      </c>
      <c r="F540" t="inlineStr">
        <is>
          <t>STOCKHOLMS LÄN</t>
        </is>
      </c>
      <c r="G540" t="inlineStr">
        <is>
          <t>NYKVARN</t>
        </is>
      </c>
      <c r="I540" t="n">
        <v>3.8</v>
      </c>
      <c r="J540" t="n">
        <v>0</v>
      </c>
      <c r="K540" t="n">
        <v>1</v>
      </c>
      <c r="L540" t="n">
        <v>0</v>
      </c>
      <c r="M540" t="n">
        <v>0</v>
      </c>
      <c r="N540" t="n">
        <v>0</v>
      </c>
      <c r="O540" t="n">
        <v>0</v>
      </c>
      <c r="P540" t="n">
        <v>0</v>
      </c>
      <c r="Q540" t="n">
        <v>0</v>
      </c>
      <c r="R540" t="n">
        <v>0</v>
      </c>
      <c r="S540" t="n">
        <v>1</v>
      </c>
      <c r="T540" t="n">
        <v>1</v>
      </c>
      <c r="U540" t="n">
        <v>1</v>
      </c>
      <c r="V540" s="2" t="inlineStr">
        <is>
          <t>Björksplintborre</t>
        </is>
      </c>
      <c r="W540">
        <f>HYPERLINK("https://klasma.github.io/Logging_0140/artfynd/A 11393-2022 artfynd.xlsx", "A 11393-2022")</f>
        <v/>
      </c>
      <c r="X540">
        <f>HYPERLINK("https://klasma.github.io/Logging_0140/kartor/A 11393-2022 karta.png", "A 11393-2022")</f>
        <v/>
      </c>
      <c r="Y540">
        <f>HYPERLINK("https://klasma.github.io/Logging_0140/kartor_geotiff/A 11393-2022 georefererad karta.tif", "A 11393-2022")</f>
        <v/>
      </c>
      <c r="AA540">
        <f>HYPERLINK("https://klasma.github.io/Logging_0140/klagomål/A 11393-2022 FSC-klagomål.docx", "A 11393-2022")</f>
        <v/>
      </c>
      <c r="AB540">
        <f>HYPERLINK("https://klasma.github.io/Logging_0140/klagomålsmail/A 11393-2022 FSC-klagomål mail.docx", "A 11393-2022")</f>
        <v/>
      </c>
      <c r="AC540">
        <f>HYPERLINK("https://klasma.github.io/Logging_0140/tillsyn/A 11393-2022 tillsynsbegäran.docx", "A 11393-2022")</f>
        <v/>
      </c>
      <c r="AD540">
        <f>HYPERLINK("https://klasma.github.io/Logging_0140/tillsynsmail/A 11393-2022 tillsynsbegäran mail.docx", "A 11393-2022")</f>
        <v/>
      </c>
    </row>
    <row r="541" ht="15" customHeight="1">
      <c r="A541" t="inlineStr">
        <is>
          <t>A 30565-2026</t>
        </is>
      </c>
      <c r="B541" t="inlineStr">
        <is>
          <t>avverkningsanmälan</t>
        </is>
      </c>
      <c r="C541" t="inlineStr">
        <is>
          <t>Föryngringsavverkning</t>
        </is>
      </c>
      <c r="D541" s="1" t="n">
        <v>46210</v>
      </c>
      <c r="E541" s="1" t="n">
        <v>46326</v>
      </c>
      <c r="F541" t="inlineStr">
        <is>
          <t>STOCKHOLMS LÄN</t>
        </is>
      </c>
      <c r="G541" t="inlineStr">
        <is>
          <t>SÖDERTÄLJE</t>
        </is>
      </c>
      <c r="H541" t="inlineStr">
        <is>
          <t>Sveaskog</t>
        </is>
      </c>
      <c r="I541" t="n">
        <v>2.4</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HYPERLINK("https://klasma.github.io/Logging_0181/artfynd/A 30565-2026 artfynd.xlsx", "A 30565-2026")</f>
        <v/>
      </c>
      <c r="X541">
        <f>HYPERLINK("https://klasma.github.io/Logging_0181/kartor/A 30565-2026 karta.png", "A 30565-2026")</f>
        <v/>
      </c>
      <c r="Y541">
        <f>HYPERLINK("https://klasma.github.io/Logging_0181/kartor_geotiff/A 30565-2026 georefererad karta.tif", "A 30565-2026")</f>
        <v/>
      </c>
      <c r="AA541">
        <f>HYPERLINK("https://klasma.github.io/Logging_0181/klagomål/A 30565-2026 FSC-klagomål.docx", "A 30565-2026")</f>
        <v/>
      </c>
      <c r="AB541">
        <f>HYPERLINK("https://klasma.github.io/Logging_0181/klagomålsmail/A 30565-2026 FSC-klagomål mail.docx", "A 30565-2026")</f>
        <v/>
      </c>
      <c r="AC541">
        <f>HYPERLINK("https://klasma.github.io/Logging_0181/tillsyn/A 30565-2026 tillsynsbegäran.docx", "A 30565-2026")</f>
        <v/>
      </c>
      <c r="AD541">
        <f>HYPERLINK("https://klasma.github.io/Logging_0181/tillsynsmail/A 30565-2026 tillsynsbegäran mail.docx", "A 30565-2026")</f>
        <v/>
      </c>
    </row>
    <row r="542" ht="15" customHeight="1">
      <c r="A542" t="inlineStr">
        <is>
          <t>A 27538-2024</t>
        </is>
      </c>
      <c r="B542" t="inlineStr">
        <is>
          <t>avverkningsanmälan</t>
        </is>
      </c>
      <c r="C542" t="inlineStr">
        <is>
          <t>Föryngringsavverkning</t>
        </is>
      </c>
      <c r="D542" s="1" t="n">
        <v>45474</v>
      </c>
      <c r="E542" s="1" t="n">
        <v>46326</v>
      </c>
      <c r="F542" t="inlineStr">
        <is>
          <t>STOCKHOLMS LÄN</t>
        </is>
      </c>
      <c r="G542" t="inlineStr">
        <is>
          <t>NORRTÄLJE</t>
        </is>
      </c>
      <c r="I542" t="n">
        <v>1.5</v>
      </c>
      <c r="J542" t="n">
        <v>1</v>
      </c>
      <c r="K542" t="n">
        <v>1</v>
      </c>
      <c r="L542" t="n">
        <v>0</v>
      </c>
      <c r="M542" t="n">
        <v>0</v>
      </c>
      <c r="N542" t="n">
        <v>0</v>
      </c>
      <c r="O542" t="n">
        <v>0</v>
      </c>
      <c r="P542" t="n">
        <v>0</v>
      </c>
      <c r="Q542" t="n">
        <v>0</v>
      </c>
      <c r="R542" t="n">
        <v>0</v>
      </c>
      <c r="S542" t="n">
        <v>1</v>
      </c>
      <c r="T542" t="n">
        <v>1</v>
      </c>
      <c r="U542" t="n">
        <v>0</v>
      </c>
      <c r="V542" s="2" t="inlineStr">
        <is>
          <t>Skogsknipprot</t>
        </is>
      </c>
      <c r="W542">
        <f>HYPERLINK("https://klasma.github.io/Logging_0188/artfynd/A 27538-2024 artfynd.xlsx", "A 27538-2024")</f>
        <v/>
      </c>
      <c r="X542">
        <f>HYPERLINK("https://klasma.github.io/Logging_0188/kartor/A 27538-2024 karta.png", "A 27538-2024")</f>
        <v/>
      </c>
      <c r="Y542">
        <f>HYPERLINK("https://klasma.github.io/Logging_0188/kartor_geotiff/A 27538-2024 georefererad karta.tif", "A 27538-2024")</f>
        <v/>
      </c>
      <c r="AA542">
        <f>HYPERLINK("https://klasma.github.io/Logging_0188/klagomål/A 27538-2024 FSC-klagomål.docx", "A 27538-2024")</f>
        <v/>
      </c>
      <c r="AB542">
        <f>HYPERLINK("https://klasma.github.io/Logging_0188/klagomålsmail/A 27538-2024 FSC-klagomål mail.docx", "A 27538-2024")</f>
        <v/>
      </c>
      <c r="AC542">
        <f>HYPERLINK("https://klasma.github.io/Logging_0188/tillsyn/A 27538-2024 tillsynsbegäran.docx", "A 27538-2024")</f>
        <v/>
      </c>
      <c r="AD542">
        <f>HYPERLINK("https://klasma.github.io/Logging_0188/tillsynsmail/A 27538-2024 tillsynsbegäran mail.docx", "A 27538-2024")</f>
        <v/>
      </c>
    </row>
    <row r="543" ht="15" customHeight="1">
      <c r="A543" t="inlineStr">
        <is>
          <t>A 27381-2024</t>
        </is>
      </c>
      <c r="B543" t="inlineStr">
        <is>
          <t>avverkningsanmälan</t>
        </is>
      </c>
      <c r="C543" t="inlineStr">
        <is>
          <t>Föryngringsavverkning</t>
        </is>
      </c>
      <c r="D543" s="1" t="n">
        <v>45473</v>
      </c>
      <c r="E543" s="1" t="n">
        <v>46326</v>
      </c>
      <c r="F543" t="inlineStr">
        <is>
          <t>STOCKHOLMS LÄN</t>
        </is>
      </c>
      <c r="G543" t="inlineStr">
        <is>
          <t>NORRTÄLJE</t>
        </is>
      </c>
      <c r="I543" t="n">
        <v>4.5</v>
      </c>
      <c r="J543" t="n">
        <v>1</v>
      </c>
      <c r="K543" t="n">
        <v>0</v>
      </c>
      <c r="L543" t="n">
        <v>0</v>
      </c>
      <c r="M543" t="n">
        <v>0</v>
      </c>
      <c r="N543" t="n">
        <v>0</v>
      </c>
      <c r="O543" t="n">
        <v>0</v>
      </c>
      <c r="P543" t="n">
        <v>0</v>
      </c>
      <c r="Q543" t="n">
        <v>0</v>
      </c>
      <c r="R543" t="n">
        <v>0</v>
      </c>
      <c r="S543" t="n">
        <v>1</v>
      </c>
      <c r="T543" t="n">
        <v>1</v>
      </c>
      <c r="U543" t="n">
        <v>0</v>
      </c>
      <c r="V543" s="2" t="inlineStr">
        <is>
          <t>Trana</t>
        </is>
      </c>
      <c r="W543">
        <f>HYPERLINK("https://klasma.github.io/Logging_0188/artfynd/A 27381-2024 artfynd.xlsx", "A 27381-2024")</f>
        <v/>
      </c>
      <c r="X543">
        <f>HYPERLINK("https://klasma.github.io/Logging_0188/kartor/A 27381-2024 karta.png", "A 27381-2024")</f>
        <v/>
      </c>
      <c r="Y543">
        <f>HYPERLINK("https://klasma.github.io/Logging_0188/kartor_geotiff/A 27381-2024 georefererad karta.tif", "A 27381-2024")</f>
        <v/>
      </c>
      <c r="AA543">
        <f>HYPERLINK("https://klasma.github.io/Logging_0188/klagomål/A 27381-2024 FSC-klagomål.docx", "A 27381-2024")</f>
        <v/>
      </c>
      <c r="AB543">
        <f>HYPERLINK("https://klasma.github.io/Logging_0188/klagomålsmail/A 27381-2024 FSC-klagomål mail.docx", "A 27381-2024")</f>
        <v/>
      </c>
      <c r="AC543">
        <f>HYPERLINK("https://klasma.github.io/Logging_0188/tillsyn/A 27381-2024 tillsynsbegäran.docx", "A 27381-2024")</f>
        <v/>
      </c>
      <c r="AD543">
        <f>HYPERLINK("https://klasma.github.io/Logging_0188/tillsynsmail/A 27381-2024 tillsynsbegäran mail.docx", "A 27381-2024")</f>
        <v/>
      </c>
      <c r="AE543">
        <f>HYPERLINK("https://klasma.github.io/Logging_0188/fåglar/A 27381-2024 prioriterade fågelarter.docx", "A 27381-2024")</f>
        <v/>
      </c>
    </row>
    <row r="544" ht="15" customHeight="1">
      <c r="A544" t="inlineStr">
        <is>
          <t>A 39716-2023</t>
        </is>
      </c>
      <c r="B544" t="inlineStr">
        <is>
          <t>avverkningsanmälan</t>
        </is>
      </c>
      <c r="C544" t="inlineStr">
        <is>
          <t>Föryngringsavverkning</t>
        </is>
      </c>
      <c r="D544" s="1" t="n">
        <v>45166</v>
      </c>
      <c r="E544" s="1" t="n">
        <v>46326</v>
      </c>
      <c r="F544" t="inlineStr">
        <is>
          <t>STOCKHOLMS LÄN</t>
        </is>
      </c>
      <c r="G544" t="inlineStr">
        <is>
          <t>SIGTUNA</t>
        </is>
      </c>
      <c r="I544" t="n">
        <v>3.5</v>
      </c>
      <c r="J544" t="n">
        <v>1</v>
      </c>
      <c r="K544" t="n">
        <v>0</v>
      </c>
      <c r="L544" t="n">
        <v>0</v>
      </c>
      <c r="M544" t="n">
        <v>0</v>
      </c>
      <c r="N544" t="n">
        <v>1</v>
      </c>
      <c r="O544" t="n">
        <v>0</v>
      </c>
      <c r="P544" t="n">
        <v>0</v>
      </c>
      <c r="Q544" t="n">
        <v>1</v>
      </c>
      <c r="R544" t="n">
        <v>1</v>
      </c>
      <c r="S544" t="n">
        <v>1</v>
      </c>
      <c r="T544" t="n">
        <v>1</v>
      </c>
      <c r="U544" t="n">
        <v>0</v>
      </c>
      <c r="V544" s="2" t="inlineStr">
        <is>
          <t>Hornuggla</t>
        </is>
      </c>
      <c r="W544">
        <f>HYPERLINK("https://klasma.github.io/Logging_0191/artfynd/A 39716-2023 artfynd.xlsx", "A 39716-2023")</f>
        <v/>
      </c>
      <c r="X544">
        <f>HYPERLINK("https://klasma.github.io/Logging_0191/kartor/A 39716-2023 karta.png", "A 39716-2023")</f>
        <v/>
      </c>
      <c r="Y544">
        <f>HYPERLINK("https://klasma.github.io/Logging_0191/kartor_geotiff/A 39716-2023 georefererad karta.tif", "A 39716-2023")</f>
        <v/>
      </c>
      <c r="AA544">
        <f>HYPERLINK("https://klasma.github.io/Logging_0191/klagomål/A 39716-2023 FSC-klagomål.docx", "A 39716-2023")</f>
        <v/>
      </c>
      <c r="AB544">
        <f>HYPERLINK("https://klasma.github.io/Logging_0191/klagomålsmail/A 39716-2023 FSC-klagomål mail.docx", "A 39716-2023")</f>
        <v/>
      </c>
      <c r="AC544">
        <f>HYPERLINK("https://klasma.github.io/Logging_0191/tillsyn/A 39716-2023 tillsynsbegäran.docx", "A 39716-2023")</f>
        <v/>
      </c>
      <c r="AD544">
        <f>HYPERLINK("https://klasma.github.io/Logging_0191/tillsynsmail/A 39716-2023 tillsynsbegäran mail.docx", "A 39716-2023")</f>
        <v/>
      </c>
      <c r="AE544">
        <f>HYPERLINK("https://klasma.github.io/Logging_0191/fåglar/A 39716-2023 prioriterade fågelarter.docx", "A 39716-2023")</f>
        <v/>
      </c>
    </row>
    <row r="545" ht="15" customHeight="1">
      <c r="A545" t="inlineStr">
        <is>
          <t>A 53499-2025</t>
        </is>
      </c>
      <c r="B545" t="inlineStr">
        <is>
          <t>avverkningsanmälan</t>
        </is>
      </c>
      <c r="C545" t="inlineStr">
        <is>
          <t>Föryngringsavverkning</t>
        </is>
      </c>
      <c r="D545" s="1" t="n">
        <v>45960</v>
      </c>
      <c r="E545" s="1" t="n">
        <v>46326</v>
      </c>
      <c r="F545" t="inlineStr">
        <is>
          <t>STOCKHOLMS LÄN</t>
        </is>
      </c>
      <c r="G545" t="inlineStr">
        <is>
          <t>NORRTÄLJE</t>
        </is>
      </c>
      <c r="I545" t="n">
        <v>23.8</v>
      </c>
      <c r="J545" t="n">
        <v>1</v>
      </c>
      <c r="K545" t="n">
        <v>0</v>
      </c>
      <c r="L545" t="n">
        <v>1</v>
      </c>
      <c r="M545" t="n">
        <v>0</v>
      </c>
      <c r="N545" t="n">
        <v>0</v>
      </c>
      <c r="O545" t="n">
        <v>0</v>
      </c>
      <c r="P545" t="n">
        <v>0</v>
      </c>
      <c r="Q545" t="n">
        <v>1</v>
      </c>
      <c r="R545" t="n">
        <v>0</v>
      </c>
      <c r="S545" t="n">
        <v>1</v>
      </c>
      <c r="T545" t="n">
        <v>1</v>
      </c>
      <c r="U545" t="n">
        <v>0</v>
      </c>
      <c r="V545" s="2" t="inlineStr">
        <is>
          <t>Talltita</t>
        </is>
      </c>
      <c r="W545">
        <f>HYPERLINK("https://klasma.github.io/Logging_0188/artfynd/A 53499-2025 artfynd.xlsx", "A 53499-2025")</f>
        <v/>
      </c>
      <c r="X545">
        <f>HYPERLINK("https://klasma.github.io/Logging_0188/kartor/A 53499-2025 karta.png", "A 53499-2025")</f>
        <v/>
      </c>
      <c r="Y545">
        <f>HYPERLINK("https://klasma.github.io/Logging_0188/kartor_geotiff/A 53499-2025 georefererad karta.tif", "A 53499-2025")</f>
        <v/>
      </c>
      <c r="AA545">
        <f>HYPERLINK("https://klasma.github.io/Logging_0188/klagomål/A 53499-2025 FSC-klagomål.docx", "A 53499-2025")</f>
        <v/>
      </c>
      <c r="AB545">
        <f>HYPERLINK("https://klasma.github.io/Logging_0188/klagomålsmail/A 53499-2025 FSC-klagomål mail.docx", "A 53499-2025")</f>
        <v/>
      </c>
      <c r="AC545">
        <f>HYPERLINK("https://klasma.github.io/Logging_0188/tillsyn/A 53499-2025 tillsynsbegäran.docx", "A 53499-2025")</f>
        <v/>
      </c>
      <c r="AD545">
        <f>HYPERLINK("https://klasma.github.io/Logging_0188/tillsynsmail/A 53499-2025 tillsynsbegäran mail.docx", "A 53499-2025")</f>
        <v/>
      </c>
      <c r="AE545">
        <f>HYPERLINK("https://klasma.github.io/Logging_0188/fåglar/A 53499-2025 prioriterade fågelarter.docx", "A 53499-2025")</f>
        <v/>
      </c>
    </row>
    <row r="546" ht="15" customHeight="1">
      <c r="A546" t="inlineStr">
        <is>
          <t>A 48131-2023</t>
        </is>
      </c>
      <c r="B546" t="inlineStr">
        <is>
          <t>avverkningsanmälan</t>
        </is>
      </c>
      <c r="C546" t="inlineStr">
        <is>
          <t>Föryngringsavverkning</t>
        </is>
      </c>
      <c r="D546" s="1" t="n">
        <v>45205</v>
      </c>
      <c r="E546" s="1" t="n">
        <v>46326</v>
      </c>
      <c r="F546" t="inlineStr">
        <is>
          <t>STOCKHOLMS LÄN</t>
        </is>
      </c>
      <c r="G546" t="inlineStr">
        <is>
          <t>NORRTÄLJE</t>
        </is>
      </c>
      <c r="I546" t="n">
        <v>2.3</v>
      </c>
      <c r="J546" t="n">
        <v>0</v>
      </c>
      <c r="K546" t="n">
        <v>0</v>
      </c>
      <c r="L546" t="n">
        <v>1</v>
      </c>
      <c r="M546" t="n">
        <v>0</v>
      </c>
      <c r="N546" t="n">
        <v>0</v>
      </c>
      <c r="O546" t="n">
        <v>0</v>
      </c>
      <c r="P546" t="n">
        <v>0</v>
      </c>
      <c r="Q546" t="n">
        <v>1</v>
      </c>
      <c r="R546" t="n">
        <v>0</v>
      </c>
      <c r="S546" t="n">
        <v>1</v>
      </c>
      <c r="T546" t="n">
        <v>1</v>
      </c>
      <c r="U546" t="n">
        <v>0</v>
      </c>
      <c r="V546" s="2" t="inlineStr">
        <is>
          <t>Slåtterfibbla</t>
        </is>
      </c>
      <c r="W546">
        <f>HYPERLINK("https://klasma.github.io/Logging_0188/artfynd/A 48131-2023 artfynd.xlsx", "A 48131-2023")</f>
        <v/>
      </c>
      <c r="X546">
        <f>HYPERLINK("https://klasma.github.io/Logging_0188/kartor/A 48131-2023 karta.png", "A 48131-2023")</f>
        <v/>
      </c>
      <c r="Y546">
        <f>HYPERLINK("https://klasma.github.io/Logging_0188/kartor_geotiff/A 48131-2023 georefererad karta.tif", "A 48131-2023")</f>
        <v/>
      </c>
      <c r="AA546">
        <f>HYPERLINK("https://klasma.github.io/Logging_0188/klagomål/A 48131-2023 FSC-klagomål.docx", "A 48131-2023")</f>
        <v/>
      </c>
      <c r="AB546">
        <f>HYPERLINK("https://klasma.github.io/Logging_0188/klagomålsmail/A 48131-2023 FSC-klagomål mail.docx", "A 48131-2023")</f>
        <v/>
      </c>
      <c r="AC546">
        <f>HYPERLINK("https://klasma.github.io/Logging_0188/tillsyn/A 48131-2023 tillsynsbegäran.docx", "A 48131-2023")</f>
        <v/>
      </c>
      <c r="AD546">
        <f>HYPERLINK("https://klasma.github.io/Logging_0188/tillsynsmail/A 48131-2023 tillsynsbegäran mail.docx", "A 48131-2023")</f>
        <v/>
      </c>
    </row>
    <row r="547" ht="15" customHeight="1">
      <c r="A547" t="inlineStr">
        <is>
          <t>A 31633-2026</t>
        </is>
      </c>
      <c r="B547" t="inlineStr">
        <is>
          <t>avverkningsanmälan</t>
        </is>
      </c>
      <c r="C547" t="inlineStr">
        <is>
          <t>Avverkning för annat ändamål</t>
        </is>
      </c>
      <c r="D547" s="1" t="n">
        <v>46223</v>
      </c>
      <c r="E547" s="1" t="n">
        <v>46326</v>
      </c>
      <c r="F547" t="inlineStr">
        <is>
          <t>STOCKHOLMS LÄN</t>
        </is>
      </c>
      <c r="G547" t="inlineStr">
        <is>
          <t>HUDDINGE</t>
        </is>
      </c>
      <c r="H547" t="inlineStr">
        <is>
          <t>Kommuner</t>
        </is>
      </c>
      <c r="I547" t="n">
        <v>2.5</v>
      </c>
      <c r="J547" t="n">
        <v>1</v>
      </c>
      <c r="K547" t="n">
        <v>0</v>
      </c>
      <c r="L547" t="n">
        <v>0</v>
      </c>
      <c r="M547" t="n">
        <v>0</v>
      </c>
      <c r="N547" t="n">
        <v>0</v>
      </c>
      <c r="O547" t="n">
        <v>0</v>
      </c>
      <c r="P547" t="n">
        <v>0</v>
      </c>
      <c r="Q547" t="n">
        <v>0</v>
      </c>
      <c r="R547" t="n">
        <v>0</v>
      </c>
      <c r="S547" t="n">
        <v>1</v>
      </c>
      <c r="T547" t="n">
        <v>2</v>
      </c>
      <c r="U547" t="n">
        <v>0</v>
      </c>
      <c r="V547" s="2" t="inlineStr">
        <is>
          <t>Kopparödla</t>
        </is>
      </c>
      <c r="W547">
        <f>HYPERLINK("https://klasma.github.io/Logging_0126/artfynd/A 31633-2026 artfynd.xlsx", "A 31633-2026")</f>
        <v/>
      </c>
      <c r="X547">
        <f>HYPERLINK("https://klasma.github.io/Logging_0126/kartor/A 31633-2026 karta.png", "A 31633-2026")</f>
        <v/>
      </c>
      <c r="Y547">
        <f>HYPERLINK("https://klasma.github.io/Logging_0126/kartor_geotiff/A 31633-2026 georefererad karta.tif", "A 31633-2026")</f>
        <v/>
      </c>
      <c r="AA547">
        <f>HYPERLINK("https://klasma.github.io/Logging_0126/klagomål/A 31633-2026 FSC-klagomål.docx", "A 31633-2026")</f>
        <v/>
      </c>
      <c r="AB547">
        <f>HYPERLINK("https://klasma.github.io/Logging_0126/klagomålsmail/A 31633-2026 FSC-klagomål mail.docx", "A 31633-2026")</f>
        <v/>
      </c>
      <c r="AC547">
        <f>HYPERLINK("https://klasma.github.io/Logging_0126/tillsyn/A 31633-2026 tillsynsbegäran.docx", "A 31633-2026")</f>
        <v/>
      </c>
      <c r="AD547">
        <f>HYPERLINK("https://klasma.github.io/Logging_0126/tillsynsmail/A 31633-2026 tillsynsbegäran mail.docx", "A 31633-2026")</f>
        <v/>
      </c>
    </row>
    <row r="548" ht="15" customHeight="1">
      <c r="A548" t="inlineStr">
        <is>
          <t>A 31514-2026</t>
        </is>
      </c>
      <c r="B548" t="inlineStr">
        <is>
          <t>avverkningsanmälan</t>
        </is>
      </c>
      <c r="C548" t="inlineStr">
        <is>
          <t>Avverkning för annat ändamål</t>
        </is>
      </c>
      <c r="D548" s="1" t="n">
        <v>46223</v>
      </c>
      <c r="E548" s="1" t="n">
        <v>46326</v>
      </c>
      <c r="F548" t="inlineStr">
        <is>
          <t>STOCKHOLMS LÄN</t>
        </is>
      </c>
      <c r="G548" t="inlineStr">
        <is>
          <t>HUDDINGE</t>
        </is>
      </c>
      <c r="H548" t="inlineStr">
        <is>
          <t>Kommuner</t>
        </is>
      </c>
      <c r="I548" t="n">
        <v>1</v>
      </c>
      <c r="J548" t="n">
        <v>0</v>
      </c>
      <c r="K548" t="n">
        <v>1</v>
      </c>
      <c r="L548" t="n">
        <v>0</v>
      </c>
      <c r="M548" t="n">
        <v>0</v>
      </c>
      <c r="N548" t="n">
        <v>0</v>
      </c>
      <c r="O548" t="n">
        <v>0</v>
      </c>
      <c r="P548" t="n">
        <v>0</v>
      </c>
      <c r="Q548" t="n">
        <v>0</v>
      </c>
      <c r="R548" t="n">
        <v>0</v>
      </c>
      <c r="S548" t="n">
        <v>1</v>
      </c>
      <c r="T548" t="n">
        <v>2</v>
      </c>
      <c r="U548" t="n">
        <v>0</v>
      </c>
      <c r="V548" s="2" t="inlineStr">
        <is>
          <t>Tibast</t>
        </is>
      </c>
      <c r="W548">
        <f>HYPERLINK("https://klasma.github.io/Logging_0126/artfynd/A 31514-2026 artfynd.xlsx", "A 31514-2026")</f>
        <v/>
      </c>
      <c r="X548">
        <f>HYPERLINK("https://klasma.github.io/Logging_0126/kartor/A 31514-2026 karta.png", "A 31514-2026")</f>
        <v/>
      </c>
      <c r="Y548">
        <f>HYPERLINK("https://klasma.github.io/Logging_0126/kartor_geotiff/A 31514-2026 georefererad karta.tif", "A 31514-2026")</f>
        <v/>
      </c>
      <c r="AA548">
        <f>HYPERLINK("https://klasma.github.io/Logging_0126/klagomål/A 31514-2026 FSC-klagomål.docx", "A 31514-2026")</f>
        <v/>
      </c>
      <c r="AB548">
        <f>HYPERLINK("https://klasma.github.io/Logging_0126/klagomålsmail/A 31514-2026 FSC-klagomål mail.docx", "A 31514-2026")</f>
        <v/>
      </c>
      <c r="AC548">
        <f>HYPERLINK("https://klasma.github.io/Logging_0126/tillsyn/A 31514-2026 tillsynsbegäran.docx", "A 31514-2026")</f>
        <v/>
      </c>
      <c r="AD548">
        <f>HYPERLINK("https://klasma.github.io/Logging_0126/tillsynsmail/A 31514-2026 tillsynsbegäran mail.docx", "A 31514-2026")</f>
        <v/>
      </c>
    </row>
    <row r="549" ht="15" customHeight="1">
      <c r="A549" t="inlineStr">
        <is>
          <t>A 31568-2026</t>
        </is>
      </c>
      <c r="B549" t="inlineStr">
        <is>
          <t>avverkningsanmälan</t>
        </is>
      </c>
      <c r="C549" t="inlineStr">
        <is>
          <t>Avverkning för annat ändamål</t>
        </is>
      </c>
      <c r="D549" s="1" t="n">
        <v>46223</v>
      </c>
      <c r="E549" s="1" t="n">
        <v>46326</v>
      </c>
      <c r="F549" t="inlineStr">
        <is>
          <t>STOCKHOLMS LÄN</t>
        </is>
      </c>
      <c r="G549" t="inlineStr">
        <is>
          <t>HUDDINGE</t>
        </is>
      </c>
      <c r="H549" t="inlineStr">
        <is>
          <t>Kommuner</t>
        </is>
      </c>
      <c r="I549" t="n">
        <v>0.2</v>
      </c>
      <c r="J549" t="n">
        <v>1</v>
      </c>
      <c r="K549" t="n">
        <v>0</v>
      </c>
      <c r="L549" t="n">
        <v>0</v>
      </c>
      <c r="M549" t="n">
        <v>0</v>
      </c>
      <c r="N549" t="n">
        <v>0</v>
      </c>
      <c r="O549" t="n">
        <v>0</v>
      </c>
      <c r="P549" t="n">
        <v>0</v>
      </c>
      <c r="Q549" t="n">
        <v>0</v>
      </c>
      <c r="R549" t="n">
        <v>0</v>
      </c>
      <c r="S549" t="n">
        <v>1</v>
      </c>
      <c r="T549" t="n">
        <v>1</v>
      </c>
      <c r="U549" t="n">
        <v>0</v>
      </c>
      <c r="V549" s="2" t="inlineStr">
        <is>
          <t>Skogsödla</t>
        </is>
      </c>
      <c r="W549">
        <f>HYPERLINK("https://klasma.github.io/Logging_0126/artfynd/A 31568-2026 artfynd.xlsx", "A 31568-2026")</f>
        <v/>
      </c>
      <c r="X549">
        <f>HYPERLINK("https://klasma.github.io/Logging_0126/kartor/A 31568-2026 karta.png", "A 31568-2026")</f>
        <v/>
      </c>
      <c r="Y549">
        <f>HYPERLINK("https://klasma.github.io/Logging_0126/kartor_geotiff/A 31568-2026 georefererad karta.tif", "A 31568-2026")</f>
        <v/>
      </c>
      <c r="AA549">
        <f>HYPERLINK("https://klasma.github.io/Logging_0126/klagomål/A 31568-2026 FSC-klagomål.docx", "A 31568-2026")</f>
        <v/>
      </c>
      <c r="AB549">
        <f>HYPERLINK("https://klasma.github.io/Logging_0126/klagomålsmail/A 31568-2026 FSC-klagomål mail.docx", "A 31568-2026")</f>
        <v/>
      </c>
      <c r="AC549">
        <f>HYPERLINK("https://klasma.github.io/Logging_0126/tillsyn/A 31568-2026 tillsynsbegäran.docx", "A 31568-2026")</f>
        <v/>
      </c>
      <c r="AD549">
        <f>HYPERLINK("https://klasma.github.io/Logging_0126/tillsynsmail/A 31568-2026 tillsynsbegäran mail.docx", "A 31568-2026")</f>
        <v/>
      </c>
    </row>
    <row r="550" ht="15" customHeight="1">
      <c r="A550" t="inlineStr">
        <is>
          <t>A 30154-2022</t>
        </is>
      </c>
      <c r="B550" t="inlineStr">
        <is>
          <t>avverkningsanmälan</t>
        </is>
      </c>
      <c r="C550" t="inlineStr">
        <is>
          <t>Föryngringsavverkning</t>
        </is>
      </c>
      <c r="D550" s="1" t="n">
        <v>44757</v>
      </c>
      <c r="E550" s="1" t="n">
        <v>46326</v>
      </c>
      <c r="F550" t="inlineStr">
        <is>
          <t>STOCKHOLMS LÄN</t>
        </is>
      </c>
      <c r="G550" t="inlineStr">
        <is>
          <t>VÄRMDÖ</t>
        </is>
      </c>
      <c r="I550" t="n">
        <v>3.1</v>
      </c>
      <c r="J550" t="n">
        <v>0</v>
      </c>
      <c r="K550" t="n">
        <v>0</v>
      </c>
      <c r="L550" t="n">
        <v>1</v>
      </c>
      <c r="M550" t="n">
        <v>0</v>
      </c>
      <c r="N550" t="n">
        <v>0</v>
      </c>
      <c r="O550" t="n">
        <v>0</v>
      </c>
      <c r="P550" t="n">
        <v>0</v>
      </c>
      <c r="Q550" t="n">
        <v>1</v>
      </c>
      <c r="R550" t="n">
        <v>0</v>
      </c>
      <c r="S550" t="n">
        <v>1</v>
      </c>
      <c r="T550" t="n">
        <v>1</v>
      </c>
      <c r="U550" t="n">
        <v>0</v>
      </c>
      <c r="V550" s="2" t="inlineStr">
        <is>
          <t>Lunglav</t>
        </is>
      </c>
      <c r="W550">
        <f>HYPERLINK("https://klasma.github.io/Logging_0120/artfynd/A 30154-2022 artfynd.xlsx", "A 30154-2022")</f>
        <v/>
      </c>
      <c r="X550">
        <f>HYPERLINK("https://klasma.github.io/Logging_0120/kartor/A 30154-2022 karta.png", "A 30154-2022")</f>
        <v/>
      </c>
      <c r="Y550">
        <f>HYPERLINK("https://klasma.github.io/Logging_0120/kartor_geotiff/A 30154-2022 georefererad karta.tif", "A 30154-2022")</f>
        <v/>
      </c>
      <c r="AA550">
        <f>HYPERLINK("https://klasma.github.io/Logging_0120/klagomål/A 30154-2022 FSC-klagomål.docx", "A 30154-2022")</f>
        <v/>
      </c>
      <c r="AB550">
        <f>HYPERLINK("https://klasma.github.io/Logging_0120/klagomålsmail/A 30154-2022 FSC-klagomål mail.docx", "A 30154-2022")</f>
        <v/>
      </c>
      <c r="AC550">
        <f>HYPERLINK("https://klasma.github.io/Logging_0120/tillsyn/A 30154-2022 tillsynsbegäran.docx", "A 30154-2022")</f>
        <v/>
      </c>
      <c r="AD550">
        <f>HYPERLINK("https://klasma.github.io/Logging_0120/tillsynsmail/A 30154-2022 tillsynsbegäran mail.docx", "A 30154-2022")</f>
        <v/>
      </c>
    </row>
    <row r="551" ht="15" customHeight="1">
      <c r="A551" t="inlineStr">
        <is>
          <t>A 31795-2026</t>
        </is>
      </c>
      <c r="B551" t="inlineStr">
        <is>
          <t>avverkningsanmälan</t>
        </is>
      </c>
      <c r="C551" t="inlineStr">
        <is>
          <t>Avverkning för annat ändamål</t>
        </is>
      </c>
      <c r="D551" s="1" t="n">
        <v>46230</v>
      </c>
      <c r="E551" s="1" t="n">
        <v>46326</v>
      </c>
      <c r="F551" t="inlineStr">
        <is>
          <t>STOCKHOLMS LÄN</t>
        </is>
      </c>
      <c r="G551" t="inlineStr">
        <is>
          <t>HUDDINGE</t>
        </is>
      </c>
      <c r="H551" t="inlineStr">
        <is>
          <t>Kommuner</t>
        </is>
      </c>
      <c r="I551" t="n">
        <v>2.1</v>
      </c>
      <c r="J551" t="n">
        <v>1</v>
      </c>
      <c r="K551" t="n">
        <v>0</v>
      </c>
      <c r="L551" t="n">
        <v>0</v>
      </c>
      <c r="M551" t="n">
        <v>0</v>
      </c>
      <c r="N551" t="n">
        <v>0</v>
      </c>
      <c r="O551" t="n">
        <v>0</v>
      </c>
      <c r="P551" t="n">
        <v>0</v>
      </c>
      <c r="Q551" t="n">
        <v>0</v>
      </c>
      <c r="R551" t="n">
        <v>0</v>
      </c>
      <c r="S551" t="n">
        <v>1</v>
      </c>
      <c r="T551" t="n">
        <v>1</v>
      </c>
      <c r="U551" t="n">
        <v>0</v>
      </c>
      <c r="V551" s="2" t="inlineStr">
        <is>
          <t>Revlummer</t>
        </is>
      </c>
      <c r="W551">
        <f>HYPERLINK("https://klasma.github.io/Logging_0126/artfynd/A 31795-2026 artfynd.xlsx", "A 31795-2026")</f>
        <v/>
      </c>
      <c r="X551">
        <f>HYPERLINK("https://klasma.github.io/Logging_0126/kartor/A 31795-2026 karta.png", "A 31795-2026")</f>
        <v/>
      </c>
      <c r="Y551">
        <f>HYPERLINK("https://klasma.github.io/Logging_0126/kartor_geotiff/A 31795-2026 georefererad karta.tif", "A 31795-2026")</f>
        <v/>
      </c>
      <c r="AA551">
        <f>HYPERLINK("https://klasma.github.io/Logging_0126/klagomål/A 31795-2026 FSC-klagomål.docx", "A 31795-2026")</f>
        <v/>
      </c>
      <c r="AB551">
        <f>HYPERLINK("https://klasma.github.io/Logging_0126/klagomålsmail/A 31795-2026 FSC-klagomål mail.docx", "A 31795-2026")</f>
        <v/>
      </c>
      <c r="AC551">
        <f>HYPERLINK("https://klasma.github.io/Logging_0126/tillsyn/A 31795-2026 tillsynsbegäran.docx", "A 31795-2026")</f>
        <v/>
      </c>
      <c r="AD551">
        <f>HYPERLINK("https://klasma.github.io/Logging_0126/tillsynsmail/A 31795-2026 tillsynsbegäran mail.docx", "A 31795-2026")</f>
        <v/>
      </c>
    </row>
    <row r="552" ht="15" customHeight="1">
      <c r="A552" t="inlineStr">
        <is>
          <t>A 32143-2026</t>
        </is>
      </c>
      <c r="B552" t="inlineStr">
        <is>
          <t>avverkningsanmälan</t>
        </is>
      </c>
      <c r="C552" t="inlineStr">
        <is>
          <t>Föryngringsavverkning</t>
        </is>
      </c>
      <c r="D552" s="1" t="n">
        <v>46234</v>
      </c>
      <c r="E552" s="1" t="n">
        <v>46326</v>
      </c>
      <c r="F552" t="inlineStr">
        <is>
          <t>STOCKHOLMS LÄN</t>
        </is>
      </c>
      <c r="G552" t="inlineStr">
        <is>
          <t>VAXHOLM</t>
        </is>
      </c>
      <c r="H552" t="inlineStr">
        <is>
          <t>Övriga statliga verk och myndigheter</t>
        </is>
      </c>
      <c r="I552" t="n">
        <v>2.5</v>
      </c>
      <c r="J552" t="n">
        <v>1</v>
      </c>
      <c r="K552" t="n">
        <v>0</v>
      </c>
      <c r="L552" t="n">
        <v>1</v>
      </c>
      <c r="M552" t="n">
        <v>0</v>
      </c>
      <c r="N552" t="n">
        <v>0</v>
      </c>
      <c r="O552" t="n">
        <v>0</v>
      </c>
      <c r="P552" t="n">
        <v>0</v>
      </c>
      <c r="Q552" t="n">
        <v>1</v>
      </c>
      <c r="R552" t="n">
        <v>0</v>
      </c>
      <c r="S552" t="n">
        <v>1</v>
      </c>
      <c r="T552" t="n">
        <v>2</v>
      </c>
      <c r="U552" t="n">
        <v>0</v>
      </c>
      <c r="V552" s="2" t="inlineStr">
        <is>
          <t>Knippnejlika</t>
        </is>
      </c>
      <c r="W552">
        <f>HYPERLINK("https://klasma.github.io/Logging_0187/artfynd/A 32143-2026 artfynd.xlsx", "A 32143-2026")</f>
        <v/>
      </c>
      <c r="X552">
        <f>HYPERLINK("https://klasma.github.io/Logging_0187/kartor/A 32143-2026 karta.png", "A 32143-2026")</f>
        <v/>
      </c>
      <c r="Y552">
        <f>HYPERLINK("https://klasma.github.io/Logging_0187/kartor_geotiff/A 32143-2026 georefererad karta.tif", "A 32143-2026")</f>
        <v/>
      </c>
      <c r="AA552">
        <f>HYPERLINK("https://klasma.github.io/Logging_0187/klagomål/A 32143-2026 FSC-klagomål.docx", "A 32143-2026")</f>
        <v/>
      </c>
      <c r="AB552">
        <f>HYPERLINK("https://klasma.github.io/Logging_0187/klagomålsmail/A 32143-2026 FSC-klagomål mail.docx", "A 32143-2026")</f>
        <v/>
      </c>
      <c r="AC552">
        <f>HYPERLINK("https://klasma.github.io/Logging_0187/tillsyn/A 32143-2026 tillsynsbegäran.docx", "A 32143-2026")</f>
        <v/>
      </c>
      <c r="AD552">
        <f>HYPERLINK("https://klasma.github.io/Logging_0187/tillsynsmail/A 32143-2026 tillsynsbegäran mail.docx", "A 32143-2026")</f>
        <v/>
      </c>
    </row>
    <row r="553" ht="15" customHeight="1">
      <c r="A553" t="inlineStr">
        <is>
          <t>A 32522-2026</t>
        </is>
      </c>
      <c r="B553" t="inlineStr">
        <is>
          <t>avverkningsanmälan</t>
        </is>
      </c>
      <c r="C553" t="inlineStr">
        <is>
          <t>Föryngringsavverkning</t>
        </is>
      </c>
      <c r="D553" s="1" t="n">
        <v>46239</v>
      </c>
      <c r="E553" s="1" t="n">
        <v>46326</v>
      </c>
      <c r="F553" t="inlineStr">
        <is>
          <t>STOCKHOLMS LÄN</t>
        </is>
      </c>
      <c r="G553" t="inlineStr">
        <is>
          <t>SÖDERTÄLJE</t>
        </is>
      </c>
      <c r="I553" t="n">
        <v>4.3</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HYPERLINK("https://klasma.github.io/Logging_0181/artfynd/A 32522-2026 artfynd.xlsx", "A 32522-2026")</f>
        <v/>
      </c>
      <c r="X553">
        <f>HYPERLINK("https://klasma.github.io/Logging_0181/kartor/A 32522-2026 karta.png", "A 32522-2026")</f>
        <v/>
      </c>
      <c r="Y553">
        <f>HYPERLINK("https://klasma.github.io/Logging_0181/kartor_geotiff/A 32522-2026 georefererad karta.tif", "A 32522-2026")</f>
        <v/>
      </c>
      <c r="AA553">
        <f>HYPERLINK("https://klasma.github.io/Logging_0181/klagomål/A 32522-2026 FSC-klagomål.docx", "A 32522-2026")</f>
        <v/>
      </c>
      <c r="AB553">
        <f>HYPERLINK("https://klasma.github.io/Logging_0181/klagomålsmail/A 32522-2026 FSC-klagomål mail.docx", "A 32522-2026")</f>
        <v/>
      </c>
      <c r="AC553">
        <f>HYPERLINK("https://klasma.github.io/Logging_0181/tillsyn/A 32522-2026 tillsynsbegäran.docx", "A 32522-2026")</f>
        <v/>
      </c>
      <c r="AD553">
        <f>HYPERLINK("https://klasma.github.io/Logging_0181/tillsynsmail/A 32522-2026 tillsynsbegäran mail.docx", "A 32522-2026")</f>
        <v/>
      </c>
    </row>
    <row r="554" ht="15" customHeight="1">
      <c r="A554" t="inlineStr">
        <is>
          <t>A 32479-2026</t>
        </is>
      </c>
      <c r="B554" t="inlineStr">
        <is>
          <t>avverkningsanmälan</t>
        </is>
      </c>
      <c r="C554" t="inlineStr">
        <is>
          <t>Föryngringsavverkning</t>
        </is>
      </c>
      <c r="D554" s="1" t="n">
        <v>46239</v>
      </c>
      <c r="E554" s="1" t="n">
        <v>46326</v>
      </c>
      <c r="F554" t="inlineStr">
        <is>
          <t>STOCKHOLMS LÄN</t>
        </is>
      </c>
      <c r="G554" t="inlineStr">
        <is>
          <t>HANINGE</t>
        </is>
      </c>
      <c r="I554" t="n">
        <v>6.9</v>
      </c>
      <c r="J554" t="n">
        <v>0</v>
      </c>
      <c r="K554" t="n">
        <v>1</v>
      </c>
      <c r="L554" t="n">
        <v>0</v>
      </c>
      <c r="M554" t="n">
        <v>0</v>
      </c>
      <c r="N554" t="n">
        <v>0</v>
      </c>
      <c r="O554" t="n">
        <v>0</v>
      </c>
      <c r="P554" t="n">
        <v>0</v>
      </c>
      <c r="Q554" t="n">
        <v>0</v>
      </c>
      <c r="R554" t="n">
        <v>0</v>
      </c>
      <c r="S554" t="n">
        <v>1</v>
      </c>
      <c r="T554" t="n">
        <v>1</v>
      </c>
      <c r="U554" t="n">
        <v>0</v>
      </c>
      <c r="V554" s="2" t="inlineStr">
        <is>
          <t>Kambräken</t>
        </is>
      </c>
      <c r="W554">
        <f>HYPERLINK("https://klasma.github.io/Logging_0136/artfynd/A 32479-2026 artfynd.xlsx", "A 32479-2026")</f>
        <v/>
      </c>
      <c r="X554">
        <f>HYPERLINK("https://klasma.github.io/Logging_0136/kartor/A 32479-2026 karta.png", "A 32479-2026")</f>
        <v/>
      </c>
      <c r="Y554">
        <f>HYPERLINK("https://klasma.github.io/Logging_0136/kartor_geotiff/A 32479-2026 georefererad karta.tif", "A 32479-2026")</f>
        <v/>
      </c>
      <c r="AA554">
        <f>HYPERLINK("https://klasma.github.io/Logging_0136/klagomål/A 32479-2026 FSC-klagomål.docx", "A 32479-2026")</f>
        <v/>
      </c>
      <c r="AB554">
        <f>HYPERLINK("https://klasma.github.io/Logging_0136/klagomålsmail/A 32479-2026 FSC-klagomål mail.docx", "A 32479-2026")</f>
        <v/>
      </c>
      <c r="AC554">
        <f>HYPERLINK("https://klasma.github.io/Logging_0136/tillsyn/A 32479-2026 tillsynsbegäran.docx", "A 32479-2026")</f>
        <v/>
      </c>
      <c r="AD554">
        <f>HYPERLINK("https://klasma.github.io/Logging_0136/tillsynsmail/A 32479-2026 tillsynsbegäran mail.docx", "A 32479-2026")</f>
        <v/>
      </c>
    </row>
    <row r="555" ht="15" customHeight="1">
      <c r="A555" t="inlineStr">
        <is>
          <t>A 52321-2024</t>
        </is>
      </c>
      <c r="B555" t="inlineStr">
        <is>
          <t>avverkningsanmälan</t>
        </is>
      </c>
      <c r="C555" t="inlineStr">
        <is>
          <t>Avverkning för annat ändamål</t>
        </is>
      </c>
      <c r="D555" s="1" t="n">
        <v>45608</v>
      </c>
      <c r="E555" s="1" t="n">
        <v>46326</v>
      </c>
      <c r="F555" t="inlineStr">
        <is>
          <t>STOCKHOLMS LÄN</t>
        </is>
      </c>
      <c r="G555" t="inlineStr">
        <is>
          <t>NORRTÄLJE</t>
        </is>
      </c>
      <c r="I555" t="n">
        <v>18.1</v>
      </c>
      <c r="J555" t="n">
        <v>0</v>
      </c>
      <c r="K555" t="n">
        <v>0</v>
      </c>
      <c r="L555" t="n">
        <v>0</v>
      </c>
      <c r="M555" t="n">
        <v>0</v>
      </c>
      <c r="N555" t="n">
        <v>0</v>
      </c>
      <c r="O555" t="n">
        <v>0</v>
      </c>
      <c r="P555" t="n">
        <v>0</v>
      </c>
      <c r="Q555" t="n">
        <v>0</v>
      </c>
      <c r="R555" t="n">
        <v>0</v>
      </c>
      <c r="S555" t="n">
        <v>1</v>
      </c>
      <c r="T555" t="n">
        <v>1</v>
      </c>
      <c r="U555" t="n">
        <v>1</v>
      </c>
      <c r="V555" s="2" t="inlineStr">
        <is>
          <t>Smånunneört</t>
        </is>
      </c>
      <c r="W555">
        <f>HYPERLINK("https://klasma.github.io/Logging_0188/artfynd/A 52321-2024 artfynd.xlsx", "A 52321-2024")</f>
        <v/>
      </c>
      <c r="X555">
        <f>HYPERLINK("https://klasma.github.io/Logging_0188/kartor/A 52321-2024 karta.png", "A 52321-2024")</f>
        <v/>
      </c>
      <c r="Y555">
        <f>HYPERLINK("https://klasma.github.io/Logging_0188/kartor_geotiff/A 52321-2024 georefererad karta.tif", "A 52321-2024")</f>
        <v/>
      </c>
      <c r="AA555">
        <f>HYPERLINK("https://klasma.github.io/Logging_0188/klagomål/A 52321-2024 FSC-klagomål.docx", "A 52321-2024")</f>
        <v/>
      </c>
      <c r="AB555">
        <f>HYPERLINK("https://klasma.github.io/Logging_0188/klagomålsmail/A 52321-2024 FSC-klagomål mail.docx", "A 52321-2024")</f>
        <v/>
      </c>
      <c r="AC555">
        <f>HYPERLINK("https://klasma.github.io/Logging_0188/tillsyn/A 52321-2024 tillsynsbegäran.docx", "A 52321-2024")</f>
        <v/>
      </c>
      <c r="AD555">
        <f>HYPERLINK("https://klasma.github.io/Logging_0188/tillsynsmail/A 52321-2024 tillsynsbegäran mail.docx", "A 52321-2024")</f>
        <v/>
      </c>
    </row>
    <row r="556" ht="15" customHeight="1">
      <c r="A556" t="inlineStr">
        <is>
          <t>A 30731-2023</t>
        </is>
      </c>
      <c r="B556" t="inlineStr">
        <is>
          <t>avverkningsanmälan</t>
        </is>
      </c>
      <c r="C556" t="inlineStr">
        <is>
          <t>Föryngringsavverkning</t>
        </is>
      </c>
      <c r="D556" s="1" t="n">
        <v>45112</v>
      </c>
      <c r="E556" s="1" t="n">
        <v>46326</v>
      </c>
      <c r="F556" t="inlineStr">
        <is>
          <t>STOCKHOLMS LÄN</t>
        </is>
      </c>
      <c r="G556" t="inlineStr">
        <is>
          <t>NORRTÄLJE</t>
        </is>
      </c>
      <c r="I556" t="n">
        <v>1.6</v>
      </c>
      <c r="J556" t="n">
        <v>0</v>
      </c>
      <c r="K556" t="n">
        <v>0</v>
      </c>
      <c r="L556" t="n">
        <v>1</v>
      </c>
      <c r="M556" t="n">
        <v>0</v>
      </c>
      <c r="N556" t="n">
        <v>0</v>
      </c>
      <c r="O556" t="n">
        <v>0</v>
      </c>
      <c r="P556" t="n">
        <v>0</v>
      </c>
      <c r="Q556" t="n">
        <v>1</v>
      </c>
      <c r="R556" t="n">
        <v>0</v>
      </c>
      <c r="S556" t="n">
        <v>1</v>
      </c>
      <c r="T556" t="n">
        <v>1</v>
      </c>
      <c r="U556" t="n">
        <v>1</v>
      </c>
      <c r="V556" s="2" t="inlineStr">
        <is>
          <t>Slåtterfibbla</t>
        </is>
      </c>
      <c r="W556">
        <f>HYPERLINK("https://klasma.github.io/Logging_0188/artfynd/A 30731-2023 artfynd.xlsx", "A 30731-2023")</f>
        <v/>
      </c>
      <c r="X556">
        <f>HYPERLINK("https://klasma.github.io/Logging_0188/kartor/A 30731-2023 karta.png", "A 30731-2023")</f>
        <v/>
      </c>
      <c r="Y556">
        <f>HYPERLINK("https://klasma.github.io/Logging_0188/kartor_geotiff/A 30731-2023 georefererad karta.tif", "A 30731-2023")</f>
        <v/>
      </c>
      <c r="AA556">
        <f>HYPERLINK("https://klasma.github.io/Logging_0188/klagomål/A 30731-2023 FSC-klagomål.docx", "A 30731-2023")</f>
        <v/>
      </c>
      <c r="AB556">
        <f>HYPERLINK("https://klasma.github.io/Logging_0188/klagomålsmail/A 30731-2023 FSC-klagomål mail.docx", "A 30731-2023")</f>
        <v/>
      </c>
      <c r="AC556">
        <f>HYPERLINK("https://klasma.github.io/Logging_0188/tillsyn/A 30731-2023 tillsynsbegäran.docx", "A 30731-2023")</f>
        <v/>
      </c>
      <c r="AD556">
        <f>HYPERLINK("https://klasma.github.io/Logging_0188/tillsynsmail/A 30731-2023 tillsynsbegäran mail.docx", "A 30731-2023")</f>
        <v/>
      </c>
    </row>
    <row r="557" ht="15" customHeight="1">
      <c r="A557" t="inlineStr">
        <is>
          <t>A 4580-2025</t>
        </is>
      </c>
      <c r="B557" t="inlineStr">
        <is>
          <t>avverkningsanmälan</t>
        </is>
      </c>
      <c r="C557" t="inlineStr">
        <is>
          <t>Föryngringsavverkning</t>
        </is>
      </c>
      <c r="D557" s="1" t="n">
        <v>45687</v>
      </c>
      <c r="E557" s="1" t="n">
        <v>46326</v>
      </c>
      <c r="F557" t="inlineStr">
        <is>
          <t>STOCKHOLMS LÄN</t>
        </is>
      </c>
      <c r="G557" t="inlineStr">
        <is>
          <t>NORRTÄLJE</t>
        </is>
      </c>
      <c r="H557" t="inlineStr">
        <is>
          <t>Holmen skog AB</t>
        </is>
      </c>
      <c r="I557" t="n">
        <v>4.8</v>
      </c>
      <c r="J557" t="n">
        <v>1</v>
      </c>
      <c r="K557" t="n">
        <v>0</v>
      </c>
      <c r="L557" t="n">
        <v>0</v>
      </c>
      <c r="M557" t="n">
        <v>0</v>
      </c>
      <c r="N557" t="n">
        <v>1</v>
      </c>
      <c r="O557" t="n">
        <v>0</v>
      </c>
      <c r="P557" t="n">
        <v>0</v>
      </c>
      <c r="Q557" t="n">
        <v>1</v>
      </c>
      <c r="R557" t="n">
        <v>1</v>
      </c>
      <c r="S557" t="n">
        <v>1</v>
      </c>
      <c r="T557" t="n">
        <v>4</v>
      </c>
      <c r="U557" t="n">
        <v>2</v>
      </c>
      <c r="V557" s="2" t="inlineStr">
        <is>
          <t>Asknätfjäril</t>
        </is>
      </c>
      <c r="W557">
        <f>HYPERLINK("https://klasma.github.io/Logging_0188/artfynd/A 4580-2025 artfynd.xlsx", "A 4580-2025")</f>
        <v/>
      </c>
      <c r="X557">
        <f>HYPERLINK("https://klasma.github.io/Logging_0188/kartor/A 4580-2025 karta.png", "A 4580-2025")</f>
        <v/>
      </c>
      <c r="Y557">
        <f>HYPERLINK("https://klasma.github.io/Logging_0188/kartor_geotiff/A 4580-2025 georefererad karta.tif", "A 4580-2025")</f>
        <v/>
      </c>
      <c r="AA557">
        <f>HYPERLINK("https://klasma.github.io/Logging_0188/klagomål/A 4580-2025 FSC-klagomål.docx", "A 4580-2025")</f>
        <v/>
      </c>
      <c r="AB557">
        <f>HYPERLINK("https://klasma.github.io/Logging_0188/klagomålsmail/A 4580-2025 FSC-klagomål mail.docx", "A 4580-2025")</f>
        <v/>
      </c>
      <c r="AC557">
        <f>HYPERLINK("https://klasma.github.io/Logging_0188/tillsyn/A 4580-2025 tillsynsbegäran.docx", "A 4580-2025")</f>
        <v/>
      </c>
      <c r="AD557">
        <f>HYPERLINK("https://klasma.github.io/Logging_0188/tillsynsmail/A 4580-2025 tillsynsbegäran mail.docx", "A 4580-2025")</f>
        <v/>
      </c>
    </row>
    <row r="558" ht="15" customHeight="1">
      <c r="A558" t="inlineStr">
        <is>
          <t>A 64098-2023</t>
        </is>
      </c>
      <c r="B558" t="inlineStr">
        <is>
          <t>avverkningsanmälan</t>
        </is>
      </c>
      <c r="C558" t="inlineStr">
        <is>
          <t>Föryngringsavverkning</t>
        </is>
      </c>
      <c r="D558" s="1" t="n">
        <v>45279</v>
      </c>
      <c r="E558" s="1" t="n">
        <v>46326</v>
      </c>
      <c r="F558" t="inlineStr">
        <is>
          <t>STOCKHOLMS LÄN</t>
        </is>
      </c>
      <c r="G558" t="inlineStr">
        <is>
          <t>UPPLANDS-BRO</t>
        </is>
      </c>
      <c r="I558" t="n">
        <v>0.3</v>
      </c>
      <c r="J558" t="n">
        <v>0</v>
      </c>
      <c r="K558" t="n">
        <v>0</v>
      </c>
      <c r="L558" t="n">
        <v>1</v>
      </c>
      <c r="M558" t="n">
        <v>0</v>
      </c>
      <c r="N558" t="n">
        <v>0</v>
      </c>
      <c r="O558" t="n">
        <v>0</v>
      </c>
      <c r="P558" t="n">
        <v>0</v>
      </c>
      <c r="Q558" t="n">
        <v>1</v>
      </c>
      <c r="R558" t="n">
        <v>0</v>
      </c>
      <c r="S558" t="n">
        <v>1</v>
      </c>
      <c r="T558" t="n">
        <v>1</v>
      </c>
      <c r="U558" t="n">
        <v>0</v>
      </c>
      <c r="V558" s="2" t="inlineStr">
        <is>
          <t>Skogsalmsdvärgmal</t>
        </is>
      </c>
      <c r="W558">
        <f>HYPERLINK("https://klasma.github.io/Logging_0139/artfynd/A 64098-2023 artfynd.xlsx", "A 64098-2023")</f>
        <v/>
      </c>
      <c r="X558">
        <f>HYPERLINK("https://klasma.github.io/Logging_0139/kartor/A 64098-2023 karta.png", "A 64098-2023")</f>
        <v/>
      </c>
      <c r="Y558">
        <f>HYPERLINK("https://klasma.github.io/Logging_0139/kartor_geotiff/A 64098-2023 georefererad karta.tif", "A 64098-2023")</f>
        <v/>
      </c>
      <c r="AA558">
        <f>HYPERLINK("https://klasma.github.io/Logging_0139/klagomål/A 64098-2023 FSC-klagomål.docx", "A 64098-2023")</f>
        <v/>
      </c>
      <c r="AB558">
        <f>HYPERLINK("https://klasma.github.io/Logging_0139/klagomålsmail/A 64098-2023 FSC-klagomål mail.docx", "A 64098-2023")</f>
        <v/>
      </c>
      <c r="AC558">
        <f>HYPERLINK("https://klasma.github.io/Logging_0139/tillsyn/A 64098-2023 tillsynsbegäran.docx", "A 64098-2023")</f>
        <v/>
      </c>
      <c r="AD558">
        <f>HYPERLINK("https://klasma.github.io/Logging_0139/tillsynsmail/A 64098-2023 tillsynsbegäran mail.docx", "A 64098-2023")</f>
        <v/>
      </c>
    </row>
    <row r="559" ht="15" customHeight="1">
      <c r="A559" t="inlineStr">
        <is>
          <t>A 21150-2022</t>
        </is>
      </c>
      <c r="B559" t="inlineStr">
        <is>
          <t>avverkningsanmälan</t>
        </is>
      </c>
      <c r="C559" t="inlineStr">
        <is>
          <t>Föryngringsavverkning</t>
        </is>
      </c>
      <c r="D559" s="1" t="n">
        <v>44704</v>
      </c>
      <c r="E559" s="1" t="n">
        <v>46326</v>
      </c>
      <c r="F559" t="inlineStr">
        <is>
          <t>STOCKHOLMS LÄN</t>
        </is>
      </c>
      <c r="G559" t="inlineStr">
        <is>
          <t>NORRTÄLJE</t>
        </is>
      </c>
      <c r="I559" t="n">
        <v>12.5</v>
      </c>
      <c r="J559" t="n">
        <v>1</v>
      </c>
      <c r="K559" t="n">
        <v>0</v>
      </c>
      <c r="L559" t="n">
        <v>0</v>
      </c>
      <c r="M559" t="n">
        <v>0</v>
      </c>
      <c r="N559" t="n">
        <v>1</v>
      </c>
      <c r="O559" t="n">
        <v>0</v>
      </c>
      <c r="P559" t="n">
        <v>0</v>
      </c>
      <c r="Q559" t="n">
        <v>1</v>
      </c>
      <c r="R559" t="n">
        <v>1</v>
      </c>
      <c r="S559" t="n">
        <v>1</v>
      </c>
      <c r="T559" t="n">
        <v>10</v>
      </c>
      <c r="U559" t="n">
        <v>1</v>
      </c>
      <c r="V559" s="2" t="inlineStr">
        <is>
          <t>Asknätfjäril</t>
        </is>
      </c>
      <c r="W559">
        <f>HYPERLINK("https://klasma.github.io/Logging_0188/artfynd/A 21150-2022 artfynd.xlsx", "A 21150-2022")</f>
        <v/>
      </c>
      <c r="X559">
        <f>HYPERLINK("https://klasma.github.io/Logging_0188/kartor/A 21150-2022 karta.png", "A 21150-2022")</f>
        <v/>
      </c>
      <c r="Y559">
        <f>HYPERLINK("https://klasma.github.io/Logging_0188/kartor_geotiff/A 21150-2022 georefererad karta.tif", "A 21150-2022")</f>
        <v/>
      </c>
      <c r="AA559">
        <f>HYPERLINK("https://klasma.github.io/Logging_0188/klagomål/A 21150-2022 FSC-klagomål.docx", "A 21150-2022")</f>
        <v/>
      </c>
      <c r="AB559">
        <f>HYPERLINK("https://klasma.github.io/Logging_0188/klagomålsmail/A 21150-2022 FSC-klagomål mail.docx", "A 21150-2022")</f>
        <v/>
      </c>
      <c r="AC559">
        <f>HYPERLINK("https://klasma.github.io/Logging_0188/tillsyn/A 21150-2022 tillsynsbegäran.docx", "A 21150-2022")</f>
        <v/>
      </c>
      <c r="AD559">
        <f>HYPERLINK("https://klasma.github.io/Logging_0188/tillsynsmail/A 21150-2022 tillsynsbegäran mail.docx", "A 21150-2022")</f>
        <v/>
      </c>
    </row>
    <row r="560" ht="15" customHeight="1">
      <c r="A560" t="inlineStr">
        <is>
          <t>A 33751-2024</t>
        </is>
      </c>
      <c r="B560" t="inlineStr">
        <is>
          <t>avverkningsanmälan</t>
        </is>
      </c>
      <c r="C560" t="inlineStr">
        <is>
          <t>Avverkning för annat ändamål</t>
        </is>
      </c>
      <c r="D560" s="1" t="n">
        <v>45520</v>
      </c>
      <c r="E560" s="1" t="n">
        <v>46326</v>
      </c>
      <c r="F560" t="inlineStr">
        <is>
          <t>STOCKHOLMS LÄN</t>
        </is>
      </c>
      <c r="G560" t="inlineStr">
        <is>
          <t>SIGTUNA</t>
        </is>
      </c>
      <c r="H560" t="inlineStr">
        <is>
          <t>Allmännings- och besparingsskogar</t>
        </is>
      </c>
      <c r="I560" t="n">
        <v>1.5</v>
      </c>
      <c r="J560" t="n">
        <v>1</v>
      </c>
      <c r="K560" t="n">
        <v>0</v>
      </c>
      <c r="L560" t="n">
        <v>0</v>
      </c>
      <c r="M560" t="n">
        <v>1</v>
      </c>
      <c r="N560" t="n">
        <v>0</v>
      </c>
      <c r="O560" t="n">
        <v>0</v>
      </c>
      <c r="P560" t="n">
        <v>0</v>
      </c>
      <c r="Q560" t="n">
        <v>1</v>
      </c>
      <c r="R560" t="n">
        <v>1</v>
      </c>
      <c r="S560" t="n">
        <v>1</v>
      </c>
      <c r="T560" t="n">
        <v>2</v>
      </c>
      <c r="U560" t="n">
        <v>0</v>
      </c>
      <c r="V560" s="2" t="inlineStr">
        <is>
          <t>Grönfink</t>
        </is>
      </c>
      <c r="W560">
        <f>HYPERLINK("https://klasma.github.io/Logging_0191/artfynd/A 33751-2024 artfynd.xlsx", "A 33751-2024")</f>
        <v/>
      </c>
      <c r="X560">
        <f>HYPERLINK("https://klasma.github.io/Logging_0191/kartor/A 33751-2024 karta.png", "A 33751-2024")</f>
        <v/>
      </c>
      <c r="Y560">
        <f>HYPERLINK("https://klasma.github.io/Logging_0191/kartor_geotiff/A 33751-2024 georefererad karta.tif", "A 33751-2024")</f>
        <v/>
      </c>
      <c r="AA560">
        <f>HYPERLINK("https://klasma.github.io/Logging_0191/klagomål/A 33751-2024 FSC-klagomål.docx", "A 33751-2024")</f>
        <v/>
      </c>
      <c r="AB560">
        <f>HYPERLINK("https://klasma.github.io/Logging_0191/klagomålsmail/A 33751-2024 FSC-klagomål mail.docx", "A 33751-2024")</f>
        <v/>
      </c>
      <c r="AC560">
        <f>HYPERLINK("https://klasma.github.io/Logging_0191/tillsyn/A 33751-2024 tillsynsbegäran.docx", "A 33751-2024")</f>
        <v/>
      </c>
      <c r="AD560">
        <f>HYPERLINK("https://klasma.github.io/Logging_0191/tillsynsmail/A 33751-2024 tillsynsbegäran mail.docx", "A 33751-2024")</f>
        <v/>
      </c>
      <c r="AE560">
        <f>HYPERLINK("https://klasma.github.io/Logging_0191/fåglar/A 33751-2024 prioriterade fågelarter.docx", "A 33751-2024")</f>
        <v/>
      </c>
    </row>
    <row r="561" ht="15" customHeight="1">
      <c r="A561" t="inlineStr">
        <is>
          <t>A 31140-2023</t>
        </is>
      </c>
      <c r="B561" t="inlineStr">
        <is>
          <t>avverkningsanmälan</t>
        </is>
      </c>
      <c r="C561" t="inlineStr">
        <is>
          <t>Föryngringsavverkning</t>
        </is>
      </c>
      <c r="D561" s="1" t="n">
        <v>45113</v>
      </c>
      <c r="E561" s="1" t="n">
        <v>46326</v>
      </c>
      <c r="F561" t="inlineStr">
        <is>
          <t>STOCKHOLMS LÄN</t>
        </is>
      </c>
      <c r="G561" t="inlineStr">
        <is>
          <t>NORRTÄLJE</t>
        </is>
      </c>
      <c r="I561" t="n">
        <v>1.3</v>
      </c>
      <c r="J561" t="n">
        <v>0</v>
      </c>
      <c r="K561" t="n">
        <v>0</v>
      </c>
      <c r="L561" t="n">
        <v>1</v>
      </c>
      <c r="M561" t="n">
        <v>0</v>
      </c>
      <c r="N561" t="n">
        <v>0</v>
      </c>
      <c r="O561" t="n">
        <v>0</v>
      </c>
      <c r="P561" t="n">
        <v>0</v>
      </c>
      <c r="Q561" t="n">
        <v>1</v>
      </c>
      <c r="R561" t="n">
        <v>0</v>
      </c>
      <c r="S561" t="n">
        <v>1</v>
      </c>
      <c r="T561" t="n">
        <v>1</v>
      </c>
      <c r="U561" t="n">
        <v>1</v>
      </c>
      <c r="V561" s="2" t="inlineStr">
        <is>
          <t>Krusfrö</t>
        </is>
      </c>
      <c r="W561">
        <f>HYPERLINK("https://klasma.github.io/Logging_0188/artfynd/A 31140-2023 artfynd.xlsx", "A 31140-2023")</f>
        <v/>
      </c>
      <c r="X561">
        <f>HYPERLINK("https://klasma.github.io/Logging_0188/kartor/A 31140-2023 karta.png", "A 31140-2023")</f>
        <v/>
      </c>
      <c r="Y561">
        <f>HYPERLINK("https://klasma.github.io/Logging_0188/kartor_geotiff/A 31140-2023 georefererad karta.tif", "A 31140-2023")</f>
        <v/>
      </c>
      <c r="AA561">
        <f>HYPERLINK("https://klasma.github.io/Logging_0188/klagomål/A 31140-2023 FSC-klagomål.docx", "A 31140-2023")</f>
        <v/>
      </c>
      <c r="AB561">
        <f>HYPERLINK("https://klasma.github.io/Logging_0188/klagomålsmail/A 31140-2023 FSC-klagomål mail.docx", "A 31140-2023")</f>
        <v/>
      </c>
      <c r="AC561">
        <f>HYPERLINK("https://klasma.github.io/Logging_0188/tillsyn/A 31140-2023 tillsynsbegäran.docx", "A 31140-2023")</f>
        <v/>
      </c>
      <c r="AD561">
        <f>HYPERLINK("https://klasma.github.io/Logging_0188/tillsynsmail/A 31140-2023 tillsynsbegäran mail.docx", "A 31140-2023")</f>
        <v/>
      </c>
    </row>
    <row r="562" ht="15" customHeight="1">
      <c r="A562" t="inlineStr">
        <is>
          <t>A 46757-2023</t>
        </is>
      </c>
      <c r="B562" t="inlineStr">
        <is>
          <t>avverkningsanmälan</t>
        </is>
      </c>
      <c r="C562" t="inlineStr">
        <is>
          <t>Avverkning för annat ändamål</t>
        </is>
      </c>
      <c r="D562" s="1" t="n">
        <v>45198</v>
      </c>
      <c r="E562" s="1" t="n">
        <v>46326</v>
      </c>
      <c r="F562" t="inlineStr">
        <is>
          <t>STOCKHOLMS LÄN</t>
        </is>
      </c>
      <c r="G562" t="inlineStr">
        <is>
          <t>SIGTUNA</t>
        </is>
      </c>
      <c r="I562" t="n">
        <v>5.3</v>
      </c>
      <c r="J562" t="n">
        <v>1</v>
      </c>
      <c r="K562" t="n">
        <v>0</v>
      </c>
      <c r="L562" t="n">
        <v>1</v>
      </c>
      <c r="M562" t="n">
        <v>0</v>
      </c>
      <c r="N562" t="n">
        <v>0</v>
      </c>
      <c r="O562" t="n">
        <v>0</v>
      </c>
      <c r="P562" t="n">
        <v>0</v>
      </c>
      <c r="Q562" t="n">
        <v>1</v>
      </c>
      <c r="R562" t="n">
        <v>0</v>
      </c>
      <c r="S562" t="n">
        <v>1</v>
      </c>
      <c r="T562" t="n">
        <v>1</v>
      </c>
      <c r="U562" t="n">
        <v>0</v>
      </c>
      <c r="V562" s="2" t="inlineStr">
        <is>
          <t>Gulsparv</t>
        </is>
      </c>
      <c r="W562">
        <f>HYPERLINK("https://klasma.github.io/Logging_0191/artfynd/A 46757-2023 artfynd.xlsx", "A 46757-2023")</f>
        <v/>
      </c>
      <c r="X562">
        <f>HYPERLINK("https://klasma.github.io/Logging_0191/kartor/A 46757-2023 karta.png", "A 46757-2023")</f>
        <v/>
      </c>
      <c r="Y562">
        <f>HYPERLINK("https://klasma.github.io/Logging_0191/kartor_geotiff/A 46757-2023 georefererad karta.tif", "A 46757-2023")</f>
        <v/>
      </c>
      <c r="AA562">
        <f>HYPERLINK("https://klasma.github.io/Logging_0191/klagomål/A 46757-2023 FSC-klagomål.docx", "A 46757-2023")</f>
        <v/>
      </c>
      <c r="AB562">
        <f>HYPERLINK("https://klasma.github.io/Logging_0191/klagomålsmail/A 46757-2023 FSC-klagomål mail.docx", "A 46757-2023")</f>
        <v/>
      </c>
      <c r="AC562">
        <f>HYPERLINK("https://klasma.github.io/Logging_0191/tillsyn/A 46757-2023 tillsynsbegäran.docx", "A 46757-2023")</f>
        <v/>
      </c>
      <c r="AD562">
        <f>HYPERLINK("https://klasma.github.io/Logging_0191/tillsynsmail/A 46757-2023 tillsynsbegäran mail.docx", "A 46757-2023")</f>
        <v/>
      </c>
      <c r="AE562">
        <f>HYPERLINK("https://klasma.github.io/Logging_0191/fåglar/A 46757-2023 prioriterade fågelarter.docx", "A 46757-2023")</f>
        <v/>
      </c>
    </row>
    <row r="563" ht="15" customHeight="1">
      <c r="A563" t="inlineStr">
        <is>
          <t>A 2062-2025</t>
        </is>
      </c>
      <c r="B563" t="inlineStr">
        <is>
          <t>avverkningsanmälan</t>
        </is>
      </c>
      <c r="C563" t="inlineStr">
        <is>
          <t>Föryngringsavverkning</t>
        </is>
      </c>
      <c r="D563" s="1" t="n">
        <v>45671</v>
      </c>
      <c r="E563" s="1" t="n">
        <v>46326</v>
      </c>
      <c r="F563" t="inlineStr">
        <is>
          <t>STOCKHOLMS LÄN</t>
        </is>
      </c>
      <c r="G563" t="inlineStr">
        <is>
          <t>UPPLANDS-BRO</t>
        </is>
      </c>
      <c r="I563" t="n">
        <v>1.9</v>
      </c>
      <c r="J563" t="n">
        <v>1</v>
      </c>
      <c r="K563" t="n">
        <v>0</v>
      </c>
      <c r="L563" t="n">
        <v>1</v>
      </c>
      <c r="M563" t="n">
        <v>0</v>
      </c>
      <c r="N563" t="n">
        <v>0</v>
      </c>
      <c r="O563" t="n">
        <v>0</v>
      </c>
      <c r="P563" t="n">
        <v>0</v>
      </c>
      <c r="Q563" t="n">
        <v>1</v>
      </c>
      <c r="R563" t="n">
        <v>0</v>
      </c>
      <c r="S563" t="n">
        <v>1</v>
      </c>
      <c r="T563" t="n">
        <v>1</v>
      </c>
      <c r="U563" t="n">
        <v>1</v>
      </c>
      <c r="V563" s="2" t="inlineStr">
        <is>
          <t>Mindre hackspett</t>
        </is>
      </c>
      <c r="W563">
        <f>HYPERLINK("https://klasma.github.io/Logging_0139/artfynd/A 2062-2025 artfynd.xlsx", "A 2062-2025")</f>
        <v/>
      </c>
      <c r="X563">
        <f>HYPERLINK("https://klasma.github.io/Logging_0139/kartor/A 2062-2025 karta.png", "A 2062-2025")</f>
        <v/>
      </c>
      <c r="Y563">
        <f>HYPERLINK("https://klasma.github.io/Logging_0139/kartor_geotiff/A 2062-2025 georefererad karta.tif", "A 2062-2025")</f>
        <v/>
      </c>
      <c r="AA563">
        <f>HYPERLINK("https://klasma.github.io/Logging_0139/klagomål/A 2062-2025 FSC-klagomål.docx", "A 2062-2025")</f>
        <v/>
      </c>
      <c r="AB563">
        <f>HYPERLINK("https://klasma.github.io/Logging_0139/klagomålsmail/A 2062-2025 FSC-klagomål mail.docx", "A 2062-2025")</f>
        <v/>
      </c>
      <c r="AC563">
        <f>HYPERLINK("https://klasma.github.io/Logging_0139/tillsyn/A 2062-2025 tillsynsbegäran.docx", "A 2062-2025")</f>
        <v/>
      </c>
      <c r="AD563">
        <f>HYPERLINK("https://klasma.github.io/Logging_0139/tillsynsmail/A 2062-2025 tillsynsbegäran mail.docx", "A 2062-2025")</f>
        <v/>
      </c>
      <c r="AE563">
        <f>HYPERLINK("https://klasma.github.io/Logging_0139/fåglar/A 2062-2025 prioriterade fågelarter.docx", "A 2062-2025")</f>
        <v/>
      </c>
    </row>
    <row r="564" ht="15" customHeight="1">
      <c r="A564" t="inlineStr">
        <is>
          <t>A 33892-2022</t>
        </is>
      </c>
      <c r="B564" t="inlineStr">
        <is>
          <t>avverkningsanmälan</t>
        </is>
      </c>
      <c r="C564" t="inlineStr">
        <is>
          <t>Föryngringsavverkning</t>
        </is>
      </c>
      <c r="D564" s="1" t="n">
        <v>44790</v>
      </c>
      <c r="E564" s="1" t="n">
        <v>46326</v>
      </c>
      <c r="F564" t="inlineStr">
        <is>
          <t>STOCKHOLMS LÄN</t>
        </is>
      </c>
      <c r="G564" t="inlineStr">
        <is>
          <t>SÖDERTÄLJE</t>
        </is>
      </c>
      <c r="I564" t="n">
        <v>2.9</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HYPERLINK("https://klasma.github.io/Logging_0181/artfynd/A 33892-2022 artfynd.xlsx", "A 33892-2022")</f>
        <v/>
      </c>
      <c r="X564">
        <f>HYPERLINK("https://klasma.github.io/Logging_0181/kartor/A 33892-2022 karta.png", "A 33892-2022")</f>
        <v/>
      </c>
      <c r="Y564">
        <f>HYPERLINK("https://klasma.github.io/Logging_0181/kartor_geotiff/A 33892-2022 georefererad karta.tif", "A 33892-2022")</f>
        <v/>
      </c>
      <c r="AA564">
        <f>HYPERLINK("https://klasma.github.io/Logging_0181/klagomål/A 33892-2022 FSC-klagomål.docx", "A 33892-2022")</f>
        <v/>
      </c>
      <c r="AB564">
        <f>HYPERLINK("https://klasma.github.io/Logging_0181/klagomålsmail/A 33892-2022 FSC-klagomål mail.docx", "A 33892-2022")</f>
        <v/>
      </c>
      <c r="AC564">
        <f>HYPERLINK("https://klasma.github.io/Logging_0181/tillsyn/A 33892-2022 tillsynsbegäran.docx", "A 33892-2022")</f>
        <v/>
      </c>
      <c r="AD564">
        <f>HYPERLINK("https://klasma.github.io/Logging_0181/tillsynsmail/A 33892-2022 tillsynsbegäran mail.docx", "A 33892-2022")</f>
        <v/>
      </c>
      <c r="AE564">
        <f>HYPERLINK("https://klasma.github.io/Logging_0181/fåglar/A 33892-2022 prioriterade fågelarter.docx", "A 33892-2022")</f>
        <v/>
      </c>
    </row>
    <row r="565" ht="15" customHeight="1">
      <c r="A565" t="inlineStr">
        <is>
          <t>A 1793-2025</t>
        </is>
      </c>
      <c r="B565" t="inlineStr">
        <is>
          <t>avverkningsanmälan</t>
        </is>
      </c>
      <c r="C565" t="inlineStr">
        <is>
          <t>Föryngringsavverkning</t>
        </is>
      </c>
      <c r="D565" s="1" t="n">
        <v>45671</v>
      </c>
      <c r="E565" s="1" t="n">
        <v>46326</v>
      </c>
      <c r="F565" t="inlineStr">
        <is>
          <t>STOCKHOLMS LÄN</t>
        </is>
      </c>
      <c r="G565" t="inlineStr">
        <is>
          <t>EKERÖ</t>
        </is>
      </c>
      <c r="I565" t="n">
        <v>1.7</v>
      </c>
      <c r="J565" t="n">
        <v>1</v>
      </c>
      <c r="K565" t="n">
        <v>0</v>
      </c>
      <c r="L565" t="n">
        <v>0</v>
      </c>
      <c r="M565" t="n">
        <v>0</v>
      </c>
      <c r="N565" t="n">
        <v>0</v>
      </c>
      <c r="O565" t="n">
        <v>0</v>
      </c>
      <c r="P565" t="n">
        <v>0</v>
      </c>
      <c r="Q565" t="n">
        <v>0</v>
      </c>
      <c r="R565" t="n">
        <v>0</v>
      </c>
      <c r="S565" t="n">
        <v>1</v>
      </c>
      <c r="T565" t="n">
        <v>17</v>
      </c>
      <c r="U565" t="n">
        <v>0</v>
      </c>
      <c r="V565" s="2" t="inlineStr">
        <is>
          <t>Mistel</t>
        </is>
      </c>
      <c r="W565">
        <f>HYPERLINK("https://klasma.github.io/Logging_0125/artfynd/A 1793-2025 artfynd.xlsx", "A 1793-2025")</f>
        <v/>
      </c>
      <c r="X565">
        <f>HYPERLINK("https://klasma.github.io/Logging_0125/kartor/A 1793-2025 karta.png", "A 1793-2025")</f>
        <v/>
      </c>
      <c r="Y565">
        <f>HYPERLINK("https://klasma.github.io/Logging_0125/kartor_geotiff/A 1793-2025 georefererad karta.tif", "A 1793-2025")</f>
        <v/>
      </c>
      <c r="AA565">
        <f>HYPERLINK("https://klasma.github.io/Logging_0125/klagomål/A 1793-2025 FSC-klagomål.docx", "A 1793-2025")</f>
        <v/>
      </c>
      <c r="AB565">
        <f>HYPERLINK("https://klasma.github.io/Logging_0125/klagomålsmail/A 1793-2025 FSC-klagomål mail.docx", "A 1793-2025")</f>
        <v/>
      </c>
      <c r="AC565">
        <f>HYPERLINK("https://klasma.github.io/Logging_0125/tillsyn/A 1793-2025 tillsynsbegäran.docx", "A 1793-2025")</f>
        <v/>
      </c>
      <c r="AD565">
        <f>HYPERLINK("https://klasma.github.io/Logging_0125/tillsynsmail/A 1793-2025 tillsynsbegäran mail.docx", "A 1793-2025")</f>
        <v/>
      </c>
    </row>
    <row r="566" ht="15" customHeight="1">
      <c r="A566" t="inlineStr">
        <is>
          <t>A 9955-2022</t>
        </is>
      </c>
      <c r="B566" t="inlineStr">
        <is>
          <t>avverkningsanmälan</t>
        </is>
      </c>
      <c r="C566" t="inlineStr">
        <is>
          <t>Föryngringsavverkning</t>
        </is>
      </c>
      <c r="D566" s="1" t="n">
        <v>44620</v>
      </c>
      <c r="E566" s="1" t="n">
        <v>46326</v>
      </c>
      <c r="F566" t="inlineStr">
        <is>
          <t>STOCKHOLMS LÄN</t>
        </is>
      </c>
      <c r="G566" t="inlineStr">
        <is>
          <t>NORRTÄLJE</t>
        </is>
      </c>
      <c r="I566" t="n">
        <v>7.8</v>
      </c>
      <c r="J566" t="n">
        <v>1</v>
      </c>
      <c r="K566" t="n">
        <v>0</v>
      </c>
      <c r="L566" t="n">
        <v>0</v>
      </c>
      <c r="M566" t="n">
        <v>0</v>
      </c>
      <c r="N566" t="n">
        <v>0</v>
      </c>
      <c r="O566" t="n">
        <v>0</v>
      </c>
      <c r="P566" t="n">
        <v>0</v>
      </c>
      <c r="Q566" t="n">
        <v>0</v>
      </c>
      <c r="R566" t="n">
        <v>0</v>
      </c>
      <c r="S566" t="n">
        <v>1</v>
      </c>
      <c r="T566" t="n">
        <v>1</v>
      </c>
      <c r="U566" t="n">
        <v>0</v>
      </c>
      <c r="V566" s="2" t="inlineStr">
        <is>
          <t>Åkergroda</t>
        </is>
      </c>
      <c r="W566">
        <f>HYPERLINK("https://klasma.github.io/Logging_0188/artfynd/A 9955-2022 artfynd.xlsx", "A 9955-2022")</f>
        <v/>
      </c>
      <c r="X566">
        <f>HYPERLINK("https://klasma.github.io/Logging_0188/kartor/A 9955-2022 karta.png", "A 9955-2022")</f>
        <v/>
      </c>
      <c r="Y566">
        <f>HYPERLINK("https://klasma.github.io/Logging_0188/kartor_geotiff/A 9955-2022 georefererad karta.tif", "A 9955-2022")</f>
        <v/>
      </c>
      <c r="AA566">
        <f>HYPERLINK("https://klasma.github.io/Logging_0188/klagomål/A 9955-2022 FSC-klagomål.docx", "A 9955-2022")</f>
        <v/>
      </c>
      <c r="AB566">
        <f>HYPERLINK("https://klasma.github.io/Logging_0188/klagomålsmail/A 9955-2022 FSC-klagomål mail.docx", "A 9955-2022")</f>
        <v/>
      </c>
      <c r="AC566">
        <f>HYPERLINK("https://klasma.github.io/Logging_0188/tillsyn/A 9955-2022 tillsynsbegäran.docx", "A 9955-2022")</f>
        <v/>
      </c>
      <c r="AD566">
        <f>HYPERLINK("https://klasma.github.io/Logging_0188/tillsynsmail/A 9955-2022 tillsynsbegäran mail.docx", "A 9955-2022")</f>
        <v/>
      </c>
    </row>
    <row r="567" ht="15" customHeight="1">
      <c r="A567" t="inlineStr">
        <is>
          <t>A 23009-2024</t>
        </is>
      </c>
      <c r="B567" t="inlineStr">
        <is>
          <t>avverkningsanmälan</t>
        </is>
      </c>
      <c r="C567" t="inlineStr">
        <is>
          <t>Föryngringsavverkning</t>
        </is>
      </c>
      <c r="D567" s="1" t="n">
        <v>45450</v>
      </c>
      <c r="E567" s="1" t="n">
        <v>46326</v>
      </c>
      <c r="F567" t="inlineStr">
        <is>
          <t>STOCKHOLMS LÄN</t>
        </is>
      </c>
      <c r="G567" t="inlineStr">
        <is>
          <t>VALLENTUNA</t>
        </is>
      </c>
      <c r="I567" t="n">
        <v>1.4</v>
      </c>
      <c r="J567" t="n">
        <v>0</v>
      </c>
      <c r="K567" t="n">
        <v>1</v>
      </c>
      <c r="L567" t="n">
        <v>0</v>
      </c>
      <c r="M567" t="n">
        <v>0</v>
      </c>
      <c r="N567" t="n">
        <v>0</v>
      </c>
      <c r="O567" t="n">
        <v>0</v>
      </c>
      <c r="P567" t="n">
        <v>0</v>
      </c>
      <c r="Q567" t="n">
        <v>0</v>
      </c>
      <c r="R567" t="n">
        <v>0</v>
      </c>
      <c r="S567" t="n">
        <v>1</v>
      </c>
      <c r="T567" t="n">
        <v>1</v>
      </c>
      <c r="U567" t="n">
        <v>0</v>
      </c>
      <c r="V567" s="2" t="inlineStr">
        <is>
          <t>Tibast</t>
        </is>
      </c>
      <c r="W567">
        <f>HYPERLINK("https://klasma.github.io/Logging_0115/artfynd/A 23009-2024 artfynd.xlsx", "A 23009-2024")</f>
        <v/>
      </c>
      <c r="X567">
        <f>HYPERLINK("https://klasma.github.io/Logging_0115/kartor/A 23009-2024 karta.png", "A 23009-2024")</f>
        <v/>
      </c>
      <c r="Y567">
        <f>HYPERLINK("https://klasma.github.io/Logging_0115/kartor_geotiff/A 23009-2024 georefererad karta.tif", "A 23009-2024")</f>
        <v/>
      </c>
      <c r="AA567">
        <f>HYPERLINK("https://klasma.github.io/Logging_0115/klagomål/A 23009-2024 FSC-klagomål.docx", "A 23009-2024")</f>
        <v/>
      </c>
      <c r="AB567">
        <f>HYPERLINK("https://klasma.github.io/Logging_0115/klagomålsmail/A 23009-2024 FSC-klagomål mail.docx", "A 23009-2024")</f>
        <v/>
      </c>
      <c r="AC567">
        <f>HYPERLINK("https://klasma.github.io/Logging_0115/tillsyn/A 23009-2024 tillsynsbegäran.docx", "A 23009-2024")</f>
        <v/>
      </c>
      <c r="AD567">
        <f>HYPERLINK("https://klasma.github.io/Logging_0115/tillsynsmail/A 23009-2024 tillsynsbegäran mail.docx", "A 23009-2024")</f>
        <v/>
      </c>
    </row>
    <row r="568" ht="15" customHeight="1">
      <c r="A568" t="inlineStr">
        <is>
          <t>A 24563-2024</t>
        </is>
      </c>
      <c r="B568" t="inlineStr">
        <is>
          <t>avverkningsanmälan</t>
        </is>
      </c>
      <c r="C568" t="inlineStr">
        <is>
          <t>Föryngringsavverkning</t>
        </is>
      </c>
      <c r="D568" s="1" t="n">
        <v>45460</v>
      </c>
      <c r="E568" s="1" t="n">
        <v>46326</v>
      </c>
      <c r="F568" t="inlineStr">
        <is>
          <t>STOCKHOLMS LÄN</t>
        </is>
      </c>
      <c r="G568" t="inlineStr">
        <is>
          <t>NORRTÄLJE</t>
        </is>
      </c>
      <c r="I568" t="n">
        <v>1.9</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HYPERLINK("https://klasma.github.io/Logging_0188/artfynd/A 24563-2024 artfynd.xlsx", "A 24563-2024")</f>
        <v/>
      </c>
      <c r="X568">
        <f>HYPERLINK("https://klasma.github.io/Logging_0188/kartor/A 24563-2024 karta.png", "A 24563-2024")</f>
        <v/>
      </c>
      <c r="Y568">
        <f>HYPERLINK("https://klasma.github.io/Logging_0188/kartor_geotiff/A 24563-2024 georefererad karta.tif", "A 24563-2024")</f>
        <v/>
      </c>
      <c r="AA568">
        <f>HYPERLINK("https://klasma.github.io/Logging_0188/klagomål/A 24563-2024 FSC-klagomål.docx", "A 24563-2024")</f>
        <v/>
      </c>
      <c r="AB568">
        <f>HYPERLINK("https://klasma.github.io/Logging_0188/klagomålsmail/A 24563-2024 FSC-klagomål mail.docx", "A 24563-2024")</f>
        <v/>
      </c>
      <c r="AC568">
        <f>HYPERLINK("https://klasma.github.io/Logging_0188/tillsyn/A 24563-2024 tillsynsbegäran.docx", "A 24563-2024")</f>
        <v/>
      </c>
      <c r="AD568">
        <f>HYPERLINK("https://klasma.github.io/Logging_0188/tillsynsmail/A 24563-2024 tillsynsbegäran mail.docx", "A 24563-2024")</f>
        <v/>
      </c>
    </row>
    <row r="569" ht="15" customHeight="1">
      <c r="A569" t="inlineStr">
        <is>
          <t>A 23279-2025</t>
        </is>
      </c>
      <c r="B569" t="inlineStr">
        <is>
          <t>avverkningsanmälan</t>
        </is>
      </c>
      <c r="C569" t="inlineStr">
        <is>
          <t>Föryngringsavverkning</t>
        </is>
      </c>
      <c r="D569" s="1" t="n">
        <v>45791</v>
      </c>
      <c r="E569" s="1" t="n">
        <v>46326</v>
      </c>
      <c r="F569" t="inlineStr">
        <is>
          <t>STOCKHOLMS LÄN</t>
        </is>
      </c>
      <c r="G569" t="inlineStr">
        <is>
          <t>NYKVARN</t>
        </is>
      </c>
      <c r="H569" t="inlineStr">
        <is>
          <t>Sveaskog</t>
        </is>
      </c>
      <c r="I569" t="n">
        <v>0.5</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HYPERLINK("https://klasma.github.io/Logging_0140/artfynd/A 23279-2025 artfynd.xlsx", "A 23279-2025")</f>
        <v/>
      </c>
      <c r="X569">
        <f>HYPERLINK("https://klasma.github.io/Logging_0140/kartor/A 23279-2025 karta.png", "A 23279-2025")</f>
        <v/>
      </c>
      <c r="Y569">
        <f>HYPERLINK("https://klasma.github.io/Logging_0140/kartor_geotiff/A 23279-2025 georefererad karta.tif", "A 23279-2025")</f>
        <v/>
      </c>
      <c r="AA569">
        <f>HYPERLINK("https://klasma.github.io/Logging_0140/klagomål/A 23279-2025 FSC-klagomål.docx", "A 23279-2025")</f>
        <v/>
      </c>
      <c r="AB569">
        <f>HYPERLINK("https://klasma.github.io/Logging_0140/klagomålsmail/A 23279-2025 FSC-klagomål mail.docx", "A 23279-2025")</f>
        <v/>
      </c>
      <c r="AC569">
        <f>HYPERLINK("https://klasma.github.io/Logging_0140/tillsyn/A 23279-2025 tillsynsbegäran.docx", "A 23279-2025")</f>
        <v/>
      </c>
      <c r="AD569">
        <f>HYPERLINK("https://klasma.github.io/Logging_0140/tillsynsmail/A 23279-2025 tillsynsbegäran mail.docx", "A 23279-2025")</f>
        <v/>
      </c>
    </row>
    <row r="570" ht="15" customHeight="1">
      <c r="A570" t="inlineStr">
        <is>
          <t>A 23772-2025</t>
        </is>
      </c>
      <c r="B570" t="inlineStr">
        <is>
          <t>avverkningsanmälan</t>
        </is>
      </c>
      <c r="C570" t="inlineStr">
        <is>
          <t>Föryngringsavverkning</t>
        </is>
      </c>
      <c r="D570" s="1" t="n">
        <v>45793</v>
      </c>
      <c r="E570" s="1" t="n">
        <v>46326</v>
      </c>
      <c r="F570" t="inlineStr">
        <is>
          <t>STOCKHOLMS LÄN</t>
        </is>
      </c>
      <c r="G570" t="inlineStr">
        <is>
          <t>SÖDERTÄLJE</t>
        </is>
      </c>
      <c r="I570" t="n">
        <v>1.2</v>
      </c>
      <c r="J570" t="n">
        <v>1</v>
      </c>
      <c r="K570" t="n">
        <v>0</v>
      </c>
      <c r="L570" t="n">
        <v>1</v>
      </c>
      <c r="M570" t="n">
        <v>0</v>
      </c>
      <c r="N570" t="n">
        <v>0</v>
      </c>
      <c r="O570" t="n">
        <v>0</v>
      </c>
      <c r="P570" t="n">
        <v>0</v>
      </c>
      <c r="Q570" t="n">
        <v>1</v>
      </c>
      <c r="R570" t="n">
        <v>0</v>
      </c>
      <c r="S570" t="n">
        <v>1</v>
      </c>
      <c r="T570" t="n">
        <v>1</v>
      </c>
      <c r="U570" t="n">
        <v>0</v>
      </c>
      <c r="V570" s="2" t="inlineStr">
        <is>
          <t>Rödvingetrast</t>
        </is>
      </c>
      <c r="W570">
        <f>HYPERLINK("https://klasma.github.io/Logging_0181/artfynd/A 23772-2025 artfynd.xlsx", "A 23772-2025")</f>
        <v/>
      </c>
      <c r="X570">
        <f>HYPERLINK("https://klasma.github.io/Logging_0181/kartor/A 23772-2025 karta.png", "A 23772-2025")</f>
        <v/>
      </c>
      <c r="Y570">
        <f>HYPERLINK("https://klasma.github.io/Logging_0181/kartor_geotiff/A 23772-2025 georefererad karta.tif", "A 23772-2025")</f>
        <v/>
      </c>
      <c r="AA570">
        <f>HYPERLINK("https://klasma.github.io/Logging_0181/klagomål/A 23772-2025 FSC-klagomål.docx", "A 23772-2025")</f>
        <v/>
      </c>
      <c r="AB570">
        <f>HYPERLINK("https://klasma.github.io/Logging_0181/klagomålsmail/A 23772-2025 FSC-klagomål mail.docx", "A 23772-2025")</f>
        <v/>
      </c>
      <c r="AC570">
        <f>HYPERLINK("https://klasma.github.io/Logging_0181/tillsyn/A 23772-2025 tillsynsbegäran.docx", "A 23772-2025")</f>
        <v/>
      </c>
      <c r="AD570">
        <f>HYPERLINK("https://klasma.github.io/Logging_0181/tillsynsmail/A 23772-2025 tillsynsbegäran mail.docx", "A 23772-2025")</f>
        <v/>
      </c>
      <c r="AE570">
        <f>HYPERLINK("https://klasma.github.io/Logging_0181/fåglar/A 23772-2025 prioriterade fågelarter.docx", "A 23772-2025")</f>
        <v/>
      </c>
    </row>
    <row r="571" ht="15" customHeight="1">
      <c r="A571" t="inlineStr">
        <is>
          <t>A 15452-2023</t>
        </is>
      </c>
      <c r="B571" t="inlineStr">
        <is>
          <t>avverkningsanmälan</t>
        </is>
      </c>
      <c r="C571" t="inlineStr">
        <is>
          <t>Avverkning för annat ändamål</t>
        </is>
      </c>
      <c r="D571" s="1" t="n">
        <v>45020</v>
      </c>
      <c r="E571" s="1" t="n">
        <v>46326</v>
      </c>
      <c r="F571" t="inlineStr">
        <is>
          <t>STOCKHOLMS LÄN</t>
        </is>
      </c>
      <c r="G571" t="inlineStr">
        <is>
          <t>SIGTUNA</t>
        </is>
      </c>
      <c r="H571" t="inlineStr">
        <is>
          <t>Allmännings- och besparingsskogar</t>
        </is>
      </c>
      <c r="I571" t="n">
        <v>4.5</v>
      </c>
      <c r="J571" t="n">
        <v>1</v>
      </c>
      <c r="K571" t="n">
        <v>0</v>
      </c>
      <c r="L571" t="n">
        <v>0</v>
      </c>
      <c r="M571" t="n">
        <v>0</v>
      </c>
      <c r="N571" t="n">
        <v>0</v>
      </c>
      <c r="O571" t="n">
        <v>0</v>
      </c>
      <c r="P571" t="n">
        <v>0</v>
      </c>
      <c r="Q571" t="n">
        <v>0</v>
      </c>
      <c r="R571" t="n">
        <v>0</v>
      </c>
      <c r="S571" t="n">
        <v>1</v>
      </c>
      <c r="T571" t="n">
        <v>1</v>
      </c>
      <c r="U571" t="n">
        <v>1</v>
      </c>
      <c r="V571" s="2" t="inlineStr">
        <is>
          <t>Trana</t>
        </is>
      </c>
      <c r="W571">
        <f>HYPERLINK("https://klasma.github.io/Logging_0191/artfynd/A 15452-2023 artfynd.xlsx", "A 15452-2023")</f>
        <v/>
      </c>
      <c r="X571">
        <f>HYPERLINK("https://klasma.github.io/Logging_0191/kartor/A 15452-2023 karta.png", "A 15452-2023")</f>
        <v/>
      </c>
      <c r="Y571">
        <f>HYPERLINK("https://klasma.github.io/Logging_0191/kartor_geotiff/A 15452-2023 georefererad karta.tif", "A 15452-2023")</f>
        <v/>
      </c>
      <c r="AA571">
        <f>HYPERLINK("https://klasma.github.io/Logging_0191/klagomål/A 15452-2023 FSC-klagomål.docx", "A 15452-2023")</f>
        <v/>
      </c>
      <c r="AB571">
        <f>HYPERLINK("https://klasma.github.io/Logging_0191/klagomålsmail/A 15452-2023 FSC-klagomål mail.docx", "A 15452-2023")</f>
        <v/>
      </c>
      <c r="AC571">
        <f>HYPERLINK("https://klasma.github.io/Logging_0191/tillsyn/A 15452-2023 tillsynsbegäran.docx", "A 15452-2023")</f>
        <v/>
      </c>
      <c r="AD571">
        <f>HYPERLINK("https://klasma.github.io/Logging_0191/tillsynsmail/A 15452-2023 tillsynsbegäran mail.docx", "A 15452-2023")</f>
        <v/>
      </c>
      <c r="AE571">
        <f>HYPERLINK("https://klasma.github.io/Logging_0191/fåglar/A 15452-2023 prioriterade fågelarter.docx", "A 15452-2023")</f>
        <v/>
      </c>
    </row>
    <row r="572" ht="15" customHeight="1">
      <c r="A572" t="inlineStr">
        <is>
          <t>A 23905-2025</t>
        </is>
      </c>
      <c r="B572" t="inlineStr">
        <is>
          <t>avverkningsanmälan</t>
        </is>
      </c>
      <c r="C572" t="inlineStr">
        <is>
          <t>Föryngringsavverkning</t>
        </is>
      </c>
      <c r="D572" s="1" t="n">
        <v>45794</v>
      </c>
      <c r="E572" s="1" t="n">
        <v>46326</v>
      </c>
      <c r="F572" t="inlineStr">
        <is>
          <t>STOCKHOLMS LÄN</t>
        </is>
      </c>
      <c r="G572" t="inlineStr">
        <is>
          <t>NORRTÄLJE</t>
        </is>
      </c>
      <c r="I572" t="n">
        <v>8.4</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HYPERLINK("https://klasma.github.io/Logging_0188/artfynd/A 23905-2025 artfynd.xlsx", "A 23905-2025")</f>
        <v/>
      </c>
      <c r="X572">
        <f>HYPERLINK("https://klasma.github.io/Logging_0188/kartor/A 23905-2025 karta.png", "A 23905-2025")</f>
        <v/>
      </c>
      <c r="Y572">
        <f>HYPERLINK("https://klasma.github.io/Logging_0188/kartor_geotiff/A 23905-2025 georefererad karta.tif", "A 23905-2025")</f>
        <v/>
      </c>
      <c r="AA572">
        <f>HYPERLINK("https://klasma.github.io/Logging_0188/klagomål/A 23905-2025 FSC-klagomål.docx", "A 23905-2025")</f>
        <v/>
      </c>
      <c r="AB572">
        <f>HYPERLINK("https://klasma.github.io/Logging_0188/klagomålsmail/A 23905-2025 FSC-klagomål mail.docx", "A 23905-2025")</f>
        <v/>
      </c>
      <c r="AC572">
        <f>HYPERLINK("https://klasma.github.io/Logging_0188/tillsyn/A 23905-2025 tillsynsbegäran.docx", "A 23905-2025")</f>
        <v/>
      </c>
      <c r="AD572">
        <f>HYPERLINK("https://klasma.github.io/Logging_0188/tillsynsmail/A 23905-2025 tillsynsbegäran mail.docx", "A 23905-2025")</f>
        <v/>
      </c>
    </row>
    <row r="573" ht="15" customHeight="1">
      <c r="A573" t="inlineStr">
        <is>
          <t>A 23906-2026</t>
        </is>
      </c>
      <c r="B573" t="inlineStr">
        <is>
          <t>avverkningsanmälan</t>
        </is>
      </c>
      <c r="C573" t="inlineStr">
        <is>
          <t>Föryngringsavverkning</t>
        </is>
      </c>
      <c r="D573" s="1" t="n">
        <v>46167</v>
      </c>
      <c r="E573" s="1" t="n">
        <v>46326</v>
      </c>
      <c r="F573" t="inlineStr">
        <is>
          <t>STOCKHOLMS LÄN</t>
        </is>
      </c>
      <c r="G573" t="inlineStr">
        <is>
          <t>NYNÄSHAMN</t>
        </is>
      </c>
      <c r="H573" t="inlineStr">
        <is>
          <t>Kommuner</t>
        </is>
      </c>
      <c r="I573" t="n">
        <v>7.9</v>
      </c>
      <c r="J573" t="n">
        <v>1</v>
      </c>
      <c r="K573" t="n">
        <v>1</v>
      </c>
      <c r="L573" t="n">
        <v>0</v>
      </c>
      <c r="M573" t="n">
        <v>0</v>
      </c>
      <c r="N573" t="n">
        <v>0</v>
      </c>
      <c r="O573" t="n">
        <v>0</v>
      </c>
      <c r="P573" t="n">
        <v>0</v>
      </c>
      <c r="Q573" t="n">
        <v>0</v>
      </c>
      <c r="R573" t="n">
        <v>0</v>
      </c>
      <c r="S573" t="n">
        <v>1</v>
      </c>
      <c r="T573" t="n">
        <v>1</v>
      </c>
      <c r="U573" t="n">
        <v>0</v>
      </c>
      <c r="V573" s="2" t="inlineStr">
        <is>
          <t>Grön sköldmossa</t>
        </is>
      </c>
      <c r="W573">
        <f>HYPERLINK("https://klasma.github.io/Logging_0192/artfynd/A 23906-2026 artfynd.xlsx", "A 23906-2026")</f>
        <v/>
      </c>
      <c r="X573">
        <f>HYPERLINK("https://klasma.github.io/Logging_0192/kartor/A 23906-2026 karta.png", "A 23906-2026")</f>
        <v/>
      </c>
      <c r="Y573">
        <f>HYPERLINK("https://klasma.github.io/Logging_0192/kartor_geotiff/A 23906-2026 georefererad karta.tif", "A 23906-2026")</f>
        <v/>
      </c>
      <c r="AA573">
        <f>HYPERLINK("https://klasma.github.io/Logging_0192/klagomål/A 23906-2026 FSC-klagomål.docx", "A 23906-2026")</f>
        <v/>
      </c>
      <c r="AB573">
        <f>HYPERLINK("https://klasma.github.io/Logging_0192/klagomålsmail/A 23906-2026 FSC-klagomål mail.docx", "A 23906-2026")</f>
        <v/>
      </c>
      <c r="AC573">
        <f>HYPERLINK("https://klasma.github.io/Logging_0192/tillsyn/A 23906-2026 tillsynsbegäran.docx", "A 23906-2026")</f>
        <v/>
      </c>
      <c r="AD573">
        <f>HYPERLINK("https://klasma.github.io/Logging_0192/tillsynsmail/A 23906-2026 tillsynsbegäran mail.docx", "A 23906-2026")</f>
        <v/>
      </c>
    </row>
    <row r="574" ht="15" customHeight="1">
      <c r="A574" t="inlineStr">
        <is>
          <t>A 41251-2026</t>
        </is>
      </c>
      <c r="B574" t="inlineStr">
        <is>
          <t>avverkningsanmälan</t>
        </is>
      </c>
      <c r="C574" t="inlineStr">
        <is>
          <t>Föryngringsavverkning</t>
        </is>
      </c>
      <c r="D574" s="1" t="n">
        <v>46300</v>
      </c>
      <c r="E574" s="1" t="n">
        <v>46326</v>
      </c>
      <c r="F574" t="inlineStr">
        <is>
          <t>STOCKHOLMS LÄN</t>
        </is>
      </c>
      <c r="G574" t="inlineStr">
        <is>
          <t>NYKVARN</t>
        </is>
      </c>
      <c r="H574" t="inlineStr">
        <is>
          <t>Sveaskog</t>
        </is>
      </c>
      <c r="I574" t="n">
        <v>0.7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HYPERLINK("https://klasma.github.io/Logging_0140/artfynd/A 41251-2026 artfynd.xlsx", "A 41251-2026")</f>
        <v/>
      </c>
      <c r="X574">
        <f>HYPERLINK("https://klasma.github.io/Logging_0140/kartor/A 41251-2026 karta.png", "A 41251-2026")</f>
        <v/>
      </c>
      <c r="Y574">
        <f>HYPERLINK("https://klasma.github.io/Logging_0140/kartor_geotiff/A 41251-2026 georefererad karta.tif", "A 41251-2026")</f>
        <v/>
      </c>
      <c r="AA574">
        <f>HYPERLINK("https://klasma.github.io/Logging_0140/klagomål/A 41251-2026 FSC-klagomål.docx", "A 41251-2026")</f>
        <v/>
      </c>
      <c r="AB574">
        <f>HYPERLINK("https://klasma.github.io/Logging_0140/klagomålsmail/A 41251-2026 FSC-klagomål mail.docx", "A 41251-2026")</f>
        <v/>
      </c>
      <c r="AC574">
        <f>HYPERLINK("https://klasma.github.io/Logging_0140/tillsyn/A 41251-2026 tillsynsbegäran.docx", "A 41251-2026")</f>
        <v/>
      </c>
      <c r="AD574">
        <f>HYPERLINK("https://klasma.github.io/Logging_0140/tillsynsmail/A 41251-2026 tillsynsbegäran mail.docx", "A 41251-2026")</f>
        <v/>
      </c>
    </row>
    <row r="575" ht="15" customHeight="1">
      <c r="A575" t="inlineStr">
        <is>
          <t>A 41566-2026</t>
        </is>
      </c>
      <c r="B575" t="inlineStr">
        <is>
          <t>avverkningsanmälan</t>
        </is>
      </c>
      <c r="C575" t="inlineStr">
        <is>
          <t>Föryngringsavverkning</t>
        </is>
      </c>
      <c r="D575" s="1" t="n">
        <v>46301</v>
      </c>
      <c r="E575" s="1" t="n">
        <v>46326</v>
      </c>
      <c r="F575" t="inlineStr">
        <is>
          <t>STOCKHOLMS LÄN</t>
        </is>
      </c>
      <c r="G575" t="inlineStr">
        <is>
          <t>NORRTÄLJE</t>
        </is>
      </c>
      <c r="I575" t="n">
        <v>6.1</v>
      </c>
      <c r="J575" t="n">
        <v>0</v>
      </c>
      <c r="K575" t="n">
        <v>0</v>
      </c>
      <c r="L575" t="n">
        <v>1</v>
      </c>
      <c r="M575" t="n">
        <v>0</v>
      </c>
      <c r="N575" t="n">
        <v>0</v>
      </c>
      <c r="O575" t="n">
        <v>0</v>
      </c>
      <c r="P575" t="n">
        <v>0</v>
      </c>
      <c r="Q575" t="n">
        <v>1</v>
      </c>
      <c r="R575" t="n">
        <v>0</v>
      </c>
      <c r="S575" t="n">
        <v>1</v>
      </c>
      <c r="T575" t="n">
        <v>1</v>
      </c>
      <c r="U575" t="n">
        <v>0</v>
      </c>
      <c r="V575" s="2" t="inlineStr">
        <is>
          <t>Loppstarr</t>
        </is>
      </c>
      <c r="W575">
        <f>HYPERLINK("https://klasma.github.io/Logging_0188/artfynd/A 41566-2026 artfynd.xlsx", "A 41566-2026")</f>
        <v/>
      </c>
      <c r="X575">
        <f>HYPERLINK("https://klasma.github.io/Logging_0188/kartor/A 41566-2026 karta.png", "A 41566-2026")</f>
        <v/>
      </c>
      <c r="Y575">
        <f>HYPERLINK("https://klasma.github.io/Logging_0188/kartor_geotiff/A 41566-2026 georefererad karta.tif", "A 41566-2026")</f>
        <v/>
      </c>
      <c r="AA575">
        <f>HYPERLINK("https://klasma.github.io/Logging_0188/klagomål/A 41566-2026 FSC-klagomål.docx", "A 41566-2026")</f>
        <v/>
      </c>
      <c r="AB575">
        <f>HYPERLINK("https://klasma.github.io/Logging_0188/klagomålsmail/A 41566-2026 FSC-klagomål mail.docx", "A 41566-2026")</f>
        <v/>
      </c>
      <c r="AC575">
        <f>HYPERLINK("https://klasma.github.io/Logging_0188/tillsyn/A 41566-2026 tillsynsbegäran.docx", "A 41566-2026")</f>
        <v/>
      </c>
      <c r="AD575">
        <f>HYPERLINK("https://klasma.github.io/Logging_0188/tillsynsmail/A 41566-2026 tillsynsbegäran mail.docx", "A 41566-2026")</f>
        <v/>
      </c>
    </row>
    <row r="576" ht="15" customHeight="1">
      <c r="A576" t="inlineStr">
        <is>
          <t>A 26637-2026</t>
        </is>
      </c>
      <c r="B576" t="inlineStr">
        <is>
          <t>avverkningsanmälan</t>
        </is>
      </c>
      <c r="C576" t="inlineStr">
        <is>
          <t>Föryngringsavverkning</t>
        </is>
      </c>
      <c r="D576" s="1" t="n">
        <v>46184</v>
      </c>
      <c r="E576" s="1" t="n">
        <v>46326</v>
      </c>
      <c r="F576" t="inlineStr">
        <is>
          <t>STOCKHOLMS LÄN</t>
        </is>
      </c>
      <c r="G576" t="inlineStr">
        <is>
          <t>UPPLANDS-BRO</t>
        </is>
      </c>
      <c r="I576" t="n">
        <v>5.4</v>
      </c>
      <c r="J576" t="n">
        <v>0</v>
      </c>
      <c r="K576" t="n">
        <v>0</v>
      </c>
      <c r="L576" t="n">
        <v>0</v>
      </c>
      <c r="M576" t="n">
        <v>1</v>
      </c>
      <c r="N576" t="n">
        <v>0</v>
      </c>
      <c r="O576" t="n">
        <v>0</v>
      </c>
      <c r="P576" t="n">
        <v>0</v>
      </c>
      <c r="Q576" t="n">
        <v>1</v>
      </c>
      <c r="R576" t="n">
        <v>1</v>
      </c>
      <c r="S576" t="n">
        <v>1</v>
      </c>
      <c r="T576" t="n">
        <v>1</v>
      </c>
      <c r="U576" t="n">
        <v>0</v>
      </c>
      <c r="V576" s="2" t="inlineStr">
        <is>
          <t>Igelkott</t>
        </is>
      </c>
      <c r="W576">
        <f>HYPERLINK("https://klasma.github.io/Logging_0139/artfynd/A 26637-2026 artfynd.xlsx", "A 26637-2026")</f>
        <v/>
      </c>
      <c r="X576">
        <f>HYPERLINK("https://klasma.github.io/Logging_0139/kartor/A 26637-2026 karta.png", "A 26637-2026")</f>
        <v/>
      </c>
      <c r="Y576">
        <f>HYPERLINK("https://klasma.github.io/Logging_0139/kartor_geotiff/A 26637-2026 georefererad karta.tif", "A 26637-2026")</f>
        <v/>
      </c>
      <c r="AA576">
        <f>HYPERLINK("https://klasma.github.io/Logging_0139/klagomål/A 26637-2026 FSC-klagomål.docx", "A 26637-2026")</f>
        <v/>
      </c>
      <c r="AB576">
        <f>HYPERLINK("https://klasma.github.io/Logging_0139/klagomålsmail/A 26637-2026 FSC-klagomål mail.docx", "A 26637-2026")</f>
        <v/>
      </c>
      <c r="AC576">
        <f>HYPERLINK("https://klasma.github.io/Logging_0139/tillsyn/A 26637-2026 tillsynsbegäran.docx", "A 26637-2026")</f>
        <v/>
      </c>
      <c r="AD576">
        <f>HYPERLINK("https://klasma.github.io/Logging_0139/tillsynsmail/A 26637-2026 tillsynsbegäran mail.docx", "A 26637-2026")</f>
        <v/>
      </c>
    </row>
    <row r="577" ht="15" customHeight="1">
      <c r="A577" t="inlineStr">
        <is>
          <t>A 26623-2026</t>
        </is>
      </c>
      <c r="B577" t="inlineStr">
        <is>
          <t>avverkningsanmälan</t>
        </is>
      </c>
      <c r="C577" t="inlineStr">
        <is>
          <t>Föryngringsavverkning</t>
        </is>
      </c>
      <c r="D577" s="1" t="n">
        <v>46184</v>
      </c>
      <c r="E577" s="1" t="n">
        <v>46326</v>
      </c>
      <c r="F577" t="inlineStr">
        <is>
          <t>STOCKHOLMS LÄN</t>
        </is>
      </c>
      <c r="G577" t="inlineStr">
        <is>
          <t>UPPLANDS-BRO</t>
        </is>
      </c>
      <c r="I577" t="n">
        <v>4.6</v>
      </c>
      <c r="J577" t="n">
        <v>0</v>
      </c>
      <c r="K577" t="n">
        <v>0</v>
      </c>
      <c r="L577" t="n">
        <v>1</v>
      </c>
      <c r="M577" t="n">
        <v>0</v>
      </c>
      <c r="N577" t="n">
        <v>0</v>
      </c>
      <c r="O577" t="n">
        <v>0</v>
      </c>
      <c r="P577" t="n">
        <v>0</v>
      </c>
      <c r="Q577" t="n">
        <v>1</v>
      </c>
      <c r="R577" t="n">
        <v>0</v>
      </c>
      <c r="S577" t="n">
        <v>1</v>
      </c>
      <c r="T577" t="n">
        <v>1</v>
      </c>
      <c r="U577" t="n">
        <v>0</v>
      </c>
      <c r="V577" s="2" t="inlineStr">
        <is>
          <t>Svartöra</t>
        </is>
      </c>
      <c r="W577">
        <f>HYPERLINK("https://klasma.github.io/Logging_0139/artfynd/A 26623-2026 artfynd.xlsx", "A 26623-2026")</f>
        <v/>
      </c>
      <c r="X577">
        <f>HYPERLINK("https://klasma.github.io/Logging_0139/kartor/A 26623-2026 karta.png", "A 26623-2026")</f>
        <v/>
      </c>
      <c r="Y577">
        <f>HYPERLINK("https://klasma.github.io/Logging_0139/kartor_geotiff/A 26623-2026 georefererad karta.tif", "A 26623-2026")</f>
        <v/>
      </c>
      <c r="AA577">
        <f>HYPERLINK("https://klasma.github.io/Logging_0139/klagomål/A 26623-2026 FSC-klagomål.docx", "A 26623-2026")</f>
        <v/>
      </c>
      <c r="AB577">
        <f>HYPERLINK("https://klasma.github.io/Logging_0139/klagomålsmail/A 26623-2026 FSC-klagomål mail.docx", "A 26623-2026")</f>
        <v/>
      </c>
      <c r="AC577">
        <f>HYPERLINK("https://klasma.github.io/Logging_0139/tillsyn/A 26623-2026 tillsynsbegäran.docx", "A 26623-2026")</f>
        <v/>
      </c>
      <c r="AD577">
        <f>HYPERLINK("https://klasma.github.io/Logging_0139/tillsynsmail/A 26623-2026 tillsynsbegäran mail.docx", "A 26623-2026")</f>
        <v/>
      </c>
    </row>
    <row r="578" ht="15" customHeight="1">
      <c r="A578" t="inlineStr">
        <is>
          <t>A 12401-2026</t>
        </is>
      </c>
      <c r="B578" t="inlineStr">
        <is>
          <t>avverkningsanmälan</t>
        </is>
      </c>
      <c r="C578" t="inlineStr">
        <is>
          <t>Föryngringsavverkning</t>
        </is>
      </c>
      <c r="D578" s="1" t="n">
        <v>46090</v>
      </c>
      <c r="E578" s="1" t="n">
        <v>46326</v>
      </c>
      <c r="F578" t="inlineStr">
        <is>
          <t>STOCKHOLMS LÄN</t>
        </is>
      </c>
      <c r="G578" t="inlineStr">
        <is>
          <t>VALLENTUNA</t>
        </is>
      </c>
      <c r="I578" t="n">
        <v>5.9</v>
      </c>
      <c r="J578" t="n">
        <v>1</v>
      </c>
      <c r="K578" t="n">
        <v>0</v>
      </c>
      <c r="L578" t="n">
        <v>0</v>
      </c>
      <c r="M578" t="n">
        <v>0</v>
      </c>
      <c r="N578" t="n">
        <v>0</v>
      </c>
      <c r="O578" t="n">
        <v>0</v>
      </c>
      <c r="P578" t="n">
        <v>0</v>
      </c>
      <c r="Q578" t="n">
        <v>0</v>
      </c>
      <c r="R578" t="n">
        <v>0</v>
      </c>
      <c r="S578" t="n">
        <v>1</v>
      </c>
      <c r="T578" t="n">
        <v>1</v>
      </c>
      <c r="U578" t="n">
        <v>0</v>
      </c>
      <c r="V578" s="2" t="inlineStr">
        <is>
          <t>Spillkråka</t>
        </is>
      </c>
      <c r="W578">
        <f>HYPERLINK("https://klasma.github.io/Logging_0115/artfynd/A 12401-2026 artfynd.xlsx", "A 12401-2026")</f>
        <v/>
      </c>
      <c r="X578">
        <f>HYPERLINK("https://klasma.github.io/Logging_0115/kartor/A 12401-2026 karta.png", "A 12401-2026")</f>
        <v/>
      </c>
      <c r="Y578">
        <f>HYPERLINK("https://klasma.github.io/Logging_0115/kartor_geotiff/A 12401-2026 georefererad karta.tif", "A 12401-2026")</f>
        <v/>
      </c>
      <c r="AA578">
        <f>HYPERLINK("https://klasma.github.io/Logging_0115/klagomål/A 12401-2026 FSC-klagomål.docx", "A 12401-2026")</f>
        <v/>
      </c>
      <c r="AB578">
        <f>HYPERLINK("https://klasma.github.io/Logging_0115/klagomålsmail/A 12401-2026 FSC-klagomål mail.docx", "A 12401-2026")</f>
        <v/>
      </c>
      <c r="AC578">
        <f>HYPERLINK("https://klasma.github.io/Logging_0115/tillsyn/A 12401-2026 tillsynsbegäran.docx", "A 12401-2026")</f>
        <v/>
      </c>
      <c r="AD578">
        <f>HYPERLINK("https://klasma.github.io/Logging_0115/tillsynsmail/A 12401-2026 tillsynsbegäran mail.docx", "A 12401-2026")</f>
        <v/>
      </c>
      <c r="AE578">
        <f>HYPERLINK("https://klasma.github.io/Logging_0115/fåglar/A 12401-2026 prioriterade fågelarter.docx", "A 12401-2026")</f>
        <v/>
      </c>
    </row>
    <row r="579" ht="15" customHeight="1">
      <c r="A579" t="inlineStr">
        <is>
          <t>A 42074-2026</t>
        </is>
      </c>
      <c r="B579" t="inlineStr">
        <is>
          <t>avverkningsanmälan</t>
        </is>
      </c>
      <c r="C579" t="inlineStr">
        <is>
          <t>Föryngringsavverkning</t>
        </is>
      </c>
      <c r="D579" s="1" t="n">
        <v>46304</v>
      </c>
      <c r="E579" s="1" t="n">
        <v>46326</v>
      </c>
      <c r="F579" t="inlineStr">
        <is>
          <t>STOCKHOLMS LÄN</t>
        </is>
      </c>
      <c r="G579" t="inlineStr">
        <is>
          <t>SÖDERTÄLJE</t>
        </is>
      </c>
      <c r="H579" t="inlineStr">
        <is>
          <t>Sveaskog</t>
        </is>
      </c>
      <c r="I579" t="n">
        <v>1.1</v>
      </c>
      <c r="J579" t="n">
        <v>1</v>
      </c>
      <c r="K579" t="n">
        <v>0</v>
      </c>
      <c r="L579" t="n">
        <v>0</v>
      </c>
      <c r="M579" t="n">
        <v>0</v>
      </c>
      <c r="N579" t="n">
        <v>0</v>
      </c>
      <c r="O579" t="n">
        <v>0</v>
      </c>
      <c r="P579" t="n">
        <v>0</v>
      </c>
      <c r="Q579" t="n">
        <v>0</v>
      </c>
      <c r="R579" t="n">
        <v>0</v>
      </c>
      <c r="S579" t="n">
        <v>1</v>
      </c>
      <c r="T579" t="n">
        <v>1</v>
      </c>
      <c r="U579" t="n">
        <v>1</v>
      </c>
      <c r="V579" s="2" t="inlineStr">
        <is>
          <t>Revlummer</t>
        </is>
      </c>
      <c r="W579">
        <f>HYPERLINK("https://klasma.github.io/Logging_0181/artfynd/A 42074-2026 artfynd.xlsx", "A 42074-2026")</f>
        <v/>
      </c>
      <c r="X579">
        <f>HYPERLINK("https://klasma.github.io/Logging_0181/kartor/A 42074-2026 karta.png", "A 42074-2026")</f>
        <v/>
      </c>
      <c r="Y579">
        <f>HYPERLINK("https://klasma.github.io/Logging_0181/kartor_geotiff/A 42074-2026 georefererad karta.tif", "A 42074-2026")</f>
        <v/>
      </c>
      <c r="AA579">
        <f>HYPERLINK("https://klasma.github.io/Logging_0181/klagomål/A 42074-2026 FSC-klagomål.docx", "A 42074-2026")</f>
        <v/>
      </c>
      <c r="AB579">
        <f>HYPERLINK("https://klasma.github.io/Logging_0181/klagomålsmail/A 42074-2026 FSC-klagomål mail.docx", "A 42074-2026")</f>
        <v/>
      </c>
      <c r="AC579">
        <f>HYPERLINK("https://klasma.github.io/Logging_0181/tillsyn/A 42074-2026 tillsynsbegäran.docx", "A 42074-2026")</f>
        <v/>
      </c>
      <c r="AD579">
        <f>HYPERLINK("https://klasma.github.io/Logging_0181/tillsynsmail/A 42074-2026 tillsynsbegäran mail.docx", "A 42074-2026")</f>
        <v/>
      </c>
    </row>
    <row r="580" ht="15" customHeight="1">
      <c r="A580" t="inlineStr">
        <is>
          <t>A 37339-2026</t>
        </is>
      </c>
      <c r="B580" t="inlineStr">
        <is>
          <t>avverkningsanmälan</t>
        </is>
      </c>
      <c r="C580" t="inlineStr">
        <is>
          <t>Föryngringsavverkning</t>
        </is>
      </c>
      <c r="D580" s="1" t="n">
        <v>46275</v>
      </c>
      <c r="E580" s="1" t="n">
        <v>46326</v>
      </c>
      <c r="F580" t="inlineStr">
        <is>
          <t>STOCKHOLMS LÄN</t>
        </is>
      </c>
      <c r="G580" t="inlineStr">
        <is>
          <t>SIGTUNA</t>
        </is>
      </c>
      <c r="I580" t="n">
        <v>3.6</v>
      </c>
      <c r="J580" t="n">
        <v>0</v>
      </c>
      <c r="K580" t="n">
        <v>0</v>
      </c>
      <c r="L580" t="n">
        <v>0</v>
      </c>
      <c r="M580" t="n">
        <v>1</v>
      </c>
      <c r="N580" t="n">
        <v>0</v>
      </c>
      <c r="O580" t="n">
        <v>0</v>
      </c>
      <c r="P580" t="n">
        <v>0</v>
      </c>
      <c r="Q580" t="n">
        <v>1</v>
      </c>
      <c r="R580" t="n">
        <v>1</v>
      </c>
      <c r="S580" t="n">
        <v>1</v>
      </c>
      <c r="T580" t="n">
        <v>1</v>
      </c>
      <c r="U580" t="n">
        <v>1</v>
      </c>
      <c r="V580" s="2" t="inlineStr">
        <is>
          <t>Svartfjällig musseron</t>
        </is>
      </c>
      <c r="W580">
        <f>HYPERLINK("https://klasma.github.io/Logging_0191/artfynd/A 37339-2026 artfynd.xlsx", "A 37339-2026")</f>
        <v/>
      </c>
      <c r="X580">
        <f>HYPERLINK("https://klasma.github.io/Logging_0191/kartor/A 37339-2026 karta.png", "A 37339-2026")</f>
        <v/>
      </c>
      <c r="Y580">
        <f>HYPERLINK("https://klasma.github.io/Logging_0191/kartor_geotiff/A 37339-2026 georefererad karta.tif", "A 37339-2026")</f>
        <v/>
      </c>
      <c r="AA580">
        <f>HYPERLINK("https://klasma.github.io/Logging_0191/klagomål/A 37339-2026 FSC-klagomål.docx", "A 37339-2026")</f>
        <v/>
      </c>
      <c r="AB580">
        <f>HYPERLINK("https://klasma.github.io/Logging_0191/klagomålsmail/A 37339-2026 FSC-klagomål mail.docx", "A 37339-2026")</f>
        <v/>
      </c>
      <c r="AC580">
        <f>HYPERLINK("https://klasma.github.io/Logging_0191/tillsyn/A 37339-2026 tillsynsbegäran.docx", "A 37339-2026")</f>
        <v/>
      </c>
      <c r="AD580">
        <f>HYPERLINK("https://klasma.github.io/Logging_0191/tillsynsmail/A 37339-2026 tillsynsbegäran mail.docx", "A 37339-2026")</f>
        <v/>
      </c>
    </row>
    <row r="581" ht="15" customHeight="1">
      <c r="A581" t="inlineStr">
        <is>
          <t>A 38287-2026</t>
        </is>
      </c>
      <c r="B581" t="inlineStr">
        <is>
          <t>avverkningsanmälan</t>
        </is>
      </c>
      <c r="C581" t="inlineStr">
        <is>
          <t>Föryngringsavverkning</t>
        </is>
      </c>
      <c r="D581" s="1" t="n">
        <v>46282</v>
      </c>
      <c r="E581" s="1" t="n">
        <v>46326</v>
      </c>
      <c r="F581" t="inlineStr">
        <is>
          <t>STOCKHOLMS LÄN</t>
        </is>
      </c>
      <c r="G581" t="inlineStr">
        <is>
          <t>SIGTUNA</t>
        </is>
      </c>
      <c r="I581" t="n">
        <v>4.1</v>
      </c>
      <c r="J581" t="n">
        <v>0</v>
      </c>
      <c r="K581" t="n">
        <v>0</v>
      </c>
      <c r="L581" t="n">
        <v>1</v>
      </c>
      <c r="M581" t="n">
        <v>0</v>
      </c>
      <c r="N581" t="n">
        <v>0</v>
      </c>
      <c r="O581" t="n">
        <v>0</v>
      </c>
      <c r="P581" t="n">
        <v>0</v>
      </c>
      <c r="Q581" t="n">
        <v>1</v>
      </c>
      <c r="R581" t="n">
        <v>0</v>
      </c>
      <c r="S581" t="n">
        <v>1</v>
      </c>
      <c r="T581" t="n">
        <v>1</v>
      </c>
      <c r="U581" t="n">
        <v>0</v>
      </c>
      <c r="V581" s="2" t="inlineStr">
        <is>
          <t>Motaggsvamp</t>
        </is>
      </c>
      <c r="W581">
        <f>HYPERLINK("https://klasma.github.io/Logging_0191/artfynd/A 38287-2026 artfynd.xlsx", "A 38287-2026")</f>
        <v/>
      </c>
      <c r="X581">
        <f>HYPERLINK("https://klasma.github.io/Logging_0191/kartor/A 38287-2026 karta.png", "A 38287-2026")</f>
        <v/>
      </c>
      <c r="Y581">
        <f>HYPERLINK("https://klasma.github.io/Logging_0191/kartor_geotiff/A 38287-2026 georefererad karta.tif", "A 38287-2026")</f>
        <v/>
      </c>
      <c r="AA581">
        <f>HYPERLINK("https://klasma.github.io/Logging_0191/klagomål/A 38287-2026 FSC-klagomål.docx", "A 38287-2026")</f>
        <v/>
      </c>
      <c r="AB581">
        <f>HYPERLINK("https://klasma.github.io/Logging_0191/klagomålsmail/A 38287-2026 FSC-klagomål mail.docx", "A 38287-2026")</f>
        <v/>
      </c>
      <c r="AC581">
        <f>HYPERLINK("https://klasma.github.io/Logging_0191/tillsyn/A 38287-2026 tillsynsbegäran.docx", "A 38287-2026")</f>
        <v/>
      </c>
      <c r="AD581">
        <f>HYPERLINK("https://klasma.github.io/Logging_0191/tillsynsmail/A 38287-2026 tillsynsbegäran mail.docx", "A 38287-2026")</f>
        <v/>
      </c>
    </row>
    <row r="582" ht="15" customHeight="1">
      <c r="A582" t="inlineStr">
        <is>
          <t>S 2180-2023</t>
        </is>
      </c>
      <c r="B582" t="inlineStr">
        <is>
          <t>samrådsanmälan</t>
        </is>
      </c>
      <c r="C582" t="inlineStr">
        <is>
          <t>Annan skogsbruksåtgärd</t>
        </is>
      </c>
      <c r="D582" s="1" t="n">
        <v>45098</v>
      </c>
      <c r="E582" s="1" t="n">
        <v>46326</v>
      </c>
      <c r="F582" t="inlineStr">
        <is>
          <t>STOCKHOLMS LÄN</t>
        </is>
      </c>
      <c r="G582" t="inlineStr">
        <is>
          <t>SALEM</t>
        </is>
      </c>
      <c r="I582" t="n">
        <v>3.4</v>
      </c>
      <c r="J582" t="n">
        <v>0</v>
      </c>
      <c r="K582" t="n">
        <v>0</v>
      </c>
      <c r="L582" t="n">
        <v>1</v>
      </c>
      <c r="M582" t="n">
        <v>0</v>
      </c>
      <c r="N582" t="n">
        <v>0</v>
      </c>
      <c r="O582" t="n">
        <v>0</v>
      </c>
      <c r="P582" t="n">
        <v>0</v>
      </c>
      <c r="Q582" t="n">
        <v>1</v>
      </c>
      <c r="R582" t="n">
        <v>0</v>
      </c>
      <c r="S582" t="n">
        <v>1</v>
      </c>
      <c r="T582" t="n">
        <v>1</v>
      </c>
      <c r="U582" t="n">
        <v>1</v>
      </c>
      <c r="V582" s="2" t="inlineStr">
        <is>
          <t>Fläckvingad träfluga</t>
        </is>
      </c>
      <c r="W582">
        <f>HYPERLINK("https://klasma.github.io/Logging_0128/artfynd/S 2180-2023 artfynd.xlsx", "S 2180-2023")</f>
        <v/>
      </c>
      <c r="X582">
        <f>HYPERLINK("https://klasma.github.io/Logging_0128/kartor/S 2180-2023 karta.png", "S 2180-2023")</f>
        <v/>
      </c>
      <c r="Y582">
        <f>HYPERLINK("https://klasma.github.io/Logging_0128/kartor_geotiff/S 2180-2023 georefererad karta.tif", "S 2180-2023")</f>
        <v/>
      </c>
      <c r="AA582">
        <f>HYPERLINK("https://klasma.github.io/Logging_0128/klagomål/S 2180-2023 FSC-klagomål.docx", "S 2180-2023")</f>
        <v/>
      </c>
      <c r="AB582">
        <f>HYPERLINK("https://klasma.github.io/Logging_0128/klagomålsmail/S 2180-2023 FSC-klagomål mail.docx", "S 2180-2023")</f>
        <v/>
      </c>
      <c r="AC582">
        <f>HYPERLINK("https://klasma.github.io/Logging_0128/tillsyn/S 2180-2023 tillsynsbegäran.docx", "S 2180-2023")</f>
        <v/>
      </c>
      <c r="AD582">
        <f>HYPERLINK("https://klasma.github.io/Logging_0128/tillsynsmail/S 2180-2023 tillsynsbegäran mail.docx", "S 2180-2023")</f>
        <v/>
      </c>
    </row>
    <row r="583" ht="15" customHeight="1">
      <c r="A583" t="inlineStr">
        <is>
          <t>S 1518-2022</t>
        </is>
      </c>
      <c r="B583" t="inlineStr">
        <is>
          <t>samrådsanmälan</t>
        </is>
      </c>
      <c r="C583" t="inlineStr">
        <is>
          <t>Åtgärd i nyckelbiotop</t>
        </is>
      </c>
      <c r="D583" s="1" t="n">
        <v>44639</v>
      </c>
      <c r="E583" s="1" t="n">
        <v>46326</v>
      </c>
      <c r="F583" t="inlineStr">
        <is>
          <t>STOCKHOLMS LÄN</t>
        </is>
      </c>
      <c r="G583" t="inlineStr">
        <is>
          <t>NORRTÄLJE</t>
        </is>
      </c>
      <c r="I583" t="n">
        <v>2.8</v>
      </c>
      <c r="J583" t="n">
        <v>0</v>
      </c>
      <c r="K583" t="n">
        <v>1</v>
      </c>
      <c r="L583" t="n">
        <v>0</v>
      </c>
      <c r="M583" t="n">
        <v>0</v>
      </c>
      <c r="N583" t="n">
        <v>0</v>
      </c>
      <c r="O583" t="n">
        <v>0</v>
      </c>
      <c r="P583" t="n">
        <v>0</v>
      </c>
      <c r="Q583" t="n">
        <v>0</v>
      </c>
      <c r="R583" t="n">
        <v>0</v>
      </c>
      <c r="S583" t="n">
        <v>1</v>
      </c>
      <c r="T583" t="n">
        <v>1</v>
      </c>
      <c r="U583" t="n">
        <v>0</v>
      </c>
      <c r="V583" s="2" t="inlineStr">
        <is>
          <t>Granbarkgnagare</t>
        </is>
      </c>
      <c r="W583">
        <f>HYPERLINK("https://klasma.github.io/Logging_0188/artfynd/S 1518-2022 artfynd.xlsx", "S 1518-2022")</f>
        <v/>
      </c>
      <c r="X583">
        <f>HYPERLINK("https://klasma.github.io/Logging_0188/kartor/S 1518-2022 karta.png", "S 1518-2022")</f>
        <v/>
      </c>
      <c r="Y583">
        <f>HYPERLINK("https://klasma.github.io/Logging_0188/kartor_geotiff/S 1518-2022 georefererad karta.tif", "S 1518-2022")</f>
        <v/>
      </c>
      <c r="AA583">
        <f>HYPERLINK("https://klasma.github.io/Logging_0188/klagomål/S 1518-2022 FSC-klagomål.docx", "S 1518-2022")</f>
        <v/>
      </c>
      <c r="AB583">
        <f>HYPERLINK("https://klasma.github.io/Logging_0188/klagomålsmail/S 1518-2022 FSC-klagomål mail.docx", "S 1518-2022")</f>
        <v/>
      </c>
      <c r="AC583">
        <f>HYPERLINK("https://klasma.github.io/Logging_0188/tillsyn/S 1518-2022 tillsynsbegäran.docx", "S 1518-2022")</f>
        <v/>
      </c>
      <c r="AD583">
        <f>HYPERLINK("https://klasma.github.io/Logging_0188/tillsynsmail/S 1518-2022 tillsynsbegäran mail.docx", "S 1518-2022")</f>
        <v/>
      </c>
    </row>
    <row r="584" ht="15" customHeight="1">
      <c r="A584" t="inlineStr">
        <is>
          <t>S 5861-2022</t>
        </is>
      </c>
      <c r="B584" t="inlineStr">
        <is>
          <t>samrådsanmälan</t>
        </is>
      </c>
      <c r="C584" t="inlineStr">
        <is>
          <t>Annan skogsbruksåtgärd</t>
        </is>
      </c>
      <c r="D584" s="1" t="n">
        <v>44852</v>
      </c>
      <c r="E584" s="1" t="n">
        <v>46326</v>
      </c>
      <c r="F584" t="inlineStr">
        <is>
          <t>STOCKHOLMS LÄN</t>
        </is>
      </c>
      <c r="G584" t="inlineStr">
        <is>
          <t>ÖSTERÅKER</t>
        </is>
      </c>
      <c r="I584" t="n">
        <v>4.1</v>
      </c>
      <c r="J584" t="n">
        <v>0</v>
      </c>
      <c r="K584" t="n">
        <v>0</v>
      </c>
      <c r="L584" t="n">
        <v>0</v>
      </c>
      <c r="M584" t="n">
        <v>0</v>
      </c>
      <c r="N584" t="n">
        <v>1</v>
      </c>
      <c r="O584" t="n">
        <v>0</v>
      </c>
      <c r="P584" t="n">
        <v>0</v>
      </c>
      <c r="Q584" t="n">
        <v>1</v>
      </c>
      <c r="R584" t="n">
        <v>1</v>
      </c>
      <c r="S584" t="n">
        <v>1</v>
      </c>
      <c r="T584" t="n">
        <v>2</v>
      </c>
      <c r="U584" t="n">
        <v>1</v>
      </c>
      <c r="V584" s="2" t="inlineStr">
        <is>
          <t>Ask</t>
        </is>
      </c>
      <c r="W584">
        <f>HYPERLINK("https://klasma.github.io/Logging_0117/artfynd/S 5861-2022 artfynd.xlsx", "S 5861-2022")</f>
        <v/>
      </c>
      <c r="X584">
        <f>HYPERLINK("https://klasma.github.io/Logging_0117/kartor/S 5861-2022 karta.png", "S 5861-2022")</f>
        <v/>
      </c>
      <c r="Y584">
        <f>HYPERLINK("https://klasma.github.io/Logging_0117/kartor_geotiff/S 5861-2022 georefererad karta.tif", "S 5861-2022")</f>
        <v/>
      </c>
      <c r="AA584">
        <f>HYPERLINK("https://klasma.github.io/Logging_0117/klagomål/S 5861-2022 FSC-klagomål.docx", "S 5861-2022")</f>
        <v/>
      </c>
      <c r="AB584">
        <f>HYPERLINK("https://klasma.github.io/Logging_0117/klagomålsmail/S 5861-2022 FSC-klagomål mail.docx", "S 5861-2022")</f>
        <v/>
      </c>
      <c r="AC584">
        <f>HYPERLINK("https://klasma.github.io/Logging_0117/tillsyn/S 5861-2022 tillsynsbegäran.docx", "S 5861-2022")</f>
        <v/>
      </c>
      <c r="AD584">
        <f>HYPERLINK("https://klasma.github.io/Logging_0117/tillsynsmail/S 5861-2022 tillsynsbegäran mail.docx", "S 5861-2022")</f>
        <v/>
      </c>
    </row>
    <row r="585" ht="15" customHeight="1">
      <c r="A585" t="inlineStr">
        <is>
          <t>S 7198-2022</t>
        </is>
      </c>
      <c r="B585" t="inlineStr">
        <is>
          <t>samrådsanmälan</t>
        </is>
      </c>
      <c r="C585" t="inlineStr">
        <is>
          <t>Annan skogsbruksåtgärd</t>
        </is>
      </c>
      <c r="D585" s="1" t="n">
        <v>44917</v>
      </c>
      <c r="E585" s="1" t="n">
        <v>46326</v>
      </c>
      <c r="F585" t="inlineStr">
        <is>
          <t>STOCKHOLMS LÄN</t>
        </is>
      </c>
      <c r="G585" t="inlineStr">
        <is>
          <t>NORRTÄLJE</t>
        </is>
      </c>
      <c r="I585" t="n">
        <v>2.8</v>
      </c>
      <c r="J585" t="n">
        <v>0</v>
      </c>
      <c r="K585" t="n">
        <v>1</v>
      </c>
      <c r="L585" t="n">
        <v>0</v>
      </c>
      <c r="M585" t="n">
        <v>0</v>
      </c>
      <c r="N585" t="n">
        <v>0</v>
      </c>
      <c r="O585" t="n">
        <v>0</v>
      </c>
      <c r="P585" t="n">
        <v>0</v>
      </c>
      <c r="Q585" t="n">
        <v>0</v>
      </c>
      <c r="R585" t="n">
        <v>0</v>
      </c>
      <c r="S585" t="n">
        <v>1</v>
      </c>
      <c r="T585" t="n">
        <v>4</v>
      </c>
      <c r="U585" t="n">
        <v>0</v>
      </c>
      <c r="V585" s="2" t="inlineStr">
        <is>
          <t>Tibast</t>
        </is>
      </c>
      <c r="W585">
        <f>HYPERLINK("https://klasma.github.io/Logging_0188/artfynd/S 7198-2022 artfynd.xlsx", "S 7198-2022")</f>
        <v/>
      </c>
      <c r="X585">
        <f>HYPERLINK("https://klasma.github.io/Logging_0188/kartor/S 7198-2022 karta.png", "S 7198-2022")</f>
        <v/>
      </c>
      <c r="Y585">
        <f>HYPERLINK("https://klasma.github.io/Logging_0188/kartor_geotiff/S 7198-2022 georefererad karta.tif", "S 7198-2022")</f>
        <v/>
      </c>
      <c r="AA585">
        <f>HYPERLINK("https://klasma.github.io/Logging_0188/klagomål/S 7198-2022 FSC-klagomål.docx", "S 7198-2022")</f>
        <v/>
      </c>
      <c r="AB585">
        <f>HYPERLINK("https://klasma.github.io/Logging_0188/klagomålsmail/S 7198-2022 FSC-klagomål mail.docx", "S 7198-2022")</f>
        <v/>
      </c>
      <c r="AC585">
        <f>HYPERLINK("https://klasma.github.io/Logging_0188/tillsyn/S 7198-2022 tillsynsbegäran.docx", "S 7198-2022")</f>
        <v/>
      </c>
      <c r="AD585">
        <f>HYPERLINK("https://klasma.github.io/Logging_0188/tillsynsmail/S 7198-2022 tillsynsbegäran mail.docx", "S 7198-2022")</f>
        <v/>
      </c>
    </row>
    <row r="586" ht="15" customHeight="1">
      <c r="A586" t="inlineStr">
        <is>
          <t>S 15-2025</t>
        </is>
      </c>
      <c r="B586" t="inlineStr">
        <is>
          <t>samrådsanmälan</t>
        </is>
      </c>
      <c r="C586" t="inlineStr">
        <is>
          <t>Annan skogsbruksåtgärd</t>
        </is>
      </c>
      <c r="D586" s="1" t="n">
        <v>45660</v>
      </c>
      <c r="E586" s="1" t="n">
        <v>46326</v>
      </c>
      <c r="F586" t="inlineStr">
        <is>
          <t>STOCKHOLMS LÄN</t>
        </is>
      </c>
      <c r="G586" t="inlineStr">
        <is>
          <t>ÖSTERÅKER</t>
        </is>
      </c>
      <c r="H586" t="inlineStr">
        <is>
          <t>Övriga Aktiebolag</t>
        </is>
      </c>
      <c r="I586" t="n">
        <v>2.5</v>
      </c>
      <c r="J586" t="n">
        <v>0</v>
      </c>
      <c r="K586" t="n">
        <v>0</v>
      </c>
      <c r="L586" t="n">
        <v>0</v>
      </c>
      <c r="M586" t="n">
        <v>1</v>
      </c>
      <c r="N586" t="n">
        <v>0</v>
      </c>
      <c r="O586" t="n">
        <v>0</v>
      </c>
      <c r="P586" t="n">
        <v>0</v>
      </c>
      <c r="Q586" t="n">
        <v>1</v>
      </c>
      <c r="R586" t="n">
        <v>1</v>
      </c>
      <c r="S586" t="n">
        <v>1</v>
      </c>
      <c r="T586" t="n">
        <v>1</v>
      </c>
      <c r="U586" t="n">
        <v>1</v>
      </c>
      <c r="V586" s="2" t="inlineStr">
        <is>
          <t>Ädellav</t>
        </is>
      </c>
      <c r="W586">
        <f>HYPERLINK("https://klasma.github.io/Logging_0117/artfynd/S 15-2025 artfynd.xlsx", "S 15-2025")</f>
        <v/>
      </c>
      <c r="X586">
        <f>HYPERLINK("https://klasma.github.io/Logging_0117/kartor/S 15-2025 karta.png", "S 15-2025")</f>
        <v/>
      </c>
      <c r="Y586">
        <f>HYPERLINK("https://klasma.github.io/Logging_0117/kartor_geotiff/S 15-2025 georefererad karta.tif", "S 15-2025")</f>
        <v/>
      </c>
      <c r="AA586">
        <f>HYPERLINK("https://klasma.github.io/Logging_0117/klagomål/S 15-2025 FSC-klagomål.docx", "S 15-2025")</f>
        <v/>
      </c>
      <c r="AB586">
        <f>HYPERLINK("https://klasma.github.io/Logging_0117/klagomålsmail/S 15-2025 FSC-klagomål mail.docx", "S 15-2025")</f>
        <v/>
      </c>
      <c r="AC586">
        <f>HYPERLINK("https://klasma.github.io/Logging_0117/tillsyn/S 15-2025 tillsynsbegäran.docx", "S 15-2025")</f>
        <v/>
      </c>
      <c r="AD586">
        <f>HYPERLINK("https://klasma.github.io/Logging_0117/tillsynsmail/S 15-2025 tillsynsbegäran mail.docx", "S 15-2025")</f>
        <v/>
      </c>
    </row>
    <row r="587" ht="15" customHeight="1">
      <c r="A587" t="inlineStr">
        <is>
          <t>S 9346-2021</t>
        </is>
      </c>
      <c r="B587" t="inlineStr">
        <is>
          <t>samrådsanmälan</t>
        </is>
      </c>
      <c r="C587" t="inlineStr">
        <is>
          <t>Annan skogsbruksåtgärd</t>
        </is>
      </c>
      <c r="D587" s="1" t="n">
        <v>44518</v>
      </c>
      <c r="E587" s="1" t="n">
        <v>46326</v>
      </c>
      <c r="F587" t="inlineStr">
        <is>
          <t>STOCKHOLMS LÄN</t>
        </is>
      </c>
      <c r="G587" t="inlineStr">
        <is>
          <t>NORRTÄLJE</t>
        </is>
      </c>
      <c r="I587" t="n">
        <v>1.5</v>
      </c>
      <c r="J587" t="n">
        <v>1</v>
      </c>
      <c r="K587" t="n">
        <v>1</v>
      </c>
      <c r="L587" t="n">
        <v>0</v>
      </c>
      <c r="M587" t="n">
        <v>0</v>
      </c>
      <c r="N587" t="n">
        <v>0</v>
      </c>
      <c r="O587" t="n">
        <v>0</v>
      </c>
      <c r="P587" t="n">
        <v>0</v>
      </c>
      <c r="Q587" t="n">
        <v>0</v>
      </c>
      <c r="R587" t="n">
        <v>0</v>
      </c>
      <c r="S587" t="n">
        <v>1</v>
      </c>
      <c r="T587" t="n">
        <v>1</v>
      </c>
      <c r="U587" t="n">
        <v>1</v>
      </c>
      <c r="V587" s="2" t="inlineStr">
        <is>
          <t>Guckusko</t>
        </is>
      </c>
      <c r="W587">
        <f>HYPERLINK("https://klasma.github.io/Logging_0188/artfynd/S 9346-2021 artfynd.xlsx", "S 9346-2021")</f>
        <v/>
      </c>
      <c r="X587">
        <f>HYPERLINK("https://klasma.github.io/Logging_0188/kartor/S 9346-2021 karta.png", "S 9346-2021")</f>
        <v/>
      </c>
      <c r="Y587">
        <f>HYPERLINK("https://klasma.github.io/Logging_0188/kartor_geotiff/S 9346-2021 georefererad karta.tif", "S 9346-2021")</f>
        <v/>
      </c>
      <c r="AA587">
        <f>HYPERLINK("https://klasma.github.io/Logging_0188/klagomål/S 9346-2021 FSC-klagomål.docx", "S 9346-2021")</f>
        <v/>
      </c>
      <c r="AB587">
        <f>HYPERLINK("https://klasma.github.io/Logging_0188/klagomålsmail/S 9346-2021 FSC-klagomål mail.docx", "S 9346-2021")</f>
        <v/>
      </c>
      <c r="AC587">
        <f>HYPERLINK("https://klasma.github.io/Logging_0188/tillsyn/S 9346-2021 tillsynsbegäran.docx", "S 9346-2021")</f>
        <v/>
      </c>
      <c r="AD587">
        <f>HYPERLINK("https://klasma.github.io/Logging_0188/tillsynsmail/S 9346-2021 tillsynsbegäran mail.docx", "S 9346-2021")</f>
        <v/>
      </c>
    </row>
    <row r="588" ht="15" customHeight="1">
      <c r="A588" t="inlineStr">
        <is>
          <t>S 1552-2023</t>
        </is>
      </c>
      <c r="B588" t="inlineStr">
        <is>
          <t>samrådsanmälan</t>
        </is>
      </c>
      <c r="C588" t="inlineStr">
        <is>
          <t>Annan skogsbruksåtgärd</t>
        </is>
      </c>
      <c r="D588" s="1" t="n">
        <v>45055</v>
      </c>
      <c r="E588" s="1" t="n">
        <v>46326</v>
      </c>
      <c r="F588" t="inlineStr">
        <is>
          <t>STOCKHOLMS LÄN</t>
        </is>
      </c>
      <c r="G588" t="inlineStr">
        <is>
          <t>NYKVARN</t>
        </is>
      </c>
      <c r="H588" t="inlineStr">
        <is>
          <t>Kommuner</t>
        </is>
      </c>
      <c r="I588" t="n">
        <v>1.3</v>
      </c>
      <c r="J588" t="n">
        <v>0</v>
      </c>
      <c r="K588" t="n">
        <v>1</v>
      </c>
      <c r="L588" t="n">
        <v>0</v>
      </c>
      <c r="M588" t="n">
        <v>0</v>
      </c>
      <c r="N588" t="n">
        <v>0</v>
      </c>
      <c r="O588" t="n">
        <v>0</v>
      </c>
      <c r="P588" t="n">
        <v>0</v>
      </c>
      <c r="Q588" t="n">
        <v>0</v>
      </c>
      <c r="R588" t="n">
        <v>0</v>
      </c>
      <c r="S588" t="n">
        <v>1</v>
      </c>
      <c r="T588" t="n">
        <v>2</v>
      </c>
      <c r="U588" t="n">
        <v>0</v>
      </c>
      <c r="V588" s="2" t="inlineStr">
        <is>
          <t>Brandticka</t>
        </is>
      </c>
      <c r="W588">
        <f>HYPERLINK("https://klasma.github.io/Logging_0140/artfynd/S 1552-2023 artfynd.xlsx", "S 1552-2023")</f>
        <v/>
      </c>
      <c r="X588">
        <f>HYPERLINK("https://klasma.github.io/Logging_0140/kartor/S 1552-2023 karta.png", "S 1552-2023")</f>
        <v/>
      </c>
      <c r="Y588">
        <f>HYPERLINK("https://klasma.github.io/Logging_0140/kartor_geotiff/S 1552-2023 georefererad karta.tif", "S 1552-2023")</f>
        <v/>
      </c>
      <c r="AA588">
        <f>HYPERLINK("https://klasma.github.io/Logging_0140/klagomål/S 1552-2023 FSC-klagomål.docx", "S 1552-2023")</f>
        <v/>
      </c>
      <c r="AB588">
        <f>HYPERLINK("https://klasma.github.io/Logging_0140/klagomålsmail/S 1552-2023 FSC-klagomål mail.docx", "S 1552-2023")</f>
        <v/>
      </c>
      <c r="AC588">
        <f>HYPERLINK("https://klasma.github.io/Logging_0140/tillsyn/S 1552-2023 tillsynsbegäran.docx", "S 1552-2023")</f>
        <v/>
      </c>
      <c r="AD588">
        <f>HYPERLINK("https://klasma.github.io/Logging_0140/tillsynsmail/S 1552-2023 tillsynsbegäran mail.docx", "S 1552-2023")</f>
        <v/>
      </c>
    </row>
    <row r="589" ht="15" customHeight="1">
      <c r="A589" t="inlineStr">
        <is>
          <t>S 10446-2021</t>
        </is>
      </c>
      <c r="B589" t="inlineStr">
        <is>
          <t>samrådsanmälan</t>
        </is>
      </c>
      <c r="C589" t="inlineStr">
        <is>
          <t>Annan skogsbruksåtgärd</t>
        </is>
      </c>
      <c r="D589" s="1" t="n">
        <v>44558</v>
      </c>
      <c r="E589" s="1" t="n">
        <v>46326</v>
      </c>
      <c r="F589" t="inlineStr">
        <is>
          <t>STOCKHOLMS LÄN</t>
        </is>
      </c>
      <c r="G589" t="inlineStr">
        <is>
          <t>UPPLANDS-BRO</t>
        </is>
      </c>
      <c r="I589" t="n">
        <v>3.2</v>
      </c>
      <c r="J589" t="n">
        <v>0</v>
      </c>
      <c r="K589" t="n">
        <v>0</v>
      </c>
      <c r="L589" t="n">
        <v>1</v>
      </c>
      <c r="M589" t="n">
        <v>0</v>
      </c>
      <c r="N589" t="n">
        <v>0</v>
      </c>
      <c r="O589" t="n">
        <v>0</v>
      </c>
      <c r="P589" t="n">
        <v>0</v>
      </c>
      <c r="Q589" t="n">
        <v>1</v>
      </c>
      <c r="R589" t="n">
        <v>0</v>
      </c>
      <c r="S589" t="n">
        <v>1</v>
      </c>
      <c r="T589" t="n">
        <v>2</v>
      </c>
      <c r="U589" t="n">
        <v>0</v>
      </c>
      <c r="V589" s="2" t="inlineStr">
        <is>
          <t>Korskovall</t>
        </is>
      </c>
      <c r="W589">
        <f>HYPERLINK("https://klasma.github.io/Logging_0139/artfynd/S 10446-2021 artfynd.xlsx", "S 10446-2021")</f>
        <v/>
      </c>
      <c r="X589">
        <f>HYPERLINK("https://klasma.github.io/Logging_0139/kartor/S 10446-2021 karta.png", "S 10446-2021")</f>
        <v/>
      </c>
      <c r="Y589">
        <f>HYPERLINK("https://klasma.github.io/Logging_0139/kartor_geotiff/S 10446-2021 georefererad karta.tif", "S 10446-2021")</f>
        <v/>
      </c>
      <c r="AA589">
        <f>HYPERLINK("https://klasma.github.io/Logging_0139/klagomål/S 10446-2021 FSC-klagomål.docx", "S 10446-2021")</f>
        <v/>
      </c>
      <c r="AB589">
        <f>HYPERLINK("https://klasma.github.io/Logging_0139/klagomålsmail/S 10446-2021 FSC-klagomål mail.docx", "S 10446-2021")</f>
        <v/>
      </c>
      <c r="AC589">
        <f>HYPERLINK("https://klasma.github.io/Logging_0139/tillsyn/S 10446-2021 tillsynsbegäran.docx", "S 10446-2021")</f>
        <v/>
      </c>
      <c r="AD589">
        <f>HYPERLINK("https://klasma.github.io/Logging_0139/tillsynsmail/S 10446-2021 tillsynsbegäran mail.docx", "S 10446-2021")</f>
        <v/>
      </c>
    </row>
    <row r="590" ht="15" customHeight="1">
      <c r="A590" t="inlineStr">
        <is>
          <t>S 1147-2023</t>
        </is>
      </c>
      <c r="B590" t="inlineStr">
        <is>
          <t>samrådsanmälan</t>
        </is>
      </c>
      <c r="C590" t="inlineStr">
        <is>
          <t>Annan skogsbruksåtgärd</t>
        </is>
      </c>
      <c r="D590" s="1" t="n">
        <v>45020</v>
      </c>
      <c r="E590" s="1" t="n">
        <v>46326</v>
      </c>
      <c r="F590" t="inlineStr">
        <is>
          <t>STOCKHOLMS LÄN</t>
        </is>
      </c>
      <c r="G590" t="inlineStr">
        <is>
          <t>NYKVARN</t>
        </is>
      </c>
      <c r="H590" t="inlineStr">
        <is>
          <t>Sveaskog</t>
        </is>
      </c>
      <c r="I590" t="n">
        <v>3.5</v>
      </c>
      <c r="J590" t="n">
        <v>0</v>
      </c>
      <c r="K590" t="n">
        <v>0</v>
      </c>
      <c r="L590" t="n">
        <v>1</v>
      </c>
      <c r="M590" t="n">
        <v>0</v>
      </c>
      <c r="N590" t="n">
        <v>0</v>
      </c>
      <c r="O590" t="n">
        <v>0</v>
      </c>
      <c r="P590" t="n">
        <v>0</v>
      </c>
      <c r="Q590" t="n">
        <v>1</v>
      </c>
      <c r="R590" t="n">
        <v>0</v>
      </c>
      <c r="S590" t="n">
        <v>1</v>
      </c>
      <c r="T590" t="n">
        <v>1</v>
      </c>
      <c r="U590" t="n">
        <v>0</v>
      </c>
      <c r="V590" s="2" t="inlineStr">
        <is>
          <t>Ekticka</t>
        </is>
      </c>
      <c r="W590">
        <f>HYPERLINK("https://klasma.github.io/Logging_0140/artfynd/S 1147-2023 artfynd.xlsx", "S 1147-2023")</f>
        <v/>
      </c>
      <c r="X590">
        <f>HYPERLINK("https://klasma.github.io/Logging_0140/kartor/S 1147-2023 karta.png", "S 1147-2023")</f>
        <v/>
      </c>
      <c r="Y590">
        <f>HYPERLINK("https://klasma.github.io/Logging_0140/kartor_geotiff/S 1147-2023 georefererad karta.tif", "S 1147-2023")</f>
        <v/>
      </c>
      <c r="AA590">
        <f>HYPERLINK("https://klasma.github.io/Logging_0140/klagomål/S 1147-2023 FSC-klagomål.docx", "S 1147-2023")</f>
        <v/>
      </c>
      <c r="AB590">
        <f>HYPERLINK("https://klasma.github.io/Logging_0140/klagomålsmail/S 1147-2023 FSC-klagomål mail.docx", "S 1147-2023")</f>
        <v/>
      </c>
      <c r="AC590">
        <f>HYPERLINK("https://klasma.github.io/Logging_0140/tillsyn/S 1147-2023 tillsynsbegäran.docx", "S 1147-2023")</f>
        <v/>
      </c>
      <c r="AD590">
        <f>HYPERLINK("https://klasma.github.io/Logging_0140/tillsynsmail/S 1147-2023 tillsynsbegäran mail.docx", "S 1147-2023")</f>
        <v/>
      </c>
    </row>
    <row r="591" ht="15" customHeight="1">
      <c r="A591" t="inlineStr">
        <is>
          <t>S 4049-2024</t>
        </is>
      </c>
      <c r="B591" t="inlineStr">
        <is>
          <t>samrådsanmälan</t>
        </is>
      </c>
      <c r="C591" t="inlineStr">
        <is>
          <t>Annan skogsbruksåtgärd</t>
        </is>
      </c>
      <c r="D591" s="1" t="n">
        <v>45572</v>
      </c>
      <c r="E591" s="1" t="n">
        <v>46326</v>
      </c>
      <c r="F591" t="inlineStr">
        <is>
          <t>STOCKHOLMS LÄN</t>
        </is>
      </c>
      <c r="G591" t="inlineStr">
        <is>
          <t>NORRTÄLJE</t>
        </is>
      </c>
      <c r="I591" t="n">
        <v>0.5</v>
      </c>
      <c r="J591" t="n">
        <v>1</v>
      </c>
      <c r="K591" t="n">
        <v>0</v>
      </c>
      <c r="L591" t="n">
        <v>0</v>
      </c>
      <c r="M591" t="n">
        <v>0</v>
      </c>
      <c r="N591" t="n">
        <v>0</v>
      </c>
      <c r="O591" t="n">
        <v>0</v>
      </c>
      <c r="P591" t="n">
        <v>0</v>
      </c>
      <c r="Q591" t="n">
        <v>0</v>
      </c>
      <c r="R591" t="n">
        <v>0</v>
      </c>
      <c r="S591" t="n">
        <v>1</v>
      </c>
      <c r="T591" t="n">
        <v>1</v>
      </c>
      <c r="U591" t="n">
        <v>0</v>
      </c>
      <c r="V591" s="2" t="inlineStr">
        <is>
          <t>Skogsduva</t>
        </is>
      </c>
      <c r="W591">
        <f>HYPERLINK("https://klasma.github.io/Logging_0188/artfynd/S 4049-2024 artfynd.xlsx", "S 4049-2024")</f>
        <v/>
      </c>
      <c r="X591">
        <f>HYPERLINK("https://klasma.github.io/Logging_0188/kartor/S 4049-2024 karta.png", "S 4049-2024")</f>
        <v/>
      </c>
      <c r="Y591">
        <f>HYPERLINK("https://klasma.github.io/Logging_0188/kartor_geotiff/S 4049-2024 georefererad karta.tif", "S 4049-2024")</f>
        <v/>
      </c>
      <c r="AA591">
        <f>HYPERLINK("https://klasma.github.io/Logging_0188/klagomål/S 4049-2024 FSC-klagomål.docx", "S 4049-2024")</f>
        <v/>
      </c>
      <c r="AB591">
        <f>HYPERLINK("https://klasma.github.io/Logging_0188/klagomålsmail/S 4049-2024 FSC-klagomål mail.docx", "S 4049-2024")</f>
        <v/>
      </c>
      <c r="AC591">
        <f>HYPERLINK("https://klasma.github.io/Logging_0188/tillsyn/S 4049-2024 tillsynsbegäran.docx", "S 4049-2024")</f>
        <v/>
      </c>
      <c r="AD591">
        <f>HYPERLINK("https://klasma.github.io/Logging_0188/tillsynsmail/S 4049-2024 tillsynsbegäran mail.docx", "S 4049-2024")</f>
        <v/>
      </c>
    </row>
    <row r="592" ht="15" customHeight="1">
      <c r="A592" t="inlineStr">
        <is>
          <t>S 2459-2025</t>
        </is>
      </c>
      <c r="B592" t="inlineStr">
        <is>
          <t>samrådsanmälan</t>
        </is>
      </c>
      <c r="C592" t="inlineStr">
        <is>
          <t>Annan skogsbruksåtgärd</t>
        </is>
      </c>
      <c r="D592" s="1" t="n">
        <v>45901</v>
      </c>
      <c r="E592" s="1" t="n">
        <v>46326</v>
      </c>
      <c r="F592" t="inlineStr">
        <is>
          <t>STOCKHOLMS LÄN</t>
        </is>
      </c>
      <c r="G592" t="inlineStr">
        <is>
          <t>SÖDERTÄLJE</t>
        </is>
      </c>
      <c r="I592" t="n">
        <v>1.4</v>
      </c>
      <c r="J592" t="n">
        <v>1</v>
      </c>
      <c r="K592" t="n">
        <v>0</v>
      </c>
      <c r="L592" t="n">
        <v>1</v>
      </c>
      <c r="M592" t="n">
        <v>0</v>
      </c>
      <c r="N592" t="n">
        <v>0</v>
      </c>
      <c r="O592" t="n">
        <v>0</v>
      </c>
      <c r="P592" t="n">
        <v>0</v>
      </c>
      <c r="Q592" t="n">
        <v>1</v>
      </c>
      <c r="R592" t="n">
        <v>0</v>
      </c>
      <c r="S592" t="n">
        <v>1</v>
      </c>
      <c r="T592" t="n">
        <v>1</v>
      </c>
      <c r="U592" t="n">
        <v>0</v>
      </c>
      <c r="V592" s="2" t="inlineStr">
        <is>
          <t>Enkelbeckasin</t>
        </is>
      </c>
      <c r="W592">
        <f>HYPERLINK("https://klasma.github.io/Logging_0181/artfynd/S 2459-2025 artfynd.xlsx", "S 2459-2025")</f>
        <v/>
      </c>
      <c r="X592">
        <f>HYPERLINK("https://klasma.github.io/Logging_0181/kartor/S 2459-2025 karta.png", "S 2459-2025")</f>
        <v/>
      </c>
      <c r="Y592">
        <f>HYPERLINK("https://klasma.github.io/Logging_0181/kartor_geotiff/S 2459-2025 georefererad karta.tif", "S 2459-2025")</f>
        <v/>
      </c>
      <c r="AA592">
        <f>HYPERLINK("https://klasma.github.io/Logging_0181/klagomål/S 2459-2025 FSC-klagomål.docx", "S 2459-2025")</f>
        <v/>
      </c>
      <c r="AB592">
        <f>HYPERLINK("https://klasma.github.io/Logging_0181/klagomålsmail/S 2459-2025 FSC-klagomål mail.docx", "S 2459-2025")</f>
        <v/>
      </c>
      <c r="AC592">
        <f>HYPERLINK("https://klasma.github.io/Logging_0181/tillsyn/S 2459-2025 tillsynsbegäran.docx", "S 2459-2025")</f>
        <v/>
      </c>
      <c r="AD592">
        <f>HYPERLINK("https://klasma.github.io/Logging_0181/tillsynsmail/S 2459-2025 tillsynsbegäran mail.docx", "S 2459-2025")</f>
        <v/>
      </c>
      <c r="AE592">
        <f>HYPERLINK("https://klasma.github.io/Logging_0181/fåglar/S 2459-2025 prioriterade fågelarter.docx", "S 2459-2025")</f>
        <v/>
      </c>
    </row>
    <row r="593" ht="15" customHeight="1">
      <c r="A593" t="inlineStr">
        <is>
          <t>S 2554-2025</t>
        </is>
      </c>
      <c r="B593" t="inlineStr">
        <is>
          <t>samrådsanmälan</t>
        </is>
      </c>
      <c r="C593" t="inlineStr">
        <is>
          <t>Annan skogsbruksåtgärd</t>
        </is>
      </c>
      <c r="D593" s="1" t="n">
        <v>45911</v>
      </c>
      <c r="E593" s="1" t="n">
        <v>46326</v>
      </c>
      <c r="F593" t="inlineStr">
        <is>
          <t>STOCKHOLMS LÄN</t>
        </is>
      </c>
      <c r="G593" t="inlineStr">
        <is>
          <t>VÄRMDÖ</t>
        </is>
      </c>
      <c r="I593" t="n">
        <v>12</v>
      </c>
      <c r="J593" t="n">
        <v>0</v>
      </c>
      <c r="K593" t="n">
        <v>0</v>
      </c>
      <c r="L593" t="n">
        <v>1</v>
      </c>
      <c r="M593" t="n">
        <v>0</v>
      </c>
      <c r="N593" t="n">
        <v>0</v>
      </c>
      <c r="O593" t="n">
        <v>0</v>
      </c>
      <c r="P593" t="n">
        <v>0</v>
      </c>
      <c r="Q593" t="n">
        <v>1</v>
      </c>
      <c r="R593" t="n">
        <v>0</v>
      </c>
      <c r="S593" t="n">
        <v>1</v>
      </c>
      <c r="T593" t="n">
        <v>1</v>
      </c>
      <c r="U593" t="n">
        <v>0</v>
      </c>
      <c r="V593" s="2" t="inlineStr">
        <is>
          <t>Älg</t>
        </is>
      </c>
      <c r="W593">
        <f>HYPERLINK("https://klasma.github.io/Logging_0120/artfynd/S 2554-2025 artfynd.xlsx", "S 2554-2025")</f>
        <v/>
      </c>
      <c r="X593">
        <f>HYPERLINK("https://klasma.github.io/Logging_0120/kartor/S 2554-2025 karta.png", "S 2554-2025")</f>
        <v/>
      </c>
      <c r="Y593">
        <f>HYPERLINK("https://klasma.github.io/Logging_0120/kartor_geotiff/S 2554-2025 georefererad karta.tif", "S 2554-2025")</f>
        <v/>
      </c>
      <c r="AA593">
        <f>HYPERLINK("https://klasma.github.io/Logging_0120/klagomål/S 2554-2025 FSC-klagomål.docx", "S 2554-2025")</f>
        <v/>
      </c>
      <c r="AB593">
        <f>HYPERLINK("https://klasma.github.io/Logging_0120/klagomålsmail/S 2554-2025 FSC-klagomål mail.docx", "S 2554-2025")</f>
        <v/>
      </c>
      <c r="AC593">
        <f>HYPERLINK("https://klasma.github.io/Logging_0120/tillsyn/S 2554-2025 tillsynsbegäran.docx", "S 2554-2025")</f>
        <v/>
      </c>
      <c r="AD593">
        <f>HYPERLINK("https://klasma.github.io/Logging_0120/tillsynsmail/S 2554-2025 tillsynsbegäran mail.docx", "S 2554-2025")</f>
        <v/>
      </c>
    </row>
    <row r="594" ht="15" customHeight="1">
      <c r="A594" t="inlineStr">
        <is>
          <t>S 3405-2025</t>
        </is>
      </c>
      <c r="B594" t="inlineStr">
        <is>
          <t>samrådsanmälan</t>
        </is>
      </c>
      <c r="C594" t="inlineStr">
        <is>
          <t>Skogsgödsling</t>
        </is>
      </c>
      <c r="D594" s="1" t="n">
        <v>45994</v>
      </c>
      <c r="E594" s="1" t="n">
        <v>46326</v>
      </c>
      <c r="F594" t="inlineStr">
        <is>
          <t>STOCKHOLMS LÄN</t>
        </is>
      </c>
      <c r="G594" t="inlineStr">
        <is>
          <t>NORRTÄLJE</t>
        </is>
      </c>
      <c r="H594" t="inlineStr">
        <is>
          <t>Holmen skog AB</t>
        </is>
      </c>
      <c r="I594" t="n">
        <v>37.1</v>
      </c>
      <c r="J594" t="n">
        <v>1</v>
      </c>
      <c r="K594" t="n">
        <v>0</v>
      </c>
      <c r="L594" t="n">
        <v>0</v>
      </c>
      <c r="M594" t="n">
        <v>1</v>
      </c>
      <c r="N594" t="n">
        <v>0</v>
      </c>
      <c r="O594" t="n">
        <v>0</v>
      </c>
      <c r="P594" t="n">
        <v>0</v>
      </c>
      <c r="Q594" t="n">
        <v>1</v>
      </c>
      <c r="R594" t="n">
        <v>1</v>
      </c>
      <c r="S594" t="n">
        <v>1</v>
      </c>
      <c r="T594" t="n">
        <v>2</v>
      </c>
      <c r="U594" t="n">
        <v>0</v>
      </c>
      <c r="V594" s="2" t="inlineStr">
        <is>
          <t>Hällebräcka</t>
        </is>
      </c>
      <c r="W594">
        <f>HYPERLINK("https://klasma.github.io/Logging_0188/artfynd/S 3405-2025 artfynd.xlsx", "S 3405-2025")</f>
        <v/>
      </c>
      <c r="X594">
        <f>HYPERLINK("https://klasma.github.io/Logging_0188/kartor/S 3405-2025 karta.png", "S 3405-2025")</f>
        <v/>
      </c>
      <c r="Y594">
        <f>HYPERLINK("https://klasma.github.io/Logging_0188/kartor_geotiff/S 3405-2025 georefererad karta.tif", "S 3405-2025")</f>
        <v/>
      </c>
      <c r="AA594">
        <f>HYPERLINK("https://klasma.github.io/Logging_0188/klagomål/S 3405-2025 FSC-klagomål.docx", "S 3405-2025")</f>
        <v/>
      </c>
      <c r="AB594">
        <f>HYPERLINK("https://klasma.github.io/Logging_0188/klagomålsmail/S 3405-2025 FSC-klagomål mail.docx", "S 3405-2025")</f>
        <v/>
      </c>
      <c r="AC594">
        <f>HYPERLINK("https://klasma.github.io/Logging_0188/tillsyn/S 3405-2025 tillsynsbegäran.docx", "S 3405-2025")</f>
        <v/>
      </c>
      <c r="AD594">
        <f>HYPERLINK("https://klasma.github.io/Logging_0188/tillsynsmail/S 3405-2025 tillsynsbegäran mail.docx", "S 3405-2025")</f>
        <v/>
      </c>
    </row>
    <row r="595" ht="15" customHeight="1">
      <c r="A595" t="inlineStr">
        <is>
          <t>S 495-2026</t>
        </is>
      </c>
      <c r="B595" t="inlineStr">
        <is>
          <t>samrådsanmälan</t>
        </is>
      </c>
      <c r="C595" t="inlineStr">
        <is>
          <t>Annan skogsbruksåtgärd</t>
        </is>
      </c>
      <c r="D595" s="1" t="n">
        <v>46073</v>
      </c>
      <c r="E595" s="1" t="n">
        <v>46326</v>
      </c>
      <c r="F595" t="inlineStr">
        <is>
          <t>STOCKHOLMS LÄN</t>
        </is>
      </c>
      <c r="G595" t="inlineStr">
        <is>
          <t>NYKVARN</t>
        </is>
      </c>
      <c r="H595" t="inlineStr">
        <is>
          <t>Kommuner</t>
        </is>
      </c>
      <c r="I595" t="n">
        <v>6.4</v>
      </c>
      <c r="J595" t="n">
        <v>1</v>
      </c>
      <c r="K595" t="n">
        <v>0</v>
      </c>
      <c r="L595" t="n">
        <v>0</v>
      </c>
      <c r="M595" t="n">
        <v>1</v>
      </c>
      <c r="N595" t="n">
        <v>0</v>
      </c>
      <c r="O595" t="n">
        <v>0</v>
      </c>
      <c r="P595" t="n">
        <v>0</v>
      </c>
      <c r="Q595" t="n">
        <v>1</v>
      </c>
      <c r="R595" t="n">
        <v>1</v>
      </c>
      <c r="S595" t="n">
        <v>1</v>
      </c>
      <c r="T595" t="n">
        <v>17</v>
      </c>
      <c r="U595" t="n">
        <v>0</v>
      </c>
      <c r="V595" s="2" t="inlineStr">
        <is>
          <t>Knärot</t>
        </is>
      </c>
      <c r="W595">
        <f>HYPERLINK("https://klasma.github.io/Logging_0140/artfynd/S 495-2026 artfynd.xlsx", "S 495-2026")</f>
        <v/>
      </c>
      <c r="X595">
        <f>HYPERLINK("https://klasma.github.io/Logging_0140/kartor/S 495-2026 karta.png", "S 495-2026")</f>
        <v/>
      </c>
      <c r="Y595">
        <f>HYPERLINK("https://klasma.github.io/Logging_0140/kartor_geotiff/S 495-2026 georefererad karta.tif", "S 495-2026")</f>
        <v/>
      </c>
      <c r="Z595">
        <f>HYPERLINK("https://klasma.github.io/Logging_0140/knärot/S 495-2026 karta knärot.png", "S 495-2026")</f>
        <v/>
      </c>
      <c r="AA595">
        <f>HYPERLINK("https://klasma.github.io/Logging_0140/klagomål/S 495-2026 FSC-klagomål.docx", "S 495-2026")</f>
        <v/>
      </c>
      <c r="AB595">
        <f>HYPERLINK("https://klasma.github.io/Logging_0140/klagomålsmail/S 495-2026 FSC-klagomål mail.docx", "S 495-2026")</f>
        <v/>
      </c>
      <c r="AC595">
        <f>HYPERLINK("https://klasma.github.io/Logging_0140/tillsyn/S 495-2026 tillsynsbegäran.docx", "S 495-2026")</f>
        <v/>
      </c>
      <c r="AD595">
        <f>HYPERLINK("https://klasma.github.io/Logging_0140/tillsynsmail/S 495-2026 tillsynsbegäran mail.docx", "S 495-2026")</f>
        <v/>
      </c>
    </row>
    <row r="596" ht="15" customHeight="1">
      <c r="A596" t="inlineStr">
        <is>
          <t>A 8089-2022</t>
        </is>
      </c>
      <c r="B596" t="inlineStr">
        <is>
          <t>avverkningsanmälan</t>
        </is>
      </c>
      <c r="C596" t="inlineStr">
        <is>
          <t>Föryngringsavverkning</t>
        </is>
      </c>
      <c r="D596" s="1" t="n">
        <v>44609</v>
      </c>
      <c r="E596" s="1" t="n">
        <v>46326</v>
      </c>
      <c r="F596" t="inlineStr">
        <is>
          <t>STOCKHOLMS LÄN</t>
        </is>
      </c>
      <c r="G596" t="inlineStr">
        <is>
          <t>VALLENTUNA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12877-2022</t>
        </is>
      </c>
      <c r="B597" t="inlineStr">
        <is>
          <t>avverkningsanmälan</t>
        </is>
      </c>
      <c r="C597" t="inlineStr">
        <is>
          <t>Avverkning för annat ändamål</t>
        </is>
      </c>
      <c r="D597" s="1" t="n">
        <v>44642</v>
      </c>
      <c r="E597" s="1" t="n">
        <v>46326</v>
      </c>
      <c r="F597" t="inlineStr">
        <is>
          <t>STOCKHOLMS LÄN</t>
        </is>
      </c>
      <c r="G597" t="inlineStr">
        <is>
          <t>NORRTÄLJE</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12578-2022</t>
        </is>
      </c>
      <c r="B598" t="inlineStr">
        <is>
          <t>avverkningsanmälan</t>
        </is>
      </c>
      <c r="C598" t="inlineStr">
        <is>
          <t>Föryngringsavverkning</t>
        </is>
      </c>
      <c r="D598" s="1" t="n">
        <v>44638</v>
      </c>
      <c r="E598" s="1" t="n">
        <v>46326</v>
      </c>
      <c r="F598" t="inlineStr">
        <is>
          <t>STOCKHOLMS LÄN</t>
        </is>
      </c>
      <c r="G598" t="inlineStr">
        <is>
          <t>NYKVARN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71543-2021</t>
        </is>
      </c>
      <c r="B599" t="inlineStr">
        <is>
          <t>avverkningsanmälan</t>
        </is>
      </c>
      <c r="C599" t="inlineStr">
        <is>
          <t>Föryngringsavverkning</t>
        </is>
      </c>
      <c r="D599" s="1" t="n">
        <v>44540</v>
      </c>
      <c r="E599" s="1" t="n">
        <v>46326</v>
      </c>
      <c r="F599" t="inlineStr">
        <is>
          <t>STOCKHOLMS LÄN</t>
        </is>
      </c>
      <c r="G599" t="inlineStr">
        <is>
          <t>NORRTÄLJE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14036-2022</t>
        </is>
      </c>
      <c r="B600" t="inlineStr">
        <is>
          <t>avverkningsanmälan</t>
        </is>
      </c>
      <c r="C600" t="inlineStr">
        <is>
          <t>Föryngringsavverkning</t>
        </is>
      </c>
      <c r="D600" s="1" t="n">
        <v>44650</v>
      </c>
      <c r="E600" s="1" t="n">
        <v>46326</v>
      </c>
      <c r="F600" t="inlineStr">
        <is>
          <t>STOCKHOLMS LÄN</t>
        </is>
      </c>
      <c r="G600" t="inlineStr">
        <is>
          <t>NORRTÄLJE</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43036-2022</t>
        </is>
      </c>
      <c r="B601" t="inlineStr">
        <is>
          <t>avverkningsanmälan</t>
        </is>
      </c>
      <c r="C601" t="inlineStr">
        <is>
          <t>Föryngringsavverkning</t>
        </is>
      </c>
      <c r="D601" s="1" t="n">
        <v>44833</v>
      </c>
      <c r="E601" s="1" t="n">
        <v>46326</v>
      </c>
      <c r="F601" t="inlineStr">
        <is>
          <t>STOCKHOLMS LÄN</t>
        </is>
      </c>
      <c r="G601" t="inlineStr">
        <is>
          <t>NORRTÄLJE</t>
        </is>
      </c>
      <c r="H601" t="inlineStr">
        <is>
          <t>Kyrkan</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67756-2021</t>
        </is>
      </c>
      <c r="B602" t="inlineStr">
        <is>
          <t>avverkningsanmälan</t>
        </is>
      </c>
      <c r="C602" t="inlineStr">
        <is>
          <t>Föryngringsavverkning</t>
        </is>
      </c>
      <c r="D602" s="1" t="n">
        <v>44524</v>
      </c>
      <c r="E602" s="1" t="n">
        <v>46326</v>
      </c>
      <c r="F602" t="inlineStr">
        <is>
          <t>STOCKHOLMS LÄN</t>
        </is>
      </c>
      <c r="G602" t="inlineStr">
        <is>
          <t>VAXHOLM</t>
        </is>
      </c>
      <c r="H602" t="inlineStr">
        <is>
          <t>Övriga statliga verk och myndigheter</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9750-2022</t>
        </is>
      </c>
      <c r="B603" t="inlineStr">
        <is>
          <t>avverkningsanmälan</t>
        </is>
      </c>
      <c r="C603" t="inlineStr">
        <is>
          <t>Föryngringsavverkning</t>
        </is>
      </c>
      <c r="D603" s="1" t="n">
        <v>44618</v>
      </c>
      <c r="E603" s="1" t="n">
        <v>46326</v>
      </c>
      <c r="F603" t="inlineStr">
        <is>
          <t>STOCKHOLMS LÄN</t>
        </is>
      </c>
      <c r="G603" t="inlineStr">
        <is>
          <t>SIGTUNA</t>
        </is>
      </c>
      <c r="I603" t="n">
        <v>10.8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31934-2022</t>
        </is>
      </c>
      <c r="B604" t="inlineStr">
        <is>
          <t>avverkningsanmälan</t>
        </is>
      </c>
      <c r="C604" t="inlineStr">
        <is>
          <t>Föryngringsavverkning</t>
        </is>
      </c>
      <c r="D604" s="1" t="n">
        <v>44777</v>
      </c>
      <c r="E604" s="1" t="n">
        <v>46326</v>
      </c>
      <c r="F604" t="inlineStr">
        <is>
          <t>STOCKHOLMS LÄN</t>
        </is>
      </c>
      <c r="G604" t="inlineStr">
        <is>
          <t>NORRTÄLJE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24977-2022</t>
        </is>
      </c>
      <c r="B605" t="inlineStr">
        <is>
          <t>avverkningsanmälan</t>
        </is>
      </c>
      <c r="C605" t="inlineStr">
        <is>
          <t>Föryngringsavverkning</t>
        </is>
      </c>
      <c r="D605" s="1" t="n">
        <v>44728</v>
      </c>
      <c r="E605" s="1" t="n">
        <v>46326</v>
      </c>
      <c r="F605" t="inlineStr">
        <is>
          <t>STOCKHOLMS LÄN</t>
        </is>
      </c>
      <c r="G605" t="inlineStr">
        <is>
          <t>NORRTÄLJE</t>
        </is>
      </c>
      <c r="H605" t="inlineStr">
        <is>
          <t>Kyrkan</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37815-2022</t>
        </is>
      </c>
      <c r="B606" t="inlineStr">
        <is>
          <t>avverkningsanmälan</t>
        </is>
      </c>
      <c r="C606" t="inlineStr">
        <is>
          <t>Föryngringsavverkning</t>
        </is>
      </c>
      <c r="D606" s="1" t="n">
        <v>44810</v>
      </c>
      <c r="E606" s="1" t="n">
        <v>46326</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9964-2022</t>
        </is>
      </c>
      <c r="B607" t="inlineStr">
        <is>
          <t>avverkningsanmälan</t>
        </is>
      </c>
      <c r="C607" t="inlineStr">
        <is>
          <t>Föryngringsavverkning</t>
        </is>
      </c>
      <c r="D607" s="1" t="n">
        <v>44621</v>
      </c>
      <c r="E607" s="1" t="n">
        <v>46326</v>
      </c>
      <c r="F607" t="inlineStr">
        <is>
          <t>STOCKHOLMS LÄN</t>
        </is>
      </c>
      <c r="G607" t="inlineStr">
        <is>
          <t>NYNÄSHAMN</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73855-2021</t>
        </is>
      </c>
      <c r="B608" t="inlineStr">
        <is>
          <t>avverkningsanmälan</t>
        </is>
      </c>
      <c r="C608" t="inlineStr">
        <is>
          <t>Föryngringsavverkning</t>
        </is>
      </c>
      <c r="D608" s="1" t="n">
        <v>44552</v>
      </c>
      <c r="E608" s="1" t="n">
        <v>46326</v>
      </c>
      <c r="F608" t="inlineStr">
        <is>
          <t>STOCKHOLMS LÄN</t>
        </is>
      </c>
      <c r="G608" t="inlineStr">
        <is>
          <t>NORRTÄLJE</t>
        </is>
      </c>
      <c r="H608" t="inlineStr">
        <is>
          <t>Övriga Aktiebolag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11821-2022</t>
        </is>
      </c>
      <c r="B609" t="inlineStr">
        <is>
          <t>avverkningsanmälan</t>
        </is>
      </c>
      <c r="C609" t="inlineStr">
        <is>
          <t>Avverkning för att bevara och utveckla /försöksver</t>
        </is>
      </c>
      <c r="D609" s="1" t="n">
        <v>44634</v>
      </c>
      <c r="E609" s="1" t="n">
        <v>46326</v>
      </c>
      <c r="F609" t="inlineStr">
        <is>
          <t>STOCKHOLMS LÄN</t>
        </is>
      </c>
      <c r="G609" t="inlineStr">
        <is>
          <t>NORRTÄLJE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2977-2022</t>
        </is>
      </c>
      <c r="B610" t="inlineStr">
        <is>
          <t>avverkningsanmälan</t>
        </is>
      </c>
      <c r="C610" t="inlineStr">
        <is>
          <t>Föryngringsavverkning</t>
        </is>
      </c>
      <c r="D610" s="1" t="n">
        <v>44581</v>
      </c>
      <c r="E610" s="1" t="n">
        <v>46326</v>
      </c>
      <c r="F610" t="inlineStr">
        <is>
          <t>STOCKHOLMS LÄN</t>
        </is>
      </c>
      <c r="G610" t="inlineStr">
        <is>
          <t>NORRTÄLJE</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74468-2021</t>
        </is>
      </c>
      <c r="B611" t="inlineStr">
        <is>
          <t>avverkningsanmälan</t>
        </is>
      </c>
      <c r="C611" t="inlineStr">
        <is>
          <t>Föryngringsavverkning</t>
        </is>
      </c>
      <c r="D611" s="1" t="n">
        <v>44560</v>
      </c>
      <c r="E611" s="1" t="n">
        <v>46326</v>
      </c>
      <c r="F611" t="inlineStr">
        <is>
          <t>STOCKHOLMS LÄN</t>
        </is>
      </c>
      <c r="G611" t="inlineStr">
        <is>
          <t>NORRTÄLJE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64111-2021</t>
        </is>
      </c>
      <c r="B612" t="inlineStr">
        <is>
          <t>avverkningsanmälan</t>
        </is>
      </c>
      <c r="C612" t="inlineStr">
        <is>
          <t>Föryngringsavverkning</t>
        </is>
      </c>
      <c r="D612" s="1" t="n">
        <v>44509</v>
      </c>
      <c r="E612" s="1" t="n">
        <v>46326</v>
      </c>
      <c r="F612" t="inlineStr">
        <is>
          <t>STOCKHOLMS LÄN</t>
        </is>
      </c>
      <c r="G612" t="inlineStr">
        <is>
          <t>SÖDERTÄLJE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31283-2022</t>
        </is>
      </c>
      <c r="B613" t="inlineStr">
        <is>
          <t>avverkningsanmälan</t>
        </is>
      </c>
      <c r="C613" t="inlineStr">
        <is>
          <t>Föryngringsavverkning</t>
        </is>
      </c>
      <c r="D613" s="1" t="n">
        <v>44771</v>
      </c>
      <c r="E613" s="1" t="n">
        <v>46326</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8261-2022</t>
        </is>
      </c>
      <c r="B614" t="inlineStr">
        <is>
          <t>avverkningsanmälan</t>
        </is>
      </c>
      <c r="C614" t="inlineStr">
        <is>
          <t>Föryngringsavverkning</t>
        </is>
      </c>
      <c r="D614" s="1" t="n">
        <v>44609</v>
      </c>
      <c r="E614" s="1" t="n">
        <v>46326</v>
      </c>
      <c r="F614" t="inlineStr">
        <is>
          <t>STOCKHOLMS LÄN</t>
        </is>
      </c>
      <c r="G614" t="inlineStr">
        <is>
          <t>UPPLANDS-BRO</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2148-2022</t>
        </is>
      </c>
      <c r="B615" t="inlineStr">
        <is>
          <t>avverkningsanmälan</t>
        </is>
      </c>
      <c r="C615" t="inlineStr">
        <is>
          <t>Föryngringsavverkning</t>
        </is>
      </c>
      <c r="D615" s="1" t="n">
        <v>44575</v>
      </c>
      <c r="E615" s="1" t="n">
        <v>46326</v>
      </c>
      <c r="F615" t="inlineStr">
        <is>
          <t>STOCKHOLMS LÄN</t>
        </is>
      </c>
      <c r="G615" t="inlineStr">
        <is>
          <t>ÖSTERÅKER</t>
        </is>
      </c>
      <c r="H615" t="inlineStr">
        <is>
          <t>Övriga Aktiebolag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41259-2022</t>
        </is>
      </c>
      <c r="B616" t="inlineStr">
        <is>
          <t>avverkningsanmälan</t>
        </is>
      </c>
      <c r="C616" t="inlineStr">
        <is>
          <t>Föryngringsavverkning</t>
        </is>
      </c>
      <c r="D616" s="1" t="n">
        <v>44825</v>
      </c>
      <c r="E616" s="1" t="n">
        <v>46326</v>
      </c>
      <c r="F616" t="inlineStr">
        <is>
          <t>STOCKHOLMS LÄN</t>
        </is>
      </c>
      <c r="G616" t="inlineStr">
        <is>
          <t>HANINGE</t>
        </is>
      </c>
      <c r="H616" t="inlineStr">
        <is>
          <t>Övriga statliga verk och myndigheter</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41263-2022</t>
        </is>
      </c>
      <c r="B617" t="inlineStr">
        <is>
          <t>avverkningsanmälan</t>
        </is>
      </c>
      <c r="C617" t="inlineStr">
        <is>
          <t>Föryngringsavverkning</t>
        </is>
      </c>
      <c r="D617" s="1" t="n">
        <v>44825</v>
      </c>
      <c r="E617" s="1" t="n">
        <v>46326</v>
      </c>
      <c r="F617" t="inlineStr">
        <is>
          <t>STOCKHOLMS LÄN</t>
        </is>
      </c>
      <c r="G617" t="inlineStr">
        <is>
          <t>HANINGE</t>
        </is>
      </c>
      <c r="H617" t="inlineStr">
        <is>
          <t>Övriga statliga verk och myndigheter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67525-2021</t>
        </is>
      </c>
      <c r="B618" t="inlineStr">
        <is>
          <t>avverkningsanmälan</t>
        </is>
      </c>
      <c r="C618" t="inlineStr">
        <is>
          <t>Föryngringsavverkning</t>
        </is>
      </c>
      <c r="D618" s="1" t="n">
        <v>44524</v>
      </c>
      <c r="E618" s="1" t="n">
        <v>46326</v>
      </c>
      <c r="F618" t="inlineStr">
        <is>
          <t>STOCKHOLMS LÄN</t>
        </is>
      </c>
      <c r="G618" t="inlineStr">
        <is>
          <t>NORRTÄLJE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1704-2022</t>
        </is>
      </c>
      <c r="B619" t="inlineStr">
        <is>
          <t>avverkningsanmälan</t>
        </is>
      </c>
      <c r="C619" t="inlineStr">
        <is>
          <t>Föryngringsavverkning</t>
        </is>
      </c>
      <c r="D619" s="1" t="n">
        <v>44574</v>
      </c>
      <c r="E619" s="1" t="n">
        <v>46326</v>
      </c>
      <c r="F619" t="inlineStr">
        <is>
          <t>STOCKHOLMS LÄN</t>
        </is>
      </c>
      <c r="G619" t="inlineStr">
        <is>
          <t>NORRTÄLJE</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65737-2021</t>
        </is>
      </c>
      <c r="B620" t="inlineStr">
        <is>
          <t>avverkningsanmälan</t>
        </is>
      </c>
      <c r="C620" t="inlineStr">
        <is>
          <t>Föryngringsavverkning</t>
        </is>
      </c>
      <c r="D620" s="1" t="n">
        <v>44516</v>
      </c>
      <c r="E620" s="1" t="n">
        <v>46326</v>
      </c>
      <c r="F620" t="inlineStr">
        <is>
          <t>STOCKHOLMS LÄN</t>
        </is>
      </c>
      <c r="G620" t="inlineStr">
        <is>
          <t>NORRTÄLJE</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52541-2022</t>
        </is>
      </c>
      <c r="B621" t="inlineStr">
        <is>
          <t>avverkningsanmälan</t>
        </is>
      </c>
      <c r="C621" t="inlineStr">
        <is>
          <t>Avverkning för annat ändamål</t>
        </is>
      </c>
      <c r="D621" s="1" t="n">
        <v>44874</v>
      </c>
      <c r="E621" s="1" t="n">
        <v>46326</v>
      </c>
      <c r="F621" t="inlineStr">
        <is>
          <t>STOCKHOLMS LÄN</t>
        </is>
      </c>
      <c r="G621" t="inlineStr">
        <is>
          <t>SÖDERTÄLJE</t>
        </is>
      </c>
      <c r="I621" t="n">
        <v>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43374-2022</t>
        </is>
      </c>
      <c r="B622" t="inlineStr">
        <is>
          <t>avverkningsanmälan</t>
        </is>
      </c>
      <c r="C622" t="inlineStr">
        <is>
          <t>Föryngringsavverkning</t>
        </is>
      </c>
      <c r="D622" s="1" t="n">
        <v>44834</v>
      </c>
      <c r="E622" s="1" t="n">
        <v>46326</v>
      </c>
      <c r="F622" t="inlineStr">
        <is>
          <t>STOCKHOLMS LÄN</t>
        </is>
      </c>
      <c r="G622" t="inlineStr">
        <is>
          <t>NORRTÄLJE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10711-2022</t>
        </is>
      </c>
      <c r="B623" t="inlineStr">
        <is>
          <t>avverkningsanmälan</t>
        </is>
      </c>
      <c r="C623" t="inlineStr">
        <is>
          <t>Föryngringsavverkning</t>
        </is>
      </c>
      <c r="D623" s="1" t="n">
        <v>44626</v>
      </c>
      <c r="E623" s="1" t="n">
        <v>46326</v>
      </c>
      <c r="F623" t="inlineStr">
        <is>
          <t>STOCKHOLMS LÄN</t>
        </is>
      </c>
      <c r="G623" t="inlineStr">
        <is>
          <t>NORRTÄLJE</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9442-2022</t>
        </is>
      </c>
      <c r="B624" t="inlineStr">
        <is>
          <t>avverkningsanmälan</t>
        </is>
      </c>
      <c r="C624" t="inlineStr">
        <is>
          <t>Föryngringsavverkning</t>
        </is>
      </c>
      <c r="D624" s="1" t="n">
        <v>44616</v>
      </c>
      <c r="E624" s="1" t="n">
        <v>46326</v>
      </c>
      <c r="F624" t="inlineStr">
        <is>
          <t>STOCKHOLMS LÄN</t>
        </is>
      </c>
      <c r="G624" t="inlineStr">
        <is>
          <t>VALLENTUNA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17777-2022</t>
        </is>
      </c>
      <c r="B625" t="inlineStr">
        <is>
          <t>avverkningsanmälan</t>
        </is>
      </c>
      <c r="C625" t="inlineStr">
        <is>
          <t>Föryngringsavverkning</t>
        </is>
      </c>
      <c r="D625" s="1" t="n">
        <v>44682</v>
      </c>
      <c r="E625" s="1" t="n">
        <v>46326</v>
      </c>
      <c r="F625" t="inlineStr">
        <is>
          <t>STOCKHOLMS LÄN</t>
        </is>
      </c>
      <c r="G625" t="inlineStr">
        <is>
          <t>NORRTÄLJE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18905-2022</t>
        </is>
      </c>
      <c r="B626" t="inlineStr">
        <is>
          <t>avverkningsanmälan</t>
        </is>
      </c>
      <c r="C626" t="inlineStr">
        <is>
          <t>Avverkning för annat ändamål</t>
        </is>
      </c>
      <c r="D626" s="1" t="n">
        <v>44690</v>
      </c>
      <c r="E626" s="1" t="n">
        <v>46326</v>
      </c>
      <c r="F626" t="inlineStr">
        <is>
          <t>STOCKHOLMS LÄN</t>
        </is>
      </c>
      <c r="G626" t="inlineStr">
        <is>
          <t>NORRTÄLJE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21723-2022</t>
        </is>
      </c>
      <c r="B627" t="inlineStr">
        <is>
          <t>avverkningsanmälan</t>
        </is>
      </c>
      <c r="C627" t="inlineStr">
        <is>
          <t>Föryngringsavverkning</t>
        </is>
      </c>
      <c r="D627" s="1" t="n">
        <v>44708</v>
      </c>
      <c r="E627" s="1" t="n">
        <v>46326</v>
      </c>
      <c r="F627" t="inlineStr">
        <is>
          <t>STOCKHOLMS LÄN</t>
        </is>
      </c>
      <c r="G627" t="inlineStr">
        <is>
          <t>NORRTÄLJE</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3596-2022</t>
        </is>
      </c>
      <c r="B628" t="inlineStr">
        <is>
          <t>avverkningsanmälan</t>
        </is>
      </c>
      <c r="C628" t="inlineStr">
        <is>
          <t>Föryngringsavverkning</t>
        </is>
      </c>
      <c r="D628" s="1" t="n">
        <v>44586</v>
      </c>
      <c r="E628" s="1" t="n">
        <v>46326</v>
      </c>
      <c r="F628" t="inlineStr">
        <is>
          <t>STOCKHOLMS LÄN</t>
        </is>
      </c>
      <c r="G628" t="inlineStr">
        <is>
          <t>SÖDERTÄLJE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12816-2022</t>
        </is>
      </c>
      <c r="B629" t="inlineStr">
        <is>
          <t>avverkningsanmälan</t>
        </is>
      </c>
      <c r="C629" t="inlineStr">
        <is>
          <t>Föryngringsavverkning</t>
        </is>
      </c>
      <c r="D629" s="1" t="n">
        <v>44642</v>
      </c>
      <c r="E629" s="1" t="n">
        <v>46326</v>
      </c>
      <c r="F629" t="inlineStr">
        <is>
          <t>STOCKHOLMS LÄN</t>
        </is>
      </c>
      <c r="G629" t="inlineStr">
        <is>
          <t>NORRTÄLJE</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1910-2022</t>
        </is>
      </c>
      <c r="B630" t="inlineStr">
        <is>
          <t>avverkningsanmälan</t>
        </is>
      </c>
      <c r="C630" t="inlineStr">
        <is>
          <t>Föryngringsavverkning</t>
        </is>
      </c>
      <c r="D630" s="1" t="n">
        <v>44575</v>
      </c>
      <c r="E630" s="1" t="n">
        <v>46326</v>
      </c>
      <c r="F630" t="inlineStr">
        <is>
          <t>STOCKHOLMS LÄN</t>
        </is>
      </c>
      <c r="G630" t="inlineStr">
        <is>
          <t>ÖSTERÅKER</t>
        </is>
      </c>
      <c r="H630" t="inlineStr">
        <is>
          <t>Övriga Aktiebolag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3681-2022</t>
        </is>
      </c>
      <c r="B631" t="inlineStr">
        <is>
          <t>avverkningsanmälan</t>
        </is>
      </c>
      <c r="C631" t="inlineStr">
        <is>
          <t>Föryngringsavverkning</t>
        </is>
      </c>
      <c r="D631" s="1" t="n">
        <v>44586</v>
      </c>
      <c r="E631" s="1" t="n">
        <v>46326</v>
      </c>
      <c r="F631" t="inlineStr">
        <is>
          <t>STOCKHOLMS LÄN</t>
        </is>
      </c>
      <c r="G631" t="inlineStr">
        <is>
          <t>BOTKYRKA</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31807-2022</t>
        </is>
      </c>
      <c r="B632" t="inlineStr">
        <is>
          <t>avverkningsanmälan</t>
        </is>
      </c>
      <c r="C632" t="inlineStr">
        <is>
          <t>Föryngringsavverkning</t>
        </is>
      </c>
      <c r="D632" s="1" t="n">
        <v>44776</v>
      </c>
      <c r="E632" s="1" t="n">
        <v>46326</v>
      </c>
      <c r="F632" t="inlineStr">
        <is>
          <t>STOCKHOLMS LÄN</t>
        </is>
      </c>
      <c r="G632" t="inlineStr">
        <is>
          <t>NORRTÄLJE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16242-2022</t>
        </is>
      </c>
      <c r="B633" t="inlineStr">
        <is>
          <t>avverkningsanmälan</t>
        </is>
      </c>
      <c r="C633" t="inlineStr">
        <is>
          <t>Föryngringsavverkning</t>
        </is>
      </c>
      <c r="D633" s="1" t="n">
        <v>44670</v>
      </c>
      <c r="E633" s="1" t="n">
        <v>46326</v>
      </c>
      <c r="F633" t="inlineStr">
        <is>
          <t>STOCKHOLMS LÄN</t>
        </is>
      </c>
      <c r="G633" t="inlineStr">
        <is>
          <t>EKERÖ</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72508-2021</t>
        </is>
      </c>
      <c r="B634" t="inlineStr">
        <is>
          <t>avverkningsanmälan</t>
        </is>
      </c>
      <c r="C634" t="inlineStr">
        <is>
          <t>Föryngringsavverkning</t>
        </is>
      </c>
      <c r="D634" s="1" t="n">
        <v>44544</v>
      </c>
      <c r="E634" s="1" t="n">
        <v>46326</v>
      </c>
      <c r="F634" t="inlineStr">
        <is>
          <t>STOCKHOLMS LÄN</t>
        </is>
      </c>
      <c r="G634" t="inlineStr">
        <is>
          <t>ÖSTERÅKER</t>
        </is>
      </c>
      <c r="H634" t="inlineStr">
        <is>
          <t>Övriga Aktiebolag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72523-2021</t>
        </is>
      </c>
      <c r="B635" t="inlineStr">
        <is>
          <t>avverkningsanmälan</t>
        </is>
      </c>
      <c r="C635" t="inlineStr">
        <is>
          <t>Föryngringsavverkning</t>
        </is>
      </c>
      <c r="D635" s="1" t="n">
        <v>44546</v>
      </c>
      <c r="E635" s="1" t="n">
        <v>46326</v>
      </c>
      <c r="F635" t="inlineStr">
        <is>
          <t>STOCKHOLMS LÄN</t>
        </is>
      </c>
      <c r="G635" t="inlineStr">
        <is>
          <t>UPPLANDS-BRO</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28209-2022</t>
        </is>
      </c>
      <c r="B636" t="inlineStr">
        <is>
          <t>avverkningsanmälan</t>
        </is>
      </c>
      <c r="C636" t="inlineStr">
        <is>
          <t>Föryngringsavverkning</t>
        </is>
      </c>
      <c r="D636" s="1" t="n">
        <v>44746</v>
      </c>
      <c r="E636" s="1" t="n">
        <v>46326</v>
      </c>
      <c r="F636" t="inlineStr">
        <is>
          <t>STOCKHOLMS LÄN</t>
        </is>
      </c>
      <c r="G636" t="inlineStr">
        <is>
          <t>NORRTÄLJE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71876-2021</t>
        </is>
      </c>
      <c r="B637" t="inlineStr">
        <is>
          <t>avverkningsanmälan</t>
        </is>
      </c>
      <c r="C637" t="inlineStr">
        <is>
          <t>Föryngringsavverkning</t>
        </is>
      </c>
      <c r="D637" s="1" t="n">
        <v>44543</v>
      </c>
      <c r="E637" s="1" t="n">
        <v>46326</v>
      </c>
      <c r="F637" t="inlineStr">
        <is>
          <t>STOCKHOLMS LÄN</t>
        </is>
      </c>
      <c r="G637" t="inlineStr">
        <is>
          <t>NORRTÄLJE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71878-2021</t>
        </is>
      </c>
      <c r="B638" t="inlineStr">
        <is>
          <t>avverkningsanmälan</t>
        </is>
      </c>
      <c r="C638" t="inlineStr">
        <is>
          <t>Föryngringsavverkning</t>
        </is>
      </c>
      <c r="D638" s="1" t="n">
        <v>44543</v>
      </c>
      <c r="E638" s="1" t="n">
        <v>46326</v>
      </c>
      <c r="F638" t="inlineStr">
        <is>
          <t>STOCKHOLMS LÄN</t>
        </is>
      </c>
      <c r="G638" t="inlineStr">
        <is>
          <t>NORRTÄLJE</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74173-2021</t>
        </is>
      </c>
      <c r="B639" t="inlineStr">
        <is>
          <t>avverkningsanmälan</t>
        </is>
      </c>
      <c r="C639" t="inlineStr">
        <is>
          <t>Föryngringsavverkning</t>
        </is>
      </c>
      <c r="D639" s="1" t="n">
        <v>44558</v>
      </c>
      <c r="E639" s="1" t="n">
        <v>46326</v>
      </c>
      <c r="F639" t="inlineStr">
        <is>
          <t>STOCKHOLMS LÄN</t>
        </is>
      </c>
      <c r="G639" t="inlineStr">
        <is>
          <t>NYKVARN</t>
        </is>
      </c>
      <c r="H639" t="inlineStr">
        <is>
          <t>Allmännings- och besparingsskogar</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45501-2022</t>
        </is>
      </c>
      <c r="B640" t="inlineStr">
        <is>
          <t>avverkningsanmälan</t>
        </is>
      </c>
      <c r="C640" t="inlineStr">
        <is>
          <t>Föryngringsavverkning</t>
        </is>
      </c>
      <c r="D640" s="1" t="n">
        <v>44845</v>
      </c>
      <c r="E640" s="1" t="n">
        <v>46326</v>
      </c>
      <c r="F640" t="inlineStr">
        <is>
          <t>STOCKHOLMS LÄN</t>
        </is>
      </c>
      <c r="G640" t="inlineStr">
        <is>
          <t>HANINGE</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45539-2022</t>
        </is>
      </c>
      <c r="B641" t="inlineStr">
        <is>
          <t>avverkningsanmälan</t>
        </is>
      </c>
      <c r="C641" t="inlineStr">
        <is>
          <t>Föryngringsavverkning</t>
        </is>
      </c>
      <c r="D641" s="1" t="n">
        <v>44845</v>
      </c>
      <c r="E641" s="1" t="n">
        <v>46326</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28959-2022</t>
        </is>
      </c>
      <c r="B642" t="inlineStr">
        <is>
          <t>avverkningsanmälan</t>
        </is>
      </c>
      <c r="C642" t="inlineStr">
        <is>
          <t>Föryngringsavverkning</t>
        </is>
      </c>
      <c r="D642" s="1" t="n">
        <v>44749</v>
      </c>
      <c r="E642" s="1" t="n">
        <v>46326</v>
      </c>
      <c r="F642" t="inlineStr">
        <is>
          <t>STOCKHOLMS LÄN</t>
        </is>
      </c>
      <c r="G642" t="inlineStr">
        <is>
          <t>NORRTÄLJE</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54355-2022</t>
        </is>
      </c>
      <c r="B643" t="inlineStr">
        <is>
          <t>avverkningsanmälan</t>
        </is>
      </c>
      <c r="C643" t="inlineStr">
        <is>
          <t>Avverkning för annat ändamål</t>
        </is>
      </c>
      <c r="D643" s="1" t="n">
        <v>44882</v>
      </c>
      <c r="E643" s="1" t="n">
        <v>46326</v>
      </c>
      <c r="F643" t="inlineStr">
        <is>
          <t>STOCKHOLMS LÄN</t>
        </is>
      </c>
      <c r="G643" t="inlineStr">
        <is>
          <t>NORRTÄLJE</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178-2022</t>
        </is>
      </c>
      <c r="B644" t="inlineStr">
        <is>
          <t>avverkningsanmälan</t>
        </is>
      </c>
      <c r="C644" t="inlineStr">
        <is>
          <t>Föryngringsavverkning</t>
        </is>
      </c>
      <c r="D644" s="1" t="n">
        <v>44560</v>
      </c>
      <c r="E644" s="1" t="n">
        <v>46326</v>
      </c>
      <c r="F644" t="inlineStr">
        <is>
          <t>STOCKHOLMS LÄN</t>
        </is>
      </c>
      <c r="G644" t="inlineStr">
        <is>
          <t>VALLENTUNA</t>
        </is>
      </c>
      <c r="H644" t="inlineStr">
        <is>
          <t>Övriga Aktiebolag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72308-2021</t>
        </is>
      </c>
      <c r="B645" t="inlineStr">
        <is>
          <t>avverkningsanmälan</t>
        </is>
      </c>
      <c r="C645" t="inlineStr">
        <is>
          <t>Föryngringsavverkning</t>
        </is>
      </c>
      <c r="D645" s="1" t="n">
        <v>44545</v>
      </c>
      <c r="E645" s="1" t="n">
        <v>46326</v>
      </c>
      <c r="F645" t="inlineStr">
        <is>
          <t>STOCKHOLMS LÄN</t>
        </is>
      </c>
      <c r="G645" t="inlineStr">
        <is>
          <t>NORRTÄLJE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3592-2022</t>
        </is>
      </c>
      <c r="B646" t="inlineStr">
        <is>
          <t>avverkningsanmälan</t>
        </is>
      </c>
      <c r="C646" t="inlineStr">
        <is>
          <t>Föryngringsavverkning</t>
        </is>
      </c>
      <c r="D646" s="1" t="n">
        <v>44586</v>
      </c>
      <c r="E646" s="1" t="n">
        <v>46326</v>
      </c>
      <c r="F646" t="inlineStr">
        <is>
          <t>STOCKHOLMS LÄN</t>
        </is>
      </c>
      <c r="G646" t="inlineStr">
        <is>
          <t>SÖDERTÄLJE</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20604-2022</t>
        </is>
      </c>
      <c r="B647" t="inlineStr">
        <is>
          <t>avverkningsanmälan</t>
        </is>
      </c>
      <c r="C647" t="inlineStr">
        <is>
          <t>Föryngringsavverkning</t>
        </is>
      </c>
      <c r="D647" s="1" t="n">
        <v>44700</v>
      </c>
      <c r="E647" s="1" t="n">
        <v>46326</v>
      </c>
      <c r="F647" t="inlineStr">
        <is>
          <t>STOCKHOLMS LÄN</t>
        </is>
      </c>
      <c r="G647" t="inlineStr">
        <is>
          <t>UPPLANDS-BRO</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23770-2022</t>
        </is>
      </c>
      <c r="B648" t="inlineStr">
        <is>
          <t>avverkningsanmälan</t>
        </is>
      </c>
      <c r="C648" t="inlineStr">
        <is>
          <t>Föryngringsavverkning</t>
        </is>
      </c>
      <c r="D648" s="1" t="n">
        <v>44722</v>
      </c>
      <c r="E648" s="1" t="n">
        <v>46326</v>
      </c>
      <c r="F648" t="inlineStr">
        <is>
          <t>STOCKHOLMS LÄN</t>
        </is>
      </c>
      <c r="G648" t="inlineStr">
        <is>
          <t>NORRTÄLJE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27538-2022</t>
        </is>
      </c>
      <c r="B649" t="inlineStr">
        <is>
          <t>avverkningsanmälan</t>
        </is>
      </c>
      <c r="C649" t="inlineStr">
        <is>
          <t>Föryngringsavverkning</t>
        </is>
      </c>
      <c r="D649" s="1" t="n">
        <v>44742</v>
      </c>
      <c r="E649" s="1" t="n">
        <v>46326</v>
      </c>
      <c r="F649" t="inlineStr">
        <is>
          <t>STOCKHOLMS LÄN</t>
        </is>
      </c>
      <c r="G649" t="inlineStr">
        <is>
          <t>NORRTÄLJE</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36975-2022</t>
        </is>
      </c>
      <c r="B650" t="inlineStr">
        <is>
          <t>avverkningsanmälan</t>
        </is>
      </c>
      <c r="C650" t="inlineStr">
        <is>
          <t>Föryngringsavverkning</t>
        </is>
      </c>
      <c r="D650" s="1" t="n">
        <v>44806</v>
      </c>
      <c r="E650" s="1" t="n">
        <v>46326</v>
      </c>
      <c r="F650" t="inlineStr">
        <is>
          <t>STOCKHOLMS LÄN</t>
        </is>
      </c>
      <c r="G650" t="inlineStr">
        <is>
          <t>NORRTÄLJE</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29868-2022</t>
        </is>
      </c>
      <c r="B651" t="inlineStr">
        <is>
          <t>avverkningsanmälan</t>
        </is>
      </c>
      <c r="C651" t="inlineStr">
        <is>
          <t>Föryngringsavverkning</t>
        </is>
      </c>
      <c r="D651" s="1" t="n">
        <v>44756</v>
      </c>
      <c r="E651" s="1" t="n">
        <v>46326</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64599-2021</t>
        </is>
      </c>
      <c r="B652" t="inlineStr">
        <is>
          <t>avverkningsanmälan</t>
        </is>
      </c>
      <c r="C652" t="inlineStr">
        <is>
          <t>Föryngringsavverkning</t>
        </is>
      </c>
      <c r="D652" s="1" t="n">
        <v>44511</v>
      </c>
      <c r="E652" s="1" t="n">
        <v>46326</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45498-2022</t>
        </is>
      </c>
      <c r="B653" t="inlineStr">
        <is>
          <t>avverkningsanmälan</t>
        </is>
      </c>
      <c r="C653" t="inlineStr">
        <is>
          <t>Föryngringsavverkning</t>
        </is>
      </c>
      <c r="D653" s="1" t="n">
        <v>44845</v>
      </c>
      <c r="E653" s="1" t="n">
        <v>46326</v>
      </c>
      <c r="F653" t="inlineStr">
        <is>
          <t>STOCKHOLMS LÄN</t>
        </is>
      </c>
      <c r="G653" t="inlineStr">
        <is>
          <t>HANINGE</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64212-2021</t>
        </is>
      </c>
      <c r="B654" t="inlineStr">
        <is>
          <t>avverkningsanmälan</t>
        </is>
      </c>
      <c r="C654" t="inlineStr">
        <is>
          <t>Avverkning för att bevara och utveckla /försöksver</t>
        </is>
      </c>
      <c r="D654" s="1" t="n">
        <v>44510</v>
      </c>
      <c r="E654" s="1" t="n">
        <v>46326</v>
      </c>
      <c r="F654" t="inlineStr">
        <is>
          <t>STOCKHOLMS LÄN</t>
        </is>
      </c>
      <c r="G654" t="inlineStr">
        <is>
          <t>NORRTÄLJE</t>
        </is>
      </c>
      <c r="I654" t="n">
        <v>28.7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71317-2021</t>
        </is>
      </c>
      <c r="B655" t="inlineStr">
        <is>
          <t>avverkningsanmälan</t>
        </is>
      </c>
      <c r="C655" t="inlineStr">
        <is>
          <t>Föryngringsavverkning</t>
        </is>
      </c>
      <c r="D655" s="1" t="n">
        <v>44539</v>
      </c>
      <c r="E655" s="1" t="n">
        <v>46326</v>
      </c>
      <c r="F655" t="inlineStr">
        <is>
          <t>STOCKHOLMS LÄN</t>
        </is>
      </c>
      <c r="G655" t="inlineStr">
        <is>
          <t>VÄRMDÖ</t>
        </is>
      </c>
      <c r="H655" t="inlineStr">
        <is>
          <t>Övriga Aktiebolag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242-2022</t>
        </is>
      </c>
      <c r="B656" t="inlineStr">
        <is>
          <t>avverkningsanmälan</t>
        </is>
      </c>
      <c r="C656" t="inlineStr">
        <is>
          <t>Föryngringsavverkning</t>
        </is>
      </c>
      <c r="D656" s="1" t="n">
        <v>44560</v>
      </c>
      <c r="E656" s="1" t="n">
        <v>46326</v>
      </c>
      <c r="F656" t="inlineStr">
        <is>
          <t>STOCKHOLMS LÄN</t>
        </is>
      </c>
      <c r="G656" t="inlineStr">
        <is>
          <t>VALLENTUNA</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3838-2022</t>
        </is>
      </c>
      <c r="B657" t="inlineStr">
        <is>
          <t>avverkningsanmälan</t>
        </is>
      </c>
      <c r="C657" t="inlineStr">
        <is>
          <t>Föryngringsavverkning</t>
        </is>
      </c>
      <c r="D657" s="1" t="n">
        <v>44587</v>
      </c>
      <c r="E657" s="1" t="n">
        <v>46326</v>
      </c>
      <c r="F657" t="inlineStr">
        <is>
          <t>STOCKHOLMS LÄN</t>
        </is>
      </c>
      <c r="G657" t="inlineStr">
        <is>
          <t>UPPLANDS-BRO</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50970-2022</t>
        </is>
      </c>
      <c r="B658" t="inlineStr">
        <is>
          <t>avverkningsanmälan</t>
        </is>
      </c>
      <c r="C658" t="inlineStr">
        <is>
          <t>Föryngringsavverkning</t>
        </is>
      </c>
      <c r="D658" s="1" t="n">
        <v>44867</v>
      </c>
      <c r="E658" s="1" t="n">
        <v>46326</v>
      </c>
      <c r="F658" t="inlineStr">
        <is>
          <t>STOCKHOLMS LÄN</t>
        </is>
      </c>
      <c r="G658" t="inlineStr">
        <is>
          <t>NORRTÄLJE</t>
        </is>
      </c>
      <c r="I658" t="n">
        <v>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15131-2022</t>
        </is>
      </c>
      <c r="B659" t="inlineStr">
        <is>
          <t>avverkningsanmälan</t>
        </is>
      </c>
      <c r="C659" t="inlineStr">
        <is>
          <t>Föryngringsavverkning</t>
        </is>
      </c>
      <c r="D659" s="1" t="n">
        <v>44658</v>
      </c>
      <c r="E659" s="1" t="n">
        <v>46326</v>
      </c>
      <c r="F659" t="inlineStr">
        <is>
          <t>STOCKHOLMS LÄN</t>
        </is>
      </c>
      <c r="G659" t="inlineStr">
        <is>
          <t>ÖSTERÅKER</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48667-2022</t>
        </is>
      </c>
      <c r="B660" t="inlineStr">
        <is>
          <t>avverkningsanmälan</t>
        </is>
      </c>
      <c r="C660" t="inlineStr">
        <is>
          <t>Föryngringsavverkning</t>
        </is>
      </c>
      <c r="D660" s="1" t="n">
        <v>44859</v>
      </c>
      <c r="E660" s="1" t="n">
        <v>46326</v>
      </c>
      <c r="F660" t="inlineStr">
        <is>
          <t>STOCKHOLMS LÄN</t>
        </is>
      </c>
      <c r="G660" t="inlineStr">
        <is>
          <t>BOTKYRKA</t>
        </is>
      </c>
      <c r="H660" t="inlineStr">
        <is>
          <t>Övriga Aktiebolag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1053-2022</t>
        </is>
      </c>
      <c r="B661" t="inlineStr">
        <is>
          <t>avverkningsanmälan</t>
        </is>
      </c>
      <c r="C661" t="inlineStr">
        <is>
          <t>Föryngringsavverkning</t>
        </is>
      </c>
      <c r="D661" s="1" t="n">
        <v>44571</v>
      </c>
      <c r="E661" s="1" t="n">
        <v>46326</v>
      </c>
      <c r="F661" t="inlineStr">
        <is>
          <t>STOCKHOLMS LÄN</t>
        </is>
      </c>
      <c r="G661" t="inlineStr">
        <is>
          <t>UPPLANDS VÄSBY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19608-2022</t>
        </is>
      </c>
      <c r="B662" t="inlineStr">
        <is>
          <t>avverkningsanmälan</t>
        </is>
      </c>
      <c r="C662" t="inlineStr">
        <is>
          <t>Föryngringsavverkning</t>
        </is>
      </c>
      <c r="D662" s="1" t="n">
        <v>44693</v>
      </c>
      <c r="E662" s="1" t="n">
        <v>46326</v>
      </c>
      <c r="F662" t="inlineStr">
        <is>
          <t>STOCKHOLMS LÄN</t>
        </is>
      </c>
      <c r="G662" t="inlineStr">
        <is>
          <t>NYKVARN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64628-2021</t>
        </is>
      </c>
      <c r="B663" t="inlineStr">
        <is>
          <t>avverkningsanmälan</t>
        </is>
      </c>
      <c r="C663" t="inlineStr">
        <is>
          <t>Föryngringsavverkning</t>
        </is>
      </c>
      <c r="D663" s="1" t="n">
        <v>44511</v>
      </c>
      <c r="E663" s="1" t="n">
        <v>46326</v>
      </c>
      <c r="F663" t="inlineStr">
        <is>
          <t>STOCKHOLMS LÄN</t>
        </is>
      </c>
      <c r="G663" t="inlineStr">
        <is>
          <t>NORRTÄLJE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71318-2021</t>
        </is>
      </c>
      <c r="B664" t="inlineStr">
        <is>
          <t>avverkningsanmälan</t>
        </is>
      </c>
      <c r="C664" t="inlineStr">
        <is>
          <t>Föryngringsavverkning</t>
        </is>
      </c>
      <c r="D664" s="1" t="n">
        <v>44539</v>
      </c>
      <c r="E664" s="1" t="n">
        <v>46326</v>
      </c>
      <c r="F664" t="inlineStr">
        <is>
          <t>STOCKHOLMS LÄN</t>
        </is>
      </c>
      <c r="G664" t="inlineStr">
        <is>
          <t>VÄRMDÖ</t>
        </is>
      </c>
      <c r="H664" t="inlineStr">
        <is>
          <t>Övriga Aktiebolag</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17803-2022</t>
        </is>
      </c>
      <c r="B665" t="inlineStr">
        <is>
          <t>avverkningsanmälan</t>
        </is>
      </c>
      <c r="C665" t="inlineStr">
        <is>
          <t>Föryngringsavverkning</t>
        </is>
      </c>
      <c r="D665" s="1" t="n">
        <v>44683</v>
      </c>
      <c r="E665" s="1" t="n">
        <v>46326</v>
      </c>
      <c r="F665" t="inlineStr">
        <is>
          <t>STOCKHOLMS LÄN</t>
        </is>
      </c>
      <c r="G665" t="inlineStr">
        <is>
          <t>NORRTÄLJE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24656-2022</t>
        </is>
      </c>
      <c r="B666" t="inlineStr">
        <is>
          <t>avverkningsanmälan</t>
        </is>
      </c>
      <c r="C666" t="inlineStr">
        <is>
          <t>Föryngringsavverkning</t>
        </is>
      </c>
      <c r="D666" s="1" t="n">
        <v>44726</v>
      </c>
      <c r="E666" s="1" t="n">
        <v>46326</v>
      </c>
      <c r="F666" t="inlineStr">
        <is>
          <t>STOCKHOLMS LÄN</t>
        </is>
      </c>
      <c r="G666" t="inlineStr">
        <is>
          <t>NYKVARN</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71325-2021</t>
        </is>
      </c>
      <c r="B667" t="inlineStr">
        <is>
          <t>avverkningsanmälan</t>
        </is>
      </c>
      <c r="C667" t="inlineStr">
        <is>
          <t>Föryngringsavverkning</t>
        </is>
      </c>
      <c r="D667" s="1" t="n">
        <v>44539</v>
      </c>
      <c r="E667" s="1" t="n">
        <v>46326</v>
      </c>
      <c r="F667" t="inlineStr">
        <is>
          <t>STOCKHOLMS LÄN</t>
        </is>
      </c>
      <c r="G667" t="inlineStr">
        <is>
          <t>NORRTÄLJE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19934-2022</t>
        </is>
      </c>
      <c r="B668" t="inlineStr">
        <is>
          <t>avverkningsanmälan</t>
        </is>
      </c>
      <c r="C668" t="inlineStr">
        <is>
          <t>Föryngringsavverkning</t>
        </is>
      </c>
      <c r="D668" s="1" t="n">
        <v>44697</v>
      </c>
      <c r="E668" s="1" t="n">
        <v>46326</v>
      </c>
      <c r="F668" t="inlineStr">
        <is>
          <t>STOCKHOLMS LÄN</t>
        </is>
      </c>
      <c r="G668" t="inlineStr">
        <is>
          <t>ÖSTERÅKER</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19944-2022</t>
        </is>
      </c>
      <c r="B669" t="inlineStr">
        <is>
          <t>avverkningsanmälan</t>
        </is>
      </c>
      <c r="C669" t="inlineStr">
        <is>
          <t>Föryngringsavverkning</t>
        </is>
      </c>
      <c r="D669" s="1" t="n">
        <v>44697</v>
      </c>
      <c r="E669" s="1" t="n">
        <v>46326</v>
      </c>
      <c r="F669" t="inlineStr">
        <is>
          <t>STOCKHOLMS LÄN</t>
        </is>
      </c>
      <c r="G669" t="inlineStr">
        <is>
          <t>ÖSTERÅKER</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65611-2021</t>
        </is>
      </c>
      <c r="B670" t="inlineStr">
        <is>
          <t>avverkningsanmälan</t>
        </is>
      </c>
      <c r="C670" t="inlineStr">
        <is>
          <t>Föryngringsavverkning</t>
        </is>
      </c>
      <c r="D670" s="1" t="n">
        <v>44516</v>
      </c>
      <c r="E670" s="1" t="n">
        <v>46326</v>
      </c>
      <c r="F670" t="inlineStr">
        <is>
          <t>STOCKHOLMS LÄN</t>
        </is>
      </c>
      <c r="G670" t="inlineStr">
        <is>
          <t>NORRTÄLJE</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20641-2022</t>
        </is>
      </c>
      <c r="B671" t="inlineStr">
        <is>
          <t>avverkningsanmälan</t>
        </is>
      </c>
      <c r="C671" t="inlineStr">
        <is>
          <t>Föryngringsavverkning</t>
        </is>
      </c>
      <c r="D671" s="1" t="n">
        <v>44700</v>
      </c>
      <c r="E671" s="1" t="n">
        <v>46326</v>
      </c>
      <c r="F671" t="inlineStr">
        <is>
          <t>STOCKHOLMS LÄN</t>
        </is>
      </c>
      <c r="G671" t="inlineStr">
        <is>
          <t>VÄRMDÖ</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19652-2022</t>
        </is>
      </c>
      <c r="B672" t="inlineStr">
        <is>
          <t>avverkningsanmälan</t>
        </is>
      </c>
      <c r="C672" t="inlineStr">
        <is>
          <t>Avverkning för annat ändamål</t>
        </is>
      </c>
      <c r="D672" s="1" t="n">
        <v>44694</v>
      </c>
      <c r="E672" s="1" t="n">
        <v>46326</v>
      </c>
      <c r="F672" t="inlineStr">
        <is>
          <t>STOCKHOLMS LÄN</t>
        </is>
      </c>
      <c r="G672" t="inlineStr">
        <is>
          <t>HANINGE</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865-2022</t>
        </is>
      </c>
      <c r="B673" t="inlineStr">
        <is>
          <t>avverkningsanmälan</t>
        </is>
      </c>
      <c r="C673" t="inlineStr">
        <is>
          <t>Föryngringsavverkning</t>
        </is>
      </c>
      <c r="D673" s="1" t="n">
        <v>44569</v>
      </c>
      <c r="E673" s="1" t="n">
        <v>46326</v>
      </c>
      <c r="F673" t="inlineStr">
        <is>
          <t>STOCKHOLMS LÄN</t>
        </is>
      </c>
      <c r="G673" t="inlineStr">
        <is>
          <t>ÖSTERÅKER</t>
        </is>
      </c>
      <c r="H673" t="inlineStr">
        <is>
          <t>Övriga Aktiebolag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838-2022</t>
        </is>
      </c>
      <c r="B674" t="inlineStr">
        <is>
          <t>avverkningsanmälan</t>
        </is>
      </c>
      <c r="C674" t="inlineStr">
        <is>
          <t>Föryngringsavverkning</t>
        </is>
      </c>
      <c r="D674" s="1" t="n">
        <v>44569</v>
      </c>
      <c r="E674" s="1" t="n">
        <v>46326</v>
      </c>
      <c r="F674" t="inlineStr">
        <is>
          <t>STOCKHOLMS LÄN</t>
        </is>
      </c>
      <c r="G674" t="inlineStr">
        <is>
          <t>ÖSTERÅKER</t>
        </is>
      </c>
      <c r="H674" t="inlineStr">
        <is>
          <t>Övriga Aktiebolag</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72097-2021</t>
        </is>
      </c>
      <c r="B675" t="inlineStr">
        <is>
          <t>avverkningsanmälan</t>
        </is>
      </c>
      <c r="C675" t="inlineStr">
        <is>
          <t>Föryngringsavverkning</t>
        </is>
      </c>
      <c r="D675" s="1" t="n">
        <v>44544</v>
      </c>
      <c r="E675" s="1" t="n">
        <v>46326</v>
      </c>
      <c r="F675" t="inlineStr">
        <is>
          <t>STOCKHOLMS LÄN</t>
        </is>
      </c>
      <c r="G675" t="inlineStr">
        <is>
          <t>VÄRMDÖ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31697-2022</t>
        </is>
      </c>
      <c r="B676" t="inlineStr">
        <is>
          <t>avverkningsanmälan</t>
        </is>
      </c>
      <c r="C676" t="inlineStr">
        <is>
          <t>Avverkning för att bevara och utveckla /försöksver</t>
        </is>
      </c>
      <c r="D676" s="1" t="n">
        <v>44776</v>
      </c>
      <c r="E676" s="1" t="n">
        <v>46326</v>
      </c>
      <c r="F676" t="inlineStr">
        <is>
          <t>STOCKHOLMS LÄN</t>
        </is>
      </c>
      <c r="G676" t="inlineStr">
        <is>
          <t>SIGTUNA</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22316-2022</t>
        </is>
      </c>
      <c r="B677" t="inlineStr">
        <is>
          <t>avverkningsanmälan</t>
        </is>
      </c>
      <c r="C677" t="inlineStr">
        <is>
          <t>Föryngringsavverkning</t>
        </is>
      </c>
      <c r="D677" s="1" t="n">
        <v>44712</v>
      </c>
      <c r="E677" s="1" t="n">
        <v>46326</v>
      </c>
      <c r="F677" t="inlineStr">
        <is>
          <t>STOCKHOLMS LÄN</t>
        </is>
      </c>
      <c r="G677" t="inlineStr">
        <is>
          <t>NORRTÄLJE</t>
        </is>
      </c>
      <c r="I677" t="n">
        <v>6.3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7276-2022</t>
        </is>
      </c>
      <c r="B678" t="inlineStr">
        <is>
          <t>avverkningsanmälan</t>
        </is>
      </c>
      <c r="C678" t="inlineStr">
        <is>
          <t>Föryngringsavverkning</t>
        </is>
      </c>
      <c r="D678" s="1" t="n">
        <v>44606</v>
      </c>
      <c r="E678" s="1" t="n">
        <v>46326</v>
      </c>
      <c r="F678" t="inlineStr">
        <is>
          <t>STOCKHOLMS LÄN</t>
        </is>
      </c>
      <c r="G678" t="inlineStr">
        <is>
          <t>VALLENTUNA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31092-2022</t>
        </is>
      </c>
      <c r="B679" t="inlineStr">
        <is>
          <t>avverkningsanmälan</t>
        </is>
      </c>
      <c r="C679" t="inlineStr">
        <is>
          <t>Föryngringsavverkning</t>
        </is>
      </c>
      <c r="D679" s="1" t="n">
        <v>44769</v>
      </c>
      <c r="E679" s="1" t="n">
        <v>46326</v>
      </c>
      <c r="F679" t="inlineStr">
        <is>
          <t>STOCKHOLMS LÄN</t>
        </is>
      </c>
      <c r="G679" t="inlineStr">
        <is>
          <t>NORRTÄLJE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32828-2022</t>
        </is>
      </c>
      <c r="B680" t="inlineStr">
        <is>
          <t>avverkningsanmälan</t>
        </is>
      </c>
      <c r="C680" t="inlineStr">
        <is>
          <t>Föryngringsavverkning</t>
        </is>
      </c>
      <c r="D680" s="1" t="n">
        <v>44784</v>
      </c>
      <c r="E680" s="1" t="n">
        <v>46326</v>
      </c>
      <c r="F680" t="inlineStr">
        <is>
          <t>STOCKHOLMS LÄN</t>
        </is>
      </c>
      <c r="G680" t="inlineStr">
        <is>
          <t>BOTKYRKA</t>
        </is>
      </c>
      <c r="H680" t="inlineStr">
        <is>
          <t>Övriga Aktiebolag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71871-2021</t>
        </is>
      </c>
      <c r="B681" t="inlineStr">
        <is>
          <t>avverkningsanmälan</t>
        </is>
      </c>
      <c r="C681" t="inlineStr">
        <is>
          <t>Föryngringsavverkning</t>
        </is>
      </c>
      <c r="D681" s="1" t="n">
        <v>44543</v>
      </c>
      <c r="E681" s="1" t="n">
        <v>46326</v>
      </c>
      <c r="F681" t="inlineStr">
        <is>
          <t>STOCKHOLMS LÄN</t>
        </is>
      </c>
      <c r="G681" t="inlineStr">
        <is>
          <t>NORRTÄLJE</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71873-2021</t>
        </is>
      </c>
      <c r="B682" t="inlineStr">
        <is>
          <t>avverkningsanmälan</t>
        </is>
      </c>
      <c r="C682" t="inlineStr">
        <is>
          <t>Föryngringsavverkning</t>
        </is>
      </c>
      <c r="D682" s="1" t="n">
        <v>44543</v>
      </c>
      <c r="E682" s="1" t="n">
        <v>46326</v>
      </c>
      <c r="F682" t="inlineStr">
        <is>
          <t>STOCKHOLMS LÄN</t>
        </is>
      </c>
      <c r="G682" t="inlineStr">
        <is>
          <t>NORRTÄLJE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72355-2021</t>
        </is>
      </c>
      <c r="B683" t="inlineStr">
        <is>
          <t>avverkningsanmälan</t>
        </is>
      </c>
      <c r="C683" t="inlineStr">
        <is>
          <t>Avverkning för annat ändamål</t>
        </is>
      </c>
      <c r="D683" s="1" t="n">
        <v>44545</v>
      </c>
      <c r="E683" s="1" t="n">
        <v>46326</v>
      </c>
      <c r="F683" t="inlineStr">
        <is>
          <t>STOCKHOLMS LÄN</t>
        </is>
      </c>
      <c r="G683" t="inlineStr">
        <is>
          <t>NORRTÄLJE</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72357-2021</t>
        </is>
      </c>
      <c r="B684" t="inlineStr">
        <is>
          <t>avverkningsanmälan</t>
        </is>
      </c>
      <c r="C684" t="inlineStr">
        <is>
          <t>Avverkning för annat ändamål</t>
        </is>
      </c>
      <c r="D684" s="1" t="n">
        <v>44545</v>
      </c>
      <c r="E684" s="1" t="n">
        <v>46326</v>
      </c>
      <c r="F684" t="inlineStr">
        <is>
          <t>STOCKHOLMS LÄN</t>
        </is>
      </c>
      <c r="G684" t="inlineStr">
        <is>
          <t>NORRTÄLJE</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9988-2022</t>
        </is>
      </c>
      <c r="B685" t="inlineStr">
        <is>
          <t>avverkningsanmälan</t>
        </is>
      </c>
      <c r="C685" t="inlineStr">
        <is>
          <t>Föryngringsavverkning</t>
        </is>
      </c>
      <c r="D685" s="1" t="n">
        <v>44621</v>
      </c>
      <c r="E685" s="1" t="n">
        <v>46326</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44531-2022</t>
        </is>
      </c>
      <c r="B686" t="inlineStr">
        <is>
          <t>avverkningsanmälan</t>
        </is>
      </c>
      <c r="C686" t="inlineStr">
        <is>
          <t>Föryngringsavverkning</t>
        </is>
      </c>
      <c r="D686" s="1" t="n">
        <v>44840</v>
      </c>
      <c r="E686" s="1" t="n">
        <v>46326</v>
      </c>
      <c r="F686" t="inlineStr">
        <is>
          <t>STOCKHOLMS LÄN</t>
        </is>
      </c>
      <c r="G686" t="inlineStr">
        <is>
          <t>NYKVARN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12357-2022</t>
        </is>
      </c>
      <c r="B687" t="inlineStr">
        <is>
          <t>avverkningsanmälan</t>
        </is>
      </c>
      <c r="C687" t="inlineStr">
        <is>
          <t>Föryngringsavverkning</t>
        </is>
      </c>
      <c r="D687" s="1" t="n">
        <v>44637</v>
      </c>
      <c r="E687" s="1" t="n">
        <v>46326</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26335-2022</t>
        </is>
      </c>
      <c r="B688" t="inlineStr">
        <is>
          <t>avverkningsanmälan</t>
        </is>
      </c>
      <c r="C688" t="inlineStr">
        <is>
          <t>Föryngringsavverkning</t>
        </is>
      </c>
      <c r="D688" s="1" t="n">
        <v>44735</v>
      </c>
      <c r="E688" s="1" t="n">
        <v>46326</v>
      </c>
      <c r="F688" t="inlineStr">
        <is>
          <t>STOCKHOLMS LÄN</t>
        </is>
      </c>
      <c r="G688" t="inlineStr">
        <is>
          <t>NORRTÄLJE</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9767-2022</t>
        </is>
      </c>
      <c r="B689" t="inlineStr">
        <is>
          <t>avverkningsanmälan</t>
        </is>
      </c>
      <c r="C689" t="inlineStr">
        <is>
          <t>Föryngringsavverkning</t>
        </is>
      </c>
      <c r="D689" s="1" t="n">
        <v>44619</v>
      </c>
      <c r="E689" s="1" t="n">
        <v>46326</v>
      </c>
      <c r="F689" t="inlineStr">
        <is>
          <t>STOCKHOLMS LÄN</t>
        </is>
      </c>
      <c r="G689" t="inlineStr">
        <is>
          <t>SIGTUNA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30624-2022</t>
        </is>
      </c>
      <c r="B690" t="inlineStr">
        <is>
          <t>avverkningsanmälan</t>
        </is>
      </c>
      <c r="C690" t="inlineStr">
        <is>
          <t>Föryngringsavverkning</t>
        </is>
      </c>
      <c r="D690" s="1" t="n">
        <v>44763</v>
      </c>
      <c r="E690" s="1" t="n">
        <v>46326</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26328-2022</t>
        </is>
      </c>
      <c r="B691" t="inlineStr">
        <is>
          <t>avverkningsanmälan</t>
        </is>
      </c>
      <c r="C691" t="inlineStr">
        <is>
          <t>Föryngringsavverkning</t>
        </is>
      </c>
      <c r="D691" s="1" t="n">
        <v>44735</v>
      </c>
      <c r="E691" s="1" t="n">
        <v>46326</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73212-2021</t>
        </is>
      </c>
      <c r="B692" t="inlineStr">
        <is>
          <t>avverkningsanmälan</t>
        </is>
      </c>
      <c r="C692" t="inlineStr">
        <is>
          <t>Föryngringsavverkning</t>
        </is>
      </c>
      <c r="D692" s="1" t="n">
        <v>44550</v>
      </c>
      <c r="E692" s="1" t="n">
        <v>46326</v>
      </c>
      <c r="F692" t="inlineStr">
        <is>
          <t>STOCKHOLMS LÄN</t>
        </is>
      </c>
      <c r="G692" t="inlineStr">
        <is>
          <t>NYKVARN</t>
        </is>
      </c>
      <c r="H692" t="inlineStr">
        <is>
          <t>Allmännings- och besparingsskogar</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70850-2021</t>
        </is>
      </c>
      <c r="B693" t="inlineStr">
        <is>
          <t>avverkningsanmälan</t>
        </is>
      </c>
      <c r="C693" t="inlineStr">
        <is>
          <t>Föryngringsavverkning</t>
        </is>
      </c>
      <c r="D693" s="1" t="n">
        <v>44538</v>
      </c>
      <c r="E693" s="1" t="n">
        <v>46326</v>
      </c>
      <c r="F693" t="inlineStr">
        <is>
          <t>STOCKHOLMS LÄN</t>
        </is>
      </c>
      <c r="G693" t="inlineStr">
        <is>
          <t>NYNÄSHAMN</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67598-2021</t>
        </is>
      </c>
      <c r="B694" t="inlineStr">
        <is>
          <t>avverkningsanmälan</t>
        </is>
      </c>
      <c r="C694" t="inlineStr">
        <is>
          <t>Föryngringsavverkning</t>
        </is>
      </c>
      <c r="D694" s="1" t="n">
        <v>44524</v>
      </c>
      <c r="E694" s="1" t="n">
        <v>46326</v>
      </c>
      <c r="F694" t="inlineStr">
        <is>
          <t>STOCKHOLMS LÄN</t>
        </is>
      </c>
      <c r="G694" t="inlineStr">
        <is>
          <t>NORRTÄLJE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36063-2022</t>
        </is>
      </c>
      <c r="B695" t="inlineStr">
        <is>
          <t>avverkningsanmälan</t>
        </is>
      </c>
      <c r="C695" t="inlineStr">
        <is>
          <t>Föryngringsavverkning</t>
        </is>
      </c>
      <c r="D695" s="1" t="n">
        <v>44802</v>
      </c>
      <c r="E695" s="1" t="n">
        <v>46326</v>
      </c>
      <c r="F695" t="inlineStr">
        <is>
          <t>STOCKHOLMS LÄN</t>
        </is>
      </c>
      <c r="G695" t="inlineStr">
        <is>
          <t>EKERÖ</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3057-2022</t>
        </is>
      </c>
      <c r="B696" t="inlineStr">
        <is>
          <t>avverkningsanmälan</t>
        </is>
      </c>
      <c r="C696" t="inlineStr">
        <is>
          <t>Avverkning för annat ändamål</t>
        </is>
      </c>
      <c r="D696" s="1" t="n">
        <v>44582</v>
      </c>
      <c r="E696" s="1" t="n">
        <v>46326</v>
      </c>
      <c r="F696" t="inlineStr">
        <is>
          <t>STOCKHOLMS LÄN</t>
        </is>
      </c>
      <c r="G696" t="inlineStr">
        <is>
          <t>VÄRMDÖ</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41266-2022</t>
        </is>
      </c>
      <c r="B697" t="inlineStr">
        <is>
          <t>avverkningsanmälan</t>
        </is>
      </c>
      <c r="C697" t="inlineStr">
        <is>
          <t>Föryngringsavverkning</t>
        </is>
      </c>
      <c r="D697" s="1" t="n">
        <v>44825</v>
      </c>
      <c r="E697" s="1" t="n">
        <v>46326</v>
      </c>
      <c r="F697" t="inlineStr">
        <is>
          <t>STOCKHOLMS LÄN</t>
        </is>
      </c>
      <c r="G697" t="inlineStr">
        <is>
          <t>HANINGE</t>
        </is>
      </c>
      <c r="H697" t="inlineStr">
        <is>
          <t>Övriga statliga verk och myndigheter</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1968-2022</t>
        </is>
      </c>
      <c r="B698" t="inlineStr">
        <is>
          <t>avverkningsanmälan</t>
        </is>
      </c>
      <c r="C698" t="inlineStr">
        <is>
          <t>Föryngringsavverkning</t>
        </is>
      </c>
      <c r="D698" s="1" t="n">
        <v>44575</v>
      </c>
      <c r="E698" s="1" t="n">
        <v>46326</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28405-2022</t>
        </is>
      </c>
      <c r="B699" t="inlineStr">
        <is>
          <t>avverkningsanmälan</t>
        </is>
      </c>
      <c r="C699" t="inlineStr">
        <is>
          <t>Föryngringsavverkning</t>
        </is>
      </c>
      <c r="D699" s="1" t="n">
        <v>44747</v>
      </c>
      <c r="E699" s="1" t="n">
        <v>46326</v>
      </c>
      <c r="F699" t="inlineStr">
        <is>
          <t>STOCKHOLMS LÄN</t>
        </is>
      </c>
      <c r="G699" t="inlineStr">
        <is>
          <t>ÖSTERÅKER</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1229-2022</t>
        </is>
      </c>
      <c r="B700" t="inlineStr">
        <is>
          <t>avverkningsanmälan</t>
        </is>
      </c>
      <c r="C700" t="inlineStr">
        <is>
          <t>Föryngringsavverkning</t>
        </is>
      </c>
      <c r="D700" s="1" t="n">
        <v>44572</v>
      </c>
      <c r="E700" s="1" t="n">
        <v>46326</v>
      </c>
      <c r="F700" t="inlineStr">
        <is>
          <t>STOCKHOLMS LÄN</t>
        </is>
      </c>
      <c r="G700" t="inlineStr">
        <is>
          <t>NORRTÄLJE</t>
        </is>
      </c>
      <c r="I700" t="n">
        <v>11.5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14051-2022</t>
        </is>
      </c>
      <c r="B701" t="inlineStr">
        <is>
          <t>avverkningsanmälan</t>
        </is>
      </c>
      <c r="C701" t="inlineStr">
        <is>
          <t>Föryngringsavverkning</t>
        </is>
      </c>
      <c r="D701" s="1" t="n">
        <v>44650</v>
      </c>
      <c r="E701" s="1" t="n">
        <v>46326</v>
      </c>
      <c r="F701" t="inlineStr">
        <is>
          <t>STOCKHOLMS LÄN</t>
        </is>
      </c>
      <c r="G701" t="inlineStr">
        <is>
          <t>NORRTÄLJE</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17173-2022</t>
        </is>
      </c>
      <c r="B702" t="inlineStr">
        <is>
          <t>avverkningsanmälan</t>
        </is>
      </c>
      <c r="C702" t="inlineStr">
        <is>
          <t>Föryngringsavverkning</t>
        </is>
      </c>
      <c r="D702" s="1" t="n">
        <v>44677</v>
      </c>
      <c r="E702" s="1" t="n">
        <v>46326</v>
      </c>
      <c r="F702" t="inlineStr">
        <is>
          <t>STOCKHOLMS LÄN</t>
        </is>
      </c>
      <c r="G702" t="inlineStr">
        <is>
          <t>ÖSTERÅKER</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65340-2021</t>
        </is>
      </c>
      <c r="B703" t="inlineStr">
        <is>
          <t>avverkningsanmälan</t>
        </is>
      </c>
      <c r="C703" t="inlineStr">
        <is>
          <t>Avverkning för annat ändamål</t>
        </is>
      </c>
      <c r="D703" s="1" t="n">
        <v>44515</v>
      </c>
      <c r="E703" s="1" t="n">
        <v>46326</v>
      </c>
      <c r="F703" t="inlineStr">
        <is>
          <t>STOCKHOLMS LÄN</t>
        </is>
      </c>
      <c r="G703" t="inlineStr">
        <is>
          <t>SIGTUNA</t>
        </is>
      </c>
      <c r="H703" t="inlineStr">
        <is>
          <t>Kyrkan</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24167-2022</t>
        </is>
      </c>
      <c r="B704" t="inlineStr">
        <is>
          <t>avverkningsanmälan</t>
        </is>
      </c>
      <c r="C704" t="inlineStr">
        <is>
          <t>Föryngringsavverkning</t>
        </is>
      </c>
      <c r="D704" s="1" t="n">
        <v>44725</v>
      </c>
      <c r="E704" s="1" t="n">
        <v>46326</v>
      </c>
      <c r="F704" t="inlineStr">
        <is>
          <t>STOCKHOLMS LÄN</t>
        </is>
      </c>
      <c r="G704" t="inlineStr">
        <is>
          <t>NORRTÄLJE</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2732-2022</t>
        </is>
      </c>
      <c r="B705" t="inlineStr">
        <is>
          <t>avverkningsanmälan</t>
        </is>
      </c>
      <c r="C705" t="inlineStr">
        <is>
          <t>Föryngringsavverkning</t>
        </is>
      </c>
      <c r="D705" s="1" t="n">
        <v>44580</v>
      </c>
      <c r="E705" s="1" t="n">
        <v>46326</v>
      </c>
      <c r="F705" t="inlineStr">
        <is>
          <t>STOCKHOLMS LÄN</t>
        </is>
      </c>
      <c r="G705" t="inlineStr">
        <is>
          <t>NORRTÄLJE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73963-2021</t>
        </is>
      </c>
      <c r="B706" t="inlineStr">
        <is>
          <t>avverkningsanmälan</t>
        </is>
      </c>
      <c r="C706" t="inlineStr">
        <is>
          <t>Föryngringsavverkning</t>
        </is>
      </c>
      <c r="D706" s="1" t="n">
        <v>44553</v>
      </c>
      <c r="E706" s="1" t="n">
        <v>46326</v>
      </c>
      <c r="F706" t="inlineStr">
        <is>
          <t>STOCKHOLMS LÄN</t>
        </is>
      </c>
      <c r="G706" t="inlineStr">
        <is>
          <t>NYNÄSHAMN</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73966-2021</t>
        </is>
      </c>
      <c r="B707" t="inlineStr">
        <is>
          <t>avverkningsanmälan</t>
        </is>
      </c>
      <c r="C707" t="inlineStr">
        <is>
          <t>Föryngringsavverkning</t>
        </is>
      </c>
      <c r="D707" s="1" t="n">
        <v>44553</v>
      </c>
      <c r="E707" s="1" t="n">
        <v>46326</v>
      </c>
      <c r="F707" t="inlineStr">
        <is>
          <t>STOCKHOLMS LÄN</t>
        </is>
      </c>
      <c r="G707" t="inlineStr">
        <is>
          <t>NYNÄSHAMN</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73967-2021</t>
        </is>
      </c>
      <c r="B708" t="inlineStr">
        <is>
          <t>avverkningsanmälan</t>
        </is>
      </c>
      <c r="C708" t="inlineStr">
        <is>
          <t>Föryngringsavverkning</t>
        </is>
      </c>
      <c r="D708" s="1" t="n">
        <v>44553</v>
      </c>
      <c r="E708" s="1" t="n">
        <v>46326</v>
      </c>
      <c r="F708" t="inlineStr">
        <is>
          <t>STOCKHOLMS LÄN</t>
        </is>
      </c>
      <c r="G708" t="inlineStr">
        <is>
          <t>NYNÄSHAMN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16119-2022</t>
        </is>
      </c>
      <c r="B709" t="inlineStr">
        <is>
          <t>avverkningsanmälan</t>
        </is>
      </c>
      <c r="C709" t="inlineStr">
        <is>
          <t>Föryngringsavverkning</t>
        </is>
      </c>
      <c r="D709" s="1" t="n">
        <v>44665</v>
      </c>
      <c r="E709" s="1" t="n">
        <v>46326</v>
      </c>
      <c r="F709" t="inlineStr">
        <is>
          <t>STOCKHOLMS LÄN</t>
        </is>
      </c>
      <c r="G709" t="inlineStr">
        <is>
          <t>NORRTÄLJE</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31924-2022</t>
        </is>
      </c>
      <c r="B710" t="inlineStr">
        <is>
          <t>avverkningsanmälan</t>
        </is>
      </c>
      <c r="C710" t="inlineStr">
        <is>
          <t>Föryngringsavverkning</t>
        </is>
      </c>
      <c r="D710" s="1" t="n">
        <v>44777</v>
      </c>
      <c r="E710" s="1" t="n">
        <v>46326</v>
      </c>
      <c r="F710" t="inlineStr">
        <is>
          <t>STOCKHOLMS LÄN</t>
        </is>
      </c>
      <c r="G710" t="inlineStr">
        <is>
          <t>NORRTÄLJE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13135-2022</t>
        </is>
      </c>
      <c r="B711" t="inlineStr">
        <is>
          <t>avverkningsanmälan</t>
        </is>
      </c>
      <c r="C711" t="inlineStr">
        <is>
          <t>Föryngringsavverkning</t>
        </is>
      </c>
      <c r="D711" s="1" t="n">
        <v>44643</v>
      </c>
      <c r="E711" s="1" t="n">
        <v>46326</v>
      </c>
      <c r="F711" t="inlineStr">
        <is>
          <t>STOCKHOLMS LÄN</t>
        </is>
      </c>
      <c r="G711" t="inlineStr">
        <is>
          <t>HANINGE</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10082-2022</t>
        </is>
      </c>
      <c r="B712" t="inlineStr">
        <is>
          <t>avverkningsanmälan</t>
        </is>
      </c>
      <c r="C712" t="inlineStr">
        <is>
          <t>Föryngringsavverkning</t>
        </is>
      </c>
      <c r="D712" s="1" t="n">
        <v>44621</v>
      </c>
      <c r="E712" s="1" t="n">
        <v>46326</v>
      </c>
      <c r="F712" t="inlineStr">
        <is>
          <t>STOCKHOLMS LÄN</t>
        </is>
      </c>
      <c r="G712" t="inlineStr">
        <is>
          <t>ÖSTERÅKER</t>
        </is>
      </c>
      <c r="I712" t="n">
        <v>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12270-2022</t>
        </is>
      </c>
      <c r="B713" t="inlineStr">
        <is>
          <t>avverkningsanmälan</t>
        </is>
      </c>
      <c r="C713" t="inlineStr">
        <is>
          <t>Föryngringsavverkning</t>
        </is>
      </c>
      <c r="D713" s="1" t="n">
        <v>44637</v>
      </c>
      <c r="E713" s="1" t="n">
        <v>46326</v>
      </c>
      <c r="F713" t="inlineStr">
        <is>
          <t>STOCKHOLMS LÄN</t>
        </is>
      </c>
      <c r="G713" t="inlineStr">
        <is>
          <t>NORRTÄLJE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30419-2022</t>
        </is>
      </c>
      <c r="B714" t="inlineStr">
        <is>
          <t>avverkningsanmälan</t>
        </is>
      </c>
      <c r="C714" t="inlineStr">
        <is>
          <t>Föryngringsavverkning</t>
        </is>
      </c>
      <c r="D714" s="1" t="n">
        <v>44761</v>
      </c>
      <c r="E714" s="1" t="n">
        <v>46326</v>
      </c>
      <c r="F714" t="inlineStr">
        <is>
          <t>STOCKHOLMS LÄN</t>
        </is>
      </c>
      <c r="G714" t="inlineStr">
        <is>
          <t>HANINGE</t>
        </is>
      </c>
      <c r="I714" t="n">
        <v>7.4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14543-2022</t>
        </is>
      </c>
      <c r="B715" t="inlineStr">
        <is>
          <t>avverkningsanmälan</t>
        </is>
      </c>
      <c r="C715" t="inlineStr">
        <is>
          <t>Föryngringsavverkning</t>
        </is>
      </c>
      <c r="D715" s="1" t="n">
        <v>44655</v>
      </c>
      <c r="E715" s="1" t="n">
        <v>46326</v>
      </c>
      <c r="F715" t="inlineStr">
        <is>
          <t>STOCKHOLMS LÄN</t>
        </is>
      </c>
      <c r="G715" t="inlineStr">
        <is>
          <t>NORRTÄLJE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24281-2022</t>
        </is>
      </c>
      <c r="B716" t="inlineStr">
        <is>
          <t>avverkningsanmälan</t>
        </is>
      </c>
      <c r="C716" t="inlineStr">
        <is>
          <t>Föryngringsavverkning</t>
        </is>
      </c>
      <c r="D716" s="1" t="n">
        <v>44725</v>
      </c>
      <c r="E716" s="1" t="n">
        <v>46326</v>
      </c>
      <c r="F716" t="inlineStr">
        <is>
          <t>STOCKHOLMS LÄN</t>
        </is>
      </c>
      <c r="G716" t="inlineStr">
        <is>
          <t>NYKVARN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5513-2022</t>
        </is>
      </c>
      <c r="B717" t="inlineStr">
        <is>
          <t>avverkningsanmälan</t>
        </is>
      </c>
      <c r="C717" t="inlineStr">
        <is>
          <t>Avverkning för annat ändamål</t>
        </is>
      </c>
      <c r="D717" s="1" t="n">
        <v>44595</v>
      </c>
      <c r="E717" s="1" t="n">
        <v>46326</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21472-2022</t>
        </is>
      </c>
      <c r="B718" t="inlineStr">
        <is>
          <t>avverkningsanmälan</t>
        </is>
      </c>
      <c r="C718" t="inlineStr">
        <is>
          <t>Föryngringsavverkning</t>
        </is>
      </c>
      <c r="D718" s="1" t="n">
        <v>44706</v>
      </c>
      <c r="E718" s="1" t="n">
        <v>46326</v>
      </c>
      <c r="F718" t="inlineStr">
        <is>
          <t>STOCKHOLMS LÄN</t>
        </is>
      </c>
      <c r="G718" t="inlineStr">
        <is>
          <t>NACKA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28042-2022</t>
        </is>
      </c>
      <c r="B719" t="inlineStr">
        <is>
          <t>avverkningsanmälan</t>
        </is>
      </c>
      <c r="C719" t="inlineStr">
        <is>
          <t>Avverkning för annat ändamål</t>
        </is>
      </c>
      <c r="D719" s="1" t="n">
        <v>44744</v>
      </c>
      <c r="E719" s="1" t="n">
        <v>46326</v>
      </c>
      <c r="F719" t="inlineStr">
        <is>
          <t>STOCKHOLMS LÄN</t>
        </is>
      </c>
      <c r="G719" t="inlineStr">
        <is>
          <t>NORRTÄLJE</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41398-2022</t>
        </is>
      </c>
      <c r="B720" t="inlineStr">
        <is>
          <t>avverkningsanmälan</t>
        </is>
      </c>
      <c r="C720" t="inlineStr">
        <is>
          <t>Föryngringsavverkning</t>
        </is>
      </c>
      <c r="D720" s="1" t="n">
        <v>44826</v>
      </c>
      <c r="E720" s="1" t="n">
        <v>46326</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28964-2022</t>
        </is>
      </c>
      <c r="B721" t="inlineStr">
        <is>
          <t>avverkningsanmälan</t>
        </is>
      </c>
      <c r="C721" t="inlineStr">
        <is>
          <t>Föryngringsavverkning</t>
        </is>
      </c>
      <c r="D721" s="1" t="n">
        <v>44749</v>
      </c>
      <c r="E721" s="1" t="n">
        <v>46326</v>
      </c>
      <c r="F721" t="inlineStr">
        <is>
          <t>STOCKHOLMS LÄN</t>
        </is>
      </c>
      <c r="G721" t="inlineStr">
        <is>
          <t>ÖSTERÅKER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45541-2022</t>
        </is>
      </c>
      <c r="B722" t="inlineStr">
        <is>
          <t>avverkningsanmälan</t>
        </is>
      </c>
      <c r="C722" t="inlineStr">
        <is>
          <t>Föryngringsavverkning</t>
        </is>
      </c>
      <c r="D722" s="1" t="n">
        <v>44845</v>
      </c>
      <c r="E722" s="1" t="n">
        <v>46326</v>
      </c>
      <c r="F722" t="inlineStr">
        <is>
          <t>STOCKHOLMS LÄN</t>
        </is>
      </c>
      <c r="G722" t="inlineStr">
        <is>
          <t>NORRTÄLJE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68273-2021</t>
        </is>
      </c>
      <c r="B723" t="inlineStr">
        <is>
          <t>avverkningsanmälan</t>
        </is>
      </c>
      <c r="C723" t="inlineStr">
        <is>
          <t>Föryngringsavverkning</t>
        </is>
      </c>
      <c r="D723" s="1" t="n">
        <v>44526</v>
      </c>
      <c r="E723" s="1" t="n">
        <v>46326</v>
      </c>
      <c r="F723" t="inlineStr">
        <is>
          <t>STOCKHOLMS LÄN</t>
        </is>
      </c>
      <c r="G723" t="inlineStr">
        <is>
          <t>NORRTÄLJE</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73772-2021</t>
        </is>
      </c>
      <c r="B724" t="inlineStr">
        <is>
          <t>avverkningsanmälan</t>
        </is>
      </c>
      <c r="C724" t="inlineStr">
        <is>
          <t>Föryngringsavverkning</t>
        </is>
      </c>
      <c r="D724" s="1" t="n">
        <v>44552</v>
      </c>
      <c r="E724" s="1" t="n">
        <v>46326</v>
      </c>
      <c r="F724" t="inlineStr">
        <is>
          <t>STOCKHOLMS LÄN</t>
        </is>
      </c>
      <c r="G724" t="inlineStr">
        <is>
          <t>BOTKYRKA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16437-2022</t>
        </is>
      </c>
      <c r="B725" t="inlineStr">
        <is>
          <t>avverkningsanmälan</t>
        </is>
      </c>
      <c r="C725" t="inlineStr">
        <is>
          <t>Föryngringsavverkning</t>
        </is>
      </c>
      <c r="D725" s="1" t="n">
        <v>44671</v>
      </c>
      <c r="E725" s="1" t="n">
        <v>46326</v>
      </c>
      <c r="F725" t="inlineStr">
        <is>
          <t>STOCKHOLMS LÄN</t>
        </is>
      </c>
      <c r="G725" t="inlineStr">
        <is>
          <t>SÖDERTÄLJE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12875-2022</t>
        </is>
      </c>
      <c r="B726" t="inlineStr">
        <is>
          <t>avverkningsanmälan</t>
        </is>
      </c>
      <c r="C726" t="inlineStr">
        <is>
          <t>Föryngringsavverkning</t>
        </is>
      </c>
      <c r="D726" s="1" t="n">
        <v>44642</v>
      </c>
      <c r="E726" s="1" t="n">
        <v>46326</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14725-2022</t>
        </is>
      </c>
      <c r="B727" t="inlineStr">
        <is>
          <t>avverkningsanmälan</t>
        </is>
      </c>
      <c r="C727" t="inlineStr">
        <is>
          <t>Avverkning för annat ändamål</t>
        </is>
      </c>
      <c r="D727" s="1" t="n">
        <v>44655</v>
      </c>
      <c r="E727" s="1" t="n">
        <v>46326</v>
      </c>
      <c r="F727" t="inlineStr">
        <is>
          <t>STOCKHOLMS LÄN</t>
        </is>
      </c>
      <c r="G727" t="inlineStr">
        <is>
          <t>VALLENTUNA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12355-2022</t>
        </is>
      </c>
      <c r="B728" t="inlineStr">
        <is>
          <t>avverkningsanmälan</t>
        </is>
      </c>
      <c r="C728" t="inlineStr">
        <is>
          <t>Föryngringsavverkning</t>
        </is>
      </c>
      <c r="D728" s="1" t="n">
        <v>44637</v>
      </c>
      <c r="E728" s="1" t="n">
        <v>46326</v>
      </c>
      <c r="F728" t="inlineStr">
        <is>
          <t>STOCKHOLMS LÄN</t>
        </is>
      </c>
      <c r="G728" t="inlineStr">
        <is>
          <t>NORRTÄLJE</t>
        </is>
      </c>
      <c r="I728" t="n">
        <v>10.4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7565-2022</t>
        </is>
      </c>
      <c r="B729" t="inlineStr">
        <is>
          <t>avverkningsanmälan</t>
        </is>
      </c>
      <c r="C729" t="inlineStr">
        <is>
          <t>Föryngringsavverkning</t>
        </is>
      </c>
      <c r="D729" s="1" t="n">
        <v>44607</v>
      </c>
      <c r="E729" s="1" t="n">
        <v>46326</v>
      </c>
      <c r="F729" t="inlineStr">
        <is>
          <t>STOCKHOLMS LÄN</t>
        </is>
      </c>
      <c r="G729" t="inlineStr">
        <is>
          <t>NORRTÄLJE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8295-2022</t>
        </is>
      </c>
      <c r="B730" t="inlineStr">
        <is>
          <t>avverkningsanmälan</t>
        </is>
      </c>
      <c r="C730" t="inlineStr">
        <is>
          <t>Föryngringsavverkning</t>
        </is>
      </c>
      <c r="D730" s="1" t="n">
        <v>44610</v>
      </c>
      <c r="E730" s="1" t="n">
        <v>46326</v>
      </c>
      <c r="F730" t="inlineStr">
        <is>
          <t>STOCKHOLMS LÄN</t>
        </is>
      </c>
      <c r="G730" t="inlineStr">
        <is>
          <t>NYKVARN</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20295-2022</t>
        </is>
      </c>
      <c r="B731" t="inlineStr">
        <is>
          <t>avverkningsanmälan</t>
        </is>
      </c>
      <c r="C731" t="inlineStr">
        <is>
          <t>Föryngringsavverkning</t>
        </is>
      </c>
      <c r="D731" s="1" t="n">
        <v>44698</v>
      </c>
      <c r="E731" s="1" t="n">
        <v>46326</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37000-2022</t>
        </is>
      </c>
      <c r="B732" t="inlineStr">
        <is>
          <t>avverkningsanmälan</t>
        </is>
      </c>
      <c r="C732" t="inlineStr">
        <is>
          <t>Föryngringsavverkning</t>
        </is>
      </c>
      <c r="D732" s="1" t="n">
        <v>44806</v>
      </c>
      <c r="E732" s="1" t="n">
        <v>46326</v>
      </c>
      <c r="F732" t="inlineStr">
        <is>
          <t>STOCKHOLMS LÄN</t>
        </is>
      </c>
      <c r="G732" t="inlineStr">
        <is>
          <t>HANINGE</t>
        </is>
      </c>
      <c r="H732" t="inlineStr">
        <is>
          <t>Övriga statliga verk och myndigheter</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8160-2022</t>
        </is>
      </c>
      <c r="B733" t="inlineStr">
        <is>
          <t>avverkningsanmälan</t>
        </is>
      </c>
      <c r="C733" t="inlineStr">
        <is>
          <t>Föryngringsavverkning</t>
        </is>
      </c>
      <c r="D733" s="1" t="n">
        <v>44609</v>
      </c>
      <c r="E733" s="1" t="n">
        <v>46326</v>
      </c>
      <c r="F733" t="inlineStr">
        <is>
          <t>STOCKHOLMS LÄN</t>
        </is>
      </c>
      <c r="G733" t="inlineStr">
        <is>
          <t>NORRTÄLJE</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7085-2022</t>
        </is>
      </c>
      <c r="B734" t="inlineStr">
        <is>
          <t>avverkningsanmälan</t>
        </is>
      </c>
      <c r="C734" t="inlineStr">
        <is>
          <t>Föryngringsavverkning</t>
        </is>
      </c>
      <c r="D734" s="1" t="n">
        <v>44603</v>
      </c>
      <c r="E734" s="1" t="n">
        <v>46326</v>
      </c>
      <c r="F734" t="inlineStr">
        <is>
          <t>STOCKHOLMS LÄN</t>
        </is>
      </c>
      <c r="G734" t="inlineStr">
        <is>
          <t>VALLENTUNA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30286-2022</t>
        </is>
      </c>
      <c r="B735" t="inlineStr">
        <is>
          <t>avverkningsanmälan</t>
        </is>
      </c>
      <c r="C735" t="inlineStr">
        <is>
          <t>Föryngringsavverkning</t>
        </is>
      </c>
      <c r="D735" s="1" t="n">
        <v>44760</v>
      </c>
      <c r="E735" s="1" t="n">
        <v>46326</v>
      </c>
      <c r="F735" t="inlineStr">
        <is>
          <t>STOCKHOLMS LÄN</t>
        </is>
      </c>
      <c r="G735" t="inlineStr">
        <is>
          <t>NORRTÄLJE</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39319-2022</t>
        </is>
      </c>
      <c r="B736" t="inlineStr">
        <is>
          <t>avverkningsanmälan</t>
        </is>
      </c>
      <c r="C736" t="inlineStr">
        <is>
          <t>Föryngringsavverkning</t>
        </is>
      </c>
      <c r="D736" s="1" t="n">
        <v>44817</v>
      </c>
      <c r="E736" s="1" t="n">
        <v>46326</v>
      </c>
      <c r="F736" t="inlineStr">
        <is>
          <t>STOCKHOLMS LÄN</t>
        </is>
      </c>
      <c r="G736" t="inlineStr">
        <is>
          <t>NORRTÄLJE</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48647-2022</t>
        </is>
      </c>
      <c r="B737" t="inlineStr">
        <is>
          <t>avverkningsanmälan</t>
        </is>
      </c>
      <c r="C737" t="inlineStr">
        <is>
          <t>Föryngringsavverkning</t>
        </is>
      </c>
      <c r="D737" s="1" t="n">
        <v>44859</v>
      </c>
      <c r="E737" s="1" t="n">
        <v>46326</v>
      </c>
      <c r="F737" t="inlineStr">
        <is>
          <t>STOCKHOLMS LÄN</t>
        </is>
      </c>
      <c r="G737" t="inlineStr">
        <is>
          <t>BOTKYRKA</t>
        </is>
      </c>
      <c r="H737" t="inlineStr">
        <is>
          <t>Övriga Aktiebolag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48309-2022</t>
        </is>
      </c>
      <c r="B738" t="inlineStr">
        <is>
          <t>avverkningsanmälan</t>
        </is>
      </c>
      <c r="C738" t="inlineStr">
        <is>
          <t>Föryngringsavverkning</t>
        </is>
      </c>
      <c r="D738" s="1" t="n">
        <v>44854</v>
      </c>
      <c r="E738" s="1" t="n">
        <v>46326</v>
      </c>
      <c r="F738" t="inlineStr">
        <is>
          <t>STOCKHOLMS LÄN</t>
        </is>
      </c>
      <c r="G738" t="inlineStr">
        <is>
          <t>NYNÄSHAMN</t>
        </is>
      </c>
      <c r="H738" t="inlineStr">
        <is>
          <t>Övriga statliga verk och myndigheter</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14719-2022</t>
        </is>
      </c>
      <c r="B739" t="inlineStr">
        <is>
          <t>avverkningsanmälan</t>
        </is>
      </c>
      <c r="C739" t="inlineStr">
        <is>
          <t>Föryngringsavverkning</t>
        </is>
      </c>
      <c r="D739" s="1" t="n">
        <v>44655</v>
      </c>
      <c r="E739" s="1" t="n">
        <v>46326</v>
      </c>
      <c r="F739" t="inlineStr">
        <is>
          <t>STOCKHOLMS LÄN</t>
        </is>
      </c>
      <c r="G739" t="inlineStr">
        <is>
          <t>UPPLANDS-BRO</t>
        </is>
      </c>
      <c r="H739" t="inlineStr">
        <is>
          <t>Allmännings- och besparingsskogar</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67220-2021</t>
        </is>
      </c>
      <c r="B740" t="inlineStr">
        <is>
          <t>avverkningsanmälan</t>
        </is>
      </c>
      <c r="C740" t="inlineStr">
        <is>
          <t>Föryngringsavverkning</t>
        </is>
      </c>
      <c r="D740" s="1" t="n">
        <v>44523</v>
      </c>
      <c r="E740" s="1" t="n">
        <v>46326</v>
      </c>
      <c r="F740" t="inlineStr">
        <is>
          <t>STOCKHOLMS LÄN</t>
        </is>
      </c>
      <c r="G740" t="inlineStr">
        <is>
          <t>NYKVARN</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3300-2022</t>
        </is>
      </c>
      <c r="B741" t="inlineStr">
        <is>
          <t>avverkningsanmälan</t>
        </is>
      </c>
      <c r="C741" t="inlineStr">
        <is>
          <t>Föryngringsavverkning</t>
        </is>
      </c>
      <c r="D741" s="1" t="n">
        <v>44584</v>
      </c>
      <c r="E741" s="1" t="n">
        <v>46326</v>
      </c>
      <c r="F741" t="inlineStr">
        <is>
          <t>STOCKHOLMS LÄN</t>
        </is>
      </c>
      <c r="G741" t="inlineStr">
        <is>
          <t>NORRTÄLJE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17388-2022</t>
        </is>
      </c>
      <c r="B742" t="inlineStr">
        <is>
          <t>avverkningsanmälan</t>
        </is>
      </c>
      <c r="C742" t="inlineStr">
        <is>
          <t>Föryngringsavverkning</t>
        </is>
      </c>
      <c r="D742" s="1" t="n">
        <v>44678</v>
      </c>
      <c r="E742" s="1" t="n">
        <v>46326</v>
      </c>
      <c r="F742" t="inlineStr">
        <is>
          <t>STOCKHOLMS LÄN</t>
        </is>
      </c>
      <c r="G742" t="inlineStr">
        <is>
          <t>NORRTÄLJE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10521-2022</t>
        </is>
      </c>
      <c r="B743" t="inlineStr">
        <is>
          <t>avverkningsanmälan</t>
        </is>
      </c>
      <c r="C743" t="inlineStr">
        <is>
          <t>Föryngringsavverkning</t>
        </is>
      </c>
      <c r="D743" s="1" t="n">
        <v>44623</v>
      </c>
      <c r="E743" s="1" t="n">
        <v>46326</v>
      </c>
      <c r="F743" t="inlineStr">
        <is>
          <t>STOCKHOLMS LÄN</t>
        </is>
      </c>
      <c r="G743" t="inlineStr">
        <is>
          <t>NORRTÄLJE</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17771-2022</t>
        </is>
      </c>
      <c r="B744" t="inlineStr">
        <is>
          <t>avverkningsanmälan</t>
        </is>
      </c>
      <c r="C744" t="inlineStr">
        <is>
          <t>Föryngringsavverkning</t>
        </is>
      </c>
      <c r="D744" s="1" t="n">
        <v>44682</v>
      </c>
      <c r="E744" s="1" t="n">
        <v>46326</v>
      </c>
      <c r="F744" t="inlineStr">
        <is>
          <t>STOCKHOLMS LÄN</t>
        </is>
      </c>
      <c r="G744" t="inlineStr">
        <is>
          <t>NORRTÄLJE</t>
        </is>
      </c>
      <c r="I744" t="n">
        <v>13.3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17773-2022</t>
        </is>
      </c>
      <c r="B745" t="inlineStr">
        <is>
          <t>avverkningsanmälan</t>
        </is>
      </c>
      <c r="C745" t="inlineStr">
        <is>
          <t>Föryngringsavverkning</t>
        </is>
      </c>
      <c r="D745" s="1" t="n">
        <v>44682</v>
      </c>
      <c r="E745" s="1" t="n">
        <v>46326</v>
      </c>
      <c r="F745" t="inlineStr">
        <is>
          <t>STOCKHOLMS LÄN</t>
        </is>
      </c>
      <c r="G745" t="inlineStr">
        <is>
          <t>NORRTÄLJE</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18091-2022</t>
        </is>
      </c>
      <c r="B746" t="inlineStr">
        <is>
          <t>avverkningsanmälan</t>
        </is>
      </c>
      <c r="C746" t="inlineStr">
        <is>
          <t>Föryngringsavverkning</t>
        </is>
      </c>
      <c r="D746" s="1" t="n">
        <v>44684</v>
      </c>
      <c r="E746" s="1" t="n">
        <v>46326</v>
      </c>
      <c r="F746" t="inlineStr">
        <is>
          <t>STOCKHOLMS LÄN</t>
        </is>
      </c>
      <c r="G746" t="inlineStr">
        <is>
          <t>ÖSTERÅKER</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31429-2022</t>
        </is>
      </c>
      <c r="B747" t="inlineStr">
        <is>
          <t>avverkningsanmälan</t>
        </is>
      </c>
      <c r="C747" t="inlineStr">
        <is>
          <t>Föryngringsavverkning</t>
        </is>
      </c>
      <c r="D747" s="1" t="n">
        <v>44774</v>
      </c>
      <c r="E747" s="1" t="n">
        <v>46326</v>
      </c>
      <c r="F747" t="inlineStr">
        <is>
          <t>STOCKHOLMS LÄN</t>
        </is>
      </c>
      <c r="G747" t="inlineStr">
        <is>
          <t>SÖDERTÄLJE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11996-2022</t>
        </is>
      </c>
      <c r="B748" t="inlineStr">
        <is>
          <t>avverkningsanmälan</t>
        </is>
      </c>
      <c r="C748" t="inlineStr">
        <is>
          <t>Föryngringsavverkning</t>
        </is>
      </c>
      <c r="D748" s="1" t="n">
        <v>44635</v>
      </c>
      <c r="E748" s="1" t="n">
        <v>46326</v>
      </c>
      <c r="F748" t="inlineStr">
        <is>
          <t>STOCKHOLMS LÄN</t>
        </is>
      </c>
      <c r="G748" t="inlineStr">
        <is>
          <t>NYKVARN</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70170-2021</t>
        </is>
      </c>
      <c r="B749" t="inlineStr">
        <is>
          <t>avverkningsanmälan</t>
        </is>
      </c>
      <c r="C749" t="inlineStr">
        <is>
          <t>Föryngringsavverkning</t>
        </is>
      </c>
      <c r="D749" s="1" t="n">
        <v>44533</v>
      </c>
      <c r="E749" s="1" t="n">
        <v>46326</v>
      </c>
      <c r="F749" t="inlineStr">
        <is>
          <t>STOCKHOLMS LÄN</t>
        </is>
      </c>
      <c r="G749" t="inlineStr">
        <is>
          <t>NORRTÄLJE</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71880-2021</t>
        </is>
      </c>
      <c r="B750" t="inlineStr">
        <is>
          <t>avverkningsanmälan</t>
        </is>
      </c>
      <c r="C750" t="inlineStr">
        <is>
          <t>Föryngringsavverkning</t>
        </is>
      </c>
      <c r="D750" s="1" t="n">
        <v>44543</v>
      </c>
      <c r="E750" s="1" t="n">
        <v>46326</v>
      </c>
      <c r="F750" t="inlineStr">
        <is>
          <t>STOCKHOLMS LÄN</t>
        </is>
      </c>
      <c r="G750" t="inlineStr">
        <is>
          <t>NORRTÄLJE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16117-2022</t>
        </is>
      </c>
      <c r="B751" t="inlineStr">
        <is>
          <t>avverkningsanmälan</t>
        </is>
      </c>
      <c r="C751" t="inlineStr">
        <is>
          <t>Föryngringsavverkning</t>
        </is>
      </c>
      <c r="D751" s="1" t="n">
        <v>44665</v>
      </c>
      <c r="E751" s="1" t="n">
        <v>46326</v>
      </c>
      <c r="F751" t="inlineStr">
        <is>
          <t>STOCKHOLMS LÄN</t>
        </is>
      </c>
      <c r="G751" t="inlineStr">
        <is>
          <t>NORRTÄLJE</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16132-2022</t>
        </is>
      </c>
      <c r="B752" t="inlineStr">
        <is>
          <t>avverkningsanmälan</t>
        </is>
      </c>
      <c r="C752" t="inlineStr">
        <is>
          <t>Föryngringsavverkning</t>
        </is>
      </c>
      <c r="D752" s="1" t="n">
        <v>44665</v>
      </c>
      <c r="E752" s="1" t="n">
        <v>46326</v>
      </c>
      <c r="F752" t="inlineStr">
        <is>
          <t>STOCKHOLMS LÄN</t>
        </is>
      </c>
      <c r="G752" t="inlineStr">
        <is>
          <t>NORRTÄLJE</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17772-2022</t>
        </is>
      </c>
      <c r="B753" t="inlineStr">
        <is>
          <t>avverkningsanmälan</t>
        </is>
      </c>
      <c r="C753" t="inlineStr">
        <is>
          <t>Föryngringsavverkning</t>
        </is>
      </c>
      <c r="D753" s="1" t="n">
        <v>44682</v>
      </c>
      <c r="E753" s="1" t="n">
        <v>46326</v>
      </c>
      <c r="F753" t="inlineStr">
        <is>
          <t>STOCKHOLMS LÄN</t>
        </is>
      </c>
      <c r="G753" t="inlineStr">
        <is>
          <t>NORRTÄLJE</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24101-2022</t>
        </is>
      </c>
      <c r="B754" t="inlineStr">
        <is>
          <t>avverkningsanmälan</t>
        </is>
      </c>
      <c r="C754" t="inlineStr">
        <is>
          <t>Föryngringsavverkning</t>
        </is>
      </c>
      <c r="D754" s="1" t="n">
        <v>44725</v>
      </c>
      <c r="E754" s="1" t="n">
        <v>46326</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21102-2022</t>
        </is>
      </c>
      <c r="B755" t="inlineStr">
        <is>
          <t>avverkningsanmälan</t>
        </is>
      </c>
      <c r="C755" t="inlineStr">
        <is>
          <t>Avverkning för annat ändamål</t>
        </is>
      </c>
      <c r="D755" s="1" t="n">
        <v>44704</v>
      </c>
      <c r="E755" s="1" t="n">
        <v>46326</v>
      </c>
      <c r="F755" t="inlineStr">
        <is>
          <t>STOCKHOLMS LÄN</t>
        </is>
      </c>
      <c r="G755" t="inlineStr">
        <is>
          <t>NORRTÄLJE</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67285-2021</t>
        </is>
      </c>
      <c r="B756" t="inlineStr">
        <is>
          <t>avverkningsanmälan</t>
        </is>
      </c>
      <c r="C756" t="inlineStr">
        <is>
          <t>Föryngringsavverkning</t>
        </is>
      </c>
      <c r="D756" s="1" t="n">
        <v>44523</v>
      </c>
      <c r="E756" s="1" t="n">
        <v>46326</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5611-2022</t>
        </is>
      </c>
      <c r="B757" t="inlineStr">
        <is>
          <t>avverkningsanmälan</t>
        </is>
      </c>
      <c r="C757" t="inlineStr">
        <is>
          <t>Föryngringsavverkning</t>
        </is>
      </c>
      <c r="D757" s="1" t="n">
        <v>44595</v>
      </c>
      <c r="E757" s="1" t="n">
        <v>46326</v>
      </c>
      <c r="F757" t="inlineStr">
        <is>
          <t>STOCKHOLMS LÄN</t>
        </is>
      </c>
      <c r="G757" t="inlineStr">
        <is>
          <t>NORRTÄLJE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38721-2022</t>
        </is>
      </c>
      <c r="B758" t="inlineStr">
        <is>
          <t>avverkningsanmälan</t>
        </is>
      </c>
      <c r="C758" t="inlineStr">
        <is>
          <t>Föryngringsavverkning</t>
        </is>
      </c>
      <c r="D758" s="1" t="n">
        <v>44815</v>
      </c>
      <c r="E758" s="1" t="n">
        <v>46326</v>
      </c>
      <c r="F758" t="inlineStr">
        <is>
          <t>STOCKHOLMS LÄN</t>
        </is>
      </c>
      <c r="G758" t="inlineStr">
        <is>
          <t>NORRTÄLJE</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28399-2022</t>
        </is>
      </c>
      <c r="B759" t="inlineStr">
        <is>
          <t>avverkningsanmälan</t>
        </is>
      </c>
      <c r="C759" t="inlineStr">
        <is>
          <t>Föryngringsavverkning</t>
        </is>
      </c>
      <c r="D759" s="1" t="n">
        <v>44747</v>
      </c>
      <c r="E759" s="1" t="n">
        <v>46326</v>
      </c>
      <c r="F759" t="inlineStr">
        <is>
          <t>STOCKHOLMS LÄN</t>
        </is>
      </c>
      <c r="G759" t="inlineStr">
        <is>
          <t>ÖSTERÅKER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22531-2022</t>
        </is>
      </c>
      <c r="B760" t="inlineStr">
        <is>
          <t>avverkningsanmälan</t>
        </is>
      </c>
      <c r="C760" t="inlineStr">
        <is>
          <t>Föryngringsavverkning</t>
        </is>
      </c>
      <c r="D760" s="1" t="n">
        <v>44713</v>
      </c>
      <c r="E760" s="1" t="n">
        <v>46326</v>
      </c>
      <c r="F760" t="inlineStr">
        <is>
          <t>STOCKHOLMS LÄN</t>
        </is>
      </c>
      <c r="G760" t="inlineStr">
        <is>
          <t>NYKVARN</t>
        </is>
      </c>
      <c r="H760" t="inlineStr">
        <is>
          <t>Allmännings- och besparingsskogar</t>
        </is>
      </c>
      <c r="I760" t="n">
        <v>10.1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61370-2022</t>
        </is>
      </c>
      <c r="B761" t="inlineStr">
        <is>
          <t>avverkningsanmälan</t>
        </is>
      </c>
      <c r="C761" t="inlineStr">
        <is>
          <t>Föryngringsavverkning</t>
        </is>
      </c>
      <c r="D761" s="1" t="n">
        <v>44915</v>
      </c>
      <c r="E761" s="1" t="n">
        <v>46326</v>
      </c>
      <c r="F761" t="inlineStr">
        <is>
          <t>STOCKHOLMS LÄN</t>
        </is>
      </c>
      <c r="G761" t="inlineStr">
        <is>
          <t>ÖSTERÅKER</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27828-2022</t>
        </is>
      </c>
      <c r="B762" t="inlineStr">
        <is>
          <t>avverkningsanmälan</t>
        </is>
      </c>
      <c r="C762" t="inlineStr">
        <is>
          <t>Föryngringsavverkning</t>
        </is>
      </c>
      <c r="D762" s="1" t="n">
        <v>44743</v>
      </c>
      <c r="E762" s="1" t="n">
        <v>46326</v>
      </c>
      <c r="F762" t="inlineStr">
        <is>
          <t>STOCKHOLMS LÄN</t>
        </is>
      </c>
      <c r="G762" t="inlineStr">
        <is>
          <t>NORRTÄLJE</t>
        </is>
      </c>
      <c r="H762" t="inlineStr">
        <is>
          <t>Kommuner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16229-2022</t>
        </is>
      </c>
      <c r="B763" t="inlineStr">
        <is>
          <t>avverkningsanmälan</t>
        </is>
      </c>
      <c r="C763" t="inlineStr">
        <is>
          <t>Föryngringsavverkning</t>
        </is>
      </c>
      <c r="D763" s="1" t="n">
        <v>44670</v>
      </c>
      <c r="E763" s="1" t="n">
        <v>46326</v>
      </c>
      <c r="F763" t="inlineStr">
        <is>
          <t>STOCKHOLMS LÄN</t>
        </is>
      </c>
      <c r="G763" t="inlineStr">
        <is>
          <t>NORRTÄLJE</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15915-2023</t>
        </is>
      </c>
      <c r="B764" t="inlineStr">
        <is>
          <t>avverkningsanmälan</t>
        </is>
      </c>
      <c r="C764" t="inlineStr">
        <is>
          <t>Föryngringsavverkning</t>
        </is>
      </c>
      <c r="D764" s="1" t="n">
        <v>45022</v>
      </c>
      <c r="E764" s="1" t="n">
        <v>46326</v>
      </c>
      <c r="F764" t="inlineStr">
        <is>
          <t>STOCKHOLMS LÄN</t>
        </is>
      </c>
      <c r="G764" t="inlineStr">
        <is>
          <t>NORRTÄLJE</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14202-2025</t>
        </is>
      </c>
      <c r="B765" t="inlineStr">
        <is>
          <t>avverkningsanmälan</t>
        </is>
      </c>
      <c r="C765" t="inlineStr">
        <is>
          <t>Föryngringsavverkning</t>
        </is>
      </c>
      <c r="D765" s="1" t="n">
        <v>45740</v>
      </c>
      <c r="E765" s="1" t="n">
        <v>46326</v>
      </c>
      <c r="F765" t="inlineStr">
        <is>
          <t>STOCKHOLMS LÄN</t>
        </is>
      </c>
      <c r="G765" t="inlineStr">
        <is>
          <t>BOTKYRKA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33226-2024</t>
        </is>
      </c>
      <c r="B766" t="inlineStr">
        <is>
          <t>avverkningsanmälan</t>
        </is>
      </c>
      <c r="C766" t="inlineStr">
        <is>
          <t>Föryngringsavverkning</t>
        </is>
      </c>
      <c r="D766" s="1" t="n">
        <v>45518</v>
      </c>
      <c r="E766" s="1" t="n">
        <v>46326</v>
      </c>
      <c r="F766" t="inlineStr">
        <is>
          <t>STOCKHOLMS LÄN</t>
        </is>
      </c>
      <c r="G766" t="inlineStr">
        <is>
          <t>NORRTÄLJE</t>
        </is>
      </c>
      <c r="I766" t="n">
        <v>13.8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3585-2022</t>
        </is>
      </c>
      <c r="B767" t="inlineStr">
        <is>
          <t>avverkningsanmälan</t>
        </is>
      </c>
      <c r="C767" t="inlineStr">
        <is>
          <t>Föryngringsavverkning</t>
        </is>
      </c>
      <c r="D767" s="1" t="n">
        <v>44586</v>
      </c>
      <c r="E767" s="1" t="n">
        <v>46326</v>
      </c>
      <c r="F767" t="inlineStr">
        <is>
          <t>STOCKHOLMS LÄN</t>
        </is>
      </c>
      <c r="G767" t="inlineStr">
        <is>
          <t>SÖDERTÄLJE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22008-2024</t>
        </is>
      </c>
      <c r="B768" t="inlineStr">
        <is>
          <t>avverkningsanmälan</t>
        </is>
      </c>
      <c r="C768" t="inlineStr">
        <is>
          <t>Föryngringsavverkning</t>
        </is>
      </c>
      <c r="D768" s="1" t="n">
        <v>45443</v>
      </c>
      <c r="E768" s="1" t="n">
        <v>46326</v>
      </c>
      <c r="F768" t="inlineStr">
        <is>
          <t>STOCKHOLMS LÄN</t>
        </is>
      </c>
      <c r="G768" t="inlineStr">
        <is>
          <t>NORRTÄLJE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64105-2023</t>
        </is>
      </c>
      <c r="B769" t="inlineStr">
        <is>
          <t>avverkningsanmälan</t>
        </is>
      </c>
      <c r="C769" t="inlineStr">
        <is>
          <t>Föryngringsavverkning</t>
        </is>
      </c>
      <c r="D769" s="1" t="n">
        <v>45279</v>
      </c>
      <c r="E769" s="1" t="n">
        <v>46326</v>
      </c>
      <c r="F769" t="inlineStr">
        <is>
          <t>STOCKHOLMS LÄN</t>
        </is>
      </c>
      <c r="G769" t="inlineStr">
        <is>
          <t>UPPLANDS-BRO</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13053-2022</t>
        </is>
      </c>
      <c r="B770" t="inlineStr">
        <is>
          <t>avverkningsanmälan</t>
        </is>
      </c>
      <c r="C770" t="inlineStr">
        <is>
          <t>Föryngringsavverkning</t>
        </is>
      </c>
      <c r="D770" s="1" t="n">
        <v>44643</v>
      </c>
      <c r="E770" s="1" t="n">
        <v>46326</v>
      </c>
      <c r="F770" t="inlineStr">
        <is>
          <t>STOCKHOLMS LÄN</t>
        </is>
      </c>
      <c r="G770" t="inlineStr">
        <is>
          <t>NORRTÄLJE</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64137-2021</t>
        </is>
      </c>
      <c r="B771" t="inlineStr">
        <is>
          <t>avverkningsanmälan</t>
        </is>
      </c>
      <c r="C771" t="inlineStr">
        <is>
          <t>Föryngringsavverkning</t>
        </is>
      </c>
      <c r="D771" s="1" t="n">
        <v>44510</v>
      </c>
      <c r="E771" s="1" t="n">
        <v>46326</v>
      </c>
      <c r="F771" t="inlineStr">
        <is>
          <t>STOCKHOLMS LÄN</t>
        </is>
      </c>
      <c r="G771" t="inlineStr">
        <is>
          <t>NORRTÄLJE</t>
        </is>
      </c>
      <c r="H771" t="inlineStr">
        <is>
          <t>Holmen skog AB</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21285-2023</t>
        </is>
      </c>
      <c r="B772" t="inlineStr">
        <is>
          <t>avverkningsanmälan</t>
        </is>
      </c>
      <c r="C772" t="inlineStr">
        <is>
          <t>Föryngringsavverkning</t>
        </is>
      </c>
      <c r="D772" s="1" t="n">
        <v>45062</v>
      </c>
      <c r="E772" s="1" t="n">
        <v>46326</v>
      </c>
      <c r="F772" t="inlineStr">
        <is>
          <t>STOCKHOLMS LÄN</t>
        </is>
      </c>
      <c r="G772" t="inlineStr">
        <is>
          <t>BOTKYRKA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48716-2023</t>
        </is>
      </c>
      <c r="B773" t="inlineStr">
        <is>
          <t>avverkningsanmälan</t>
        </is>
      </c>
      <c r="C773" t="inlineStr">
        <is>
          <t>Föryngringsavverkning</t>
        </is>
      </c>
      <c r="D773" s="1" t="n">
        <v>45208</v>
      </c>
      <c r="E773" s="1" t="n">
        <v>46326</v>
      </c>
      <c r="F773" t="inlineStr">
        <is>
          <t>STOCKHOLMS LÄN</t>
        </is>
      </c>
      <c r="G773" t="inlineStr">
        <is>
          <t>NORRTÄLJE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49592-2023</t>
        </is>
      </c>
      <c r="B774" t="inlineStr">
        <is>
          <t>avverkningsanmälan</t>
        </is>
      </c>
      <c r="C774" t="inlineStr">
        <is>
          <t>Föryngringsavverkning</t>
        </is>
      </c>
      <c r="D774" s="1" t="n">
        <v>45211</v>
      </c>
      <c r="E774" s="1" t="n">
        <v>46326</v>
      </c>
      <c r="F774" t="inlineStr">
        <is>
          <t>STOCKHOLMS LÄN</t>
        </is>
      </c>
      <c r="G774" t="inlineStr">
        <is>
          <t>SIGTUNA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52878-2022</t>
        </is>
      </c>
      <c r="B775" t="inlineStr">
        <is>
          <t>avverkningsanmälan</t>
        </is>
      </c>
      <c r="C775" t="inlineStr">
        <is>
          <t>Föryngringsavverkning</t>
        </is>
      </c>
      <c r="D775" s="1" t="n">
        <v>44872</v>
      </c>
      <c r="E775" s="1" t="n">
        <v>46326</v>
      </c>
      <c r="F775" t="inlineStr">
        <is>
          <t>STOCKHOLMS LÄN</t>
        </is>
      </c>
      <c r="G775" t="inlineStr">
        <is>
          <t>NYKVARN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9946-2024</t>
        </is>
      </c>
      <c r="B776" t="inlineStr">
        <is>
          <t>avverkningsanmälan</t>
        </is>
      </c>
      <c r="C776" t="inlineStr">
        <is>
          <t>Föryngringsavverkning</t>
        </is>
      </c>
      <c r="D776" s="1" t="n">
        <v>45363</v>
      </c>
      <c r="E776" s="1" t="n">
        <v>46326</v>
      </c>
      <c r="F776" t="inlineStr">
        <is>
          <t>STOCKHOLMS LÄN</t>
        </is>
      </c>
      <c r="G776" t="inlineStr">
        <is>
          <t>HANINGE</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12268-2022</t>
        </is>
      </c>
      <c r="B777" t="inlineStr">
        <is>
          <t>avverkningsanmälan</t>
        </is>
      </c>
      <c r="C777" t="inlineStr">
        <is>
          <t>Föryngringsavverkning</t>
        </is>
      </c>
      <c r="D777" s="1" t="n">
        <v>44637</v>
      </c>
      <c r="E777" s="1" t="n">
        <v>46326</v>
      </c>
      <c r="F777" t="inlineStr">
        <is>
          <t>STOCKHOLMS LÄN</t>
        </is>
      </c>
      <c r="G777" t="inlineStr">
        <is>
          <t>NORRTÄLJE</t>
        </is>
      </c>
      <c r="H777" t="inlineStr">
        <is>
          <t>Sveaskog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20015-2023</t>
        </is>
      </c>
      <c r="B778" t="inlineStr">
        <is>
          <t>avverkningsanmälan</t>
        </is>
      </c>
      <c r="C778" t="inlineStr">
        <is>
          <t>Föryngringsavverkning</t>
        </is>
      </c>
      <c r="D778" s="1" t="n">
        <v>45054</v>
      </c>
      <c r="E778" s="1" t="n">
        <v>46326</v>
      </c>
      <c r="F778" t="inlineStr">
        <is>
          <t>STOCKHOLMS LÄN</t>
        </is>
      </c>
      <c r="G778" t="inlineStr">
        <is>
          <t>NORRTÄLJE</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2602-2024</t>
        </is>
      </c>
      <c r="B779" t="inlineStr">
        <is>
          <t>avverkningsanmälan</t>
        </is>
      </c>
      <c r="C779" t="inlineStr">
        <is>
          <t>Föryngringsavverkning</t>
        </is>
      </c>
      <c r="D779" s="1" t="n">
        <v>45313</v>
      </c>
      <c r="E779" s="1" t="n">
        <v>46326</v>
      </c>
      <c r="F779" t="inlineStr">
        <is>
          <t>STOCKHOLMS LÄN</t>
        </is>
      </c>
      <c r="G779" t="inlineStr">
        <is>
          <t>UPPLANDS-BRO</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15256-2023</t>
        </is>
      </c>
      <c r="B780" t="inlineStr">
        <is>
          <t>avverkningsanmälan</t>
        </is>
      </c>
      <c r="C780" t="inlineStr">
        <is>
          <t>Föryngringsavverkning</t>
        </is>
      </c>
      <c r="D780" s="1" t="n">
        <v>45019</v>
      </c>
      <c r="E780" s="1" t="n">
        <v>46326</v>
      </c>
      <c r="F780" t="inlineStr">
        <is>
          <t>STOCKHOLMS LÄN</t>
        </is>
      </c>
      <c r="G780" t="inlineStr">
        <is>
          <t>NORRTÄLJE</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30925-2023</t>
        </is>
      </c>
      <c r="B781" t="inlineStr">
        <is>
          <t>avverkningsanmälan</t>
        </is>
      </c>
      <c r="C781" t="inlineStr">
        <is>
          <t>Föryngringsavverkning</t>
        </is>
      </c>
      <c r="D781" s="1" t="n">
        <v>45113</v>
      </c>
      <c r="E781" s="1" t="n">
        <v>46326</v>
      </c>
      <c r="F781" t="inlineStr">
        <is>
          <t>STOCKHOLMS LÄN</t>
        </is>
      </c>
      <c r="G781" t="inlineStr">
        <is>
          <t>BOTKYRKA</t>
        </is>
      </c>
      <c r="H781" t="inlineStr">
        <is>
          <t>Övriga Aktiebolag</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20428-2024</t>
        </is>
      </c>
      <c r="B782" t="inlineStr">
        <is>
          <t>avverkningsanmälan</t>
        </is>
      </c>
      <c r="C782" t="inlineStr">
        <is>
          <t>Föryngringsavverkning</t>
        </is>
      </c>
      <c r="D782" s="1" t="n">
        <v>45435</v>
      </c>
      <c r="E782" s="1" t="n">
        <v>46326</v>
      </c>
      <c r="F782" t="inlineStr">
        <is>
          <t>STOCKHOLMS LÄN</t>
        </is>
      </c>
      <c r="G782" t="inlineStr">
        <is>
          <t>NORRTÄLJE</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15465-2025</t>
        </is>
      </c>
      <c r="B783" t="inlineStr">
        <is>
          <t>avverkningsanmälan</t>
        </is>
      </c>
      <c r="C783" t="inlineStr">
        <is>
          <t>Föryngringsavverkning</t>
        </is>
      </c>
      <c r="D783" s="1" t="n">
        <v>45747</v>
      </c>
      <c r="E783" s="1" t="n">
        <v>46326</v>
      </c>
      <c r="F783" t="inlineStr">
        <is>
          <t>STOCKHOLMS LÄN</t>
        </is>
      </c>
      <c r="G783" t="inlineStr">
        <is>
          <t>NYNÄSHAMN</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1603-2023</t>
        </is>
      </c>
      <c r="B784" t="inlineStr">
        <is>
          <t>avverkningsanmälan</t>
        </is>
      </c>
      <c r="C784" t="inlineStr">
        <is>
          <t>Föryngringsavverkning</t>
        </is>
      </c>
      <c r="D784" s="1" t="n">
        <v>44937</v>
      </c>
      <c r="E784" s="1" t="n">
        <v>46326</v>
      </c>
      <c r="F784" t="inlineStr">
        <is>
          <t>STOCKHOLMS LÄN</t>
        </is>
      </c>
      <c r="G784" t="inlineStr">
        <is>
          <t>ÖSTERÅKER</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1605-2023</t>
        </is>
      </c>
      <c r="B785" t="inlineStr">
        <is>
          <t>avverkningsanmälan</t>
        </is>
      </c>
      <c r="C785" t="inlineStr">
        <is>
          <t>Föryngringsavverkning</t>
        </is>
      </c>
      <c r="D785" s="1" t="n">
        <v>44937</v>
      </c>
      <c r="E785" s="1" t="n">
        <v>46326</v>
      </c>
      <c r="F785" t="inlineStr">
        <is>
          <t>STOCKHOLMS LÄN</t>
        </is>
      </c>
      <c r="G785" t="inlineStr">
        <is>
          <t>ÖSTERÅKER</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52911-2024</t>
        </is>
      </c>
      <c r="B786" t="inlineStr">
        <is>
          <t>avverkningsanmälan</t>
        </is>
      </c>
      <c r="C786" t="inlineStr">
        <is>
          <t>Föryngringsavverkning</t>
        </is>
      </c>
      <c r="D786" s="1" t="n">
        <v>45610</v>
      </c>
      <c r="E786" s="1" t="n">
        <v>46326</v>
      </c>
      <c r="F786" t="inlineStr">
        <is>
          <t>STOCKHOLMS LÄN</t>
        </is>
      </c>
      <c r="G786" t="inlineStr">
        <is>
          <t>NYNÄSHAMN</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55243-2023</t>
        </is>
      </c>
      <c r="B787" t="inlineStr">
        <is>
          <t>avverkningsanmälan</t>
        </is>
      </c>
      <c r="C787" t="inlineStr">
        <is>
          <t>Föryngringsavverkning</t>
        </is>
      </c>
      <c r="D787" s="1" t="n">
        <v>45237</v>
      </c>
      <c r="E787" s="1" t="n">
        <v>46326</v>
      </c>
      <c r="F787" t="inlineStr">
        <is>
          <t>STOCKHOLMS LÄN</t>
        </is>
      </c>
      <c r="G787" t="inlineStr">
        <is>
          <t>NORRTÄLJE</t>
        </is>
      </c>
      <c r="I787" t="n">
        <v>6.5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4297-2024</t>
        </is>
      </c>
      <c r="B788" t="inlineStr">
        <is>
          <t>avverkningsanmälan</t>
        </is>
      </c>
      <c r="C788" t="inlineStr">
        <is>
          <t>Föryngringsavverkning</t>
        </is>
      </c>
      <c r="D788" s="1" t="n">
        <v>45324</v>
      </c>
      <c r="E788" s="1" t="n">
        <v>46326</v>
      </c>
      <c r="F788" t="inlineStr">
        <is>
          <t>STOCKHOLMS LÄN</t>
        </is>
      </c>
      <c r="G788" t="inlineStr">
        <is>
          <t>HANINGE</t>
        </is>
      </c>
      <c r="H788" t="inlineStr">
        <is>
          <t>Kommuner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59844-2022</t>
        </is>
      </c>
      <c r="B789" t="inlineStr">
        <is>
          <t>avverkningsanmälan</t>
        </is>
      </c>
      <c r="C789" t="inlineStr">
        <is>
          <t>Föryngringsavverkning</t>
        </is>
      </c>
      <c r="D789" s="1" t="n">
        <v>44901</v>
      </c>
      <c r="E789" s="1" t="n">
        <v>46326</v>
      </c>
      <c r="F789" t="inlineStr">
        <is>
          <t>STOCKHOLMS LÄN</t>
        </is>
      </c>
      <c r="G789" t="inlineStr">
        <is>
          <t>UPPLANDS-BRO</t>
        </is>
      </c>
      <c r="H789" t="inlineStr">
        <is>
          <t>Övriga statliga verk och myndigheter</t>
        </is>
      </c>
      <c r="I789" t="n">
        <v>11.9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25459-2023</t>
        </is>
      </c>
      <c r="B790" t="inlineStr">
        <is>
          <t>avverkningsanmälan</t>
        </is>
      </c>
      <c r="C790" t="inlineStr">
        <is>
          <t>Föryngringsavverkning</t>
        </is>
      </c>
      <c r="D790" s="1" t="n">
        <v>45089</v>
      </c>
      <c r="E790" s="1" t="n">
        <v>46326</v>
      </c>
      <c r="F790" t="inlineStr">
        <is>
          <t>STOCKHOLMS LÄN</t>
        </is>
      </c>
      <c r="G790" t="inlineStr">
        <is>
          <t>SIGTUNA</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25557-2023</t>
        </is>
      </c>
      <c r="B791" t="inlineStr">
        <is>
          <t>avverkningsanmälan</t>
        </is>
      </c>
      <c r="C791" t="inlineStr">
        <is>
          <t>Föryngringsavverkning</t>
        </is>
      </c>
      <c r="D791" s="1" t="n">
        <v>45089</v>
      </c>
      <c r="E791" s="1" t="n">
        <v>46326</v>
      </c>
      <c r="F791" t="inlineStr">
        <is>
          <t>STOCKHOLMS LÄN</t>
        </is>
      </c>
      <c r="G791" t="inlineStr">
        <is>
          <t>NORRTÄLJE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27715-2022</t>
        </is>
      </c>
      <c r="B792" t="inlineStr">
        <is>
          <t>avverkningsanmälan</t>
        </is>
      </c>
      <c r="C792" t="inlineStr">
        <is>
          <t>Föryngringsavverkning</t>
        </is>
      </c>
      <c r="D792" s="1" t="n">
        <v>44743</v>
      </c>
      <c r="E792" s="1" t="n">
        <v>46326</v>
      </c>
      <c r="F792" t="inlineStr">
        <is>
          <t>STOCKHOLMS LÄN</t>
        </is>
      </c>
      <c r="G792" t="inlineStr">
        <is>
          <t>NORRTÄLJE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37037-2023</t>
        </is>
      </c>
      <c r="B793" t="inlineStr">
        <is>
          <t>avverkningsanmälan</t>
        </is>
      </c>
      <c r="C793" t="inlineStr">
        <is>
          <t>Föryngringsavverkning</t>
        </is>
      </c>
      <c r="D793" s="1" t="n">
        <v>45155</v>
      </c>
      <c r="E793" s="1" t="n">
        <v>46326</v>
      </c>
      <c r="F793" t="inlineStr">
        <is>
          <t>STOCKHOLMS LÄN</t>
        </is>
      </c>
      <c r="G793" t="inlineStr">
        <is>
          <t>ÖSTERÅKER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6826-2025</t>
        </is>
      </c>
      <c r="B794" t="inlineStr">
        <is>
          <t>avverkningsanmälan</t>
        </is>
      </c>
      <c r="C794" t="inlineStr">
        <is>
          <t>Avverkning för annat ändamål</t>
        </is>
      </c>
      <c r="D794" s="1" t="n">
        <v>45700</v>
      </c>
      <c r="E794" s="1" t="n">
        <v>46326</v>
      </c>
      <c r="F794" t="inlineStr">
        <is>
          <t>STOCKHOLMS LÄN</t>
        </is>
      </c>
      <c r="G794" t="inlineStr">
        <is>
          <t>SIGTUNA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3219-2022</t>
        </is>
      </c>
      <c r="B795" t="inlineStr">
        <is>
          <t>avverkningsanmälan</t>
        </is>
      </c>
      <c r="C795" t="inlineStr">
        <is>
          <t>Föryngringsavverkning</t>
        </is>
      </c>
      <c r="D795" s="1" t="n">
        <v>44582</v>
      </c>
      <c r="E795" s="1" t="n">
        <v>46326</v>
      </c>
      <c r="F795" t="inlineStr">
        <is>
          <t>STOCKHOLMS LÄN</t>
        </is>
      </c>
      <c r="G795" t="inlineStr">
        <is>
          <t>EKERÖ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64145-2021</t>
        </is>
      </c>
      <c r="B796" t="inlineStr">
        <is>
          <t>avverkningsanmälan</t>
        </is>
      </c>
      <c r="C796" t="inlineStr">
        <is>
          <t>Föryngringsavverkning</t>
        </is>
      </c>
      <c r="D796" s="1" t="n">
        <v>44510</v>
      </c>
      <c r="E796" s="1" t="n">
        <v>46326</v>
      </c>
      <c r="F796" t="inlineStr">
        <is>
          <t>STOCKHOLMS LÄN</t>
        </is>
      </c>
      <c r="G796" t="inlineStr">
        <is>
          <t>NORRTÄLJE</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1740-2023</t>
        </is>
      </c>
      <c r="B797" t="inlineStr">
        <is>
          <t>avverkningsanmälan</t>
        </is>
      </c>
      <c r="C797" t="inlineStr">
        <is>
          <t>Föryngringsavverkning</t>
        </is>
      </c>
      <c r="D797" s="1" t="n">
        <v>44938</v>
      </c>
      <c r="E797" s="1" t="n">
        <v>46326</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4596-2023</t>
        </is>
      </c>
      <c r="B798" t="inlineStr">
        <is>
          <t>avverkningsanmälan</t>
        </is>
      </c>
      <c r="C798" t="inlineStr">
        <is>
          <t>Avverkning för annat ändamål</t>
        </is>
      </c>
      <c r="D798" s="1" t="n">
        <v>44956</v>
      </c>
      <c r="E798" s="1" t="n">
        <v>46326</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26190-2022</t>
        </is>
      </c>
      <c r="B799" t="inlineStr">
        <is>
          <t>avverkningsanmälan</t>
        </is>
      </c>
      <c r="C799" t="inlineStr">
        <is>
          <t>Föryngringsavverkning</t>
        </is>
      </c>
      <c r="D799" s="1" t="n">
        <v>44735</v>
      </c>
      <c r="E799" s="1" t="n">
        <v>46326</v>
      </c>
      <c r="F799" t="inlineStr">
        <is>
          <t>STOCKHOLMS LÄN</t>
        </is>
      </c>
      <c r="G799" t="inlineStr">
        <is>
          <t>NYNÄSHAMN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52989-2023</t>
        </is>
      </c>
      <c r="B800" t="inlineStr">
        <is>
          <t>avverkningsanmälan</t>
        </is>
      </c>
      <c r="C800" t="inlineStr">
        <is>
          <t>Föryngringsavverkning</t>
        </is>
      </c>
      <c r="D800" s="1" t="n">
        <v>45226</v>
      </c>
      <c r="E800" s="1" t="n">
        <v>46326</v>
      </c>
      <c r="F800" t="inlineStr">
        <is>
          <t>STOCKHOLMS LÄN</t>
        </is>
      </c>
      <c r="G800" t="inlineStr">
        <is>
          <t>VALLENTUNA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27970-2022</t>
        </is>
      </c>
      <c r="B801" t="inlineStr">
        <is>
          <t>avverkningsanmälan</t>
        </is>
      </c>
      <c r="C801" t="inlineStr">
        <is>
          <t>Föryngringsavverkning</t>
        </is>
      </c>
      <c r="D801" s="1" t="n">
        <v>44744</v>
      </c>
      <c r="E801" s="1" t="n">
        <v>46326</v>
      </c>
      <c r="F801" t="inlineStr">
        <is>
          <t>STOCKHOLMS LÄN</t>
        </is>
      </c>
      <c r="G801" t="inlineStr">
        <is>
          <t>SÖDERTÄLJE</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3828-2023</t>
        </is>
      </c>
      <c r="B802" t="inlineStr">
        <is>
          <t>avverkningsanmälan</t>
        </is>
      </c>
      <c r="C802" t="inlineStr">
        <is>
          <t>Föryngringsavverkning</t>
        </is>
      </c>
      <c r="D802" s="1" t="n">
        <v>44951</v>
      </c>
      <c r="E802" s="1" t="n">
        <v>46326</v>
      </c>
      <c r="F802" t="inlineStr">
        <is>
          <t>STOCKHOLMS LÄN</t>
        </is>
      </c>
      <c r="G802" t="inlineStr">
        <is>
          <t>ÖSTERÅKER</t>
        </is>
      </c>
      <c r="H802" t="inlineStr">
        <is>
          <t>Kommuner</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44917-2022</t>
        </is>
      </c>
      <c r="B803" t="inlineStr">
        <is>
          <t>avverkningsanmälan</t>
        </is>
      </c>
      <c r="C803" t="inlineStr">
        <is>
          <t>Föryngringsavverkning</t>
        </is>
      </c>
      <c r="D803" s="1" t="n">
        <v>44841</v>
      </c>
      <c r="E803" s="1" t="n">
        <v>46326</v>
      </c>
      <c r="F803" t="inlineStr">
        <is>
          <t>STOCKHOLMS LÄN</t>
        </is>
      </c>
      <c r="G803" t="inlineStr">
        <is>
          <t>NORRTÄLJE</t>
        </is>
      </c>
      <c r="H803" t="inlineStr">
        <is>
          <t>Holmen skog AB</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24288-2024</t>
        </is>
      </c>
      <c r="B804" t="inlineStr">
        <is>
          <t>avverkningsanmälan</t>
        </is>
      </c>
      <c r="C804" t="inlineStr">
        <is>
          <t>Föryngringsavverkning</t>
        </is>
      </c>
      <c r="D804" s="1" t="n">
        <v>45457</v>
      </c>
      <c r="E804" s="1" t="n">
        <v>46326</v>
      </c>
      <c r="F804" t="inlineStr">
        <is>
          <t>STOCKHOLMS LÄN</t>
        </is>
      </c>
      <c r="G804" t="inlineStr">
        <is>
          <t>NYNÄSHAMN</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26390-2023</t>
        </is>
      </c>
      <c r="B805" t="inlineStr">
        <is>
          <t>avverkningsanmälan</t>
        </is>
      </c>
      <c r="C805" t="inlineStr">
        <is>
          <t>Föryngringsavverkning</t>
        </is>
      </c>
      <c r="D805" s="1" t="n">
        <v>45086</v>
      </c>
      <c r="E805" s="1" t="n">
        <v>46326</v>
      </c>
      <c r="F805" t="inlineStr">
        <is>
          <t>STOCKHOLMS LÄN</t>
        </is>
      </c>
      <c r="G805" t="inlineStr">
        <is>
          <t>VALLENTUNA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10676-2025</t>
        </is>
      </c>
      <c r="B806" t="inlineStr">
        <is>
          <t>avverkningsanmälan</t>
        </is>
      </c>
      <c r="C806" t="inlineStr">
        <is>
          <t>Föryngringsavverkning</t>
        </is>
      </c>
      <c r="D806" s="1" t="n">
        <v>45721</v>
      </c>
      <c r="E806" s="1" t="n">
        <v>46326</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7180-2024</t>
        </is>
      </c>
      <c r="B807" t="inlineStr">
        <is>
          <t>avverkningsanmälan</t>
        </is>
      </c>
      <c r="C807" t="inlineStr">
        <is>
          <t>Avverkning för annat ändamål</t>
        </is>
      </c>
      <c r="D807" s="1" t="n">
        <v>45344</v>
      </c>
      <c r="E807" s="1" t="n">
        <v>46326</v>
      </c>
      <c r="F807" t="inlineStr">
        <is>
          <t>STOCKHOLMS LÄN</t>
        </is>
      </c>
      <c r="G807" t="inlineStr">
        <is>
          <t>NYNÄSHAMN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55012-2024</t>
        </is>
      </c>
      <c r="B808" t="inlineStr">
        <is>
          <t>avverkningsanmälan</t>
        </is>
      </c>
      <c r="C808" t="inlineStr">
        <is>
          <t>Föryngringsavverkning</t>
        </is>
      </c>
      <c r="D808" s="1" t="n">
        <v>45621</v>
      </c>
      <c r="E808" s="1" t="n">
        <v>46326</v>
      </c>
      <c r="F808" t="inlineStr">
        <is>
          <t>STOCKHOLMS LÄN</t>
        </is>
      </c>
      <c r="G808" t="inlineStr">
        <is>
          <t>NORRTÄLJE</t>
        </is>
      </c>
      <c r="H808" t="inlineStr">
        <is>
          <t>Sveaskog</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50355-2024</t>
        </is>
      </c>
      <c r="B809" t="inlineStr">
        <is>
          <t>avverkningsanmälan</t>
        </is>
      </c>
      <c r="C809" t="inlineStr">
        <is>
          <t>Föryngringsavverkning</t>
        </is>
      </c>
      <c r="D809" s="1" t="n">
        <v>45600</v>
      </c>
      <c r="E809" s="1" t="n">
        <v>46326</v>
      </c>
      <c r="F809" t="inlineStr">
        <is>
          <t>STOCKHOLMS LÄN</t>
        </is>
      </c>
      <c r="G809" t="inlineStr">
        <is>
          <t>NORRTÄLJE</t>
        </is>
      </c>
      <c r="H809" t="inlineStr">
        <is>
          <t>Kommuner</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11900-2024</t>
        </is>
      </c>
      <c r="B810" t="inlineStr">
        <is>
          <t>avverkningsanmälan</t>
        </is>
      </c>
      <c r="C810" t="inlineStr">
        <is>
          <t>Föryngringsavverkning</t>
        </is>
      </c>
      <c r="D810" s="1" t="n">
        <v>45376</v>
      </c>
      <c r="E810" s="1" t="n">
        <v>46326</v>
      </c>
      <c r="F810" t="inlineStr">
        <is>
          <t>STOCKHOLMS LÄN</t>
        </is>
      </c>
      <c r="G810" t="inlineStr">
        <is>
          <t>NORRTÄLJE</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33158-2024</t>
        </is>
      </c>
      <c r="B811" t="inlineStr">
        <is>
          <t>avverkningsanmälan</t>
        </is>
      </c>
      <c r="C811" t="inlineStr">
        <is>
          <t>Avverkning för annat ändamål</t>
        </is>
      </c>
      <c r="D811" s="1" t="n">
        <v>45518</v>
      </c>
      <c r="E811" s="1" t="n">
        <v>46326</v>
      </c>
      <c r="F811" t="inlineStr">
        <is>
          <t>STOCKHOLMS LÄN</t>
        </is>
      </c>
      <c r="G811" t="inlineStr">
        <is>
          <t>ÖSTERÅKER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14217-2025</t>
        </is>
      </c>
      <c r="B812" t="inlineStr">
        <is>
          <t>avverkningsanmälan</t>
        </is>
      </c>
      <c r="C812" t="inlineStr">
        <is>
          <t>Föryngringsavverkning</t>
        </is>
      </c>
      <c r="D812" s="1" t="n">
        <v>45740</v>
      </c>
      <c r="E812" s="1" t="n">
        <v>46326</v>
      </c>
      <c r="F812" t="inlineStr">
        <is>
          <t>STOCKHOLMS LÄN</t>
        </is>
      </c>
      <c r="G812" t="inlineStr">
        <is>
          <t>BOTKYRKA</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42867-2022</t>
        </is>
      </c>
      <c r="B813" t="inlineStr">
        <is>
          <t>avverkningsanmälan</t>
        </is>
      </c>
      <c r="C813" t="inlineStr">
        <is>
          <t>Föryngringsavverkning</t>
        </is>
      </c>
      <c r="D813" s="1" t="n">
        <v>44832</v>
      </c>
      <c r="E813" s="1" t="n">
        <v>46326</v>
      </c>
      <c r="F813" t="inlineStr">
        <is>
          <t>STOCKHOLMS LÄN</t>
        </is>
      </c>
      <c r="G813" t="inlineStr">
        <is>
          <t>NORRTÄLJE</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23749-2024</t>
        </is>
      </c>
      <c r="B814" t="inlineStr">
        <is>
          <t>avverkningsanmälan</t>
        </is>
      </c>
      <c r="C814" t="inlineStr">
        <is>
          <t>Föryngringsavverkning</t>
        </is>
      </c>
      <c r="D814" s="1" t="n">
        <v>45455</v>
      </c>
      <c r="E814" s="1" t="n">
        <v>46326</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58277-2023</t>
        </is>
      </c>
      <c r="B815" t="inlineStr">
        <is>
          <t>avverkningsanmälan</t>
        </is>
      </c>
      <c r="C815" t="inlineStr">
        <is>
          <t>Föryngringsavverkning</t>
        </is>
      </c>
      <c r="D815" s="1" t="n">
        <v>45245</v>
      </c>
      <c r="E815" s="1" t="n">
        <v>46326</v>
      </c>
      <c r="F815" t="inlineStr">
        <is>
          <t>STOCKHOLMS LÄN</t>
        </is>
      </c>
      <c r="G815" t="inlineStr">
        <is>
          <t>NORRTÄLJE</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11940-2023</t>
        </is>
      </c>
      <c r="B816" t="inlineStr">
        <is>
          <t>avverkningsanmälan</t>
        </is>
      </c>
      <c r="C816" t="inlineStr">
        <is>
          <t>Avverkning för annat ändamål</t>
        </is>
      </c>
      <c r="D816" s="1" t="n">
        <v>44995</v>
      </c>
      <c r="E816" s="1" t="n">
        <v>46326</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2367-2023</t>
        </is>
      </c>
      <c r="B817" t="inlineStr">
        <is>
          <t>avverkningsanmälan</t>
        </is>
      </c>
      <c r="C817" t="inlineStr">
        <is>
          <t>Föryngringsavverkning</t>
        </is>
      </c>
      <c r="D817" s="1" t="n">
        <v>44942</v>
      </c>
      <c r="E817" s="1" t="n">
        <v>46326</v>
      </c>
      <c r="F817" t="inlineStr">
        <is>
          <t>STOCKHOLMS LÄN</t>
        </is>
      </c>
      <c r="G817" t="inlineStr">
        <is>
          <t>NYNÄSHAMN</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58863-2024</t>
        </is>
      </c>
      <c r="B818" t="inlineStr">
        <is>
          <t>avverkningsanmälan</t>
        </is>
      </c>
      <c r="C818" t="inlineStr">
        <is>
          <t>Föryngringsavverkning</t>
        </is>
      </c>
      <c r="D818" s="1" t="n">
        <v>45636</v>
      </c>
      <c r="E818" s="1" t="n">
        <v>46326</v>
      </c>
      <c r="F818" t="inlineStr">
        <is>
          <t>STOCKHOLMS LÄN</t>
        </is>
      </c>
      <c r="G818" t="inlineStr">
        <is>
          <t>NORRTÄLJE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2281-2024</t>
        </is>
      </c>
      <c r="B819" t="inlineStr">
        <is>
          <t>avverkningsanmälan</t>
        </is>
      </c>
      <c r="C819" t="inlineStr">
        <is>
          <t>Föryngringsavverkning</t>
        </is>
      </c>
      <c r="D819" s="1" t="n">
        <v>45310</v>
      </c>
      <c r="E819" s="1" t="n">
        <v>46326</v>
      </c>
      <c r="F819" t="inlineStr">
        <is>
          <t>STOCKHOLMS LÄN</t>
        </is>
      </c>
      <c r="G819" t="inlineStr">
        <is>
          <t>NORRTÄLJE</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60525-2022</t>
        </is>
      </c>
      <c r="B820" t="inlineStr">
        <is>
          <t>avverkningsanmälan</t>
        </is>
      </c>
      <c r="C820" t="inlineStr">
        <is>
          <t>Föryngringsavverkning</t>
        </is>
      </c>
      <c r="D820" s="1" t="n">
        <v>44904</v>
      </c>
      <c r="E820" s="1" t="n">
        <v>46326</v>
      </c>
      <c r="F820" t="inlineStr">
        <is>
          <t>STOCKHOLMS LÄN</t>
        </is>
      </c>
      <c r="G820" t="inlineStr">
        <is>
          <t>NORRTÄLJE</t>
        </is>
      </c>
      <c r="I820" t="n">
        <v>13.4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9966-2024</t>
        </is>
      </c>
      <c r="B821" t="inlineStr">
        <is>
          <t>avverkningsanmälan</t>
        </is>
      </c>
      <c r="C821" t="inlineStr">
        <is>
          <t>Föryngringsavverkning</t>
        </is>
      </c>
      <c r="D821" s="1" t="n">
        <v>45363</v>
      </c>
      <c r="E821" s="1" t="n">
        <v>46326</v>
      </c>
      <c r="F821" t="inlineStr">
        <is>
          <t>STOCKHOLMS LÄN</t>
        </is>
      </c>
      <c r="G821" t="inlineStr">
        <is>
          <t>VÄRMDÖ</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32705-2022</t>
        </is>
      </c>
      <c r="B822" t="inlineStr">
        <is>
          <t>avverkningsanmälan</t>
        </is>
      </c>
      <c r="C822" t="inlineStr">
        <is>
          <t>Föryngringsavverkning</t>
        </is>
      </c>
      <c r="D822" s="1" t="n">
        <v>44783</v>
      </c>
      <c r="E822" s="1" t="n">
        <v>46326</v>
      </c>
      <c r="F822" t="inlineStr">
        <is>
          <t>STOCKHOLMS LÄN</t>
        </is>
      </c>
      <c r="G822" t="inlineStr">
        <is>
          <t>NORRTÄLJE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47481-2024</t>
        </is>
      </c>
      <c r="B823" t="inlineStr">
        <is>
          <t>avverkningsanmälan</t>
        </is>
      </c>
      <c r="C823" t="inlineStr">
        <is>
          <t>Avverkning för annat ändamål</t>
        </is>
      </c>
      <c r="D823" s="1" t="n">
        <v>45587</v>
      </c>
      <c r="E823" s="1" t="n">
        <v>46326</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57037-2022</t>
        </is>
      </c>
      <c r="B824" t="inlineStr">
        <is>
          <t>avverkningsanmälan</t>
        </is>
      </c>
      <c r="C824" t="inlineStr">
        <is>
          <t>Avverkning för annat ändamål</t>
        </is>
      </c>
      <c r="D824" s="1" t="n">
        <v>44895</v>
      </c>
      <c r="E824" s="1" t="n">
        <v>46326</v>
      </c>
      <c r="F824" t="inlineStr">
        <is>
          <t>STOCKHOLMS LÄN</t>
        </is>
      </c>
      <c r="G824" t="inlineStr">
        <is>
          <t>NORRTÄLJE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51325-2023</t>
        </is>
      </c>
      <c r="B825" t="inlineStr">
        <is>
          <t>avverkningsanmälan</t>
        </is>
      </c>
      <c r="C825" t="inlineStr">
        <is>
          <t>Föryngringsavverkning</t>
        </is>
      </c>
      <c r="D825" s="1" t="n">
        <v>45219</v>
      </c>
      <c r="E825" s="1" t="n">
        <v>46326</v>
      </c>
      <c r="F825" t="inlineStr">
        <is>
          <t>STOCKHOLMS LÄN</t>
        </is>
      </c>
      <c r="G825" t="inlineStr">
        <is>
          <t>NORRTÄLJE</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31107-2022</t>
        </is>
      </c>
      <c r="B826" t="inlineStr">
        <is>
          <t>avverkningsanmälan</t>
        </is>
      </c>
      <c r="C826" t="inlineStr">
        <is>
          <t>Föryngringsavverkning</t>
        </is>
      </c>
      <c r="D826" s="1" t="n">
        <v>44769</v>
      </c>
      <c r="E826" s="1" t="n">
        <v>46326</v>
      </c>
      <c r="F826" t="inlineStr">
        <is>
          <t>STOCKHOLMS LÄN</t>
        </is>
      </c>
      <c r="G826" t="inlineStr">
        <is>
          <t>NORRTÄLJE</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6855-2025</t>
        </is>
      </c>
      <c r="B827" t="inlineStr">
        <is>
          <t>avverkningsanmälan</t>
        </is>
      </c>
      <c r="C827" t="inlineStr">
        <is>
          <t>Föryngringsavverkning</t>
        </is>
      </c>
      <c r="D827" s="1" t="n">
        <v>45700</v>
      </c>
      <c r="E827" s="1" t="n">
        <v>46326</v>
      </c>
      <c r="F827" t="inlineStr">
        <is>
          <t>STOCKHOLMS LÄN</t>
        </is>
      </c>
      <c r="G827" t="inlineStr">
        <is>
          <t>NORRTÄLJE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44969-2022</t>
        </is>
      </c>
      <c r="B828" t="inlineStr">
        <is>
          <t>avverkningsanmälan</t>
        </is>
      </c>
      <c r="C828" t="inlineStr">
        <is>
          <t>Föryngringsavverkning</t>
        </is>
      </c>
      <c r="D828" s="1" t="n">
        <v>44841</v>
      </c>
      <c r="E828" s="1" t="n">
        <v>46326</v>
      </c>
      <c r="F828" t="inlineStr">
        <is>
          <t>STOCKHOLMS LÄN</t>
        </is>
      </c>
      <c r="G828" t="inlineStr">
        <is>
          <t>NYKVARN</t>
        </is>
      </c>
      <c r="H828" t="inlineStr">
        <is>
          <t>Sveaskog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13046-2022</t>
        </is>
      </c>
      <c r="B829" t="inlineStr">
        <is>
          <t>avverkningsanmälan</t>
        </is>
      </c>
      <c r="C829" t="inlineStr">
        <is>
          <t>Föryngringsavverkning</t>
        </is>
      </c>
      <c r="D829" s="1" t="n">
        <v>44643</v>
      </c>
      <c r="E829" s="1" t="n">
        <v>46326</v>
      </c>
      <c r="F829" t="inlineStr">
        <is>
          <t>STOCKHOLMS LÄN</t>
        </is>
      </c>
      <c r="G829" t="inlineStr">
        <is>
          <t>HANINGE</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39213-2022</t>
        </is>
      </c>
      <c r="B830" t="inlineStr">
        <is>
          <t>avverkningsanmälan</t>
        </is>
      </c>
      <c r="C830" t="inlineStr">
        <is>
          <t>Föryngringsavverkning</t>
        </is>
      </c>
      <c r="D830" s="1" t="n">
        <v>44817</v>
      </c>
      <c r="E830" s="1" t="n">
        <v>46326</v>
      </c>
      <c r="F830" t="inlineStr">
        <is>
          <t>STOCKHOLMS LÄN</t>
        </is>
      </c>
      <c r="G830" t="inlineStr">
        <is>
          <t>NORRTÄLJE</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32286-2023</t>
        </is>
      </c>
      <c r="B831" t="inlineStr">
        <is>
          <t>avverkningsanmälan</t>
        </is>
      </c>
      <c r="C831" t="inlineStr">
        <is>
          <t>Föryngringsavverkning</t>
        </is>
      </c>
      <c r="D831" s="1" t="n">
        <v>45120</v>
      </c>
      <c r="E831" s="1" t="n">
        <v>46326</v>
      </c>
      <c r="F831" t="inlineStr">
        <is>
          <t>STOCKHOLMS LÄN</t>
        </is>
      </c>
      <c r="G831" t="inlineStr">
        <is>
          <t>VÄRMDÖ</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23093-2024</t>
        </is>
      </c>
      <c r="B832" t="inlineStr">
        <is>
          <t>avverkningsanmälan</t>
        </is>
      </c>
      <c r="C832" t="inlineStr">
        <is>
          <t>Föryngringsavverkning</t>
        </is>
      </c>
      <c r="D832" s="1" t="n">
        <v>45450</v>
      </c>
      <c r="E832" s="1" t="n">
        <v>46326</v>
      </c>
      <c r="F832" t="inlineStr">
        <is>
          <t>STOCKHOLMS LÄN</t>
        </is>
      </c>
      <c r="G832" t="inlineStr">
        <is>
          <t>UPPLANDS-BRO</t>
        </is>
      </c>
      <c r="H832" t="inlineStr">
        <is>
          <t>Övriga statliga verk och myndigheter</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24636-2023</t>
        </is>
      </c>
      <c r="B833" t="inlineStr">
        <is>
          <t>avverkningsanmälan</t>
        </is>
      </c>
      <c r="C833" t="inlineStr">
        <is>
          <t>Föryngringsavverkning</t>
        </is>
      </c>
      <c r="D833" s="1" t="n">
        <v>45084</v>
      </c>
      <c r="E833" s="1" t="n">
        <v>46326</v>
      </c>
      <c r="F833" t="inlineStr">
        <is>
          <t>STOCKHOLMS LÄN</t>
        </is>
      </c>
      <c r="G833" t="inlineStr">
        <is>
          <t>SIGTUNA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23149-2024</t>
        </is>
      </c>
      <c r="B834" t="inlineStr">
        <is>
          <t>avverkningsanmälan</t>
        </is>
      </c>
      <c r="C834" t="inlineStr">
        <is>
          <t>Föryngringsavverkning</t>
        </is>
      </c>
      <c r="D834" s="1" t="n">
        <v>45450</v>
      </c>
      <c r="E834" s="1" t="n">
        <v>46326</v>
      </c>
      <c r="F834" t="inlineStr">
        <is>
          <t>STOCKHOLMS LÄN</t>
        </is>
      </c>
      <c r="G834" t="inlineStr">
        <is>
          <t>NORRTÄLJE</t>
        </is>
      </c>
      <c r="H834" t="inlineStr">
        <is>
          <t>Kommuner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23151-2024</t>
        </is>
      </c>
      <c r="B835" t="inlineStr">
        <is>
          <t>avverkningsanmälan</t>
        </is>
      </c>
      <c r="C835" t="inlineStr">
        <is>
          <t>Föryngringsavverkning</t>
        </is>
      </c>
      <c r="D835" s="1" t="n">
        <v>45450</v>
      </c>
      <c r="E835" s="1" t="n">
        <v>46326</v>
      </c>
      <c r="F835" t="inlineStr">
        <is>
          <t>STOCKHOLMS LÄN</t>
        </is>
      </c>
      <c r="G835" t="inlineStr">
        <is>
          <t>NORRTÄLJE</t>
        </is>
      </c>
      <c r="H835" t="inlineStr">
        <is>
          <t>Kommuner</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21726-2022</t>
        </is>
      </c>
      <c r="B836" t="inlineStr">
        <is>
          <t>avverkningsanmälan</t>
        </is>
      </c>
      <c r="C836" t="inlineStr">
        <is>
          <t>Föryngringsavverkning</t>
        </is>
      </c>
      <c r="D836" s="1" t="n">
        <v>44708</v>
      </c>
      <c r="E836" s="1" t="n">
        <v>46326</v>
      </c>
      <c r="F836" t="inlineStr">
        <is>
          <t>STOCKHOLMS LÄN</t>
        </is>
      </c>
      <c r="G836" t="inlineStr">
        <is>
          <t>NORRTÄLJE</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21739-2022</t>
        </is>
      </c>
      <c r="B837" t="inlineStr">
        <is>
          <t>avverkningsanmälan</t>
        </is>
      </c>
      <c r="C837" t="inlineStr">
        <is>
          <t>Föryngringsavverkning</t>
        </is>
      </c>
      <c r="D837" s="1" t="n">
        <v>44708</v>
      </c>
      <c r="E837" s="1" t="n">
        <v>46326</v>
      </c>
      <c r="F837" t="inlineStr">
        <is>
          <t>STOCKHOLMS LÄN</t>
        </is>
      </c>
      <c r="G837" t="inlineStr">
        <is>
          <t>NORRTÄLJE</t>
        </is>
      </c>
      <c r="H837" t="inlineStr">
        <is>
          <t>Holmen skog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35210-2023</t>
        </is>
      </c>
      <c r="B838" t="inlineStr">
        <is>
          <t>avverkningsanmälan</t>
        </is>
      </c>
      <c r="C838" t="inlineStr">
        <is>
          <t>Föryngringsavverkning</t>
        </is>
      </c>
      <c r="D838" s="1" t="n">
        <v>45145</v>
      </c>
      <c r="E838" s="1" t="n">
        <v>46326</v>
      </c>
      <c r="F838" t="inlineStr">
        <is>
          <t>STOCKHOLMS LÄN</t>
        </is>
      </c>
      <c r="G838" t="inlineStr">
        <is>
          <t>NORRTÄLJE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59767-2022</t>
        </is>
      </c>
      <c r="B839" t="inlineStr">
        <is>
          <t>avverkningsanmälan</t>
        </is>
      </c>
      <c r="C839" t="inlineStr">
        <is>
          <t>Föryngringsavverkning</t>
        </is>
      </c>
      <c r="D839" s="1" t="n">
        <v>44900</v>
      </c>
      <c r="E839" s="1" t="n">
        <v>46326</v>
      </c>
      <c r="F839" t="inlineStr">
        <is>
          <t>STOCKHOLMS LÄN</t>
        </is>
      </c>
      <c r="G839" t="inlineStr">
        <is>
          <t>NORRTÄLJE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19915-2024</t>
        </is>
      </c>
      <c r="B840" t="inlineStr">
        <is>
          <t>avverkningsanmälan</t>
        </is>
      </c>
      <c r="C840" t="inlineStr">
        <is>
          <t>Föryngringsavverkning</t>
        </is>
      </c>
      <c r="D840" s="1" t="n">
        <v>45433</v>
      </c>
      <c r="E840" s="1" t="n">
        <v>46326</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11319-2024</t>
        </is>
      </c>
      <c r="B841" t="inlineStr">
        <is>
          <t>avverkningsanmälan</t>
        </is>
      </c>
      <c r="C841" t="inlineStr">
        <is>
          <t>Föryngringsavverkning</t>
        </is>
      </c>
      <c r="D841" s="1" t="n">
        <v>45371</v>
      </c>
      <c r="E841" s="1" t="n">
        <v>46326</v>
      </c>
      <c r="F841" t="inlineStr">
        <is>
          <t>STOCKHOLMS LÄN</t>
        </is>
      </c>
      <c r="G841" t="inlineStr">
        <is>
          <t>SÖDERTÄLJE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2172-2024</t>
        </is>
      </c>
      <c r="B842" t="inlineStr">
        <is>
          <t>avverkningsanmälan</t>
        </is>
      </c>
      <c r="C842" t="inlineStr">
        <is>
          <t>Föryngringsavverkning</t>
        </is>
      </c>
      <c r="D842" s="1" t="n">
        <v>45309</v>
      </c>
      <c r="E842" s="1" t="n">
        <v>46326</v>
      </c>
      <c r="F842" t="inlineStr">
        <is>
          <t>STOCKHOLMS LÄN</t>
        </is>
      </c>
      <c r="G842" t="inlineStr">
        <is>
          <t>NYKVARN</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37392-2024</t>
        </is>
      </c>
      <c r="B843" t="inlineStr">
        <is>
          <t>avverkningsanmälan</t>
        </is>
      </c>
      <c r="C843" t="inlineStr">
        <is>
          <t>Föryngringsavverkning</t>
        </is>
      </c>
      <c r="D843" s="1" t="n">
        <v>45540</v>
      </c>
      <c r="E843" s="1" t="n">
        <v>46326</v>
      </c>
      <c r="F843" t="inlineStr">
        <is>
          <t>STOCKHOLMS LÄN</t>
        </is>
      </c>
      <c r="G843" t="inlineStr">
        <is>
          <t>SIGTUNA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29176-2024</t>
        </is>
      </c>
      <c r="B844" t="inlineStr">
        <is>
          <t>avverkningsanmälan</t>
        </is>
      </c>
      <c r="C844" t="inlineStr">
        <is>
          <t>Föryngringsavverkning</t>
        </is>
      </c>
      <c r="D844" s="1" t="n">
        <v>45482</v>
      </c>
      <c r="E844" s="1" t="n">
        <v>46326</v>
      </c>
      <c r="F844" t="inlineStr">
        <is>
          <t>STOCKHOLMS LÄN</t>
        </is>
      </c>
      <c r="G844" t="inlineStr">
        <is>
          <t>NORRTÄLJE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36430-2024</t>
        </is>
      </c>
      <c r="B845" t="inlineStr">
        <is>
          <t>avverkningsanmälan</t>
        </is>
      </c>
      <c r="C845" t="inlineStr">
        <is>
          <t>Föryngringsavverkning</t>
        </is>
      </c>
      <c r="D845" s="1" t="n">
        <v>45536</v>
      </c>
      <c r="E845" s="1" t="n">
        <v>46326</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54222-2023</t>
        </is>
      </c>
      <c r="B846" t="inlineStr">
        <is>
          <t>avverkningsanmälan</t>
        </is>
      </c>
      <c r="C846" t="inlineStr">
        <is>
          <t>Föryngringsavverkning</t>
        </is>
      </c>
      <c r="D846" s="1" t="n">
        <v>45225</v>
      </c>
      <c r="E846" s="1" t="n">
        <v>46326</v>
      </c>
      <c r="F846" t="inlineStr">
        <is>
          <t>STOCKHOLMS LÄN</t>
        </is>
      </c>
      <c r="G846" t="inlineStr">
        <is>
          <t>UPPLANDS-BRO</t>
        </is>
      </c>
      <c r="H846" t="inlineStr">
        <is>
          <t>Övriga statliga verk och myndigheter</t>
        </is>
      </c>
      <c r="I846" t="n">
        <v>8.300000000000001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35640-2024</t>
        </is>
      </c>
      <c r="B847" t="inlineStr">
        <is>
          <t>avverkningsanmälan</t>
        </is>
      </c>
      <c r="C847" t="inlineStr">
        <is>
          <t>Föryngringsavverkning</t>
        </is>
      </c>
      <c r="D847" s="1" t="n">
        <v>45531</v>
      </c>
      <c r="E847" s="1" t="n">
        <v>46326</v>
      </c>
      <c r="F847" t="inlineStr">
        <is>
          <t>STOCKHOLMS LÄN</t>
        </is>
      </c>
      <c r="G847" t="inlineStr">
        <is>
          <t>NORRTÄLJE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37491-2022</t>
        </is>
      </c>
      <c r="B848" t="inlineStr">
        <is>
          <t>avverkningsanmälan</t>
        </is>
      </c>
      <c r="C848" t="inlineStr">
        <is>
          <t>Föryngringsavverkning</t>
        </is>
      </c>
      <c r="D848" s="1" t="n">
        <v>44809</v>
      </c>
      <c r="E848" s="1" t="n">
        <v>46326</v>
      </c>
      <c r="F848" t="inlineStr">
        <is>
          <t>STOCKHOLMS LÄN</t>
        </is>
      </c>
      <c r="G848" t="inlineStr">
        <is>
          <t>NYNÄSHAMN</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3630-2023</t>
        </is>
      </c>
      <c r="B849" t="inlineStr">
        <is>
          <t>avverkningsanmälan</t>
        </is>
      </c>
      <c r="C849" t="inlineStr">
        <is>
          <t>Föryngringsavverkning</t>
        </is>
      </c>
      <c r="D849" s="1" t="n">
        <v>44950</v>
      </c>
      <c r="E849" s="1" t="n">
        <v>46326</v>
      </c>
      <c r="F849" t="inlineStr">
        <is>
          <t>STOCKHOLMS LÄN</t>
        </is>
      </c>
      <c r="G849" t="inlineStr">
        <is>
          <t>UPPLANDS-BRO</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41976-2024</t>
        </is>
      </c>
      <c r="B850" t="inlineStr">
        <is>
          <t>avverkningsanmälan</t>
        </is>
      </c>
      <c r="C850" t="inlineStr">
        <is>
          <t>Avverkning för att bevara och utveckla /försöksver</t>
        </is>
      </c>
      <c r="D850" s="1" t="n">
        <v>45561</v>
      </c>
      <c r="E850" s="1" t="n">
        <v>46326</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73194-2021</t>
        </is>
      </c>
      <c r="B851" t="inlineStr">
        <is>
          <t>avverkningsanmälan</t>
        </is>
      </c>
      <c r="C851" t="inlineStr">
        <is>
          <t>Föryngringsavverkning</t>
        </is>
      </c>
      <c r="D851" s="1" t="n">
        <v>44550</v>
      </c>
      <c r="E851" s="1" t="n">
        <v>46326</v>
      </c>
      <c r="F851" t="inlineStr">
        <is>
          <t>STOCKHOLMS LÄN</t>
        </is>
      </c>
      <c r="G851" t="inlineStr">
        <is>
          <t>BOTKYRKA</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52001-2023</t>
        </is>
      </c>
      <c r="B852" t="inlineStr">
        <is>
          <t>avverkningsanmälan</t>
        </is>
      </c>
      <c r="C852" t="inlineStr">
        <is>
          <t>Föryngringsavverkning</t>
        </is>
      </c>
      <c r="D852" s="1" t="n">
        <v>45223</v>
      </c>
      <c r="E852" s="1" t="n">
        <v>46326</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4322-2023</t>
        </is>
      </c>
      <c r="B853" t="inlineStr">
        <is>
          <t>avverkningsanmälan</t>
        </is>
      </c>
      <c r="C853" t="inlineStr">
        <is>
          <t>Föryngringsavverkning</t>
        </is>
      </c>
      <c r="D853" s="1" t="n">
        <v>44953</v>
      </c>
      <c r="E853" s="1" t="n">
        <v>46326</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50306-2023</t>
        </is>
      </c>
      <c r="B854" t="inlineStr">
        <is>
          <t>avverkningsanmälan</t>
        </is>
      </c>
      <c r="C854" t="inlineStr">
        <is>
          <t>Föryngringsavverkning</t>
        </is>
      </c>
      <c r="D854" s="1" t="n">
        <v>45209</v>
      </c>
      <c r="E854" s="1" t="n">
        <v>46326</v>
      </c>
      <c r="F854" t="inlineStr">
        <is>
          <t>STOCKHOLMS LÄN</t>
        </is>
      </c>
      <c r="G854" t="inlineStr">
        <is>
          <t>HANINGE</t>
        </is>
      </c>
      <c r="I854" t="n">
        <v>2.3</v>
      </c>
      <c r="J854" t="n">
        <v>0</v>
      </c>
      <c r="K854" t="n">
        <v>0</v>
      </c>
      <c r="L854" t="n">
        <v>0</v>
      </c>
      <c r="M854" t="n">
        <v>0</v>
      </c>
      <c r="N854" t="n">
        <v>0</v>
      </c>
      <c r="O854" t="n">
        <v>0</v>
      </c>
      <c r="P854" t="n">
        <v>0</v>
      </c>
      <c r="Q854" t="n">
        <v>0</v>
      </c>
      <c r="R854" t="n">
        <v>0</v>
      </c>
      <c r="S854" t="n">
        <v>0</v>
      </c>
      <c r="T854" t="n">
        <v>0</v>
      </c>
      <c r="U854" t="n">
        <v>0</v>
      </c>
      <c r="V854" s="2" t="inlineStr"/>
      <c r="Z854">
        <f>HYPERLINK("https://klasma.github.io/Logging_0136/knärot/A 50306-2023 karta knärot.png", "A 50306-2023")</f>
        <v/>
      </c>
      <c r="AA854">
        <f>HYPERLINK("https://klasma.github.io/Logging_0136/klagomål/A 50306-2023 FSC-klagomål.docx", "A 50306-2023")</f>
        <v/>
      </c>
      <c r="AB854">
        <f>HYPERLINK("https://klasma.github.io/Logging_0136/klagomålsmail/A 50306-2023 FSC-klagomål mail.docx", "A 50306-2023")</f>
        <v/>
      </c>
      <c r="AC854">
        <f>HYPERLINK("https://klasma.github.io/Logging_0136/tillsyn/A 50306-2023 tillsynsbegäran.docx", "A 50306-2023")</f>
        <v/>
      </c>
      <c r="AD854">
        <f>HYPERLINK("https://klasma.github.io/Logging_0136/tillsynsmail/A 50306-2023 tillsynsbegäran mail.docx", "A 50306-2023")</f>
        <v/>
      </c>
    </row>
    <row r="855" ht="15" customHeight="1">
      <c r="A855" t="inlineStr">
        <is>
          <t>A 60185-2024</t>
        </is>
      </c>
      <c r="B855" t="inlineStr">
        <is>
          <t>avverkningsanmälan</t>
        </is>
      </c>
      <c r="C855" t="inlineStr">
        <is>
          <t>Föryngringsavverkning</t>
        </is>
      </c>
      <c r="D855" s="1" t="n">
        <v>45642</v>
      </c>
      <c r="E855" s="1" t="n">
        <v>46326</v>
      </c>
      <c r="F855" t="inlineStr">
        <is>
          <t>STOCKHOLMS LÄN</t>
        </is>
      </c>
      <c r="G855" t="inlineStr">
        <is>
          <t>NORRTÄLJE</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3382-2024</t>
        </is>
      </c>
      <c r="B856" t="inlineStr">
        <is>
          <t>avverkningsanmälan</t>
        </is>
      </c>
      <c r="C856" t="inlineStr">
        <is>
          <t>Avverkning för att bevara och utveckla /försöksver</t>
        </is>
      </c>
      <c r="D856" s="1" t="n">
        <v>45317</v>
      </c>
      <c r="E856" s="1" t="n">
        <v>46326</v>
      </c>
      <c r="F856" t="inlineStr">
        <is>
          <t>STOCKHOLMS LÄN</t>
        </is>
      </c>
      <c r="G856" t="inlineStr">
        <is>
          <t>SÖDERTÄLJE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48686-2023</t>
        </is>
      </c>
      <c r="B857" t="inlineStr">
        <is>
          <t>avverkningsanmälan</t>
        </is>
      </c>
      <c r="C857" t="inlineStr">
        <is>
          <t>Föryngringsavverkning</t>
        </is>
      </c>
      <c r="D857" s="1" t="n">
        <v>45208</v>
      </c>
      <c r="E857" s="1" t="n">
        <v>46326</v>
      </c>
      <c r="F857" t="inlineStr">
        <is>
          <t>STOCKHOLMS LÄN</t>
        </is>
      </c>
      <c r="G857" t="inlineStr">
        <is>
          <t>NORRTÄLJE</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48691-2023</t>
        </is>
      </c>
      <c r="B858" t="inlineStr">
        <is>
          <t>avverkningsanmälan</t>
        </is>
      </c>
      <c r="C858" t="inlineStr">
        <is>
          <t>Föryngringsavverkning</t>
        </is>
      </c>
      <c r="D858" s="1" t="n">
        <v>45208</v>
      </c>
      <c r="E858" s="1" t="n">
        <v>46326</v>
      </c>
      <c r="F858" t="inlineStr">
        <is>
          <t>STOCKHOLMS LÄN</t>
        </is>
      </c>
      <c r="G858" t="inlineStr">
        <is>
          <t>NORRTÄLJE</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27969-2022</t>
        </is>
      </c>
      <c r="B859" t="inlineStr">
        <is>
          <t>avverkningsanmälan</t>
        </is>
      </c>
      <c r="C859" t="inlineStr">
        <is>
          <t>Föryngringsavverkning</t>
        </is>
      </c>
      <c r="D859" s="1" t="n">
        <v>44744</v>
      </c>
      <c r="E859" s="1" t="n">
        <v>46326</v>
      </c>
      <c r="F859" t="inlineStr">
        <is>
          <t>STOCKHOLMS LÄN</t>
        </is>
      </c>
      <c r="G859" t="inlineStr">
        <is>
          <t>SÖDERTÄLJE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38990-2022</t>
        </is>
      </c>
      <c r="B860" t="inlineStr">
        <is>
          <t>avverkningsanmälan</t>
        </is>
      </c>
      <c r="C860" t="inlineStr">
        <is>
          <t>Föryngringsavverkning</t>
        </is>
      </c>
      <c r="D860" s="1" t="n">
        <v>44816</v>
      </c>
      <c r="E860" s="1" t="n">
        <v>46326</v>
      </c>
      <c r="F860" t="inlineStr">
        <is>
          <t>STOCKHOLMS LÄN</t>
        </is>
      </c>
      <c r="G860" t="inlineStr">
        <is>
          <t>NORRTÄLJE</t>
        </is>
      </c>
      <c r="I860" t="n">
        <v>5.7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43212-2022</t>
        </is>
      </c>
      <c r="B861" t="inlineStr">
        <is>
          <t>avverkningsanmälan</t>
        </is>
      </c>
      <c r="C861" t="inlineStr">
        <is>
          <t>Föryngringsavverkning</t>
        </is>
      </c>
      <c r="D861" s="1" t="n">
        <v>44834</v>
      </c>
      <c r="E861" s="1" t="n">
        <v>46326</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24690-2025</t>
        </is>
      </c>
      <c r="B862" t="inlineStr">
        <is>
          <t>avverkningsanmälan</t>
        </is>
      </c>
      <c r="C862" t="inlineStr">
        <is>
          <t>Föryngringsavverkning</t>
        </is>
      </c>
      <c r="D862" s="1" t="n">
        <v>45798</v>
      </c>
      <c r="E862" s="1" t="n">
        <v>46326</v>
      </c>
      <c r="F862" t="inlineStr">
        <is>
          <t>STOCKHOLMS LÄN</t>
        </is>
      </c>
      <c r="G862" t="inlineStr">
        <is>
          <t>NORRTÄLJE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47259-2024</t>
        </is>
      </c>
      <c r="B863" t="inlineStr">
        <is>
          <t>avverkningsanmälan</t>
        </is>
      </c>
      <c r="C863" t="inlineStr">
        <is>
          <t>Föryngringsavverkning</t>
        </is>
      </c>
      <c r="D863" s="1" t="n">
        <v>45586</v>
      </c>
      <c r="E863" s="1" t="n">
        <v>46326</v>
      </c>
      <c r="F863" t="inlineStr">
        <is>
          <t>STOCKHOLMS LÄN</t>
        </is>
      </c>
      <c r="G863" t="inlineStr">
        <is>
          <t>NORRTÄLJE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875-2023</t>
        </is>
      </c>
      <c r="B864" t="inlineStr">
        <is>
          <t>avverkningsanmälan</t>
        </is>
      </c>
      <c r="C864" t="inlineStr">
        <is>
          <t>Föryngringsavverkning</t>
        </is>
      </c>
      <c r="D864" s="1" t="n">
        <v>44931</v>
      </c>
      <c r="E864" s="1" t="n">
        <v>46326</v>
      </c>
      <c r="F864" t="inlineStr">
        <is>
          <t>STOCKHOLMS LÄN</t>
        </is>
      </c>
      <c r="G864" t="inlineStr">
        <is>
          <t>NORRTÄLJE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31236-2022</t>
        </is>
      </c>
      <c r="B865" t="inlineStr">
        <is>
          <t>avverkningsanmälan</t>
        </is>
      </c>
      <c r="C865" t="inlineStr">
        <is>
          <t>Föryngringsavverkning</t>
        </is>
      </c>
      <c r="D865" s="1" t="n">
        <v>44771</v>
      </c>
      <c r="E865" s="1" t="n">
        <v>46326</v>
      </c>
      <c r="F865" t="inlineStr">
        <is>
          <t>STOCKHOLMS LÄN</t>
        </is>
      </c>
      <c r="G865" t="inlineStr">
        <is>
          <t>NORRTÄLJE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10790-2023</t>
        </is>
      </c>
      <c r="B866" t="inlineStr">
        <is>
          <t>avverkningsanmälan</t>
        </is>
      </c>
      <c r="C866" t="inlineStr">
        <is>
          <t>Föryngringsavverkning</t>
        </is>
      </c>
      <c r="D866" s="1" t="n">
        <v>44989</v>
      </c>
      <c r="E866" s="1" t="n">
        <v>46326</v>
      </c>
      <c r="F866" t="inlineStr">
        <is>
          <t>STOCKHOLMS LÄN</t>
        </is>
      </c>
      <c r="G866" t="inlineStr">
        <is>
          <t>SIGTUNA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25571-2025</t>
        </is>
      </c>
      <c r="B867" t="inlineStr">
        <is>
          <t>avverkningsanmälan</t>
        </is>
      </c>
      <c r="C867" t="inlineStr">
        <is>
          <t>Föryngringsavverkning</t>
        </is>
      </c>
      <c r="D867" s="1" t="n">
        <v>45803</v>
      </c>
      <c r="E867" s="1" t="n">
        <v>46326</v>
      </c>
      <c r="F867" t="inlineStr">
        <is>
          <t>STOCKHOLMS LÄN</t>
        </is>
      </c>
      <c r="G867" t="inlineStr">
        <is>
          <t>NORRTÄLJE</t>
        </is>
      </c>
      <c r="I867" t="n">
        <v>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25721-2025</t>
        </is>
      </c>
      <c r="B868" t="inlineStr">
        <is>
          <t>avverkningsanmälan</t>
        </is>
      </c>
      <c r="C868" t="inlineStr">
        <is>
          <t>Föryngringsavverkning</t>
        </is>
      </c>
      <c r="D868" s="1" t="n">
        <v>45800</v>
      </c>
      <c r="E868" s="1" t="n">
        <v>46326</v>
      </c>
      <c r="F868" t="inlineStr">
        <is>
          <t>STOCKHOLMS LÄN</t>
        </is>
      </c>
      <c r="G868" t="inlineStr">
        <is>
          <t>NORRTÄLJE</t>
        </is>
      </c>
      <c r="I868" t="n">
        <v>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18665-2022</t>
        </is>
      </c>
      <c r="B869" t="inlineStr">
        <is>
          <t>avverkningsanmälan</t>
        </is>
      </c>
      <c r="C869" t="inlineStr">
        <is>
          <t>Föryngringsavverkning</t>
        </is>
      </c>
      <c r="D869" s="1" t="n">
        <v>44687</v>
      </c>
      <c r="E869" s="1" t="n">
        <v>46326</v>
      </c>
      <c r="F869" t="inlineStr">
        <is>
          <t>STOCKHOLMS LÄN</t>
        </is>
      </c>
      <c r="G869" t="inlineStr">
        <is>
          <t>NORRTÄLJE</t>
        </is>
      </c>
      <c r="H869" t="inlineStr">
        <is>
          <t>Kyrkan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51653-2022</t>
        </is>
      </c>
      <c r="B870" t="inlineStr">
        <is>
          <t>avverkningsanmälan</t>
        </is>
      </c>
      <c r="C870" t="inlineStr">
        <is>
          <t>Föryngringsavverkning</t>
        </is>
      </c>
      <c r="D870" s="1" t="n">
        <v>44867</v>
      </c>
      <c r="E870" s="1" t="n">
        <v>46326</v>
      </c>
      <c r="F870" t="inlineStr">
        <is>
          <t>STOCKHOLMS LÄN</t>
        </is>
      </c>
      <c r="G870" t="inlineStr">
        <is>
          <t>NORRTÄLJE</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38449-2022</t>
        </is>
      </c>
      <c r="B871" t="inlineStr">
        <is>
          <t>avverkningsanmälan</t>
        </is>
      </c>
      <c r="C871" t="inlineStr">
        <is>
          <t>Föryngringsavverkning</t>
        </is>
      </c>
      <c r="D871" s="1" t="n">
        <v>44813</v>
      </c>
      <c r="E871" s="1" t="n">
        <v>46326</v>
      </c>
      <c r="F871" t="inlineStr">
        <is>
          <t>STOCKHOLMS LÄN</t>
        </is>
      </c>
      <c r="G871" t="inlineStr">
        <is>
          <t>NORRTÄLJE</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56349-2023</t>
        </is>
      </c>
      <c r="B872" t="inlineStr">
        <is>
          <t>avverkningsanmälan</t>
        </is>
      </c>
      <c r="C872" t="inlineStr">
        <is>
          <t>Föryngringsavverkning</t>
        </is>
      </c>
      <c r="D872" s="1" t="n">
        <v>45243</v>
      </c>
      <c r="E872" s="1" t="n">
        <v>46326</v>
      </c>
      <c r="F872" t="inlineStr">
        <is>
          <t>STOCKHOLMS LÄN</t>
        </is>
      </c>
      <c r="G872" t="inlineStr">
        <is>
          <t>SÖDERTÄLJE</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58302-2022</t>
        </is>
      </c>
      <c r="B873" t="inlineStr">
        <is>
          <t>avverkningsanmälan</t>
        </is>
      </c>
      <c r="C873" t="inlineStr">
        <is>
          <t>Föryngringsavverkning</t>
        </is>
      </c>
      <c r="D873" s="1" t="n">
        <v>44901</v>
      </c>
      <c r="E873" s="1" t="n">
        <v>46326</v>
      </c>
      <c r="F873" t="inlineStr">
        <is>
          <t>STOCKHOLMS LÄN</t>
        </is>
      </c>
      <c r="G873" t="inlineStr">
        <is>
          <t>NORRTÄLJE</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24967-2024</t>
        </is>
      </c>
      <c r="B874" t="inlineStr">
        <is>
          <t>avverkningsanmälan</t>
        </is>
      </c>
      <c r="C874" t="inlineStr">
        <is>
          <t>Föryngringsavverkning</t>
        </is>
      </c>
      <c r="D874" s="1" t="n">
        <v>45461</v>
      </c>
      <c r="E874" s="1" t="n">
        <v>46326</v>
      </c>
      <c r="F874" t="inlineStr">
        <is>
          <t>STOCKHOLMS LÄN</t>
        </is>
      </c>
      <c r="G874" t="inlineStr">
        <is>
          <t>SIGTUNA</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53561-2023</t>
        </is>
      </c>
      <c r="B875" t="inlineStr">
        <is>
          <t>avverkningsanmälan</t>
        </is>
      </c>
      <c r="C875" t="inlineStr">
        <is>
          <t>Föryngringsavverkning</t>
        </is>
      </c>
      <c r="D875" s="1" t="n">
        <v>45224</v>
      </c>
      <c r="E875" s="1" t="n">
        <v>46326</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7860-2024</t>
        </is>
      </c>
      <c r="B876" t="inlineStr">
        <is>
          <t>avverkningsanmälan</t>
        </is>
      </c>
      <c r="C876" t="inlineStr">
        <is>
          <t>Föryngringsavverkning</t>
        </is>
      </c>
      <c r="D876" s="1" t="n">
        <v>45348</v>
      </c>
      <c r="E876" s="1" t="n">
        <v>46326</v>
      </c>
      <c r="F876" t="inlineStr">
        <is>
          <t>STOCKHOLMS LÄN</t>
        </is>
      </c>
      <c r="G876" t="inlineStr">
        <is>
          <t>UPPLANDS-BRO</t>
        </is>
      </c>
      <c r="H876" t="inlineStr">
        <is>
          <t>Övriga statliga verk och myndigheter</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41111-2023</t>
        </is>
      </c>
      <c r="B877" t="inlineStr">
        <is>
          <t>avverkningsanmälan</t>
        </is>
      </c>
      <c r="C877" t="inlineStr">
        <is>
          <t>Föryngringsavverkning</t>
        </is>
      </c>
      <c r="D877" s="1" t="n">
        <v>45173</v>
      </c>
      <c r="E877" s="1" t="n">
        <v>46326</v>
      </c>
      <c r="F877" t="inlineStr">
        <is>
          <t>STOCKHOLMS LÄN</t>
        </is>
      </c>
      <c r="G877" t="inlineStr">
        <is>
          <t>SÖDERTÄLJE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41115-2023</t>
        </is>
      </c>
      <c r="B878" t="inlineStr">
        <is>
          <t>avverkningsanmälan</t>
        </is>
      </c>
      <c r="C878" t="inlineStr">
        <is>
          <t>Föryngringsavverkning</t>
        </is>
      </c>
      <c r="D878" s="1" t="n">
        <v>45173</v>
      </c>
      <c r="E878" s="1" t="n">
        <v>46326</v>
      </c>
      <c r="F878" t="inlineStr">
        <is>
          <t>STOCKHOLMS LÄN</t>
        </is>
      </c>
      <c r="G878" t="inlineStr">
        <is>
          <t>SÖDERTÄLJE</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30338-2022</t>
        </is>
      </c>
      <c r="B879" t="inlineStr">
        <is>
          <t>avverkningsanmälan</t>
        </is>
      </c>
      <c r="C879" t="inlineStr">
        <is>
          <t>Avverkning för annat ändamål</t>
        </is>
      </c>
      <c r="D879" s="1" t="n">
        <v>44760</v>
      </c>
      <c r="E879" s="1" t="n">
        <v>46326</v>
      </c>
      <c r="F879" t="inlineStr">
        <is>
          <t>STOCKHOLMS LÄN</t>
        </is>
      </c>
      <c r="G879" t="inlineStr">
        <is>
          <t>NORRTÄLJE</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2888-2022</t>
        </is>
      </c>
      <c r="B880" t="inlineStr">
        <is>
          <t>avverkningsanmälan</t>
        </is>
      </c>
      <c r="C880" t="inlineStr">
        <is>
          <t>Föryngringsavverkning</t>
        </is>
      </c>
      <c r="D880" s="1" t="n">
        <v>44581</v>
      </c>
      <c r="E880" s="1" t="n">
        <v>46326</v>
      </c>
      <c r="F880" t="inlineStr">
        <is>
          <t>STOCKHOLMS LÄN</t>
        </is>
      </c>
      <c r="G880" t="inlineStr">
        <is>
          <t>NORRTÄLJE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9765-2024</t>
        </is>
      </c>
      <c r="B881" t="inlineStr">
        <is>
          <t>avverkningsanmälan</t>
        </is>
      </c>
      <c r="C881" t="inlineStr">
        <is>
          <t>Föryngringsavverkning</t>
        </is>
      </c>
      <c r="D881" s="1" t="n">
        <v>45362</v>
      </c>
      <c r="E881" s="1" t="n">
        <v>46326</v>
      </c>
      <c r="F881" t="inlineStr">
        <is>
          <t>STOCKHOLMS LÄN</t>
        </is>
      </c>
      <c r="G881" t="inlineStr">
        <is>
          <t>NORRTÄLJE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26501-2024</t>
        </is>
      </c>
      <c r="B882" t="inlineStr">
        <is>
          <t>avverkningsanmälan</t>
        </is>
      </c>
      <c r="C882" t="inlineStr">
        <is>
          <t>Föryngringsavverkning</t>
        </is>
      </c>
      <c r="D882" s="1" t="n">
        <v>45469</v>
      </c>
      <c r="E882" s="1" t="n">
        <v>46326</v>
      </c>
      <c r="F882" t="inlineStr">
        <is>
          <t>STOCKHOLMS LÄN</t>
        </is>
      </c>
      <c r="G882" t="inlineStr">
        <is>
          <t>NYNÄSHAMN</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59875-2024</t>
        </is>
      </c>
      <c r="B883" t="inlineStr">
        <is>
          <t>avverkningsanmälan</t>
        </is>
      </c>
      <c r="C883" t="inlineStr">
        <is>
          <t>Föryngringsavverkning</t>
        </is>
      </c>
      <c r="D883" s="1" t="n">
        <v>45640</v>
      </c>
      <c r="E883" s="1" t="n">
        <v>46326</v>
      </c>
      <c r="F883" t="inlineStr">
        <is>
          <t>STOCKHOLMS LÄN</t>
        </is>
      </c>
      <c r="G883" t="inlineStr">
        <is>
          <t>NORRTÄLJE</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61742-2022</t>
        </is>
      </c>
      <c r="B884" t="inlineStr">
        <is>
          <t>avverkningsanmälan</t>
        </is>
      </c>
      <c r="C884" t="inlineStr">
        <is>
          <t>Avverkning för annat ändamål</t>
        </is>
      </c>
      <c r="D884" s="1" t="n">
        <v>44917</v>
      </c>
      <c r="E884" s="1" t="n">
        <v>46326</v>
      </c>
      <c r="F884" t="inlineStr">
        <is>
          <t>STOCKHOLMS LÄN</t>
        </is>
      </c>
      <c r="G884" t="inlineStr">
        <is>
          <t>VALLENTUNA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26708-2025</t>
        </is>
      </c>
      <c r="B885" t="inlineStr">
        <is>
          <t>avverkningsanmälan</t>
        </is>
      </c>
      <c r="C885" t="inlineStr">
        <is>
          <t>Föryngringsavverkning</t>
        </is>
      </c>
      <c r="D885" s="1" t="n">
        <v>45810</v>
      </c>
      <c r="E885" s="1" t="n">
        <v>46326</v>
      </c>
      <c r="F885" t="inlineStr">
        <is>
          <t>STOCKHOLMS LÄN</t>
        </is>
      </c>
      <c r="G885" t="inlineStr">
        <is>
          <t>NORRTÄLJE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14559-2024</t>
        </is>
      </c>
      <c r="B886" t="inlineStr">
        <is>
          <t>avverkningsanmälan</t>
        </is>
      </c>
      <c r="C886" t="inlineStr">
        <is>
          <t>Föryngringsavverkning</t>
        </is>
      </c>
      <c r="D886" s="1" t="n">
        <v>45394</v>
      </c>
      <c r="E886" s="1" t="n">
        <v>46326</v>
      </c>
      <c r="F886" t="inlineStr">
        <is>
          <t>STOCKHOLMS LÄN</t>
        </is>
      </c>
      <c r="G886" t="inlineStr">
        <is>
          <t>NORRTÄLJE</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22288-2023</t>
        </is>
      </c>
      <c r="B887" t="inlineStr">
        <is>
          <t>avverkningsanmälan</t>
        </is>
      </c>
      <c r="C887" t="inlineStr">
        <is>
          <t>Föryngringsavverkning</t>
        </is>
      </c>
      <c r="D887" s="1" t="n">
        <v>45070</v>
      </c>
      <c r="E887" s="1" t="n">
        <v>46326</v>
      </c>
      <c r="F887" t="inlineStr">
        <is>
          <t>STOCKHOLMS LÄN</t>
        </is>
      </c>
      <c r="G887" t="inlineStr">
        <is>
          <t>HANINGE</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8433-2022</t>
        </is>
      </c>
      <c r="B888" t="inlineStr">
        <is>
          <t>avverkningsanmälan</t>
        </is>
      </c>
      <c r="C888" t="inlineStr">
        <is>
          <t>Föryngringsavverkning</t>
        </is>
      </c>
      <c r="D888" s="1" t="n">
        <v>44611</v>
      </c>
      <c r="E888" s="1" t="n">
        <v>46326</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862-2022</t>
        </is>
      </c>
      <c r="B889" t="inlineStr">
        <is>
          <t>avverkningsanmälan</t>
        </is>
      </c>
      <c r="C889" t="inlineStr">
        <is>
          <t>Avverkning för annat ändamål</t>
        </is>
      </c>
      <c r="D889" s="1" t="n">
        <v>44571</v>
      </c>
      <c r="E889" s="1" t="n">
        <v>46326</v>
      </c>
      <c r="F889" t="inlineStr">
        <is>
          <t>STOCKHOLMS LÄN</t>
        </is>
      </c>
      <c r="G889" t="inlineStr">
        <is>
          <t>SIGTUNA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26702-2025</t>
        </is>
      </c>
      <c r="B890" t="inlineStr">
        <is>
          <t>avverkningsanmälan</t>
        </is>
      </c>
      <c r="C890" t="inlineStr">
        <is>
          <t>Föryngringsavverkning</t>
        </is>
      </c>
      <c r="D890" s="1" t="n">
        <v>45810</v>
      </c>
      <c r="E890" s="1" t="n">
        <v>46326</v>
      </c>
      <c r="F890" t="inlineStr">
        <is>
          <t>STOCKHOLMS LÄN</t>
        </is>
      </c>
      <c r="G890" t="inlineStr">
        <is>
          <t>NORRTÄLJE</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231-2026</t>
        </is>
      </c>
      <c r="B891" t="inlineStr">
        <is>
          <t>avverkningsanmälan</t>
        </is>
      </c>
      <c r="C891" t="inlineStr">
        <is>
          <t>Föryngringsavverkning</t>
        </is>
      </c>
      <c r="D891" s="1" t="n">
        <v>46027</v>
      </c>
      <c r="E891" s="1" t="n">
        <v>46326</v>
      </c>
      <c r="F891" t="inlineStr">
        <is>
          <t>STOCKHOLMS LÄN</t>
        </is>
      </c>
      <c r="G891" t="inlineStr">
        <is>
          <t>SÖDERTÄLJE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233-2026</t>
        </is>
      </c>
      <c r="B892" t="inlineStr">
        <is>
          <t>avverkningsanmälan</t>
        </is>
      </c>
      <c r="C892" t="inlineStr">
        <is>
          <t>Föryngringsavverkning</t>
        </is>
      </c>
      <c r="D892" s="1" t="n">
        <v>46027</v>
      </c>
      <c r="E892" s="1" t="n">
        <v>46326</v>
      </c>
      <c r="F892" t="inlineStr">
        <is>
          <t>STOCKHOLMS LÄN</t>
        </is>
      </c>
      <c r="G892" t="inlineStr">
        <is>
          <t>SÖDERTÄLJE</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23061-2025</t>
        </is>
      </c>
      <c r="B893" t="inlineStr">
        <is>
          <t>avverkningsanmälan</t>
        </is>
      </c>
      <c r="C893" t="inlineStr">
        <is>
          <t>Föryngringsavverkning</t>
        </is>
      </c>
      <c r="D893" s="1" t="n">
        <v>45790</v>
      </c>
      <c r="E893" s="1" t="n">
        <v>46326</v>
      </c>
      <c r="F893" t="inlineStr">
        <is>
          <t>STOCKHOLMS LÄN</t>
        </is>
      </c>
      <c r="G893" t="inlineStr">
        <is>
          <t>NORRTÄLJE</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25525-2022</t>
        </is>
      </c>
      <c r="B894" t="inlineStr">
        <is>
          <t>avverkningsanmälan</t>
        </is>
      </c>
      <c r="C894" t="inlineStr">
        <is>
          <t>Föryngringsavverkning</t>
        </is>
      </c>
      <c r="D894" s="1" t="n">
        <v>44732</v>
      </c>
      <c r="E894" s="1" t="n">
        <v>46326</v>
      </c>
      <c r="F894" t="inlineStr">
        <is>
          <t>STOCKHOLMS LÄN</t>
        </is>
      </c>
      <c r="G894" t="inlineStr">
        <is>
          <t>NORRTÄLJE</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26747-2025</t>
        </is>
      </c>
      <c r="B895" t="inlineStr">
        <is>
          <t>avverkningsanmälan</t>
        </is>
      </c>
      <c r="C895" t="inlineStr">
        <is>
          <t>Föryngringsavverkning</t>
        </is>
      </c>
      <c r="D895" s="1" t="n">
        <v>45810</v>
      </c>
      <c r="E895" s="1" t="n">
        <v>46326</v>
      </c>
      <c r="F895" t="inlineStr">
        <is>
          <t>STOCKHOLMS LÄN</t>
        </is>
      </c>
      <c r="G895" t="inlineStr">
        <is>
          <t>NORRTÄLJE</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718-2026</t>
        </is>
      </c>
      <c r="B896" t="inlineStr">
        <is>
          <t>avverkningsanmälan</t>
        </is>
      </c>
      <c r="C896" t="inlineStr">
        <is>
          <t>Föryngringsavverkning</t>
        </is>
      </c>
      <c r="D896" s="1" t="n">
        <v>46029</v>
      </c>
      <c r="E896" s="1" t="n">
        <v>46326</v>
      </c>
      <c r="F896" t="inlineStr">
        <is>
          <t>STOCKHOLMS LÄN</t>
        </is>
      </c>
      <c r="G896" t="inlineStr">
        <is>
          <t>NORRTÄLJE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414-2026</t>
        </is>
      </c>
      <c r="B897" t="inlineStr">
        <is>
          <t>avverkningsanmälan</t>
        </is>
      </c>
      <c r="C897" t="inlineStr">
        <is>
          <t>Föryngringsavverkning</t>
        </is>
      </c>
      <c r="D897" s="1" t="n">
        <v>46028</v>
      </c>
      <c r="E897" s="1" t="n">
        <v>46326</v>
      </c>
      <c r="F897" t="inlineStr">
        <is>
          <t>STOCKHOLMS LÄN</t>
        </is>
      </c>
      <c r="G897" t="inlineStr">
        <is>
          <t>VALLENTUNA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38889-2024</t>
        </is>
      </c>
      <c r="B898" t="inlineStr">
        <is>
          <t>avverkningsanmälan</t>
        </is>
      </c>
      <c r="C898" t="inlineStr">
        <is>
          <t>Föryngringsavverkning</t>
        </is>
      </c>
      <c r="D898" s="1" t="n">
        <v>45547</v>
      </c>
      <c r="E898" s="1" t="n">
        <v>46326</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45451-2024</t>
        </is>
      </c>
      <c r="B899" t="inlineStr">
        <is>
          <t>avverkningsanmälan</t>
        </is>
      </c>
      <c r="C899" t="inlineStr">
        <is>
          <t>Föryngringsavverkning</t>
        </is>
      </c>
      <c r="D899" s="1" t="n">
        <v>45576</v>
      </c>
      <c r="E899" s="1" t="n">
        <v>46326</v>
      </c>
      <c r="F899" t="inlineStr">
        <is>
          <t>STOCKHOLMS LÄN</t>
        </is>
      </c>
      <c r="G899" t="inlineStr">
        <is>
          <t>NORRTÄLJE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41693-2022</t>
        </is>
      </c>
      <c r="B900" t="inlineStr">
        <is>
          <t>avverkningsanmälan</t>
        </is>
      </c>
      <c r="C900" t="inlineStr">
        <is>
          <t>Föryngringsavverkning</t>
        </is>
      </c>
      <c r="D900" s="1" t="n">
        <v>44827</v>
      </c>
      <c r="E900" s="1" t="n">
        <v>46326</v>
      </c>
      <c r="F900" t="inlineStr">
        <is>
          <t>STOCKHOLMS LÄN</t>
        </is>
      </c>
      <c r="G900" t="inlineStr">
        <is>
          <t>SIGTUNA</t>
        </is>
      </c>
      <c r="H900" t="inlineStr">
        <is>
          <t>Allmännings- och besparingsskogar</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475-2026</t>
        </is>
      </c>
      <c r="B901" t="inlineStr">
        <is>
          <t>avverkningsanmälan</t>
        </is>
      </c>
      <c r="C901" t="inlineStr">
        <is>
          <t>Föryngringsavverkning</t>
        </is>
      </c>
      <c r="D901" s="1" t="n">
        <v>46029</v>
      </c>
      <c r="E901" s="1" t="n">
        <v>46326</v>
      </c>
      <c r="F901" t="inlineStr">
        <is>
          <t>STOCKHOLMS LÄN</t>
        </is>
      </c>
      <c r="G901" t="inlineStr">
        <is>
          <t>NORRTÄLJE</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27561-2025</t>
        </is>
      </c>
      <c r="B902" t="inlineStr">
        <is>
          <t>avverkningsanmälan</t>
        </is>
      </c>
      <c r="C902" t="inlineStr">
        <is>
          <t>Föryngringsavverkning</t>
        </is>
      </c>
      <c r="D902" s="1" t="n">
        <v>45813</v>
      </c>
      <c r="E902" s="1" t="n">
        <v>46326</v>
      </c>
      <c r="F902" t="inlineStr">
        <is>
          <t>STOCKHOLMS LÄN</t>
        </is>
      </c>
      <c r="G902" t="inlineStr">
        <is>
          <t>HUDDINGE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717-2026</t>
        </is>
      </c>
      <c r="B903" t="inlineStr">
        <is>
          <t>avverkningsanmälan</t>
        </is>
      </c>
      <c r="C903" t="inlineStr">
        <is>
          <t>Föryngringsavverkning</t>
        </is>
      </c>
      <c r="D903" s="1" t="n">
        <v>46029</v>
      </c>
      <c r="E903" s="1" t="n">
        <v>46326</v>
      </c>
      <c r="F903" t="inlineStr">
        <is>
          <t>STOCKHOLMS LÄN</t>
        </is>
      </c>
      <c r="G903" t="inlineStr">
        <is>
          <t>NORRTÄLJE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1071-2023</t>
        </is>
      </c>
      <c r="B904" t="inlineStr">
        <is>
          <t>avverkningsanmälan</t>
        </is>
      </c>
      <c r="C904" t="inlineStr">
        <is>
          <t>Föryngringsavverkning</t>
        </is>
      </c>
      <c r="D904" s="1" t="n">
        <v>44935</v>
      </c>
      <c r="E904" s="1" t="n">
        <v>46326</v>
      </c>
      <c r="F904" t="inlineStr">
        <is>
          <t>STOCKHOLMS LÄN</t>
        </is>
      </c>
      <c r="G904" t="inlineStr">
        <is>
          <t>SALEM</t>
        </is>
      </c>
      <c r="H904" t="inlineStr">
        <is>
          <t>Kommuner</t>
        </is>
      </c>
      <c r="I904" t="n">
        <v>5.1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27596-2025</t>
        </is>
      </c>
      <c r="B905" t="inlineStr">
        <is>
          <t>avverkningsanmälan</t>
        </is>
      </c>
      <c r="C905" t="inlineStr">
        <is>
          <t>Avverkning för att bevara och utveckla /försöksver</t>
        </is>
      </c>
      <c r="D905" s="1" t="n">
        <v>45813</v>
      </c>
      <c r="E905" s="1" t="n">
        <v>46326</v>
      </c>
      <c r="F905" t="inlineStr">
        <is>
          <t>STOCKHOLMS LÄN</t>
        </is>
      </c>
      <c r="G905" t="inlineStr">
        <is>
          <t>HANINGE</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27137-2025</t>
        </is>
      </c>
      <c r="B906" t="inlineStr">
        <is>
          <t>avverkningsanmälan</t>
        </is>
      </c>
      <c r="C906" t="inlineStr">
        <is>
          <t>Föryngringsavverkning</t>
        </is>
      </c>
      <c r="D906" s="1" t="n">
        <v>45811</v>
      </c>
      <c r="E906" s="1" t="n">
        <v>46326</v>
      </c>
      <c r="F906" t="inlineStr">
        <is>
          <t>STOCKHOLMS LÄN</t>
        </is>
      </c>
      <c r="G906" t="inlineStr">
        <is>
          <t>ÖSTERÅKER</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812-2026</t>
        </is>
      </c>
      <c r="B907" t="inlineStr">
        <is>
          <t>avverkningsanmälan</t>
        </is>
      </c>
      <c r="C907" t="inlineStr">
        <is>
          <t>Föryngringsavverkning</t>
        </is>
      </c>
      <c r="D907" s="1" t="n">
        <v>46030</v>
      </c>
      <c r="E907" s="1" t="n">
        <v>46326</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9020-2023</t>
        </is>
      </c>
      <c r="B908" t="inlineStr">
        <is>
          <t>avverkningsanmälan</t>
        </is>
      </c>
      <c r="C908" t="inlineStr">
        <is>
          <t>Föryngringsavverkning</t>
        </is>
      </c>
      <c r="D908" s="1" t="n">
        <v>44979</v>
      </c>
      <c r="E908" s="1" t="n">
        <v>46326</v>
      </c>
      <c r="F908" t="inlineStr">
        <is>
          <t>STOCKHOLMS LÄN</t>
        </is>
      </c>
      <c r="G908" t="inlineStr">
        <is>
          <t>NYNÄSHAMN</t>
        </is>
      </c>
      <c r="H908" t="inlineStr">
        <is>
          <t>Kommuner</t>
        </is>
      </c>
      <c r="I908" t="n">
        <v>8.1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38535-2025</t>
        </is>
      </c>
      <c r="B909" t="inlineStr">
        <is>
          <t>avverkningsanmälan</t>
        </is>
      </c>
      <c r="C909" t="inlineStr">
        <is>
          <t>Avverkning för att bevara och utveckla /försöksver</t>
        </is>
      </c>
      <c r="D909" s="1" t="n">
        <v>45884</v>
      </c>
      <c r="E909" s="1" t="n">
        <v>46326</v>
      </c>
      <c r="F909" t="inlineStr">
        <is>
          <t>STOCKHOLMS LÄN</t>
        </is>
      </c>
      <c r="G909" t="inlineStr">
        <is>
          <t>NYKVARN</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27700-2025</t>
        </is>
      </c>
      <c r="B910" t="inlineStr">
        <is>
          <t>avverkningsanmälan</t>
        </is>
      </c>
      <c r="C910" t="inlineStr">
        <is>
          <t>Föryngringsavverkning</t>
        </is>
      </c>
      <c r="D910" s="1" t="n">
        <v>45813</v>
      </c>
      <c r="E910" s="1" t="n">
        <v>46326</v>
      </c>
      <c r="F910" t="inlineStr">
        <is>
          <t>STOCKHOLMS LÄN</t>
        </is>
      </c>
      <c r="G910" t="inlineStr">
        <is>
          <t>NORRTÄLJE</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27818-2025</t>
        </is>
      </c>
      <c r="B911" t="inlineStr">
        <is>
          <t>avverkningsanmälan</t>
        </is>
      </c>
      <c r="C911" t="inlineStr">
        <is>
          <t>Avverkning för annat ändamål</t>
        </is>
      </c>
      <c r="D911" s="1" t="n">
        <v>45817</v>
      </c>
      <c r="E911" s="1" t="n">
        <v>46326</v>
      </c>
      <c r="F911" t="inlineStr">
        <is>
          <t>STOCKHOLMS LÄN</t>
        </is>
      </c>
      <c r="G911" t="inlineStr">
        <is>
          <t>NORRTÄLJE</t>
        </is>
      </c>
      <c r="H911" t="inlineStr">
        <is>
          <t>Sveaskog</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27677-2025</t>
        </is>
      </c>
      <c r="B912" t="inlineStr">
        <is>
          <t>avverkningsanmälan</t>
        </is>
      </c>
      <c r="C912" t="inlineStr">
        <is>
          <t>Föryngringsavverkning</t>
        </is>
      </c>
      <c r="D912" s="1" t="n">
        <v>45813</v>
      </c>
      <c r="E912" s="1" t="n">
        <v>46326</v>
      </c>
      <c r="F912" t="inlineStr">
        <is>
          <t>STOCKHOLMS LÄN</t>
        </is>
      </c>
      <c r="G912" t="inlineStr">
        <is>
          <t>NORRTÄLJE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39152-2025</t>
        </is>
      </c>
      <c r="B913" t="inlineStr">
        <is>
          <t>avverkningsanmälan</t>
        </is>
      </c>
      <c r="C913" t="inlineStr">
        <is>
          <t>Avverkning för annat ändamål</t>
        </is>
      </c>
      <c r="D913" s="1" t="n">
        <v>45888</v>
      </c>
      <c r="E913" s="1" t="n">
        <v>46326</v>
      </c>
      <c r="F913" t="inlineStr">
        <is>
          <t>STOCKHOLMS LÄN</t>
        </is>
      </c>
      <c r="G913" t="inlineStr">
        <is>
          <t>NORRTÄLJE</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26644-2024</t>
        </is>
      </c>
      <c r="B914" t="inlineStr">
        <is>
          <t>avverkningsanmälan</t>
        </is>
      </c>
      <c r="C914" t="inlineStr">
        <is>
          <t>Föryngringsavverkning</t>
        </is>
      </c>
      <c r="D914" s="1" t="n">
        <v>45469</v>
      </c>
      <c r="E914" s="1" t="n">
        <v>46326</v>
      </c>
      <c r="F914" t="inlineStr">
        <is>
          <t>STOCKHOLMS LÄN</t>
        </is>
      </c>
      <c r="G914" t="inlineStr">
        <is>
          <t>NORRTÄLJE</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53307-2023</t>
        </is>
      </c>
      <c r="B915" t="inlineStr">
        <is>
          <t>avverkningsanmälan</t>
        </is>
      </c>
      <c r="C915" t="inlineStr">
        <is>
          <t>Föryngringsavverkning</t>
        </is>
      </c>
      <c r="D915" s="1" t="n">
        <v>45229</v>
      </c>
      <c r="E915" s="1" t="n">
        <v>46326</v>
      </c>
      <c r="F915" t="inlineStr">
        <is>
          <t>STOCKHOLMS LÄN</t>
        </is>
      </c>
      <c r="G915" t="inlineStr">
        <is>
          <t>NYKVARN</t>
        </is>
      </c>
      <c r="H915" t="inlineStr">
        <is>
          <t>Kyrkan</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15528-2025</t>
        </is>
      </c>
      <c r="B916" t="inlineStr">
        <is>
          <t>avverkningsanmälan</t>
        </is>
      </c>
      <c r="C916" t="inlineStr">
        <is>
          <t>Föryngringsavverkning</t>
        </is>
      </c>
      <c r="D916" s="1" t="n">
        <v>45747</v>
      </c>
      <c r="E916" s="1" t="n">
        <v>46326</v>
      </c>
      <c r="F916" t="inlineStr">
        <is>
          <t>STOCKHOLMS LÄN</t>
        </is>
      </c>
      <c r="G916" t="inlineStr">
        <is>
          <t>NORRTÄLJE</t>
        </is>
      </c>
      <c r="I916" t="n">
        <v>10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11901-2024</t>
        </is>
      </c>
      <c r="B917" t="inlineStr">
        <is>
          <t>avverkningsanmälan</t>
        </is>
      </c>
      <c r="C917" t="inlineStr">
        <is>
          <t>Föryngringsavverkning</t>
        </is>
      </c>
      <c r="D917" s="1" t="n">
        <v>45376</v>
      </c>
      <c r="E917" s="1" t="n">
        <v>46326</v>
      </c>
      <c r="F917" t="inlineStr">
        <is>
          <t>STOCKHOLMS LÄN</t>
        </is>
      </c>
      <c r="G917" t="inlineStr">
        <is>
          <t>NORRTÄLJE</t>
        </is>
      </c>
      <c r="H917" t="inlineStr">
        <is>
          <t>Holmen skog AB</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2982-2023</t>
        </is>
      </c>
      <c r="B918" t="inlineStr">
        <is>
          <t>avverkningsanmälan</t>
        </is>
      </c>
      <c r="C918" t="inlineStr">
        <is>
          <t>Föryngringsavverkning</t>
        </is>
      </c>
      <c r="D918" s="1" t="n">
        <v>44945</v>
      </c>
      <c r="E918" s="1" t="n">
        <v>46326</v>
      </c>
      <c r="F918" t="inlineStr">
        <is>
          <t>STOCKHOLMS LÄN</t>
        </is>
      </c>
      <c r="G918" t="inlineStr">
        <is>
          <t>NORRTÄLJE</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16483-2023</t>
        </is>
      </c>
      <c r="B919" t="inlineStr">
        <is>
          <t>avverkningsanmälan</t>
        </is>
      </c>
      <c r="C919" t="inlineStr">
        <is>
          <t>Föryngringsavverkning</t>
        </is>
      </c>
      <c r="D919" s="1" t="n">
        <v>45029</v>
      </c>
      <c r="E919" s="1" t="n">
        <v>46326</v>
      </c>
      <c r="F919" t="inlineStr">
        <is>
          <t>STOCKHOLMS LÄN</t>
        </is>
      </c>
      <c r="G919" t="inlineStr">
        <is>
          <t>BOTKYRKA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37136-2023</t>
        </is>
      </c>
      <c r="B920" t="inlineStr">
        <is>
          <t>avverkningsanmälan</t>
        </is>
      </c>
      <c r="C920" t="inlineStr">
        <is>
          <t>Föryngringsavverkning</t>
        </is>
      </c>
      <c r="D920" s="1" t="n">
        <v>45155</v>
      </c>
      <c r="E920" s="1" t="n">
        <v>46326</v>
      </c>
      <c r="F920" t="inlineStr">
        <is>
          <t>STOCKHOLMS LÄN</t>
        </is>
      </c>
      <c r="G920" t="inlineStr">
        <is>
          <t>NORRTÄLJE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35639-2025</t>
        </is>
      </c>
      <c r="B921" t="inlineStr">
        <is>
          <t>avverkningsanmälan</t>
        </is>
      </c>
      <c r="C921" t="inlineStr">
        <is>
          <t>Föryngringsavverkning</t>
        </is>
      </c>
      <c r="D921" s="1" t="n">
        <v>45859</v>
      </c>
      <c r="E921" s="1" t="n">
        <v>46326</v>
      </c>
      <c r="F921" t="inlineStr">
        <is>
          <t>STOCKHOLMS LÄN</t>
        </is>
      </c>
      <c r="G921" t="inlineStr">
        <is>
          <t>NORRTÄLJE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18787-2022</t>
        </is>
      </c>
      <c r="B922" t="inlineStr">
        <is>
          <t>avverkningsanmälan</t>
        </is>
      </c>
      <c r="C922" t="inlineStr">
        <is>
          <t>Avverkning för att bevara och utveckla /försöksver</t>
        </is>
      </c>
      <c r="D922" s="1" t="n">
        <v>44687</v>
      </c>
      <c r="E922" s="1" t="n">
        <v>46326</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1696-2026</t>
        </is>
      </c>
      <c r="B923" t="inlineStr">
        <is>
          <t>avverkningsanmälan</t>
        </is>
      </c>
      <c r="C923" t="inlineStr">
        <is>
          <t>Föryngringsavverkning</t>
        </is>
      </c>
      <c r="D923" s="1" t="n">
        <v>46034</v>
      </c>
      <c r="E923" s="1" t="n">
        <v>46326</v>
      </c>
      <c r="F923" t="inlineStr">
        <is>
          <t>STOCKHOLMS LÄN</t>
        </is>
      </c>
      <c r="G923" t="inlineStr">
        <is>
          <t>SÖDERTÄLJE</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35636-2025</t>
        </is>
      </c>
      <c r="B924" t="inlineStr">
        <is>
          <t>avverkningsanmälan</t>
        </is>
      </c>
      <c r="C924" t="inlineStr">
        <is>
          <t>Föryngringsavverkning</t>
        </is>
      </c>
      <c r="D924" s="1" t="n">
        <v>45859</v>
      </c>
      <c r="E924" s="1" t="n">
        <v>46326</v>
      </c>
      <c r="F924" t="inlineStr">
        <is>
          <t>STOCKHOLMS LÄN</t>
        </is>
      </c>
      <c r="G924" t="inlineStr">
        <is>
          <t>NORRTÄLJE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1715-2026</t>
        </is>
      </c>
      <c r="B925" t="inlineStr">
        <is>
          <t>avverkningsanmälan</t>
        </is>
      </c>
      <c r="C925" t="inlineStr">
        <is>
          <t>Föryngringsavverkning</t>
        </is>
      </c>
      <c r="D925" s="1" t="n">
        <v>46034</v>
      </c>
      <c r="E925" s="1" t="n">
        <v>46326</v>
      </c>
      <c r="F925" t="inlineStr">
        <is>
          <t>STOCKHOLMS LÄN</t>
        </is>
      </c>
      <c r="G925" t="inlineStr">
        <is>
          <t>SÖDERTÄLJE</t>
        </is>
      </c>
      <c r="I925" t="n">
        <v>6.5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36269-2022</t>
        </is>
      </c>
      <c r="B926" t="inlineStr">
        <is>
          <t>avverkningsanmälan</t>
        </is>
      </c>
      <c r="C926" t="inlineStr">
        <is>
          <t>Föryngringsavverkning</t>
        </is>
      </c>
      <c r="D926" s="1" t="n">
        <v>44803</v>
      </c>
      <c r="E926" s="1" t="n">
        <v>46326</v>
      </c>
      <c r="F926" t="inlineStr">
        <is>
          <t>STOCKHOLMS LÄN</t>
        </is>
      </c>
      <c r="G926" t="inlineStr">
        <is>
          <t>NORRTÄLJE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36308-2022</t>
        </is>
      </c>
      <c r="B927" t="inlineStr">
        <is>
          <t>avverkningsanmälan</t>
        </is>
      </c>
      <c r="C927" t="inlineStr">
        <is>
          <t>Föryngringsavverkning</t>
        </is>
      </c>
      <c r="D927" s="1" t="n">
        <v>44803</v>
      </c>
      <c r="E927" s="1" t="n">
        <v>46326</v>
      </c>
      <c r="F927" t="inlineStr">
        <is>
          <t>STOCKHOLMS LÄN</t>
        </is>
      </c>
      <c r="G927" t="inlineStr">
        <is>
          <t>NORRTÄLJE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40033-2025</t>
        </is>
      </c>
      <c r="B928" t="inlineStr">
        <is>
          <t>avverkningsanmälan</t>
        </is>
      </c>
      <c r="C928" t="inlineStr">
        <is>
          <t>Föryngringsavverkning</t>
        </is>
      </c>
      <c r="D928" s="1" t="n">
        <v>45893</v>
      </c>
      <c r="E928" s="1" t="n">
        <v>46326</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40032-2025</t>
        </is>
      </c>
      <c r="B929" t="inlineStr">
        <is>
          <t>avverkningsanmälan</t>
        </is>
      </c>
      <c r="C929" t="inlineStr">
        <is>
          <t>Föryngringsavverkning</t>
        </is>
      </c>
      <c r="D929" s="1" t="n">
        <v>45893</v>
      </c>
      <c r="E929" s="1" t="n">
        <v>46326</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1755-2026</t>
        </is>
      </c>
      <c r="B930" t="inlineStr">
        <is>
          <t>avverkningsanmälan</t>
        </is>
      </c>
      <c r="C930" t="inlineStr">
        <is>
          <t>Föryngringsavverkning</t>
        </is>
      </c>
      <c r="D930" s="1" t="n">
        <v>46034</v>
      </c>
      <c r="E930" s="1" t="n">
        <v>46326</v>
      </c>
      <c r="F930" t="inlineStr">
        <is>
          <t>STOCKHOLMS LÄN</t>
        </is>
      </c>
      <c r="G930" t="inlineStr">
        <is>
          <t>NORRTÄLJE</t>
        </is>
      </c>
      <c r="H930" t="inlineStr">
        <is>
          <t>Holmen skog AB</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1789-2026</t>
        </is>
      </c>
      <c r="B931" t="inlineStr">
        <is>
          <t>avverkningsanmälan</t>
        </is>
      </c>
      <c r="C931" t="inlineStr">
        <is>
          <t>Avverkning för annat ändamål</t>
        </is>
      </c>
      <c r="D931" s="1" t="n">
        <v>46034</v>
      </c>
      <c r="E931" s="1" t="n">
        <v>46326</v>
      </c>
      <c r="F931" t="inlineStr">
        <is>
          <t>STOCKHOLMS LÄN</t>
        </is>
      </c>
      <c r="G931" t="inlineStr">
        <is>
          <t>NORRTÄLJE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6919-2025</t>
        </is>
      </c>
      <c r="B932" t="inlineStr">
        <is>
          <t>avverkningsanmälan</t>
        </is>
      </c>
      <c r="C932" t="inlineStr">
        <is>
          <t>Föryngringsavverkning</t>
        </is>
      </c>
      <c r="D932" s="1" t="n">
        <v>45701</v>
      </c>
      <c r="E932" s="1" t="n">
        <v>46326</v>
      </c>
      <c r="F932" t="inlineStr">
        <is>
          <t>STOCKHOLMS LÄN</t>
        </is>
      </c>
      <c r="G932" t="inlineStr">
        <is>
          <t>NORRTÄLJE</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32100-2022</t>
        </is>
      </c>
      <c r="B933" t="inlineStr">
        <is>
          <t>avverkningsanmälan</t>
        </is>
      </c>
      <c r="C933" t="inlineStr">
        <is>
          <t>Föryngringsavverkning</t>
        </is>
      </c>
      <c r="D933" s="1" t="n">
        <v>44778</v>
      </c>
      <c r="E933" s="1" t="n">
        <v>46326</v>
      </c>
      <c r="F933" t="inlineStr">
        <is>
          <t>STOCKHOLMS LÄN</t>
        </is>
      </c>
      <c r="G933" t="inlineStr">
        <is>
          <t>NORRTÄLJE</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30886-2022</t>
        </is>
      </c>
      <c r="B934" t="inlineStr">
        <is>
          <t>avverkningsanmälan</t>
        </is>
      </c>
      <c r="C934" t="inlineStr">
        <is>
          <t>Föryngringsavverkning</t>
        </is>
      </c>
      <c r="D934" s="1" t="n">
        <v>44767</v>
      </c>
      <c r="E934" s="1" t="n">
        <v>46326</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40230-2025</t>
        </is>
      </c>
      <c r="B935" t="inlineStr">
        <is>
          <t>avverkningsanmälan</t>
        </is>
      </c>
      <c r="C935" t="inlineStr">
        <is>
          <t>Föryngringsavverkning</t>
        </is>
      </c>
      <c r="D935" s="1" t="n">
        <v>45894</v>
      </c>
      <c r="E935" s="1" t="n">
        <v>46326</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50184-2023</t>
        </is>
      </c>
      <c r="B936" t="inlineStr">
        <is>
          <t>avverkningsanmälan</t>
        </is>
      </c>
      <c r="C936" t="inlineStr">
        <is>
          <t>Föryngringsavverkning</t>
        </is>
      </c>
      <c r="D936" s="1" t="n">
        <v>45208</v>
      </c>
      <c r="E936" s="1" t="n">
        <v>46326</v>
      </c>
      <c r="F936" t="inlineStr">
        <is>
          <t>STOCKHOLMS LÄN</t>
        </is>
      </c>
      <c r="G936" t="inlineStr">
        <is>
          <t>EKERÖ</t>
        </is>
      </c>
      <c r="I936" t="n">
        <v>10.8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40097-2025</t>
        </is>
      </c>
      <c r="B937" t="inlineStr">
        <is>
          <t>avverkningsanmälan</t>
        </is>
      </c>
      <c r="C937" t="inlineStr">
        <is>
          <t>Föryngringsavverkning</t>
        </is>
      </c>
      <c r="D937" s="1" t="n">
        <v>45894</v>
      </c>
      <c r="E937" s="1" t="n">
        <v>46326</v>
      </c>
      <c r="F937" t="inlineStr">
        <is>
          <t>STOCKHOLMS LÄN</t>
        </is>
      </c>
      <c r="G937" t="inlineStr">
        <is>
          <t>NORRTÄLJE</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40829-2025</t>
        </is>
      </c>
      <c r="B938" t="inlineStr">
        <is>
          <t>avverkningsanmälan</t>
        </is>
      </c>
      <c r="C938" t="inlineStr">
        <is>
          <t>Föryngringsavverkning</t>
        </is>
      </c>
      <c r="D938" s="1" t="n">
        <v>45897</v>
      </c>
      <c r="E938" s="1" t="n">
        <v>46326</v>
      </c>
      <c r="F938" t="inlineStr">
        <is>
          <t>STOCKHOLMS LÄN</t>
        </is>
      </c>
      <c r="G938" t="inlineStr">
        <is>
          <t>NORRTÄLJE</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40837-2025</t>
        </is>
      </c>
      <c r="B939" t="inlineStr">
        <is>
          <t>avverkningsanmälan</t>
        </is>
      </c>
      <c r="C939" t="inlineStr">
        <is>
          <t>Föryngringsavverkning</t>
        </is>
      </c>
      <c r="D939" s="1" t="n">
        <v>45897</v>
      </c>
      <c r="E939" s="1" t="n">
        <v>46326</v>
      </c>
      <c r="F939" t="inlineStr">
        <is>
          <t>STOCKHOLMS LÄN</t>
        </is>
      </c>
      <c r="G939" t="inlineStr">
        <is>
          <t>NORRTÄLJE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40529-2025</t>
        </is>
      </c>
      <c r="B940" t="inlineStr">
        <is>
          <t>avverkningsanmälan</t>
        </is>
      </c>
      <c r="C940" t="inlineStr">
        <is>
          <t>Föryngringsavverkning</t>
        </is>
      </c>
      <c r="D940" s="1" t="n">
        <v>45896</v>
      </c>
      <c r="E940" s="1" t="n">
        <v>46326</v>
      </c>
      <c r="F940" t="inlineStr">
        <is>
          <t>STOCKHOLMS LÄN</t>
        </is>
      </c>
      <c r="G940" t="inlineStr">
        <is>
          <t>NORRTÄLJE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40831-2025</t>
        </is>
      </c>
      <c r="B941" t="inlineStr">
        <is>
          <t>avverkningsanmälan</t>
        </is>
      </c>
      <c r="C941" t="inlineStr">
        <is>
          <t>Föryngringsavverkning</t>
        </is>
      </c>
      <c r="D941" s="1" t="n">
        <v>45897</v>
      </c>
      <c r="E941" s="1" t="n">
        <v>46326</v>
      </c>
      <c r="F941" t="inlineStr">
        <is>
          <t>STOCKHOLMS LÄN</t>
        </is>
      </c>
      <c r="G941" t="inlineStr">
        <is>
          <t>NORRTÄLJE</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1453-2025</t>
        </is>
      </c>
      <c r="B942" t="inlineStr">
        <is>
          <t>avverkningsanmälan</t>
        </is>
      </c>
      <c r="C942" t="inlineStr">
        <is>
          <t>Avverkning för att bevara och utveckla /försöksver</t>
        </is>
      </c>
      <c r="D942" s="1" t="n">
        <v>45670</v>
      </c>
      <c r="E942" s="1" t="n">
        <v>46326</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28981-2023</t>
        </is>
      </c>
      <c r="B943" t="inlineStr">
        <is>
          <t>avverkningsanmälan</t>
        </is>
      </c>
      <c r="C943" t="inlineStr">
        <is>
          <t>Föryngringsavverkning</t>
        </is>
      </c>
      <c r="D943" s="1" t="n">
        <v>45104</v>
      </c>
      <c r="E943" s="1" t="n">
        <v>46326</v>
      </c>
      <c r="F943" t="inlineStr">
        <is>
          <t>STOCKHOLMS LÄN</t>
        </is>
      </c>
      <c r="G943" t="inlineStr">
        <is>
          <t>SÖDERTÄLJE</t>
        </is>
      </c>
      <c r="I943" t="n">
        <v>12.2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29003-2023</t>
        </is>
      </c>
      <c r="B944" t="inlineStr">
        <is>
          <t>avverkningsanmälan</t>
        </is>
      </c>
      <c r="C944" t="inlineStr">
        <is>
          <t>Föryngringsavverkning</t>
        </is>
      </c>
      <c r="D944" s="1" t="n">
        <v>45104</v>
      </c>
      <c r="E944" s="1" t="n">
        <v>46326</v>
      </c>
      <c r="F944" t="inlineStr">
        <is>
          <t>STOCKHOLMS LÄN</t>
        </is>
      </c>
      <c r="G944" t="inlineStr">
        <is>
          <t>NORRTÄLJE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2088-2026</t>
        </is>
      </c>
      <c r="B945" t="inlineStr">
        <is>
          <t>avverkningsanmälan</t>
        </is>
      </c>
      <c r="C945" t="inlineStr">
        <is>
          <t>Föryngringsavverkning</t>
        </is>
      </c>
      <c r="D945" s="1" t="n">
        <v>46036</v>
      </c>
      <c r="E945" s="1" t="n">
        <v>46326</v>
      </c>
      <c r="F945" t="inlineStr">
        <is>
          <t>STOCKHOLMS LÄN</t>
        </is>
      </c>
      <c r="G945" t="inlineStr">
        <is>
          <t>NORRTÄLJE</t>
        </is>
      </c>
      <c r="I945" t="n">
        <v>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29811-2025</t>
        </is>
      </c>
      <c r="B946" t="inlineStr">
        <is>
          <t>avverkningsanmälan</t>
        </is>
      </c>
      <c r="C946" t="inlineStr">
        <is>
          <t>Föryngringsavverkning</t>
        </is>
      </c>
      <c r="D946" s="1" t="n">
        <v>45825</v>
      </c>
      <c r="E946" s="1" t="n">
        <v>46326</v>
      </c>
      <c r="F946" t="inlineStr">
        <is>
          <t>STOCKHOLMS LÄN</t>
        </is>
      </c>
      <c r="G946" t="inlineStr">
        <is>
          <t>NYNÄSHAMN</t>
        </is>
      </c>
      <c r="H946" t="inlineStr">
        <is>
          <t>Övriga statliga verk och myndigheter</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33295-2023</t>
        </is>
      </c>
      <c r="B947" t="inlineStr">
        <is>
          <t>avverkningsanmälan</t>
        </is>
      </c>
      <c r="C947" t="inlineStr">
        <is>
          <t>Föryngringsavverkning</t>
        </is>
      </c>
      <c r="D947" s="1" t="n">
        <v>45127</v>
      </c>
      <c r="E947" s="1" t="n">
        <v>46326</v>
      </c>
      <c r="F947" t="inlineStr">
        <is>
          <t>STOCKHOLMS LÄN</t>
        </is>
      </c>
      <c r="G947" t="inlineStr">
        <is>
          <t>NORRTÄLJE</t>
        </is>
      </c>
      <c r="H947" t="inlineStr">
        <is>
          <t>Holmen skog AB</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16980-2023</t>
        </is>
      </c>
      <c r="B948" t="inlineStr">
        <is>
          <t>avverkningsanmälan</t>
        </is>
      </c>
      <c r="C948" t="inlineStr">
        <is>
          <t>Föryngringsavverkning</t>
        </is>
      </c>
      <c r="D948" s="1" t="n">
        <v>45033</v>
      </c>
      <c r="E948" s="1" t="n">
        <v>46326</v>
      </c>
      <c r="F948" t="inlineStr">
        <is>
          <t>STOCKHOLMS LÄN</t>
        </is>
      </c>
      <c r="G948" t="inlineStr">
        <is>
          <t>NORRTÄLJE</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12562-2023</t>
        </is>
      </c>
      <c r="B949" t="inlineStr">
        <is>
          <t>avverkningsanmälan</t>
        </is>
      </c>
      <c r="C949" t="inlineStr">
        <is>
          <t>Föryngringsavverkning</t>
        </is>
      </c>
      <c r="D949" s="1" t="n">
        <v>45000</v>
      </c>
      <c r="E949" s="1" t="n">
        <v>46326</v>
      </c>
      <c r="F949" t="inlineStr">
        <is>
          <t>STOCKHOLMS LÄN</t>
        </is>
      </c>
      <c r="G949" t="inlineStr">
        <is>
          <t>VALLENTUNA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19058-2024</t>
        </is>
      </c>
      <c r="B950" t="inlineStr">
        <is>
          <t>avverkningsanmälan</t>
        </is>
      </c>
      <c r="C950" t="inlineStr">
        <is>
          <t>Föryngringsavverkning</t>
        </is>
      </c>
      <c r="D950" s="1" t="n">
        <v>45427</v>
      </c>
      <c r="E950" s="1" t="n">
        <v>46326</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32595-2023</t>
        </is>
      </c>
      <c r="B951" t="inlineStr">
        <is>
          <t>avverkningsanmälan</t>
        </is>
      </c>
      <c r="C951" t="inlineStr">
        <is>
          <t>Föryngringsavverkning</t>
        </is>
      </c>
      <c r="D951" s="1" t="n">
        <v>45121</v>
      </c>
      <c r="E951" s="1" t="n">
        <v>46326</v>
      </c>
      <c r="F951" t="inlineStr">
        <is>
          <t>STOCKHOLMS LÄN</t>
        </is>
      </c>
      <c r="G951" t="inlineStr">
        <is>
          <t>NORRTÄLJE</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2116-2026</t>
        </is>
      </c>
      <c r="B952" t="inlineStr">
        <is>
          <t>avverkningsanmälan</t>
        </is>
      </c>
      <c r="C952" t="inlineStr">
        <is>
          <t>Föryngringsavverkning</t>
        </is>
      </c>
      <c r="D952" s="1" t="n">
        <v>46036</v>
      </c>
      <c r="E952" s="1" t="n">
        <v>46326</v>
      </c>
      <c r="F952" t="inlineStr">
        <is>
          <t>STOCKHOLMS LÄN</t>
        </is>
      </c>
      <c r="G952" t="inlineStr">
        <is>
          <t>NORRTÄLJE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41174-2025</t>
        </is>
      </c>
      <c r="B953" t="inlineStr">
        <is>
          <t>avverkningsanmälan</t>
        </is>
      </c>
      <c r="C953" t="inlineStr">
        <is>
          <t>Föryngringsavverkning</t>
        </is>
      </c>
      <c r="D953" s="1" t="n">
        <v>45898</v>
      </c>
      <c r="E953" s="1" t="n">
        <v>46326</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14480-2024</t>
        </is>
      </c>
      <c r="B954" t="inlineStr">
        <is>
          <t>avverkningsanmälan</t>
        </is>
      </c>
      <c r="C954" t="inlineStr">
        <is>
          <t>Föryngringsavverkning</t>
        </is>
      </c>
      <c r="D954" s="1" t="n">
        <v>45394</v>
      </c>
      <c r="E954" s="1" t="n">
        <v>46326</v>
      </c>
      <c r="F954" t="inlineStr">
        <is>
          <t>STOCKHOLMS LÄN</t>
        </is>
      </c>
      <c r="G954" t="inlineStr">
        <is>
          <t>VALLENTUNA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37550-2022</t>
        </is>
      </c>
      <c r="B955" t="inlineStr">
        <is>
          <t>avverkningsanmälan</t>
        </is>
      </c>
      <c r="C955" t="inlineStr">
        <is>
          <t>Avverkning för annat ändamål</t>
        </is>
      </c>
      <c r="D955" s="1" t="n">
        <v>44809</v>
      </c>
      <c r="E955" s="1" t="n">
        <v>46326</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41110-2025</t>
        </is>
      </c>
      <c r="B956" t="inlineStr">
        <is>
          <t>avverkningsanmälan</t>
        </is>
      </c>
      <c r="C956" t="inlineStr">
        <is>
          <t>Föryngringsavverkning</t>
        </is>
      </c>
      <c r="D956" s="1" t="n">
        <v>45898</v>
      </c>
      <c r="E956" s="1" t="n">
        <v>46326</v>
      </c>
      <c r="F956" t="inlineStr">
        <is>
          <t>STOCKHOLMS LÄN</t>
        </is>
      </c>
      <c r="G956" t="inlineStr">
        <is>
          <t>NORRTÄLJE</t>
        </is>
      </c>
      <c r="H956" t="inlineStr">
        <is>
          <t>Holmen skog AB</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17340-2025</t>
        </is>
      </c>
      <c r="B957" t="inlineStr">
        <is>
          <t>avverkningsanmälan</t>
        </is>
      </c>
      <c r="C957" t="inlineStr">
        <is>
          <t>Föryngringsavverkning</t>
        </is>
      </c>
      <c r="D957" s="1" t="n">
        <v>45756</v>
      </c>
      <c r="E957" s="1" t="n">
        <v>46326</v>
      </c>
      <c r="F957" t="inlineStr">
        <is>
          <t>STOCKHOLMS LÄN</t>
        </is>
      </c>
      <c r="G957" t="inlineStr">
        <is>
          <t>VALLENTUNA</t>
        </is>
      </c>
      <c r="H957" t="inlineStr">
        <is>
          <t>Övriga Aktiebolag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17353-2025</t>
        </is>
      </c>
      <c r="B958" t="inlineStr">
        <is>
          <t>avverkningsanmälan</t>
        </is>
      </c>
      <c r="C958" t="inlineStr">
        <is>
          <t>Föryngringsavverkning</t>
        </is>
      </c>
      <c r="D958" s="1" t="n">
        <v>45756</v>
      </c>
      <c r="E958" s="1" t="n">
        <v>46326</v>
      </c>
      <c r="F958" t="inlineStr">
        <is>
          <t>STOCKHOLMS LÄN</t>
        </is>
      </c>
      <c r="G958" t="inlineStr">
        <is>
          <t>ÖSTERÅKER</t>
        </is>
      </c>
      <c r="H958" t="inlineStr">
        <is>
          <t>Övriga Aktiebolag</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10511-2025</t>
        </is>
      </c>
      <c r="B959" t="inlineStr">
        <is>
          <t>avverkningsanmälan</t>
        </is>
      </c>
      <c r="C959" t="inlineStr">
        <is>
          <t>Föryngringsavverkning</t>
        </is>
      </c>
      <c r="D959" s="1" t="n">
        <v>45721</v>
      </c>
      <c r="E959" s="1" t="n">
        <v>46326</v>
      </c>
      <c r="F959" t="inlineStr">
        <is>
          <t>STOCKHOLMS LÄN</t>
        </is>
      </c>
      <c r="G959" t="inlineStr">
        <is>
          <t>NORRTÄLJE</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3549-2026</t>
        </is>
      </c>
      <c r="B960" t="inlineStr">
        <is>
          <t>avverkningsanmälan</t>
        </is>
      </c>
      <c r="C960" t="inlineStr">
        <is>
          <t>Föryngringsavverkning</t>
        </is>
      </c>
      <c r="D960" s="1" t="n">
        <v>46042</v>
      </c>
      <c r="E960" s="1" t="n">
        <v>46326</v>
      </c>
      <c r="F960" t="inlineStr">
        <is>
          <t>STOCKHOLMS LÄN</t>
        </is>
      </c>
      <c r="G960" t="inlineStr">
        <is>
          <t>NORRTÄLJE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48161-2022</t>
        </is>
      </c>
      <c r="B961" t="inlineStr">
        <is>
          <t>avverkningsanmälan</t>
        </is>
      </c>
      <c r="C961" t="inlineStr">
        <is>
          <t>Föryngringsavverkning</t>
        </is>
      </c>
      <c r="D961" s="1" t="n">
        <v>44858</v>
      </c>
      <c r="E961" s="1" t="n">
        <v>46326</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50934-2024</t>
        </is>
      </c>
      <c r="B962" t="inlineStr">
        <is>
          <t>avverkningsanmälan</t>
        </is>
      </c>
      <c r="C962" t="inlineStr">
        <is>
          <t>Föryngringsavverkning</t>
        </is>
      </c>
      <c r="D962" s="1" t="n">
        <v>45602</v>
      </c>
      <c r="E962" s="1" t="n">
        <v>46326</v>
      </c>
      <c r="F962" t="inlineStr">
        <is>
          <t>STOCKHOLMS LÄN</t>
        </is>
      </c>
      <c r="G962" t="inlineStr">
        <is>
          <t>UPPLANDS VÄSBY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3673-2026</t>
        </is>
      </c>
      <c r="B963" t="inlineStr">
        <is>
          <t>avverkningsanmälan</t>
        </is>
      </c>
      <c r="C963" t="inlineStr">
        <is>
          <t>Föryngringsavverkning</t>
        </is>
      </c>
      <c r="D963" s="1" t="n">
        <v>46043</v>
      </c>
      <c r="E963" s="1" t="n">
        <v>46326</v>
      </c>
      <c r="F963" t="inlineStr">
        <is>
          <t>STOCKHOLMS LÄN</t>
        </is>
      </c>
      <c r="G963" t="inlineStr">
        <is>
          <t>SIGTUNA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54776-2023</t>
        </is>
      </c>
      <c r="B964" t="inlineStr">
        <is>
          <t>avverkningsanmälan</t>
        </is>
      </c>
      <c r="C964" t="inlineStr">
        <is>
          <t>Föryngringsavverkning</t>
        </is>
      </c>
      <c r="D964" s="1" t="n">
        <v>45236</v>
      </c>
      <c r="E964" s="1" t="n">
        <v>46326</v>
      </c>
      <c r="F964" t="inlineStr">
        <is>
          <t>STOCKHOLMS LÄN</t>
        </is>
      </c>
      <c r="G964" t="inlineStr">
        <is>
          <t>NORRTÄLJE</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6857-2022</t>
        </is>
      </c>
      <c r="B965" t="inlineStr">
        <is>
          <t>avverkningsanmälan</t>
        </is>
      </c>
      <c r="C965" t="inlineStr">
        <is>
          <t>Föryngringsavverkning</t>
        </is>
      </c>
      <c r="D965" s="1" t="n">
        <v>44602</v>
      </c>
      <c r="E965" s="1" t="n">
        <v>46326</v>
      </c>
      <c r="F965" t="inlineStr">
        <is>
          <t>STOCKHOLMS LÄN</t>
        </is>
      </c>
      <c r="G965" t="inlineStr">
        <is>
          <t>NYKVARN</t>
        </is>
      </c>
      <c r="H965" t="inlineStr">
        <is>
          <t>Kommuner</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32458-2023</t>
        </is>
      </c>
      <c r="B966" t="inlineStr">
        <is>
          <t>avverkningsanmälan</t>
        </is>
      </c>
      <c r="C966" t="inlineStr">
        <is>
          <t>Föryngringsavverkning</t>
        </is>
      </c>
      <c r="D966" s="1" t="n">
        <v>45120</v>
      </c>
      <c r="E966" s="1" t="n">
        <v>46326</v>
      </c>
      <c r="F966" t="inlineStr">
        <is>
          <t>STOCKHOLMS LÄN</t>
        </is>
      </c>
      <c r="G966" t="inlineStr">
        <is>
          <t>VÄRMDÖ</t>
        </is>
      </c>
      <c r="I966" t="n">
        <v>12.5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61360-2022</t>
        </is>
      </c>
      <c r="B967" t="inlineStr">
        <is>
          <t>avverkningsanmälan</t>
        </is>
      </c>
      <c r="C967" t="inlineStr">
        <is>
          <t>Föryngringsavverkning</t>
        </is>
      </c>
      <c r="D967" s="1" t="n">
        <v>44915</v>
      </c>
      <c r="E967" s="1" t="n">
        <v>46326</v>
      </c>
      <c r="F967" t="inlineStr">
        <is>
          <t>STOCKHOLMS LÄN</t>
        </is>
      </c>
      <c r="G967" t="inlineStr">
        <is>
          <t>ÖSTERÅKER</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30668-2025</t>
        </is>
      </c>
      <c r="B968" t="inlineStr">
        <is>
          <t>avverkningsanmälan</t>
        </is>
      </c>
      <c r="C968" t="inlineStr">
        <is>
          <t>Föryngringsavverkning</t>
        </is>
      </c>
      <c r="D968" s="1" t="n">
        <v>45831</v>
      </c>
      <c r="E968" s="1" t="n">
        <v>46326</v>
      </c>
      <c r="F968" t="inlineStr">
        <is>
          <t>STOCKHOLMS LÄN</t>
        </is>
      </c>
      <c r="G968" t="inlineStr">
        <is>
          <t>NORRTÄLJE</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12931-2022</t>
        </is>
      </c>
      <c r="B969" t="inlineStr">
        <is>
          <t>avverkningsanmälan</t>
        </is>
      </c>
      <c r="C969" t="inlineStr">
        <is>
          <t>Föryngringsavverkning</t>
        </is>
      </c>
      <c r="D969" s="1" t="n">
        <v>44642</v>
      </c>
      <c r="E969" s="1" t="n">
        <v>46326</v>
      </c>
      <c r="F969" t="inlineStr">
        <is>
          <t>STOCKHOLMS LÄN</t>
        </is>
      </c>
      <c r="G969" t="inlineStr">
        <is>
          <t>SIGTUNA</t>
        </is>
      </c>
      <c r="H969" t="inlineStr">
        <is>
          <t>Kyrkan</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30699-2025</t>
        </is>
      </c>
      <c r="B970" t="inlineStr">
        <is>
          <t>avverkningsanmälan</t>
        </is>
      </c>
      <c r="C970" t="inlineStr">
        <is>
          <t>Avverkning för att bevara och utveckla /försöksver</t>
        </is>
      </c>
      <c r="D970" s="1" t="n">
        <v>45831</v>
      </c>
      <c r="E970" s="1" t="n">
        <v>46326</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30902-2025</t>
        </is>
      </c>
      <c r="B971" t="inlineStr">
        <is>
          <t>avverkningsanmälan</t>
        </is>
      </c>
      <c r="C971" t="inlineStr">
        <is>
          <t>Föryngringsavverkning</t>
        </is>
      </c>
      <c r="D971" s="1" t="n">
        <v>45832</v>
      </c>
      <c r="E971" s="1" t="n">
        <v>46326</v>
      </c>
      <c r="F971" t="inlineStr">
        <is>
          <t>STOCKHOLMS LÄN</t>
        </is>
      </c>
      <c r="G971" t="inlineStr">
        <is>
          <t>VALLENTUNA</t>
        </is>
      </c>
      <c r="I971" t="n">
        <v>8.199999999999999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45496-2023</t>
        </is>
      </c>
      <c r="B972" t="inlineStr">
        <is>
          <t>avverkningsanmälan</t>
        </is>
      </c>
      <c r="C972" t="inlineStr">
        <is>
          <t>Föryngringsavverkning</t>
        </is>
      </c>
      <c r="D972" s="1" t="n">
        <v>45194</v>
      </c>
      <c r="E972" s="1" t="n">
        <v>46326</v>
      </c>
      <c r="F972" t="inlineStr">
        <is>
          <t>STOCKHOLMS LÄN</t>
        </is>
      </c>
      <c r="G972" t="inlineStr">
        <is>
          <t>VALLENTUNA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8135-2025</t>
        </is>
      </c>
      <c r="B973" t="inlineStr">
        <is>
          <t>avverkningsanmälan</t>
        </is>
      </c>
      <c r="C973" t="inlineStr">
        <is>
          <t>Föryngringsavverkning</t>
        </is>
      </c>
      <c r="D973" s="1" t="n">
        <v>45707</v>
      </c>
      <c r="E973" s="1" t="n">
        <v>46326</v>
      </c>
      <c r="F973" t="inlineStr">
        <is>
          <t>STOCKHOLMS LÄN</t>
        </is>
      </c>
      <c r="G973" t="inlineStr">
        <is>
          <t>NORRTÄLJE</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3383-2023</t>
        </is>
      </c>
      <c r="B974" t="inlineStr">
        <is>
          <t>avverkningsanmälan</t>
        </is>
      </c>
      <c r="C974" t="inlineStr">
        <is>
          <t>Avverkning för att bevara och utveckla /försöksver</t>
        </is>
      </c>
      <c r="D974" s="1" t="n">
        <v>44949</v>
      </c>
      <c r="E974" s="1" t="n">
        <v>46326</v>
      </c>
      <c r="F974" t="inlineStr">
        <is>
          <t>STOCKHOLMS LÄN</t>
        </is>
      </c>
      <c r="G974" t="inlineStr">
        <is>
          <t>NORRTÄLJE</t>
        </is>
      </c>
      <c r="I974" t="n">
        <v>14.6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20011-2025</t>
        </is>
      </c>
      <c r="B975" t="inlineStr">
        <is>
          <t>avverkningsanmälan</t>
        </is>
      </c>
      <c r="C975" t="inlineStr">
        <is>
          <t>Föryngringsavverkning</t>
        </is>
      </c>
      <c r="D975" s="1" t="n">
        <v>45772</v>
      </c>
      <c r="E975" s="1" t="n">
        <v>46326</v>
      </c>
      <c r="F975" t="inlineStr">
        <is>
          <t>STOCKHOLMS LÄN</t>
        </is>
      </c>
      <c r="G975" t="inlineStr">
        <is>
          <t>NORRTÄLJE</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42856-2025</t>
        </is>
      </c>
      <c r="B976" t="inlineStr">
        <is>
          <t>avverkningsanmälan</t>
        </is>
      </c>
      <c r="C976" t="inlineStr">
        <is>
          <t>Avverkning för att bevara och utveckla /försöksver</t>
        </is>
      </c>
      <c r="D976" s="1" t="n">
        <v>45908</v>
      </c>
      <c r="E976" s="1" t="n">
        <v>46326</v>
      </c>
      <c r="F976" t="inlineStr">
        <is>
          <t>STOCKHOLMS LÄN</t>
        </is>
      </c>
      <c r="G976" t="inlineStr">
        <is>
          <t>NORRTÄLJE</t>
        </is>
      </c>
      <c r="I976" t="n">
        <v>9.199999999999999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21732-2023</t>
        </is>
      </c>
      <c r="B977" t="inlineStr">
        <is>
          <t>avverkningsanmälan</t>
        </is>
      </c>
      <c r="C977" t="inlineStr">
        <is>
          <t>Föryngringsavverkning</t>
        </is>
      </c>
      <c r="D977" s="1" t="n">
        <v>45063</v>
      </c>
      <c r="E977" s="1" t="n">
        <v>46326</v>
      </c>
      <c r="F977" t="inlineStr">
        <is>
          <t>STOCKHOLMS LÄN</t>
        </is>
      </c>
      <c r="G977" t="inlineStr">
        <is>
          <t>NORRTÄLJE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23307-2024</t>
        </is>
      </c>
      <c r="B978" t="inlineStr">
        <is>
          <t>avverkningsanmälan</t>
        </is>
      </c>
      <c r="C978" t="inlineStr">
        <is>
          <t>Föryngringsavverkning</t>
        </is>
      </c>
      <c r="D978" s="1" t="n">
        <v>45453</v>
      </c>
      <c r="E978" s="1" t="n">
        <v>46326</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29704-2023</t>
        </is>
      </c>
      <c r="B979" t="inlineStr">
        <is>
          <t>avverkningsanmälan</t>
        </is>
      </c>
      <c r="C979" t="inlineStr">
        <is>
          <t>Föryngringsavverkning</t>
        </is>
      </c>
      <c r="D979" s="1" t="n">
        <v>45107</v>
      </c>
      <c r="E979" s="1" t="n">
        <v>46326</v>
      </c>
      <c r="F979" t="inlineStr">
        <is>
          <t>STOCKHOLMS LÄN</t>
        </is>
      </c>
      <c r="G979" t="inlineStr">
        <is>
          <t>VALLENTUNA</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31880-2025</t>
        </is>
      </c>
      <c r="B980" t="inlineStr">
        <is>
          <t>avverkningsanmälan</t>
        </is>
      </c>
      <c r="C980" t="inlineStr">
        <is>
          <t>Föryngringsavverkning</t>
        </is>
      </c>
      <c r="D980" s="1" t="n">
        <v>45834</v>
      </c>
      <c r="E980" s="1" t="n">
        <v>46326</v>
      </c>
      <c r="F980" t="inlineStr">
        <is>
          <t>STOCKHOLMS LÄN</t>
        </is>
      </c>
      <c r="G980" t="inlineStr">
        <is>
          <t>NORRTÄLJE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32230-2025</t>
        </is>
      </c>
      <c r="B981" t="inlineStr">
        <is>
          <t>avverkningsanmälan</t>
        </is>
      </c>
      <c r="C981" t="inlineStr">
        <is>
          <t>Föryngringsavverkning</t>
        </is>
      </c>
      <c r="D981" s="1" t="n">
        <v>45835</v>
      </c>
      <c r="E981" s="1" t="n">
        <v>46326</v>
      </c>
      <c r="F981" t="inlineStr">
        <is>
          <t>STOCKHOLMS LÄN</t>
        </is>
      </c>
      <c r="G981" t="inlineStr">
        <is>
          <t>VÄRMDÖ</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32283-2025</t>
        </is>
      </c>
      <c r="B982" t="inlineStr">
        <is>
          <t>avverkningsanmälan</t>
        </is>
      </c>
      <c r="C982" t="inlineStr">
        <is>
          <t>Föryngringsavverkning</t>
        </is>
      </c>
      <c r="D982" s="1" t="n">
        <v>45835</v>
      </c>
      <c r="E982" s="1" t="n">
        <v>46326</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36148-2023</t>
        </is>
      </c>
      <c r="B983" t="inlineStr">
        <is>
          <t>avverkningsanmälan</t>
        </is>
      </c>
      <c r="C983" t="inlineStr">
        <is>
          <t>Föryngringsavverkning</t>
        </is>
      </c>
      <c r="D983" s="1" t="n">
        <v>45149</v>
      </c>
      <c r="E983" s="1" t="n">
        <v>46326</v>
      </c>
      <c r="F983" t="inlineStr">
        <is>
          <t>STOCKHOLMS LÄN</t>
        </is>
      </c>
      <c r="G983" t="inlineStr">
        <is>
          <t>VÄRMDÖ</t>
        </is>
      </c>
      <c r="H983" t="inlineStr">
        <is>
          <t>Övriga statliga verk och myndigheter</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32962-2025</t>
        </is>
      </c>
      <c r="B984" t="inlineStr">
        <is>
          <t>avverkningsanmälan</t>
        </is>
      </c>
      <c r="C984" t="inlineStr">
        <is>
          <t>Avverkning för att bevara och utveckla /försöksver</t>
        </is>
      </c>
      <c r="D984" s="1" t="n">
        <v>45839</v>
      </c>
      <c r="E984" s="1" t="n">
        <v>46326</v>
      </c>
      <c r="F984" t="inlineStr">
        <is>
          <t>STOCKHOLMS LÄN</t>
        </is>
      </c>
      <c r="G984" t="inlineStr">
        <is>
          <t>SALEM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33029-2025</t>
        </is>
      </c>
      <c r="B985" t="inlineStr">
        <is>
          <t>avverkningsanmälan</t>
        </is>
      </c>
      <c r="C985" t="inlineStr">
        <is>
          <t>Avverkning för att bevara och utveckla /försöksver</t>
        </is>
      </c>
      <c r="D985" s="1" t="n">
        <v>45839</v>
      </c>
      <c r="E985" s="1" t="n">
        <v>46326</v>
      </c>
      <c r="F985" t="inlineStr">
        <is>
          <t>STOCKHOLMS LÄN</t>
        </is>
      </c>
      <c r="G985" t="inlineStr">
        <is>
          <t>SALEM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33455-2025</t>
        </is>
      </c>
      <c r="B986" t="inlineStr">
        <is>
          <t>avverkningsanmälan</t>
        </is>
      </c>
      <c r="C986" t="inlineStr">
        <is>
          <t>Avverkning för att bevara och utveckla /försöksver</t>
        </is>
      </c>
      <c r="D986" s="1" t="n">
        <v>45839</v>
      </c>
      <c r="E986" s="1" t="n">
        <v>46326</v>
      </c>
      <c r="F986" t="inlineStr">
        <is>
          <t>STOCKHOLMS LÄN</t>
        </is>
      </c>
      <c r="G986" t="inlineStr">
        <is>
          <t>SALEM</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33243-2025</t>
        </is>
      </c>
      <c r="B987" t="inlineStr">
        <is>
          <t>avverkningsanmälan</t>
        </is>
      </c>
      <c r="C987" t="inlineStr">
        <is>
          <t>Avverkning för att bevara och utveckla /försöksver</t>
        </is>
      </c>
      <c r="D987" s="1" t="n">
        <v>45839</v>
      </c>
      <c r="E987" s="1" t="n">
        <v>46326</v>
      </c>
      <c r="F987" t="inlineStr">
        <is>
          <t>STOCKHOLMS LÄN</t>
        </is>
      </c>
      <c r="G987" t="inlineStr">
        <is>
          <t>SALEM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33251-2025</t>
        </is>
      </c>
      <c r="B988" t="inlineStr">
        <is>
          <t>avverkningsanmälan</t>
        </is>
      </c>
      <c r="C988" t="inlineStr">
        <is>
          <t>Avverkning för att bevara och utveckla /försöksver</t>
        </is>
      </c>
      <c r="D988" s="1" t="n">
        <v>45839</v>
      </c>
      <c r="E988" s="1" t="n">
        <v>46326</v>
      </c>
      <c r="F988" t="inlineStr">
        <is>
          <t>STOCKHOLMS LÄN</t>
        </is>
      </c>
      <c r="G988" t="inlineStr">
        <is>
          <t>SALEM</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33277-2025</t>
        </is>
      </c>
      <c r="B989" t="inlineStr">
        <is>
          <t>avverkningsanmälan</t>
        </is>
      </c>
      <c r="C989" t="inlineStr">
        <is>
          <t>Avverkning för att bevara och utveckla /försöksver</t>
        </is>
      </c>
      <c r="D989" s="1" t="n">
        <v>45839</v>
      </c>
      <c r="E989" s="1" t="n">
        <v>46326</v>
      </c>
      <c r="F989" t="inlineStr">
        <is>
          <t>STOCKHOLMS LÄN</t>
        </is>
      </c>
      <c r="G989" t="inlineStr">
        <is>
          <t>SALEM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33284-2025</t>
        </is>
      </c>
      <c r="B990" t="inlineStr">
        <is>
          <t>avverkningsanmälan</t>
        </is>
      </c>
      <c r="C990" t="inlineStr">
        <is>
          <t>Avverkning för att bevara och utveckla /försöksver</t>
        </is>
      </c>
      <c r="D990" s="1" t="n">
        <v>45839</v>
      </c>
      <c r="E990" s="1" t="n">
        <v>46326</v>
      </c>
      <c r="F990" t="inlineStr">
        <is>
          <t>STOCKHOLMS LÄN</t>
        </is>
      </c>
      <c r="G990" t="inlineStr">
        <is>
          <t>SALEM</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32960-2025</t>
        </is>
      </c>
      <c r="B991" t="inlineStr">
        <is>
          <t>avverkningsanmälan</t>
        </is>
      </c>
      <c r="C991" t="inlineStr">
        <is>
          <t>Avverkning för att bevara och utveckla /försöksver</t>
        </is>
      </c>
      <c r="D991" s="1" t="n">
        <v>45839</v>
      </c>
      <c r="E991" s="1" t="n">
        <v>46326</v>
      </c>
      <c r="F991" t="inlineStr">
        <is>
          <t>STOCKHOLMS LÄN</t>
        </is>
      </c>
      <c r="G991" t="inlineStr">
        <is>
          <t>SALEM</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32968-2025</t>
        </is>
      </c>
      <c r="B992" t="inlineStr">
        <is>
          <t>avverkningsanmälan</t>
        </is>
      </c>
      <c r="C992" t="inlineStr">
        <is>
          <t>Avverkning för att bevara och utveckla /försöksver</t>
        </is>
      </c>
      <c r="D992" s="1" t="n">
        <v>45839</v>
      </c>
      <c r="E992" s="1" t="n">
        <v>46326</v>
      </c>
      <c r="F992" t="inlineStr">
        <is>
          <t>STOCKHOLMS LÄN</t>
        </is>
      </c>
      <c r="G992" t="inlineStr">
        <is>
          <t>SALEM</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32872-2025</t>
        </is>
      </c>
      <c r="B993" t="inlineStr">
        <is>
          <t>avverkningsanmälan</t>
        </is>
      </c>
      <c r="C993" t="inlineStr">
        <is>
          <t>Föryngringsavverkning</t>
        </is>
      </c>
      <c r="D993" s="1" t="n">
        <v>45839</v>
      </c>
      <c r="E993" s="1" t="n">
        <v>46326</v>
      </c>
      <c r="F993" t="inlineStr">
        <is>
          <t>STOCKHOLMS LÄN</t>
        </is>
      </c>
      <c r="G993" t="inlineStr">
        <is>
          <t>NORRTÄLJE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56428-2023</t>
        </is>
      </c>
      <c r="B994" t="inlineStr">
        <is>
          <t>avverkningsanmälan</t>
        </is>
      </c>
      <c r="C994" t="inlineStr">
        <is>
          <t>Föryngringsavverkning</t>
        </is>
      </c>
      <c r="D994" s="1" t="n">
        <v>45243</v>
      </c>
      <c r="E994" s="1" t="n">
        <v>46326</v>
      </c>
      <c r="F994" t="inlineStr">
        <is>
          <t>STOCKHOLMS LÄN</t>
        </is>
      </c>
      <c r="G994" t="inlineStr">
        <is>
          <t>NORRTÄLJE</t>
        </is>
      </c>
      <c r="H994" t="inlineStr">
        <is>
          <t>Kyrkan</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30719-2025</t>
        </is>
      </c>
      <c r="B995" t="inlineStr">
        <is>
          <t>avverkningsanmälan</t>
        </is>
      </c>
      <c r="C995" t="inlineStr">
        <is>
          <t>Föryngringsavverkning</t>
        </is>
      </c>
      <c r="D995" s="1" t="n">
        <v>45831</v>
      </c>
      <c r="E995" s="1" t="n">
        <v>46326</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32942-2025</t>
        </is>
      </c>
      <c r="B996" t="inlineStr">
        <is>
          <t>avverkningsanmälan</t>
        </is>
      </c>
      <c r="C996" t="inlineStr">
        <is>
          <t>Avverkning för att bevara och utveckla /försöksver</t>
        </is>
      </c>
      <c r="D996" s="1" t="n">
        <v>45839</v>
      </c>
      <c r="E996" s="1" t="n">
        <v>46326</v>
      </c>
      <c r="F996" t="inlineStr">
        <is>
          <t>STOCKHOLMS LÄN</t>
        </is>
      </c>
      <c r="G996" t="inlineStr">
        <is>
          <t>SALEM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32965-2025</t>
        </is>
      </c>
      <c r="B997" t="inlineStr">
        <is>
          <t>avverkningsanmälan</t>
        </is>
      </c>
      <c r="C997" t="inlineStr">
        <is>
          <t>Avverkning för att bevara och utveckla /försöksver</t>
        </is>
      </c>
      <c r="D997" s="1" t="n">
        <v>45839</v>
      </c>
      <c r="E997" s="1" t="n">
        <v>46326</v>
      </c>
      <c r="F997" t="inlineStr">
        <is>
          <t>STOCKHOLMS LÄN</t>
        </is>
      </c>
      <c r="G997" t="inlineStr">
        <is>
          <t>SALEM</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32970-2025</t>
        </is>
      </c>
      <c r="B998" t="inlineStr">
        <is>
          <t>avverkningsanmälan</t>
        </is>
      </c>
      <c r="C998" t="inlineStr">
        <is>
          <t>Avverkning för att bevara och utveckla /försöksver</t>
        </is>
      </c>
      <c r="D998" s="1" t="n">
        <v>45839</v>
      </c>
      <c r="E998" s="1" t="n">
        <v>46326</v>
      </c>
      <c r="F998" t="inlineStr">
        <is>
          <t>STOCKHOLMS LÄN</t>
        </is>
      </c>
      <c r="G998" t="inlineStr">
        <is>
          <t>SALEM</t>
        </is>
      </c>
      <c r="I998" t="n">
        <v>10.5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43269-2025</t>
        </is>
      </c>
      <c r="B999" t="inlineStr">
        <is>
          <t>avverkningsanmälan</t>
        </is>
      </c>
      <c r="C999" t="inlineStr">
        <is>
          <t>Föryngringsavverkning</t>
        </is>
      </c>
      <c r="D999" s="1" t="n">
        <v>45910</v>
      </c>
      <c r="E999" s="1" t="n">
        <v>46326</v>
      </c>
      <c r="F999" t="inlineStr">
        <is>
          <t>STOCKHOLMS LÄN</t>
        </is>
      </c>
      <c r="G999" t="inlineStr">
        <is>
          <t>NORRTÄLJE</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32953-2025</t>
        </is>
      </c>
      <c r="B1000" t="inlineStr">
        <is>
          <t>avverkningsanmälan</t>
        </is>
      </c>
      <c r="C1000" t="inlineStr">
        <is>
          <t>Avverkning för att bevara och utveckla /försöksver</t>
        </is>
      </c>
      <c r="D1000" s="1" t="n">
        <v>45839</v>
      </c>
      <c r="E1000" s="1" t="n">
        <v>46326</v>
      </c>
      <c r="F1000" t="inlineStr">
        <is>
          <t>STOCKHOLMS LÄN</t>
        </is>
      </c>
      <c r="G1000" t="inlineStr">
        <is>
          <t>SALEM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33470-2025</t>
        </is>
      </c>
      <c r="B1001" t="inlineStr">
        <is>
          <t>avverkningsanmälan</t>
        </is>
      </c>
      <c r="C1001" t="inlineStr">
        <is>
          <t>Avverkning för att bevara och utveckla /försöksver</t>
        </is>
      </c>
      <c r="D1001" s="1" t="n">
        <v>45839</v>
      </c>
      <c r="E1001" s="1" t="n">
        <v>46326</v>
      </c>
      <c r="F1001" t="inlineStr">
        <is>
          <t>STOCKHOLMS LÄN</t>
        </is>
      </c>
      <c r="G1001" t="inlineStr">
        <is>
          <t>SALEM</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33441-2025</t>
        </is>
      </c>
      <c r="B1002" t="inlineStr">
        <is>
          <t>avverkningsanmälan</t>
        </is>
      </c>
      <c r="C1002" t="inlineStr">
        <is>
          <t>Avverkning för att bevara och utveckla /försöksver</t>
        </is>
      </c>
      <c r="D1002" s="1" t="n">
        <v>45839</v>
      </c>
      <c r="E1002" s="1" t="n">
        <v>46326</v>
      </c>
      <c r="F1002" t="inlineStr">
        <is>
          <t>STOCKHOLMS LÄN</t>
        </is>
      </c>
      <c r="G1002" t="inlineStr">
        <is>
          <t>SALEM</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52101-2022</t>
        </is>
      </c>
      <c r="B1003" t="inlineStr">
        <is>
          <t>avverkningsanmälan</t>
        </is>
      </c>
      <c r="C1003" t="inlineStr">
        <is>
          <t>Avverkning för annat ändamål</t>
        </is>
      </c>
      <c r="D1003" s="1" t="n">
        <v>44873</v>
      </c>
      <c r="E1003" s="1" t="n">
        <v>46326</v>
      </c>
      <c r="F1003" t="inlineStr">
        <is>
          <t>STOCKHOLMS LÄN</t>
        </is>
      </c>
      <c r="G1003" t="inlineStr">
        <is>
          <t>SÖDERTÄLJE</t>
        </is>
      </c>
      <c r="H1003" t="inlineStr">
        <is>
          <t>Kommuner</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17556-2025</t>
        </is>
      </c>
      <c r="B1004" t="inlineStr">
        <is>
          <t>avverkningsanmälan</t>
        </is>
      </c>
      <c r="C1004" t="inlineStr">
        <is>
          <t>Föryngringsavverkning</t>
        </is>
      </c>
      <c r="D1004" s="1" t="n">
        <v>45757</v>
      </c>
      <c r="E1004" s="1" t="n">
        <v>46326</v>
      </c>
      <c r="F1004" t="inlineStr">
        <is>
          <t>STOCKHOLMS LÄN</t>
        </is>
      </c>
      <c r="G1004" t="inlineStr">
        <is>
          <t>NORRTÄLJE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33428-2025</t>
        </is>
      </c>
      <c r="B1005" t="inlineStr">
        <is>
          <t>avverkningsanmälan</t>
        </is>
      </c>
      <c r="C1005" t="inlineStr">
        <is>
          <t>Avverkning för att bevara och utveckla /försöksver</t>
        </is>
      </c>
      <c r="D1005" s="1" t="n">
        <v>45839</v>
      </c>
      <c r="E1005" s="1" t="n">
        <v>46326</v>
      </c>
      <c r="F1005" t="inlineStr">
        <is>
          <t>STOCKHOLMS LÄN</t>
        </is>
      </c>
      <c r="G1005" t="inlineStr">
        <is>
          <t>SALEM</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33439-2025</t>
        </is>
      </c>
      <c r="B1006" t="inlineStr">
        <is>
          <t>avverkningsanmälan</t>
        </is>
      </c>
      <c r="C1006" t="inlineStr">
        <is>
          <t>Avverkning för att bevara och utveckla /försöksver</t>
        </is>
      </c>
      <c r="D1006" s="1" t="n">
        <v>45839</v>
      </c>
      <c r="E1006" s="1" t="n">
        <v>46326</v>
      </c>
      <c r="F1006" t="inlineStr">
        <is>
          <t>STOCKHOLMS LÄN</t>
        </is>
      </c>
      <c r="G1006" t="inlineStr">
        <is>
          <t>SALEM</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33460-2025</t>
        </is>
      </c>
      <c r="B1007" t="inlineStr">
        <is>
          <t>avverkningsanmälan</t>
        </is>
      </c>
      <c r="C1007" t="inlineStr">
        <is>
          <t>Avverkning för att bevara och utveckla /försöksver</t>
        </is>
      </c>
      <c r="D1007" s="1" t="n">
        <v>45839</v>
      </c>
      <c r="E1007" s="1" t="n">
        <v>46326</v>
      </c>
      <c r="F1007" t="inlineStr">
        <is>
          <t>STOCKHOLMS LÄN</t>
        </is>
      </c>
      <c r="G1007" t="inlineStr">
        <is>
          <t>SALEM</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33465-2025</t>
        </is>
      </c>
      <c r="B1008" t="inlineStr">
        <is>
          <t>avverkningsanmälan</t>
        </is>
      </c>
      <c r="C1008" t="inlineStr">
        <is>
          <t>Avverkning för att bevara och utveckla /försöksver</t>
        </is>
      </c>
      <c r="D1008" s="1" t="n">
        <v>45839</v>
      </c>
      <c r="E1008" s="1" t="n">
        <v>46326</v>
      </c>
      <c r="F1008" t="inlineStr">
        <is>
          <t>STOCKHOLMS LÄN</t>
        </is>
      </c>
      <c r="G1008" t="inlineStr">
        <is>
          <t>SALEM</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32946-2025</t>
        </is>
      </c>
      <c r="B1009" t="inlineStr">
        <is>
          <t>avverkningsanmälan</t>
        </is>
      </c>
      <c r="C1009" t="inlineStr">
        <is>
          <t>Avverkning för att bevara och utveckla /försöksver</t>
        </is>
      </c>
      <c r="D1009" s="1" t="n">
        <v>45839</v>
      </c>
      <c r="E1009" s="1" t="n">
        <v>46326</v>
      </c>
      <c r="F1009" t="inlineStr">
        <is>
          <t>STOCKHOLMS LÄN</t>
        </is>
      </c>
      <c r="G1009" t="inlineStr">
        <is>
          <t>SALEM</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33421-2025</t>
        </is>
      </c>
      <c r="B1010" t="inlineStr">
        <is>
          <t>avverkningsanmälan</t>
        </is>
      </c>
      <c r="C1010" t="inlineStr">
        <is>
          <t>Avverkning för att bevara och utveckla /försöksver</t>
        </is>
      </c>
      <c r="D1010" s="1" t="n">
        <v>45839</v>
      </c>
      <c r="E1010" s="1" t="n">
        <v>46326</v>
      </c>
      <c r="F1010" t="inlineStr">
        <is>
          <t>STOCKHOLMS LÄN</t>
        </is>
      </c>
      <c r="G1010" t="inlineStr">
        <is>
          <t>SALEM</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33446-2025</t>
        </is>
      </c>
      <c r="B1011" t="inlineStr">
        <is>
          <t>avverkningsanmälan</t>
        </is>
      </c>
      <c r="C1011" t="inlineStr">
        <is>
          <t>Avverkning för att bevara och utveckla /försöksver</t>
        </is>
      </c>
      <c r="D1011" s="1" t="n">
        <v>45839</v>
      </c>
      <c r="E1011" s="1" t="n">
        <v>46326</v>
      </c>
      <c r="F1011" t="inlineStr">
        <is>
          <t>STOCKHOLMS LÄN</t>
        </is>
      </c>
      <c r="G1011" t="inlineStr">
        <is>
          <t>SALEM</t>
        </is>
      </c>
      <c r="I1011" t="n">
        <v>9.4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74170-2021</t>
        </is>
      </c>
      <c r="B1012" t="inlineStr">
        <is>
          <t>avverkningsanmälan</t>
        </is>
      </c>
      <c r="C1012" t="inlineStr">
        <is>
          <t>Föryngringsavverkning</t>
        </is>
      </c>
      <c r="D1012" s="1" t="n">
        <v>44557</v>
      </c>
      <c r="E1012" s="1" t="n">
        <v>46326</v>
      </c>
      <c r="F1012" t="inlineStr">
        <is>
          <t>STOCKHOLMS LÄN</t>
        </is>
      </c>
      <c r="G1012" t="inlineStr">
        <is>
          <t>SIGTUNA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42094-2023</t>
        </is>
      </c>
      <c r="B1013" t="inlineStr">
        <is>
          <t>avverkningsanmälan</t>
        </is>
      </c>
      <c r="C1013" t="inlineStr">
        <is>
          <t>Föryngringsavverkning</t>
        </is>
      </c>
      <c r="D1013" s="1" t="n">
        <v>45177</v>
      </c>
      <c r="E1013" s="1" t="n">
        <v>46326</v>
      </c>
      <c r="F1013" t="inlineStr">
        <is>
          <t>STOCKHOLMS LÄN</t>
        </is>
      </c>
      <c r="G1013" t="inlineStr">
        <is>
          <t>NORRTÄLJE</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42133-2023</t>
        </is>
      </c>
      <c r="B1014" t="inlineStr">
        <is>
          <t>avverkningsanmälan</t>
        </is>
      </c>
      <c r="C1014" t="inlineStr">
        <is>
          <t>Föryngringsavverkning</t>
        </is>
      </c>
      <c r="D1014" s="1" t="n">
        <v>45177</v>
      </c>
      <c r="E1014" s="1" t="n">
        <v>46326</v>
      </c>
      <c r="F1014" t="inlineStr">
        <is>
          <t>STOCKHOLMS LÄN</t>
        </is>
      </c>
      <c r="G1014" t="inlineStr">
        <is>
          <t>SÖDERTÄLJE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33211-2025</t>
        </is>
      </c>
      <c r="B1015" t="inlineStr">
        <is>
          <t>avverkningsanmälan</t>
        </is>
      </c>
      <c r="C1015" t="inlineStr">
        <is>
          <t>Föryngringsavverkning</t>
        </is>
      </c>
      <c r="D1015" s="1" t="n">
        <v>45840</v>
      </c>
      <c r="E1015" s="1" t="n">
        <v>46326</v>
      </c>
      <c r="F1015" t="inlineStr">
        <is>
          <t>STOCKHOLMS LÄN</t>
        </is>
      </c>
      <c r="G1015" t="inlineStr">
        <is>
          <t>NORRTÄLJE</t>
        </is>
      </c>
      <c r="I1015" t="n">
        <v>5.1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27313-2023</t>
        </is>
      </c>
      <c r="B1016" t="inlineStr">
        <is>
          <t>avverkningsanmälan</t>
        </is>
      </c>
      <c r="C1016" t="inlineStr">
        <is>
          <t>Föryngringsavverkning</t>
        </is>
      </c>
      <c r="D1016" s="1" t="n">
        <v>45096</v>
      </c>
      <c r="E1016" s="1" t="n">
        <v>46326</v>
      </c>
      <c r="F1016" t="inlineStr">
        <is>
          <t>STOCKHOLMS LÄN</t>
        </is>
      </c>
      <c r="G1016" t="inlineStr">
        <is>
          <t>UPPLANDS-BRO</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3933-2026</t>
        </is>
      </c>
      <c r="B1017" t="inlineStr">
        <is>
          <t>avverkningsanmälan</t>
        </is>
      </c>
      <c r="C1017" t="inlineStr">
        <is>
          <t>Föryngringsavverkning</t>
        </is>
      </c>
      <c r="D1017" s="1" t="n">
        <v>46043</v>
      </c>
      <c r="E1017" s="1" t="n">
        <v>46326</v>
      </c>
      <c r="F1017" t="inlineStr">
        <is>
          <t>STOCKHOLMS LÄN</t>
        </is>
      </c>
      <c r="G1017" t="inlineStr">
        <is>
          <t>NORRTÄLJE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37844-2022</t>
        </is>
      </c>
      <c r="B1018" t="inlineStr">
        <is>
          <t>avverkningsanmälan</t>
        </is>
      </c>
      <c r="C1018" t="inlineStr">
        <is>
          <t>Avverkning för annat ändamål</t>
        </is>
      </c>
      <c r="D1018" s="1" t="n">
        <v>44810</v>
      </c>
      <c r="E1018" s="1" t="n">
        <v>46326</v>
      </c>
      <c r="F1018" t="inlineStr">
        <is>
          <t>STOCKHOLMS LÄN</t>
        </is>
      </c>
      <c r="G1018" t="inlineStr">
        <is>
          <t>SÖDERTÄLJE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8370-2025</t>
        </is>
      </c>
      <c r="B1019" t="inlineStr">
        <is>
          <t>avverkningsanmälan</t>
        </is>
      </c>
      <c r="C1019" t="inlineStr">
        <is>
          <t>Föryngringsavverkning</t>
        </is>
      </c>
      <c r="D1019" s="1" t="n">
        <v>45708</v>
      </c>
      <c r="E1019" s="1" t="n">
        <v>46326</v>
      </c>
      <c r="F1019" t="inlineStr">
        <is>
          <t>STOCKHOLMS LÄN</t>
        </is>
      </c>
      <c r="G1019" t="inlineStr">
        <is>
          <t>NORRTÄLJE</t>
        </is>
      </c>
      <c r="H1019" t="inlineStr">
        <is>
          <t>Övriga Aktiebolag</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32555-2023</t>
        </is>
      </c>
      <c r="B1020" t="inlineStr">
        <is>
          <t>avverkningsanmälan</t>
        </is>
      </c>
      <c r="C1020" t="inlineStr">
        <is>
          <t>Avverkning för att bevara och utveckla /försöksver</t>
        </is>
      </c>
      <c r="D1020" s="1" t="n">
        <v>45121</v>
      </c>
      <c r="E1020" s="1" t="n">
        <v>46326</v>
      </c>
      <c r="F1020" t="inlineStr">
        <is>
          <t>STOCKHOLMS LÄN</t>
        </is>
      </c>
      <c r="G1020" t="inlineStr">
        <is>
          <t>NYKVARN</t>
        </is>
      </c>
      <c r="H1020" t="inlineStr">
        <is>
          <t>Sveaskog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3299-2022</t>
        </is>
      </c>
      <c r="B1021" t="inlineStr">
        <is>
          <t>avverkningsanmälan</t>
        </is>
      </c>
      <c r="C1021" t="inlineStr">
        <is>
          <t>Föryngringsavverkning</t>
        </is>
      </c>
      <c r="D1021" s="1" t="n">
        <v>44584</v>
      </c>
      <c r="E1021" s="1" t="n">
        <v>46326</v>
      </c>
      <c r="F1021" t="inlineStr">
        <is>
          <t>STOCKHOLMS LÄN</t>
        </is>
      </c>
      <c r="G1021" t="inlineStr">
        <is>
          <t>NORRTÄLJE</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52953-2024</t>
        </is>
      </c>
      <c r="B1022" t="inlineStr">
        <is>
          <t>avverkningsanmälan</t>
        </is>
      </c>
      <c r="C1022" t="inlineStr">
        <is>
          <t>Föryngringsavverkning</t>
        </is>
      </c>
      <c r="D1022" s="1" t="n">
        <v>45610</v>
      </c>
      <c r="E1022" s="1" t="n">
        <v>46326</v>
      </c>
      <c r="F1022" t="inlineStr">
        <is>
          <t>STOCKHOLMS LÄN</t>
        </is>
      </c>
      <c r="G1022" t="inlineStr">
        <is>
          <t>NYNÄSHAMN</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28431-2025</t>
        </is>
      </c>
      <c r="B1023" t="inlineStr">
        <is>
          <t>avverkningsanmälan</t>
        </is>
      </c>
      <c r="C1023" t="inlineStr">
        <is>
          <t>Föryngringsavverkning</t>
        </is>
      </c>
      <c r="D1023" s="1" t="n">
        <v>45819</v>
      </c>
      <c r="E1023" s="1" t="n">
        <v>46326</v>
      </c>
      <c r="F1023" t="inlineStr">
        <is>
          <t>STOCKHOLMS LÄN</t>
        </is>
      </c>
      <c r="G1023" t="inlineStr">
        <is>
          <t>VALLENTUNA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2535-2026</t>
        </is>
      </c>
      <c r="B1024" t="inlineStr">
        <is>
          <t>avverkningsanmälan</t>
        </is>
      </c>
      <c r="C1024" t="inlineStr">
        <is>
          <t>Föryngringsavverkning</t>
        </is>
      </c>
      <c r="D1024" s="1" t="n">
        <v>46037</v>
      </c>
      <c r="E1024" s="1" t="n">
        <v>46326</v>
      </c>
      <c r="F1024" t="inlineStr">
        <is>
          <t>STOCKHOLMS LÄN</t>
        </is>
      </c>
      <c r="G1024" t="inlineStr">
        <is>
          <t>EKERÖ</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16728-2022</t>
        </is>
      </c>
      <c r="B1025" t="inlineStr">
        <is>
          <t>avverkningsanmälan</t>
        </is>
      </c>
      <c r="C1025" t="inlineStr">
        <is>
          <t>Föryngringsavverkning</t>
        </is>
      </c>
      <c r="D1025" s="1" t="n">
        <v>44673</v>
      </c>
      <c r="E1025" s="1" t="n">
        <v>46326</v>
      </c>
      <c r="F1025" t="inlineStr">
        <is>
          <t>STOCKHOLMS LÄN</t>
        </is>
      </c>
      <c r="G1025" t="inlineStr">
        <is>
          <t>ÖSTERÅKER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13945-2025</t>
        </is>
      </c>
      <c r="B1026" t="inlineStr">
        <is>
          <t>avverkningsanmälan</t>
        </is>
      </c>
      <c r="C1026" t="inlineStr">
        <is>
          <t>Föryngringsavverkning</t>
        </is>
      </c>
      <c r="D1026" s="1" t="n">
        <v>45737</v>
      </c>
      <c r="E1026" s="1" t="n">
        <v>46326</v>
      </c>
      <c r="F1026" t="inlineStr">
        <is>
          <t>STOCKHOLMS LÄN</t>
        </is>
      </c>
      <c r="G1026" t="inlineStr">
        <is>
          <t>NYNÄSHAMN</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34034-2025</t>
        </is>
      </c>
      <c r="B1027" t="inlineStr">
        <is>
          <t>avverkningsanmälan</t>
        </is>
      </c>
      <c r="C1027" t="inlineStr">
        <is>
          <t>Föryngringsavverkning</t>
        </is>
      </c>
      <c r="D1027" s="1" t="n">
        <v>45842</v>
      </c>
      <c r="E1027" s="1" t="n">
        <v>46326</v>
      </c>
      <c r="F1027" t="inlineStr">
        <is>
          <t>STOCKHOLMS LÄN</t>
        </is>
      </c>
      <c r="G1027" t="inlineStr">
        <is>
          <t>ÖSTERÅKER</t>
        </is>
      </c>
      <c r="H1027" t="inlineStr">
        <is>
          <t>Övriga Aktiebolag</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36689-2023</t>
        </is>
      </c>
      <c r="B1028" t="inlineStr">
        <is>
          <t>avverkningsanmälan</t>
        </is>
      </c>
      <c r="C1028" t="inlineStr">
        <is>
          <t>Föryngringsavverkning</t>
        </is>
      </c>
      <c r="D1028" s="1" t="n">
        <v>45152</v>
      </c>
      <c r="E1028" s="1" t="n">
        <v>46326</v>
      </c>
      <c r="F1028" t="inlineStr">
        <is>
          <t>STOCKHOLMS LÄN</t>
        </is>
      </c>
      <c r="G1028" t="inlineStr">
        <is>
          <t>NORRTÄLJE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46073-2024</t>
        </is>
      </c>
      <c r="B1029" t="inlineStr">
        <is>
          <t>avverkningsanmälan</t>
        </is>
      </c>
      <c r="C1029" t="inlineStr">
        <is>
          <t>Föryngringsavverkning</t>
        </is>
      </c>
      <c r="D1029" s="1" t="n">
        <v>45581</v>
      </c>
      <c r="E1029" s="1" t="n">
        <v>46326</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29982-2025</t>
        </is>
      </c>
      <c r="B1030" t="inlineStr">
        <is>
          <t>avverkningsanmälan</t>
        </is>
      </c>
      <c r="C1030" t="inlineStr">
        <is>
          <t>Avverkning för att bevara och utveckla /försöksver</t>
        </is>
      </c>
      <c r="D1030" s="1" t="n">
        <v>45826</v>
      </c>
      <c r="E1030" s="1" t="n">
        <v>46326</v>
      </c>
      <c r="F1030" t="inlineStr">
        <is>
          <t>STOCKHOLMS LÄN</t>
        </is>
      </c>
      <c r="G1030" t="inlineStr">
        <is>
          <t>SALEM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63931-2021</t>
        </is>
      </c>
      <c r="B1031" t="inlineStr">
        <is>
          <t>avverkningsanmälan</t>
        </is>
      </c>
      <c r="C1031" t="inlineStr">
        <is>
          <t>Föryngringsavverkning</t>
        </is>
      </c>
      <c r="D1031" s="1" t="n">
        <v>44509</v>
      </c>
      <c r="E1031" s="1" t="n">
        <v>46326</v>
      </c>
      <c r="F1031" t="inlineStr">
        <is>
          <t>STOCKHOLMS LÄN</t>
        </is>
      </c>
      <c r="G1031" t="inlineStr">
        <is>
          <t>NYNÄSHAMN</t>
        </is>
      </c>
      <c r="H1031" t="inlineStr">
        <is>
          <t>Kommuner</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36886-2023</t>
        </is>
      </c>
      <c r="B1032" t="inlineStr">
        <is>
          <t>avverkningsanmälan</t>
        </is>
      </c>
      <c r="C1032" t="inlineStr">
        <is>
          <t>Avverkning för annat ändamål</t>
        </is>
      </c>
      <c r="D1032" s="1" t="n">
        <v>45154</v>
      </c>
      <c r="E1032" s="1" t="n">
        <v>46326</v>
      </c>
      <c r="F1032" t="inlineStr">
        <is>
          <t>STOCKHOLMS LÄN</t>
        </is>
      </c>
      <c r="G1032" t="inlineStr">
        <is>
          <t>SÖDERTÄLJE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44937-2025</t>
        </is>
      </c>
      <c r="B1033" t="inlineStr">
        <is>
          <t>avverkningsanmälan</t>
        </is>
      </c>
      <c r="C1033" t="inlineStr">
        <is>
          <t>Föryngringsavverkning</t>
        </is>
      </c>
      <c r="D1033" s="1" t="n">
        <v>45918</v>
      </c>
      <c r="E1033" s="1" t="n">
        <v>46326</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25094-2023</t>
        </is>
      </c>
      <c r="B1034" t="inlineStr">
        <is>
          <t>avverkningsanmälan</t>
        </is>
      </c>
      <c r="C1034" t="inlineStr">
        <is>
          <t>Föryngringsavverkning</t>
        </is>
      </c>
      <c r="D1034" s="1" t="n">
        <v>45086</v>
      </c>
      <c r="E1034" s="1" t="n">
        <v>46326</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60324-2022</t>
        </is>
      </c>
      <c r="B1035" t="inlineStr">
        <is>
          <t>avverkningsanmälan</t>
        </is>
      </c>
      <c r="C1035" t="inlineStr">
        <is>
          <t>Föryngringsavverkning</t>
        </is>
      </c>
      <c r="D1035" s="1" t="n">
        <v>44910</v>
      </c>
      <c r="E1035" s="1" t="n">
        <v>46326</v>
      </c>
      <c r="F1035" t="inlineStr">
        <is>
          <t>STOCKHOLMS LÄN</t>
        </is>
      </c>
      <c r="G1035" t="inlineStr">
        <is>
          <t>NYKVARN</t>
        </is>
      </c>
      <c r="H1035" t="inlineStr">
        <is>
          <t>Kyrkan</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64114-2023</t>
        </is>
      </c>
      <c r="B1036" t="inlineStr">
        <is>
          <t>avverkningsanmälan</t>
        </is>
      </c>
      <c r="C1036" t="inlineStr">
        <is>
          <t>Föryngringsavverkning</t>
        </is>
      </c>
      <c r="D1036" s="1" t="n">
        <v>45279</v>
      </c>
      <c r="E1036" s="1" t="n">
        <v>46326</v>
      </c>
      <c r="F1036" t="inlineStr">
        <is>
          <t>STOCKHOLMS LÄN</t>
        </is>
      </c>
      <c r="G1036" t="inlineStr">
        <is>
          <t>UPPLANDS-BRO</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4549-2026</t>
        </is>
      </c>
      <c r="B1037" t="inlineStr">
        <is>
          <t>avverkningsanmälan</t>
        </is>
      </c>
      <c r="C1037" t="inlineStr">
        <is>
          <t>Avverkning för annat ändamål</t>
        </is>
      </c>
      <c r="D1037" s="1" t="n">
        <v>46047</v>
      </c>
      <c r="E1037" s="1" t="n">
        <v>46326</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47694-2023</t>
        </is>
      </c>
      <c r="B1038" t="inlineStr">
        <is>
          <t>avverkningsanmälan</t>
        </is>
      </c>
      <c r="C1038" t="inlineStr">
        <is>
          <t>Föryngringsavverkning</t>
        </is>
      </c>
      <c r="D1038" s="1" t="n">
        <v>45203</v>
      </c>
      <c r="E1038" s="1" t="n">
        <v>46326</v>
      </c>
      <c r="F1038" t="inlineStr">
        <is>
          <t>STOCKHOLMS LÄN</t>
        </is>
      </c>
      <c r="G1038" t="inlineStr">
        <is>
          <t>NORRTÄLJE</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35532-2024</t>
        </is>
      </c>
      <c r="B1039" t="inlineStr">
        <is>
          <t>avverkningsanmälan</t>
        </is>
      </c>
      <c r="C1039" t="inlineStr">
        <is>
          <t>Föryngringsavverkning</t>
        </is>
      </c>
      <c r="D1039" s="1" t="n">
        <v>45531</v>
      </c>
      <c r="E1039" s="1" t="n">
        <v>46326</v>
      </c>
      <c r="F1039" t="inlineStr">
        <is>
          <t>STOCKHOLMS LÄN</t>
        </is>
      </c>
      <c r="G1039" t="inlineStr">
        <is>
          <t>NORRTÄLJE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22359-2025</t>
        </is>
      </c>
      <c r="B1040" t="inlineStr">
        <is>
          <t>avverkningsanmälan</t>
        </is>
      </c>
      <c r="C1040" t="inlineStr">
        <is>
          <t>Avverkning för att bevara och utveckla /försöksver</t>
        </is>
      </c>
      <c r="D1040" s="1" t="n">
        <v>45786</v>
      </c>
      <c r="E1040" s="1" t="n">
        <v>46326</v>
      </c>
      <c r="F1040" t="inlineStr">
        <is>
          <t>STOCKHOLMS LÄN</t>
        </is>
      </c>
      <c r="G1040" t="inlineStr">
        <is>
          <t>NORRTÄLJE</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5038-2026</t>
        </is>
      </c>
      <c r="B1041" t="inlineStr">
        <is>
          <t>avverkningsanmälan</t>
        </is>
      </c>
      <c r="C1041" t="inlineStr">
        <is>
          <t>Föryngringsavverkning</t>
        </is>
      </c>
      <c r="D1041" s="1" t="n">
        <v>46049</v>
      </c>
      <c r="E1041" s="1" t="n">
        <v>46326</v>
      </c>
      <c r="F1041" t="inlineStr">
        <is>
          <t>STOCKHOLMS LÄN</t>
        </is>
      </c>
      <c r="G1041" t="inlineStr">
        <is>
          <t>ÖSTERÅKER</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62644-2023</t>
        </is>
      </c>
      <c r="B1042" t="inlineStr">
        <is>
          <t>avverkningsanmälan</t>
        </is>
      </c>
      <c r="C1042" t="inlineStr">
        <is>
          <t>Föryngringsavverkning</t>
        </is>
      </c>
      <c r="D1042" s="1" t="n">
        <v>45271</v>
      </c>
      <c r="E1042" s="1" t="n">
        <v>46326</v>
      </c>
      <c r="F1042" t="inlineStr">
        <is>
          <t>STOCKHOLMS LÄN</t>
        </is>
      </c>
      <c r="G1042" t="inlineStr">
        <is>
          <t>NORRTÄLJE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45697-2025</t>
        </is>
      </c>
      <c r="B1043" t="inlineStr">
        <is>
          <t>avverkningsanmälan</t>
        </is>
      </c>
      <c r="C1043" t="inlineStr">
        <is>
          <t>Föryngringsavverkning</t>
        </is>
      </c>
      <c r="D1043" s="1" t="n">
        <v>45923</v>
      </c>
      <c r="E1043" s="1" t="n">
        <v>46326</v>
      </c>
      <c r="F1043" t="inlineStr">
        <is>
          <t>STOCKHOLMS LÄN</t>
        </is>
      </c>
      <c r="G1043" t="inlineStr">
        <is>
          <t>NORRTÄLJE</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1136-2023</t>
        </is>
      </c>
      <c r="B1044" t="inlineStr">
        <is>
          <t>avverkningsanmälan</t>
        </is>
      </c>
      <c r="C1044" t="inlineStr">
        <is>
          <t>Avverkning för annat ändamål</t>
        </is>
      </c>
      <c r="D1044" s="1" t="n">
        <v>44935</v>
      </c>
      <c r="E1044" s="1" t="n">
        <v>46326</v>
      </c>
      <c r="F1044" t="inlineStr">
        <is>
          <t>STOCKHOLMS LÄN</t>
        </is>
      </c>
      <c r="G1044" t="inlineStr">
        <is>
          <t>ÖSTERÅKER</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61710-2022</t>
        </is>
      </c>
      <c r="B1045" t="inlineStr">
        <is>
          <t>avverkningsanmälan</t>
        </is>
      </c>
      <c r="C1045" t="inlineStr">
        <is>
          <t>Föryngringsavverkning</t>
        </is>
      </c>
      <c r="D1045" s="1" t="n">
        <v>44917</v>
      </c>
      <c r="E1045" s="1" t="n">
        <v>46326</v>
      </c>
      <c r="F1045" t="inlineStr">
        <is>
          <t>STOCKHOLMS LÄN</t>
        </is>
      </c>
      <c r="G1045" t="inlineStr">
        <is>
          <t>ÖSTERÅKER</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35110-2025</t>
        </is>
      </c>
      <c r="B1046" t="inlineStr">
        <is>
          <t>avverkningsanmälan</t>
        </is>
      </c>
      <c r="C1046" t="inlineStr">
        <is>
          <t>Föryngringsavverkning</t>
        </is>
      </c>
      <c r="D1046" s="1" t="n">
        <v>45852</v>
      </c>
      <c r="E1046" s="1" t="n">
        <v>46326</v>
      </c>
      <c r="F1046" t="inlineStr">
        <is>
          <t>STOCKHOLMS LÄN</t>
        </is>
      </c>
      <c r="G1046" t="inlineStr">
        <is>
          <t>NORRTÄLJE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62038-2023</t>
        </is>
      </c>
      <c r="B1047" t="inlineStr">
        <is>
          <t>avverkningsanmälan</t>
        </is>
      </c>
      <c r="C1047" t="inlineStr">
        <is>
          <t>Föryngringsavverkning</t>
        </is>
      </c>
      <c r="D1047" s="1" t="n">
        <v>45266</v>
      </c>
      <c r="E1047" s="1" t="n">
        <v>46326</v>
      </c>
      <c r="F1047" t="inlineStr">
        <is>
          <t>STOCKHOLMS LÄN</t>
        </is>
      </c>
      <c r="G1047" t="inlineStr">
        <is>
          <t>NYNÄSHAMN</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28681-2025</t>
        </is>
      </c>
      <c r="B1048" t="inlineStr">
        <is>
          <t>avverkningsanmälan</t>
        </is>
      </c>
      <c r="C1048" t="inlineStr">
        <is>
          <t>Föryngringsavverkning</t>
        </is>
      </c>
      <c r="D1048" s="1" t="n">
        <v>45819</v>
      </c>
      <c r="E1048" s="1" t="n">
        <v>46326</v>
      </c>
      <c r="F1048" t="inlineStr">
        <is>
          <t>STOCKHOLMS LÄN</t>
        </is>
      </c>
      <c r="G1048" t="inlineStr">
        <is>
          <t>SIGTUNA</t>
        </is>
      </c>
      <c r="I1048" t="n">
        <v>7.5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35479-2025</t>
        </is>
      </c>
      <c r="B1049" t="inlineStr">
        <is>
          <t>avverkningsanmälan</t>
        </is>
      </c>
      <c r="C1049" t="inlineStr">
        <is>
          <t>Föryngringsavverkning</t>
        </is>
      </c>
      <c r="D1049" s="1" t="n">
        <v>45855</v>
      </c>
      <c r="E1049" s="1" t="n">
        <v>46326</v>
      </c>
      <c r="F1049" t="inlineStr">
        <is>
          <t>STOCKHOLMS LÄN</t>
        </is>
      </c>
      <c r="G1049" t="inlineStr">
        <is>
          <t>NORRTÄLJE</t>
        </is>
      </c>
      <c r="H1049" t="inlineStr">
        <is>
          <t>Holmen skog AB</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35478-2025</t>
        </is>
      </c>
      <c r="B1050" t="inlineStr">
        <is>
          <t>avverkningsanmälan</t>
        </is>
      </c>
      <c r="C1050" t="inlineStr">
        <is>
          <t>Föryngringsavverkning</t>
        </is>
      </c>
      <c r="D1050" s="1" t="n">
        <v>45855</v>
      </c>
      <c r="E1050" s="1" t="n">
        <v>46326</v>
      </c>
      <c r="F1050" t="inlineStr">
        <is>
          <t>STOCKHOLMS LÄN</t>
        </is>
      </c>
      <c r="G1050" t="inlineStr">
        <is>
          <t>NORRTÄLJE</t>
        </is>
      </c>
      <c r="H1050" t="inlineStr">
        <is>
          <t>Holmen skog AB</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46857-2025</t>
        </is>
      </c>
      <c r="B1051" t="inlineStr">
        <is>
          <t>avverkningsanmälan</t>
        </is>
      </c>
      <c r="C1051" t="inlineStr">
        <is>
          <t>Föryngringsavverkning</t>
        </is>
      </c>
      <c r="D1051" s="1" t="n">
        <v>45928</v>
      </c>
      <c r="E1051" s="1" t="n">
        <v>46326</v>
      </c>
      <c r="F1051" t="inlineStr">
        <is>
          <t>STOCKHOLMS LÄN</t>
        </is>
      </c>
      <c r="G1051" t="inlineStr">
        <is>
          <t>NYNÄSHAMN</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48587-2023</t>
        </is>
      </c>
      <c r="B1052" t="inlineStr">
        <is>
          <t>avverkningsanmälan</t>
        </is>
      </c>
      <c r="C1052" t="inlineStr">
        <is>
          <t>Föryngringsavverkning</t>
        </is>
      </c>
      <c r="D1052" s="1" t="n">
        <v>45208</v>
      </c>
      <c r="E1052" s="1" t="n">
        <v>46326</v>
      </c>
      <c r="F1052" t="inlineStr">
        <is>
          <t>STOCKHOLMS LÄN</t>
        </is>
      </c>
      <c r="G1052" t="inlineStr">
        <is>
          <t>NORRTÄLJE</t>
        </is>
      </c>
      <c r="I1052" t="n">
        <v>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4788-2026</t>
        </is>
      </c>
      <c r="B1053" t="inlineStr">
        <is>
          <t>avverkningsanmälan</t>
        </is>
      </c>
      <c r="C1053" t="inlineStr">
        <is>
          <t>Föryngringsavverkning</t>
        </is>
      </c>
      <c r="D1053" s="1" t="n">
        <v>46048</v>
      </c>
      <c r="E1053" s="1" t="n">
        <v>46326</v>
      </c>
      <c r="F1053" t="inlineStr">
        <is>
          <t>STOCKHOLMS LÄN</t>
        </is>
      </c>
      <c r="G1053" t="inlineStr">
        <is>
          <t>SIGTUNA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2549-2022</t>
        </is>
      </c>
      <c r="B1054" t="inlineStr">
        <is>
          <t>avverkningsanmälan</t>
        </is>
      </c>
      <c r="C1054" t="inlineStr">
        <is>
          <t>Avverkning för annat ändamål</t>
        </is>
      </c>
      <c r="D1054" s="1" t="n">
        <v>44580</v>
      </c>
      <c r="E1054" s="1" t="n">
        <v>46326</v>
      </c>
      <c r="F1054" t="inlineStr">
        <is>
          <t>STOCKHOLMS LÄN</t>
        </is>
      </c>
      <c r="G1054" t="inlineStr">
        <is>
          <t>NORRTÄLJE</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4443-2023</t>
        </is>
      </c>
      <c r="B1055" t="inlineStr">
        <is>
          <t>avverkningsanmälan</t>
        </is>
      </c>
      <c r="C1055" t="inlineStr">
        <is>
          <t>Föryngringsavverkning</t>
        </is>
      </c>
      <c r="D1055" s="1" t="n">
        <v>44956</v>
      </c>
      <c r="E1055" s="1" t="n">
        <v>46326</v>
      </c>
      <c r="F1055" t="inlineStr">
        <is>
          <t>STOCKHOLMS LÄN</t>
        </is>
      </c>
      <c r="G1055" t="inlineStr">
        <is>
          <t>SÖDERTÄLJE</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28752-2024</t>
        </is>
      </c>
      <c r="B1056" t="inlineStr">
        <is>
          <t>avverkningsanmälan</t>
        </is>
      </c>
      <c r="C1056" t="inlineStr">
        <is>
          <t>Föryngringsavverkning</t>
        </is>
      </c>
      <c r="D1056" s="1" t="n">
        <v>45478</v>
      </c>
      <c r="E1056" s="1" t="n">
        <v>46326</v>
      </c>
      <c r="F1056" t="inlineStr">
        <is>
          <t>STOCKHOLMS LÄN</t>
        </is>
      </c>
      <c r="G1056" t="inlineStr">
        <is>
          <t>SIGTUNA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12609-2024</t>
        </is>
      </c>
      <c r="B1057" t="inlineStr">
        <is>
          <t>avverkningsanmälan</t>
        </is>
      </c>
      <c r="C1057" t="inlineStr">
        <is>
          <t>Avverkning för annat ändamål</t>
        </is>
      </c>
      <c r="D1057" s="1" t="n">
        <v>45382</v>
      </c>
      <c r="E1057" s="1" t="n">
        <v>46326</v>
      </c>
      <c r="F1057" t="inlineStr">
        <is>
          <t>STOCKHOLMS LÄN</t>
        </is>
      </c>
      <c r="G1057" t="inlineStr">
        <is>
          <t>VALLENTUNA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47758-2023</t>
        </is>
      </c>
      <c r="B1058" t="inlineStr">
        <is>
          <t>avverkningsanmälan</t>
        </is>
      </c>
      <c r="C1058" t="inlineStr">
        <is>
          <t>Föryngringsavverkning</t>
        </is>
      </c>
      <c r="D1058" s="1" t="n">
        <v>45203</v>
      </c>
      <c r="E1058" s="1" t="n">
        <v>46326</v>
      </c>
      <c r="F1058" t="inlineStr">
        <is>
          <t>STOCKHOLMS LÄN</t>
        </is>
      </c>
      <c r="G1058" t="inlineStr">
        <is>
          <t>NORRTÄLJE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35819-2025</t>
        </is>
      </c>
      <c r="B1059" t="inlineStr">
        <is>
          <t>avverkningsanmälan</t>
        </is>
      </c>
      <c r="C1059" t="inlineStr">
        <is>
          <t>Föryngringsavverkning</t>
        </is>
      </c>
      <c r="D1059" s="1" t="n">
        <v>45861</v>
      </c>
      <c r="E1059" s="1" t="n">
        <v>46326</v>
      </c>
      <c r="F1059" t="inlineStr">
        <is>
          <t>STOCKHOLMS LÄN</t>
        </is>
      </c>
      <c r="G1059" t="inlineStr">
        <is>
          <t>ÖSTERÅKER</t>
        </is>
      </c>
      <c r="H1059" t="inlineStr">
        <is>
          <t>Övriga Aktiebolag</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18512-2024</t>
        </is>
      </c>
      <c r="B1060" t="inlineStr">
        <is>
          <t>avverkningsanmälan</t>
        </is>
      </c>
      <c r="C1060" t="inlineStr">
        <is>
          <t>Föryngringsavverkning</t>
        </is>
      </c>
      <c r="D1060" s="1" t="n">
        <v>45425</v>
      </c>
      <c r="E1060" s="1" t="n">
        <v>46326</v>
      </c>
      <c r="F1060" t="inlineStr">
        <is>
          <t>STOCKHOLMS LÄN</t>
        </is>
      </c>
      <c r="G1060" t="inlineStr">
        <is>
          <t>HANINGE</t>
        </is>
      </c>
      <c r="H1060" t="inlineStr">
        <is>
          <t>Kommuner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35256-2025</t>
        </is>
      </c>
      <c r="B1061" t="inlineStr">
        <is>
          <t>avverkningsanmälan</t>
        </is>
      </c>
      <c r="C1061" t="inlineStr">
        <is>
          <t>Föryngringsavverkning</t>
        </is>
      </c>
      <c r="D1061" s="1" t="n">
        <v>45853</v>
      </c>
      <c r="E1061" s="1" t="n">
        <v>46326</v>
      </c>
      <c r="F1061" t="inlineStr">
        <is>
          <t>STOCKHOLMS LÄN</t>
        </is>
      </c>
      <c r="G1061" t="inlineStr">
        <is>
          <t>NORRTÄLJE</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50294-2023</t>
        </is>
      </c>
      <c r="B1062" t="inlineStr">
        <is>
          <t>avverkningsanmälan</t>
        </is>
      </c>
      <c r="C1062" t="inlineStr">
        <is>
          <t>Föryngringsavverkning</t>
        </is>
      </c>
      <c r="D1062" s="1" t="n">
        <v>45216</v>
      </c>
      <c r="E1062" s="1" t="n">
        <v>46326</v>
      </c>
      <c r="F1062" t="inlineStr">
        <is>
          <t>STOCKHOLMS LÄN</t>
        </is>
      </c>
      <c r="G1062" t="inlineStr">
        <is>
          <t>UPPLANDS-BRO</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6004-2026</t>
        </is>
      </c>
      <c r="B1063" t="inlineStr">
        <is>
          <t>avverkningsanmälan</t>
        </is>
      </c>
      <c r="C1063" t="inlineStr">
        <is>
          <t>Föryngringsavverkning</t>
        </is>
      </c>
      <c r="D1063" s="1" t="n">
        <v>46050</v>
      </c>
      <c r="E1063" s="1" t="n">
        <v>46326</v>
      </c>
      <c r="F1063" t="inlineStr">
        <is>
          <t>STOCKHOLMS LÄN</t>
        </is>
      </c>
      <c r="G1063" t="inlineStr">
        <is>
          <t>VAXHOLM</t>
        </is>
      </c>
      <c r="H1063" t="inlineStr">
        <is>
          <t>Övriga statliga verk och myndigheter</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47128-2023</t>
        </is>
      </c>
      <c r="B1064" t="inlineStr">
        <is>
          <t>avverkningsanmälan</t>
        </is>
      </c>
      <c r="C1064" t="inlineStr">
        <is>
          <t>Föryngringsavverkning</t>
        </is>
      </c>
      <c r="D1064" s="1" t="n">
        <v>45196</v>
      </c>
      <c r="E1064" s="1" t="n">
        <v>46326</v>
      </c>
      <c r="F1064" t="inlineStr">
        <is>
          <t>STOCKHOLMS LÄN</t>
        </is>
      </c>
      <c r="G1064" t="inlineStr">
        <is>
          <t>NYNÄSHAMN</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34444-2024</t>
        </is>
      </c>
      <c r="B1065" t="inlineStr">
        <is>
          <t>avverkningsanmälan</t>
        </is>
      </c>
      <c r="C1065" t="inlineStr">
        <is>
          <t>Föryngringsavverkning</t>
        </is>
      </c>
      <c r="D1065" s="1" t="n">
        <v>45525</v>
      </c>
      <c r="E1065" s="1" t="n">
        <v>46326</v>
      </c>
      <c r="F1065" t="inlineStr">
        <is>
          <t>STOCKHOLMS LÄN</t>
        </is>
      </c>
      <c r="G1065" t="inlineStr">
        <is>
          <t>NORRTÄLJE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5226-2026</t>
        </is>
      </c>
      <c r="B1066" t="inlineStr">
        <is>
          <t>avverkningsanmälan</t>
        </is>
      </c>
      <c r="C1066" t="inlineStr">
        <is>
          <t>Föryngringsavverkning</t>
        </is>
      </c>
      <c r="D1066" s="1" t="n">
        <v>46049</v>
      </c>
      <c r="E1066" s="1" t="n">
        <v>46326</v>
      </c>
      <c r="F1066" t="inlineStr">
        <is>
          <t>STOCKHOLMS LÄN</t>
        </is>
      </c>
      <c r="G1066" t="inlineStr">
        <is>
          <t>NORRTÄLJE</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51061-2023</t>
        </is>
      </c>
      <c r="B1067" t="inlineStr">
        <is>
          <t>avverkningsanmälan</t>
        </is>
      </c>
      <c r="C1067" t="inlineStr">
        <is>
          <t>Föryngringsavverkning</t>
        </is>
      </c>
      <c r="D1067" s="1" t="n">
        <v>45218</v>
      </c>
      <c r="E1067" s="1" t="n">
        <v>46326</v>
      </c>
      <c r="F1067" t="inlineStr">
        <is>
          <t>STOCKHOLMS LÄN</t>
        </is>
      </c>
      <c r="G1067" t="inlineStr">
        <is>
          <t>NORRTÄLJE</t>
        </is>
      </c>
      <c r="I1067" t="n">
        <v>8.699999999999999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5224-2026</t>
        </is>
      </c>
      <c r="B1068" t="inlineStr">
        <is>
          <t>avverkningsanmälan</t>
        </is>
      </c>
      <c r="C1068" t="inlineStr">
        <is>
          <t>Föryngringsavverkning</t>
        </is>
      </c>
      <c r="D1068" s="1" t="n">
        <v>46049</v>
      </c>
      <c r="E1068" s="1" t="n">
        <v>46326</v>
      </c>
      <c r="F1068" t="inlineStr">
        <is>
          <t>STOCKHOLMS LÄN</t>
        </is>
      </c>
      <c r="G1068" t="inlineStr">
        <is>
          <t>NORRTÄLJE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5227-2026</t>
        </is>
      </c>
      <c r="B1069" t="inlineStr">
        <is>
          <t>avverkningsanmälan</t>
        </is>
      </c>
      <c r="C1069" t="inlineStr">
        <is>
          <t>Föryngringsavverkning</t>
        </is>
      </c>
      <c r="D1069" s="1" t="n">
        <v>46049</v>
      </c>
      <c r="E1069" s="1" t="n">
        <v>46326</v>
      </c>
      <c r="F1069" t="inlineStr">
        <is>
          <t>STOCKHOLMS LÄN</t>
        </is>
      </c>
      <c r="G1069" t="inlineStr">
        <is>
          <t>NORRTÄLJE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14264-2025</t>
        </is>
      </c>
      <c r="B1070" t="inlineStr">
        <is>
          <t>avverkningsanmälan</t>
        </is>
      </c>
      <c r="C1070" t="inlineStr">
        <is>
          <t>Föryngringsavverkning</t>
        </is>
      </c>
      <c r="D1070" s="1" t="n">
        <v>45740</v>
      </c>
      <c r="E1070" s="1" t="n">
        <v>46326</v>
      </c>
      <c r="F1070" t="inlineStr">
        <is>
          <t>STOCKHOLMS LÄN</t>
        </is>
      </c>
      <c r="G1070" t="inlineStr">
        <is>
          <t>HANINGE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20698-2025</t>
        </is>
      </c>
      <c r="B1071" t="inlineStr">
        <is>
          <t>avverkningsanmälan</t>
        </is>
      </c>
      <c r="C1071" t="inlineStr">
        <is>
          <t>Föryngringsavverkning</t>
        </is>
      </c>
      <c r="D1071" s="1" t="n">
        <v>45776</v>
      </c>
      <c r="E1071" s="1" t="n">
        <v>46326</v>
      </c>
      <c r="F1071" t="inlineStr">
        <is>
          <t>STOCKHOLMS LÄN</t>
        </is>
      </c>
      <c r="G1071" t="inlineStr">
        <is>
          <t>NORRTÄLJE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5241-2026</t>
        </is>
      </c>
      <c r="B1072" t="inlineStr">
        <is>
          <t>avverkningsanmälan</t>
        </is>
      </c>
      <c r="C1072" t="inlineStr">
        <is>
          <t>Föryngringsavverkning</t>
        </is>
      </c>
      <c r="D1072" s="1" t="n">
        <v>46049</v>
      </c>
      <c r="E1072" s="1" t="n">
        <v>46326</v>
      </c>
      <c r="F1072" t="inlineStr">
        <is>
          <t>STOCKHOLMS LÄN</t>
        </is>
      </c>
      <c r="G1072" t="inlineStr">
        <is>
          <t>NORRTÄLJE</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22697-2022</t>
        </is>
      </c>
      <c r="B1073" t="inlineStr">
        <is>
          <t>avverkningsanmälan</t>
        </is>
      </c>
      <c r="C1073" t="inlineStr">
        <is>
          <t>Föryngringsavverkning</t>
        </is>
      </c>
      <c r="D1073" s="1" t="n">
        <v>44714</v>
      </c>
      <c r="E1073" s="1" t="n">
        <v>46326</v>
      </c>
      <c r="F1073" t="inlineStr">
        <is>
          <t>STOCKHOLMS LÄN</t>
        </is>
      </c>
      <c r="G1073" t="inlineStr">
        <is>
          <t>NORRTÄLJE</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39610-2025</t>
        </is>
      </c>
      <c r="B1074" t="inlineStr">
        <is>
          <t>avverkningsanmälan</t>
        </is>
      </c>
      <c r="C1074" t="inlineStr">
        <is>
          <t>Avverkning för att bevara och utveckla /försöksver</t>
        </is>
      </c>
      <c r="D1074" s="1" t="n">
        <v>45890</v>
      </c>
      <c r="E1074" s="1" t="n">
        <v>46326</v>
      </c>
      <c r="F1074" t="inlineStr">
        <is>
          <t>STOCKHOLMS LÄN</t>
        </is>
      </c>
      <c r="G1074" t="inlineStr">
        <is>
          <t>NORRTÄLJE</t>
        </is>
      </c>
      <c r="I1074" t="n">
        <v>28.6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45549-2022</t>
        </is>
      </c>
      <c r="B1075" t="inlineStr">
        <is>
          <t>avverkningsanmälan</t>
        </is>
      </c>
      <c r="C1075" t="inlineStr">
        <is>
          <t>Föryngringsavverkning</t>
        </is>
      </c>
      <c r="D1075" s="1" t="n">
        <v>44845</v>
      </c>
      <c r="E1075" s="1" t="n">
        <v>46326</v>
      </c>
      <c r="F1075" t="inlineStr">
        <is>
          <t>STOCKHOLMS LÄN</t>
        </is>
      </c>
      <c r="G1075" t="inlineStr">
        <is>
          <t>NORRTÄLJE</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47392-2025</t>
        </is>
      </c>
      <c r="B1076" t="inlineStr">
        <is>
          <t>avverkningsanmälan</t>
        </is>
      </c>
      <c r="C1076" t="inlineStr">
        <is>
          <t>Föryngringsavverkning</t>
        </is>
      </c>
      <c r="D1076" s="1" t="n">
        <v>45930</v>
      </c>
      <c r="E1076" s="1" t="n">
        <v>46326</v>
      </c>
      <c r="F1076" t="inlineStr">
        <is>
          <t>STOCKHOLMS LÄN</t>
        </is>
      </c>
      <c r="G1076" t="inlineStr">
        <is>
          <t>SIGTUNA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24727-2023</t>
        </is>
      </c>
      <c r="B1077" t="inlineStr">
        <is>
          <t>avverkningsanmälan</t>
        </is>
      </c>
      <c r="C1077" t="inlineStr">
        <is>
          <t>Föryngringsavverkning</t>
        </is>
      </c>
      <c r="D1077" s="1" t="n">
        <v>45084</v>
      </c>
      <c r="E1077" s="1" t="n">
        <v>46326</v>
      </c>
      <c r="F1077" t="inlineStr">
        <is>
          <t>STOCKHOLMS LÄN</t>
        </is>
      </c>
      <c r="G1077" t="inlineStr">
        <is>
          <t>NORRTÄLJE</t>
        </is>
      </c>
      <c r="H1077" t="inlineStr">
        <is>
          <t>Holmen skog AB</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22528-2024</t>
        </is>
      </c>
      <c r="B1078" t="inlineStr">
        <is>
          <t>avverkningsanmälan</t>
        </is>
      </c>
      <c r="C1078" t="inlineStr">
        <is>
          <t>Föryngringsavverkning</t>
        </is>
      </c>
      <c r="D1078" s="1" t="n">
        <v>45447</v>
      </c>
      <c r="E1078" s="1" t="n">
        <v>46326</v>
      </c>
      <c r="F1078" t="inlineStr">
        <is>
          <t>STOCKHOLMS LÄN</t>
        </is>
      </c>
      <c r="G1078" t="inlineStr">
        <is>
          <t>ÖSTERÅKER</t>
        </is>
      </c>
      <c r="H1078" t="inlineStr">
        <is>
          <t>Övriga Aktiebolag</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6298-2026</t>
        </is>
      </c>
      <c r="B1079" t="inlineStr">
        <is>
          <t>avverkningsanmälan</t>
        </is>
      </c>
      <c r="C1079" t="inlineStr">
        <is>
          <t>Föryngringsavverkning</t>
        </is>
      </c>
      <c r="D1079" s="1" t="n">
        <v>46055</v>
      </c>
      <c r="E1079" s="1" t="n">
        <v>46326</v>
      </c>
      <c r="F1079" t="inlineStr">
        <is>
          <t>STOCKHOLMS LÄN</t>
        </is>
      </c>
      <c r="G1079" t="inlineStr">
        <is>
          <t>VALLENTUNA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48722-2023</t>
        </is>
      </c>
      <c r="B1080" t="inlineStr">
        <is>
          <t>avverkningsanmälan</t>
        </is>
      </c>
      <c r="C1080" t="inlineStr">
        <is>
          <t>Föryngringsavverkning</t>
        </is>
      </c>
      <c r="D1080" s="1" t="n">
        <v>45208</v>
      </c>
      <c r="E1080" s="1" t="n">
        <v>46326</v>
      </c>
      <c r="F1080" t="inlineStr">
        <is>
          <t>STOCKHOLMS LÄN</t>
        </is>
      </c>
      <c r="G1080" t="inlineStr">
        <is>
          <t>NORRTÄLJE</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47498-2025</t>
        </is>
      </c>
      <c r="B1081" t="inlineStr">
        <is>
          <t>avverkningsanmälan</t>
        </is>
      </c>
      <c r="C1081" t="inlineStr">
        <is>
          <t>Föryngringsavverkning</t>
        </is>
      </c>
      <c r="D1081" s="1" t="n">
        <v>45930</v>
      </c>
      <c r="E1081" s="1" t="n">
        <v>46326</v>
      </c>
      <c r="F1081" t="inlineStr">
        <is>
          <t>STOCKHOLMS LÄN</t>
        </is>
      </c>
      <c r="G1081" t="inlineStr">
        <is>
          <t>NORRTÄLJE</t>
        </is>
      </c>
      <c r="H1081" t="inlineStr">
        <is>
          <t>Holmen skog AB</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47496-2025</t>
        </is>
      </c>
      <c r="B1082" t="inlineStr">
        <is>
          <t>avverkningsanmälan</t>
        </is>
      </c>
      <c r="C1082" t="inlineStr">
        <is>
          <t>Föryngringsavverkning</t>
        </is>
      </c>
      <c r="D1082" s="1" t="n">
        <v>45930</v>
      </c>
      <c r="E1082" s="1" t="n">
        <v>46326</v>
      </c>
      <c r="F1082" t="inlineStr">
        <is>
          <t>STOCKHOLMS LÄN</t>
        </is>
      </c>
      <c r="G1082" t="inlineStr">
        <is>
          <t>NORRTÄLJE</t>
        </is>
      </c>
      <c r="H1082" t="inlineStr">
        <is>
          <t>Holmen skog AB</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47497-2025</t>
        </is>
      </c>
      <c r="B1083" t="inlineStr">
        <is>
          <t>avverkningsanmälan</t>
        </is>
      </c>
      <c r="C1083" t="inlineStr">
        <is>
          <t>Föryngringsavverkning</t>
        </is>
      </c>
      <c r="D1083" s="1" t="n">
        <v>45930</v>
      </c>
      <c r="E1083" s="1" t="n">
        <v>46326</v>
      </c>
      <c r="F1083" t="inlineStr">
        <is>
          <t>STOCKHOLMS LÄN</t>
        </is>
      </c>
      <c r="G1083" t="inlineStr">
        <is>
          <t>NORRTÄLJE</t>
        </is>
      </c>
      <c r="H1083" t="inlineStr">
        <is>
          <t>Holmen skog AB</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22232-2024</t>
        </is>
      </c>
      <c r="B1084" t="inlineStr">
        <is>
          <t>avverkningsanmälan</t>
        </is>
      </c>
      <c r="C1084" t="inlineStr">
        <is>
          <t>Föryngringsavverkning</t>
        </is>
      </c>
      <c r="D1084" s="1" t="n">
        <v>45446</v>
      </c>
      <c r="E1084" s="1" t="n">
        <v>46326</v>
      </c>
      <c r="F1084" t="inlineStr">
        <is>
          <t>STOCKHOLMS LÄN</t>
        </is>
      </c>
      <c r="G1084" t="inlineStr">
        <is>
          <t>NORRTÄLJE</t>
        </is>
      </c>
      <c r="I1084" t="n">
        <v>12.8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35235-2024</t>
        </is>
      </c>
      <c r="B1085" t="inlineStr">
        <is>
          <t>avverkningsanmälan</t>
        </is>
      </c>
      <c r="C1085" t="inlineStr">
        <is>
          <t>Föryngringsavverkning</t>
        </is>
      </c>
      <c r="D1085" s="1" t="n">
        <v>45530</v>
      </c>
      <c r="E1085" s="1" t="n">
        <v>46326</v>
      </c>
      <c r="F1085" t="inlineStr">
        <is>
          <t>STOCKHOLMS LÄN</t>
        </is>
      </c>
      <c r="G1085" t="inlineStr">
        <is>
          <t>NORRTÄLJE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36496-2025</t>
        </is>
      </c>
      <c r="B1086" t="inlineStr">
        <is>
          <t>avverkningsanmälan</t>
        </is>
      </c>
      <c r="C1086" t="inlineStr">
        <is>
          <t>Föryngringsavverkning</t>
        </is>
      </c>
      <c r="D1086" s="1" t="n">
        <v>45869</v>
      </c>
      <c r="E1086" s="1" t="n">
        <v>46326</v>
      </c>
      <c r="F1086" t="inlineStr">
        <is>
          <t>STOCKHOLMS LÄN</t>
        </is>
      </c>
      <c r="G1086" t="inlineStr">
        <is>
          <t>NYNÄSHAMN</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13836-2022</t>
        </is>
      </c>
      <c r="B1087" t="inlineStr">
        <is>
          <t>avverkningsanmälan</t>
        </is>
      </c>
      <c r="C1087" t="inlineStr">
        <is>
          <t>Föryngringsavverkning</t>
        </is>
      </c>
      <c r="D1087" s="1" t="n">
        <v>44649</v>
      </c>
      <c r="E1087" s="1" t="n">
        <v>46326</v>
      </c>
      <c r="F1087" t="inlineStr">
        <is>
          <t>STOCKHOLMS LÄN</t>
        </is>
      </c>
      <c r="G1087" t="inlineStr">
        <is>
          <t>VALLENTUNA</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36468-2025</t>
        </is>
      </c>
      <c r="B1088" t="inlineStr">
        <is>
          <t>avverkningsanmälan</t>
        </is>
      </c>
      <c r="C1088" t="inlineStr">
        <is>
          <t>Föryngringsavverkning</t>
        </is>
      </c>
      <c r="D1088" s="1" t="n">
        <v>45869</v>
      </c>
      <c r="E1088" s="1" t="n">
        <v>46326</v>
      </c>
      <c r="F1088" t="inlineStr">
        <is>
          <t>STOCKHOLMS LÄN</t>
        </is>
      </c>
      <c r="G1088" t="inlineStr">
        <is>
          <t>NYNÄSHAMN</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1448-2023</t>
        </is>
      </c>
      <c r="B1089" t="inlineStr">
        <is>
          <t>avverkningsanmälan</t>
        </is>
      </c>
      <c r="C1089" t="inlineStr">
        <is>
          <t>Avverkning för annat ändamål</t>
        </is>
      </c>
      <c r="D1089" s="1" t="n">
        <v>44937</v>
      </c>
      <c r="E1089" s="1" t="n">
        <v>46326</v>
      </c>
      <c r="F1089" t="inlineStr">
        <is>
          <t>STOCKHOLMS LÄN</t>
        </is>
      </c>
      <c r="G1089" t="inlineStr">
        <is>
          <t>NORRTÄLJE</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5934-2026</t>
        </is>
      </c>
      <c r="B1090" t="inlineStr">
        <is>
          <t>avverkningsanmälan</t>
        </is>
      </c>
      <c r="C1090" t="inlineStr">
        <is>
          <t>Föryngringsavverkning</t>
        </is>
      </c>
      <c r="D1090" s="1" t="n">
        <v>46052</v>
      </c>
      <c r="E1090" s="1" t="n">
        <v>46326</v>
      </c>
      <c r="F1090" t="inlineStr">
        <is>
          <t>STOCKHOLMS LÄN</t>
        </is>
      </c>
      <c r="G1090" t="inlineStr">
        <is>
          <t>NORRTÄLJE</t>
        </is>
      </c>
      <c r="H1090" t="inlineStr">
        <is>
          <t>Holmen skog AB</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48364-2025</t>
        </is>
      </c>
      <c r="B1091" t="inlineStr">
        <is>
          <t>avverkningsanmälan</t>
        </is>
      </c>
      <c r="C1091" t="inlineStr">
        <is>
          <t>Föryngringsavverkning</t>
        </is>
      </c>
      <c r="D1091" s="1" t="n">
        <v>45933</v>
      </c>
      <c r="E1091" s="1" t="n">
        <v>46326</v>
      </c>
      <c r="F1091" t="inlineStr">
        <is>
          <t>STOCKHOLMS LÄN</t>
        </is>
      </c>
      <c r="G1091" t="inlineStr">
        <is>
          <t>NORRTÄLJE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48046-2025</t>
        </is>
      </c>
      <c r="B1092" t="inlineStr">
        <is>
          <t>avverkningsanmälan</t>
        </is>
      </c>
      <c r="C1092" t="inlineStr">
        <is>
          <t>Föryngringsavverkning</t>
        </is>
      </c>
      <c r="D1092" s="1" t="n">
        <v>45932</v>
      </c>
      <c r="E1092" s="1" t="n">
        <v>46326</v>
      </c>
      <c r="F1092" t="inlineStr">
        <is>
          <t>STOCKHOLMS LÄN</t>
        </is>
      </c>
      <c r="G1092" t="inlineStr">
        <is>
          <t>SÖDERTÄLJE</t>
        </is>
      </c>
      <c r="H1092" t="inlineStr">
        <is>
          <t>Sveaskog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8736-2024</t>
        </is>
      </c>
      <c r="B1093" t="inlineStr">
        <is>
          <t>avverkningsanmälan</t>
        </is>
      </c>
      <c r="C1093" t="inlineStr">
        <is>
          <t>Föryngringsavverkning</t>
        </is>
      </c>
      <c r="D1093" s="1" t="n">
        <v>45356</v>
      </c>
      <c r="E1093" s="1" t="n">
        <v>46326</v>
      </c>
      <c r="F1093" t="inlineStr">
        <is>
          <t>STOCKHOLMS LÄN</t>
        </is>
      </c>
      <c r="G1093" t="inlineStr">
        <is>
          <t>NORRTÄLJE</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33149-2022</t>
        </is>
      </c>
      <c r="B1094" t="inlineStr">
        <is>
          <t>avverkningsanmälan</t>
        </is>
      </c>
      <c r="C1094" t="inlineStr">
        <is>
          <t>Föryngringsavverkning</t>
        </is>
      </c>
      <c r="D1094" s="1" t="n">
        <v>44785</v>
      </c>
      <c r="E1094" s="1" t="n">
        <v>46326</v>
      </c>
      <c r="F1094" t="inlineStr">
        <is>
          <t>STOCKHOLMS LÄN</t>
        </is>
      </c>
      <c r="G1094" t="inlineStr">
        <is>
          <t>NORRTÄLJE</t>
        </is>
      </c>
      <c r="H1094" t="inlineStr">
        <is>
          <t>Holmen skog AB</t>
        </is>
      </c>
      <c r="I1094" t="n">
        <v>4.4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48174-2025</t>
        </is>
      </c>
      <c r="B1095" t="inlineStr">
        <is>
          <t>avverkningsanmälan</t>
        </is>
      </c>
      <c r="C1095" t="inlineStr">
        <is>
          <t>Föryngringsavverkning</t>
        </is>
      </c>
      <c r="D1095" s="1" t="n">
        <v>45933</v>
      </c>
      <c r="E1095" s="1" t="n">
        <v>46326</v>
      </c>
      <c r="F1095" t="inlineStr">
        <is>
          <t>STOCKHOLMS LÄN</t>
        </is>
      </c>
      <c r="G1095" t="inlineStr">
        <is>
          <t>NORRTÄLJE</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48014-2025</t>
        </is>
      </c>
      <c r="B1096" t="inlineStr">
        <is>
          <t>avverkningsanmälan</t>
        </is>
      </c>
      <c r="C1096" t="inlineStr">
        <is>
          <t>Föryngringsavverkning</t>
        </is>
      </c>
      <c r="D1096" s="1" t="n">
        <v>45932</v>
      </c>
      <c r="E1096" s="1" t="n">
        <v>46326</v>
      </c>
      <c r="F1096" t="inlineStr">
        <is>
          <t>STOCKHOLMS LÄN</t>
        </is>
      </c>
      <c r="G1096" t="inlineStr">
        <is>
          <t>VALLENTUNA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48038-2025</t>
        </is>
      </c>
      <c r="B1097" t="inlineStr">
        <is>
          <t>avverkningsanmälan</t>
        </is>
      </c>
      <c r="C1097" t="inlineStr">
        <is>
          <t>Föryngringsavverkning</t>
        </is>
      </c>
      <c r="D1097" s="1" t="n">
        <v>45932</v>
      </c>
      <c r="E1097" s="1" t="n">
        <v>46326</v>
      </c>
      <c r="F1097" t="inlineStr">
        <is>
          <t>STOCKHOLMS LÄN</t>
        </is>
      </c>
      <c r="G1097" t="inlineStr">
        <is>
          <t>VALLENTUNA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48718-2025</t>
        </is>
      </c>
      <c r="B1098" t="inlineStr">
        <is>
          <t>avverkningsanmälan</t>
        </is>
      </c>
      <c r="C1098" t="inlineStr">
        <is>
          <t>Föryngringsavverkning</t>
        </is>
      </c>
      <c r="D1098" s="1" t="n">
        <v>45936</v>
      </c>
      <c r="E1098" s="1" t="n">
        <v>46326</v>
      </c>
      <c r="F1098" t="inlineStr">
        <is>
          <t>STOCKHOLMS LÄN</t>
        </is>
      </c>
      <c r="G1098" t="inlineStr">
        <is>
          <t>NORRTÄLJE</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48443-2025</t>
        </is>
      </c>
      <c r="B1099" t="inlineStr">
        <is>
          <t>avverkningsanmälan</t>
        </is>
      </c>
      <c r="C1099" t="inlineStr">
        <is>
          <t>Föryngringsavverkning</t>
        </is>
      </c>
      <c r="D1099" s="1" t="n">
        <v>45935</v>
      </c>
      <c r="E1099" s="1" t="n">
        <v>46326</v>
      </c>
      <c r="F1099" t="inlineStr">
        <is>
          <t>STOCKHOLMS LÄN</t>
        </is>
      </c>
      <c r="G1099" t="inlineStr">
        <is>
          <t>NORRTÄLJE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48456-2025</t>
        </is>
      </c>
      <c r="B1100" t="inlineStr">
        <is>
          <t>avverkningsanmälan</t>
        </is>
      </c>
      <c r="C1100" t="inlineStr">
        <is>
          <t>Föryngringsavverkning</t>
        </is>
      </c>
      <c r="D1100" s="1" t="n">
        <v>45935</v>
      </c>
      <c r="E1100" s="1" t="n">
        <v>46326</v>
      </c>
      <c r="F1100" t="inlineStr">
        <is>
          <t>STOCKHOLMS LÄN</t>
        </is>
      </c>
      <c r="G1100" t="inlineStr">
        <is>
          <t>NYNÄSHAMN</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48780-2025</t>
        </is>
      </c>
      <c r="B1101" t="inlineStr">
        <is>
          <t>avverkningsanmälan</t>
        </is>
      </c>
      <c r="C1101" t="inlineStr">
        <is>
          <t>Föryngringsavverkning</t>
        </is>
      </c>
      <c r="D1101" s="1" t="n">
        <v>45937</v>
      </c>
      <c r="E1101" s="1" t="n">
        <v>46326</v>
      </c>
      <c r="F1101" t="inlineStr">
        <is>
          <t>STOCKHOLMS LÄN</t>
        </is>
      </c>
      <c r="G1101" t="inlineStr">
        <is>
          <t>NORRTÄLJE</t>
        </is>
      </c>
      <c r="I1101" t="n">
        <v>7.7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41702-2023</t>
        </is>
      </c>
      <c r="B1102" t="inlineStr">
        <is>
          <t>avverkningsanmälan</t>
        </is>
      </c>
      <c r="C1102" t="inlineStr">
        <is>
          <t>Föryngringsavverkning</t>
        </is>
      </c>
      <c r="D1102" s="1" t="n">
        <v>45176</v>
      </c>
      <c r="E1102" s="1" t="n">
        <v>46326</v>
      </c>
      <c r="F1102" t="inlineStr">
        <is>
          <t>STOCKHOLMS LÄN</t>
        </is>
      </c>
      <c r="G1102" t="inlineStr">
        <is>
          <t>SIGTUNA</t>
        </is>
      </c>
      <c r="H1102" t="inlineStr">
        <is>
          <t>Allmännings- och besparingsskogar</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37245-2025</t>
        </is>
      </c>
      <c r="B1103" t="inlineStr">
        <is>
          <t>avverkningsanmälan</t>
        </is>
      </c>
      <c r="C1103" t="inlineStr">
        <is>
          <t>Föryngringsavverkning</t>
        </is>
      </c>
      <c r="D1103" s="1" t="n">
        <v>45876</v>
      </c>
      <c r="E1103" s="1" t="n">
        <v>46326</v>
      </c>
      <c r="F1103" t="inlineStr">
        <is>
          <t>STOCKHOLMS LÄN</t>
        </is>
      </c>
      <c r="G1103" t="inlineStr">
        <is>
          <t>EKERÖ</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6537-2024</t>
        </is>
      </c>
      <c r="B1104" t="inlineStr">
        <is>
          <t>avverkningsanmälan</t>
        </is>
      </c>
      <c r="C1104" t="inlineStr">
        <is>
          <t>Föryngringsavverkning</t>
        </is>
      </c>
      <c r="D1104" s="1" t="n">
        <v>45341</v>
      </c>
      <c r="E1104" s="1" t="n">
        <v>46326</v>
      </c>
      <c r="F1104" t="inlineStr">
        <is>
          <t>STOCKHOLMS LÄN</t>
        </is>
      </c>
      <c r="G1104" t="inlineStr">
        <is>
          <t>NORRTÄLJE</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40175-2024</t>
        </is>
      </c>
      <c r="B1105" t="inlineStr">
        <is>
          <t>avverkningsanmälan</t>
        </is>
      </c>
      <c r="C1105" t="inlineStr">
        <is>
          <t>Föryngringsavverkning</t>
        </is>
      </c>
      <c r="D1105" s="1" t="n">
        <v>45554</v>
      </c>
      <c r="E1105" s="1" t="n">
        <v>46326</v>
      </c>
      <c r="F1105" t="inlineStr">
        <is>
          <t>STOCKHOLMS LÄN</t>
        </is>
      </c>
      <c r="G1105" t="inlineStr">
        <is>
          <t>NORRTÄLJE</t>
        </is>
      </c>
      <c r="I1105" t="n">
        <v>7.7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28982-2024</t>
        </is>
      </c>
      <c r="B1106" t="inlineStr">
        <is>
          <t>avverkningsanmälan</t>
        </is>
      </c>
      <c r="C1106" t="inlineStr">
        <is>
          <t>Avverkning för annat ändamål</t>
        </is>
      </c>
      <c r="D1106" s="1" t="n">
        <v>45481</v>
      </c>
      <c r="E1106" s="1" t="n">
        <v>46326</v>
      </c>
      <c r="F1106" t="inlineStr">
        <is>
          <t>STOCKHOLMS LÄN</t>
        </is>
      </c>
      <c r="G1106" t="inlineStr">
        <is>
          <t>SÖDERTÄLJE</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23056-2023</t>
        </is>
      </c>
      <c r="B1107" t="inlineStr">
        <is>
          <t>avverkningsanmälan</t>
        </is>
      </c>
      <c r="C1107" t="inlineStr">
        <is>
          <t>Föryngringsavverkning</t>
        </is>
      </c>
      <c r="D1107" s="1" t="n">
        <v>45075</v>
      </c>
      <c r="E1107" s="1" t="n">
        <v>46326</v>
      </c>
      <c r="F1107" t="inlineStr">
        <is>
          <t>STOCKHOLMS LÄN</t>
        </is>
      </c>
      <c r="G1107" t="inlineStr">
        <is>
          <t>NORRTÄLJE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49129-2025</t>
        </is>
      </c>
      <c r="B1108" t="inlineStr">
        <is>
          <t>avverkningsanmälan</t>
        </is>
      </c>
      <c r="C1108" t="inlineStr">
        <is>
          <t>Avverkning för annat ändamål</t>
        </is>
      </c>
      <c r="D1108" s="1" t="n">
        <v>45937</v>
      </c>
      <c r="E1108" s="1" t="n">
        <v>46326</v>
      </c>
      <c r="F1108" t="inlineStr">
        <is>
          <t>STOCKHOLMS LÄN</t>
        </is>
      </c>
      <c r="G1108" t="inlineStr">
        <is>
          <t>NORRTÄLJE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47431-2023</t>
        </is>
      </c>
      <c r="B1109" t="inlineStr">
        <is>
          <t>avverkningsanmälan</t>
        </is>
      </c>
      <c r="C1109" t="inlineStr">
        <is>
          <t>Avverkning för annat ändamål</t>
        </is>
      </c>
      <c r="D1109" s="1" t="n">
        <v>45202</v>
      </c>
      <c r="E1109" s="1" t="n">
        <v>46326</v>
      </c>
      <c r="F1109" t="inlineStr">
        <is>
          <t>STOCKHOLMS LÄN</t>
        </is>
      </c>
      <c r="G1109" t="inlineStr">
        <is>
          <t>NORRTÄLJE</t>
        </is>
      </c>
      <c r="H1109" t="inlineStr">
        <is>
          <t>Naturvårdsverket</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59499-2023</t>
        </is>
      </c>
      <c r="B1110" t="inlineStr">
        <is>
          <t>avverkningsanmälan</t>
        </is>
      </c>
      <c r="C1110" t="inlineStr">
        <is>
          <t>Avverkning för annat ändamål</t>
        </is>
      </c>
      <c r="D1110" s="1" t="n">
        <v>45254</v>
      </c>
      <c r="E1110" s="1" t="n">
        <v>46326</v>
      </c>
      <c r="F1110" t="inlineStr">
        <is>
          <t>STOCKHOLMS LÄN</t>
        </is>
      </c>
      <c r="G1110" t="inlineStr">
        <is>
          <t>NORRTÄLJE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59468-2023</t>
        </is>
      </c>
      <c r="B1111" t="inlineStr">
        <is>
          <t>avverkningsanmälan</t>
        </is>
      </c>
      <c r="C1111" t="inlineStr">
        <is>
          <t>Föryngringsavverkning</t>
        </is>
      </c>
      <c r="D1111" s="1" t="n">
        <v>45254</v>
      </c>
      <c r="E1111" s="1" t="n">
        <v>46326</v>
      </c>
      <c r="F1111" t="inlineStr">
        <is>
          <t>STOCKHOLMS LÄN</t>
        </is>
      </c>
      <c r="G1111" t="inlineStr">
        <is>
          <t>NORRTÄLJE</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49916-2025</t>
        </is>
      </c>
      <c r="B1112" t="inlineStr">
        <is>
          <t>avverkningsanmälan</t>
        </is>
      </c>
      <c r="C1112" t="inlineStr">
        <is>
          <t>Föryngringsavverkning</t>
        </is>
      </c>
      <c r="D1112" s="1" t="n">
        <v>45940</v>
      </c>
      <c r="E1112" s="1" t="n">
        <v>46326</v>
      </c>
      <c r="F1112" t="inlineStr">
        <is>
          <t>STOCKHOLMS LÄN</t>
        </is>
      </c>
      <c r="G1112" t="inlineStr">
        <is>
          <t>SIGTUNA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28143-2024</t>
        </is>
      </c>
      <c r="B1113" t="inlineStr">
        <is>
          <t>avverkningsanmälan</t>
        </is>
      </c>
      <c r="C1113" t="inlineStr">
        <is>
          <t>Föryngringsavverkning</t>
        </is>
      </c>
      <c r="D1113" s="1" t="n">
        <v>45476</v>
      </c>
      <c r="E1113" s="1" t="n">
        <v>46326</v>
      </c>
      <c r="F1113" t="inlineStr">
        <is>
          <t>STOCKHOLMS LÄN</t>
        </is>
      </c>
      <c r="G1113" t="inlineStr">
        <is>
          <t>ÖSTERÅKER</t>
        </is>
      </c>
      <c r="H1113" t="inlineStr">
        <is>
          <t>Övriga Aktiebolag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5884-2026</t>
        </is>
      </c>
      <c r="B1114" t="inlineStr">
        <is>
          <t>avverkningsanmälan</t>
        </is>
      </c>
      <c r="C1114" t="inlineStr">
        <is>
          <t>Föryngringsavverkning</t>
        </is>
      </c>
      <c r="D1114" s="1" t="n">
        <v>46052</v>
      </c>
      <c r="E1114" s="1" t="n">
        <v>46326</v>
      </c>
      <c r="F1114" t="inlineStr">
        <is>
          <t>STOCKHOLMS LÄN</t>
        </is>
      </c>
      <c r="G1114" t="inlineStr">
        <is>
          <t>NYNÄSHAMN</t>
        </is>
      </c>
      <c r="H1114" t="inlineStr">
        <is>
          <t>Kyrkan</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12532-2025</t>
        </is>
      </c>
      <c r="B1115" t="inlineStr">
        <is>
          <t>avverkningsanmälan</t>
        </is>
      </c>
      <c r="C1115" t="inlineStr">
        <is>
          <t>Föryngringsavverkning</t>
        </is>
      </c>
      <c r="D1115" s="1" t="n">
        <v>45730</v>
      </c>
      <c r="E1115" s="1" t="n">
        <v>46326</v>
      </c>
      <c r="F1115" t="inlineStr">
        <is>
          <t>STOCKHOLMS LÄN</t>
        </is>
      </c>
      <c r="G1115" t="inlineStr">
        <is>
          <t>NORRTÄLJE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5732-2023</t>
        </is>
      </c>
      <c r="B1116" t="inlineStr">
        <is>
          <t>avverkningsanmälan</t>
        </is>
      </c>
      <c r="C1116" t="inlineStr">
        <is>
          <t>Föryngringsavverkning</t>
        </is>
      </c>
      <c r="D1116" s="1" t="n">
        <v>44962</v>
      </c>
      <c r="E1116" s="1" t="n">
        <v>46326</v>
      </c>
      <c r="F1116" t="inlineStr">
        <is>
          <t>STOCKHOLMS LÄN</t>
        </is>
      </c>
      <c r="G1116" t="inlineStr">
        <is>
          <t>NORRTÄLJE</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36179-2022</t>
        </is>
      </c>
      <c r="B1117" t="inlineStr">
        <is>
          <t>avverkningsanmälan</t>
        </is>
      </c>
      <c r="C1117" t="inlineStr">
        <is>
          <t>Föryngringsavverkning</t>
        </is>
      </c>
      <c r="D1117" s="1" t="n">
        <v>44803</v>
      </c>
      <c r="E1117" s="1" t="n">
        <v>46326</v>
      </c>
      <c r="F1117" t="inlineStr">
        <is>
          <t>STOCKHOLMS LÄN</t>
        </is>
      </c>
      <c r="G1117" t="inlineStr">
        <is>
          <t>SIGTUNA</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10653-2022</t>
        </is>
      </c>
      <c r="B1118" t="inlineStr">
        <is>
          <t>avverkningsanmälan</t>
        </is>
      </c>
      <c r="C1118" t="inlineStr">
        <is>
          <t>Föryngringsavverkning</t>
        </is>
      </c>
      <c r="D1118" s="1" t="n">
        <v>44624</v>
      </c>
      <c r="E1118" s="1" t="n">
        <v>46326</v>
      </c>
      <c r="F1118" t="inlineStr">
        <is>
          <t>STOCKHOLMS LÄN</t>
        </is>
      </c>
      <c r="G1118" t="inlineStr">
        <is>
          <t>NORRTÄLJE</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43230-2022</t>
        </is>
      </c>
      <c r="B1119" t="inlineStr">
        <is>
          <t>avverkningsanmälan</t>
        </is>
      </c>
      <c r="C1119" t="inlineStr">
        <is>
          <t>Föryngringsavverkning</t>
        </is>
      </c>
      <c r="D1119" s="1" t="n">
        <v>44834</v>
      </c>
      <c r="E1119" s="1" t="n">
        <v>46326</v>
      </c>
      <c r="F1119" t="inlineStr">
        <is>
          <t>STOCKHOLMS LÄN</t>
        </is>
      </c>
      <c r="G1119" t="inlineStr">
        <is>
          <t>NYKVARN</t>
        </is>
      </c>
      <c r="H1119" t="inlineStr">
        <is>
          <t>Allmännings- och besparingsskogar</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21729-2024</t>
        </is>
      </c>
      <c r="B1120" t="inlineStr">
        <is>
          <t>avverkningsanmälan</t>
        </is>
      </c>
      <c r="C1120" t="inlineStr">
        <is>
          <t>Föryngringsavverkning</t>
        </is>
      </c>
      <c r="D1120" s="1" t="n">
        <v>45442</v>
      </c>
      <c r="E1120" s="1" t="n">
        <v>46326</v>
      </c>
      <c r="F1120" t="inlineStr">
        <is>
          <t>STOCKHOLMS LÄN</t>
        </is>
      </c>
      <c r="G1120" t="inlineStr">
        <is>
          <t>NORRTÄLJE</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6724-2026</t>
        </is>
      </c>
      <c r="B1121" t="inlineStr">
        <is>
          <t>avverkningsanmälan</t>
        </is>
      </c>
      <c r="C1121" t="inlineStr">
        <is>
          <t>Föryngringsavverkning</t>
        </is>
      </c>
      <c r="D1121" s="1" t="n">
        <v>46056</v>
      </c>
      <c r="E1121" s="1" t="n">
        <v>46326</v>
      </c>
      <c r="F1121" t="inlineStr">
        <is>
          <t>STOCKHOLMS LÄN</t>
        </is>
      </c>
      <c r="G1121" t="inlineStr">
        <is>
          <t>NORRTÄLJE</t>
        </is>
      </c>
      <c r="H1121" t="inlineStr">
        <is>
          <t>Holmen skog AB</t>
        </is>
      </c>
      <c r="I1121" t="n">
        <v>16.2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50327-2025</t>
        </is>
      </c>
      <c r="B1122" t="inlineStr">
        <is>
          <t>avverkningsanmälan</t>
        </is>
      </c>
      <c r="C1122" t="inlineStr">
        <is>
          <t>Föryngringsavverkning</t>
        </is>
      </c>
      <c r="D1122" s="1" t="n">
        <v>45944</v>
      </c>
      <c r="E1122" s="1" t="n">
        <v>46326</v>
      </c>
      <c r="F1122" t="inlineStr">
        <is>
          <t>STOCKHOLMS LÄN</t>
        </is>
      </c>
      <c r="G1122" t="inlineStr">
        <is>
          <t>NORRTÄLJE</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6828-2026</t>
        </is>
      </c>
      <c r="B1123" t="inlineStr">
        <is>
          <t>avverkningsanmälan</t>
        </is>
      </c>
      <c r="C1123" t="inlineStr">
        <is>
          <t>Föryngringsavverkning</t>
        </is>
      </c>
      <c r="D1123" s="1" t="n">
        <v>46057</v>
      </c>
      <c r="E1123" s="1" t="n">
        <v>46326</v>
      </c>
      <c r="F1123" t="inlineStr">
        <is>
          <t>STOCKHOLMS LÄN</t>
        </is>
      </c>
      <c r="G1123" t="inlineStr">
        <is>
          <t>NORRTÄLJE</t>
        </is>
      </c>
      <c r="H1123" t="inlineStr">
        <is>
          <t>Holmen skog AB</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6838-2026</t>
        </is>
      </c>
      <c r="B1124" t="inlineStr">
        <is>
          <t>avverkningsanmälan</t>
        </is>
      </c>
      <c r="C1124" t="inlineStr">
        <is>
          <t>Föryngringsavverkning</t>
        </is>
      </c>
      <c r="D1124" s="1" t="n">
        <v>46057</v>
      </c>
      <c r="E1124" s="1" t="n">
        <v>46326</v>
      </c>
      <c r="F1124" t="inlineStr">
        <is>
          <t>STOCKHOLMS LÄN</t>
        </is>
      </c>
      <c r="G1124" t="inlineStr">
        <is>
          <t>NORRTÄLJE</t>
        </is>
      </c>
      <c r="H1124" t="inlineStr">
        <is>
          <t>Holmen skog AB</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6874-2026</t>
        </is>
      </c>
      <c r="B1125" t="inlineStr">
        <is>
          <t>avverkningsanmälan</t>
        </is>
      </c>
      <c r="C1125" t="inlineStr">
        <is>
          <t>Föryngringsavverkning</t>
        </is>
      </c>
      <c r="D1125" s="1" t="n">
        <v>46057</v>
      </c>
      <c r="E1125" s="1" t="n">
        <v>46326</v>
      </c>
      <c r="F1125" t="inlineStr">
        <is>
          <t>STOCKHOLMS LÄN</t>
        </is>
      </c>
      <c r="G1125" t="inlineStr">
        <is>
          <t>NORRTÄLJE</t>
        </is>
      </c>
      <c r="H1125" t="inlineStr">
        <is>
          <t>Holmen skog AB</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37632-2025</t>
        </is>
      </c>
      <c r="B1126" t="inlineStr">
        <is>
          <t>avverkningsanmälan</t>
        </is>
      </c>
      <c r="C1126" t="inlineStr">
        <is>
          <t>Föryngringsavverkning</t>
        </is>
      </c>
      <c r="D1126" s="1" t="n">
        <v>45880</v>
      </c>
      <c r="E1126" s="1" t="n">
        <v>46326</v>
      </c>
      <c r="F1126" t="inlineStr">
        <is>
          <t>STOCKHOLMS LÄN</t>
        </is>
      </c>
      <c r="G1126" t="inlineStr">
        <is>
          <t>NORRTÄLJE</t>
        </is>
      </c>
      <c r="H1126" t="inlineStr">
        <is>
          <t>Sveaskog</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7023-2026</t>
        </is>
      </c>
      <c r="B1127" t="inlineStr">
        <is>
          <t>avverkningsanmälan</t>
        </is>
      </c>
      <c r="C1127" t="inlineStr">
        <is>
          <t>Föryngringsavverkning</t>
        </is>
      </c>
      <c r="D1127" s="1" t="n">
        <v>46057</v>
      </c>
      <c r="E1127" s="1" t="n">
        <v>46326</v>
      </c>
      <c r="F1127" t="inlineStr">
        <is>
          <t>STOCKHOLMS LÄN</t>
        </is>
      </c>
      <c r="G1127" t="inlineStr">
        <is>
          <t>SÖDERTÄLJE</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20692-2025</t>
        </is>
      </c>
      <c r="B1128" t="inlineStr">
        <is>
          <t>avverkningsanmälan</t>
        </is>
      </c>
      <c r="C1128" t="inlineStr">
        <is>
          <t>Föryngringsavverkning</t>
        </is>
      </c>
      <c r="D1128" s="1" t="n">
        <v>45776</v>
      </c>
      <c r="E1128" s="1" t="n">
        <v>46326</v>
      </c>
      <c r="F1128" t="inlineStr">
        <is>
          <t>STOCKHOLMS LÄN</t>
        </is>
      </c>
      <c r="G1128" t="inlineStr">
        <is>
          <t>NORRTÄLJE</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5968-2023</t>
        </is>
      </c>
      <c r="B1129" t="inlineStr">
        <is>
          <t>avverkningsanmälan</t>
        </is>
      </c>
      <c r="C1129" t="inlineStr">
        <is>
          <t>Föryngringsavverkning</t>
        </is>
      </c>
      <c r="D1129" s="1" t="n">
        <v>44959</v>
      </c>
      <c r="E1129" s="1" t="n">
        <v>46326</v>
      </c>
      <c r="F1129" t="inlineStr">
        <is>
          <t>STOCKHOLMS LÄN</t>
        </is>
      </c>
      <c r="G1129" t="inlineStr">
        <is>
          <t>VAXHOLM</t>
        </is>
      </c>
      <c r="H1129" t="inlineStr">
        <is>
          <t>Övriga statliga verk och myndigheter</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52950-2024</t>
        </is>
      </c>
      <c r="B1130" t="inlineStr">
        <is>
          <t>avverkningsanmälan</t>
        </is>
      </c>
      <c r="C1130" t="inlineStr">
        <is>
          <t>Föryngringsavverkning</t>
        </is>
      </c>
      <c r="D1130" s="1" t="n">
        <v>45610</v>
      </c>
      <c r="E1130" s="1" t="n">
        <v>46326</v>
      </c>
      <c r="F1130" t="inlineStr">
        <is>
          <t>STOCKHOLMS LÄN</t>
        </is>
      </c>
      <c r="G1130" t="inlineStr">
        <is>
          <t>NYNÄSHAMN</t>
        </is>
      </c>
      <c r="I1130" t="n">
        <v>5.3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13137-2024</t>
        </is>
      </c>
      <c r="B1131" t="inlineStr">
        <is>
          <t>avverkningsanmälan</t>
        </is>
      </c>
      <c r="C1131" t="inlineStr">
        <is>
          <t>Föryngringsavverkning</t>
        </is>
      </c>
      <c r="D1131" s="1" t="n">
        <v>45386</v>
      </c>
      <c r="E1131" s="1" t="n">
        <v>46326</v>
      </c>
      <c r="F1131" t="inlineStr">
        <is>
          <t>STOCKHOLMS LÄN</t>
        </is>
      </c>
      <c r="G1131" t="inlineStr">
        <is>
          <t>NORRTÄLJE</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59712-2024</t>
        </is>
      </c>
      <c r="B1132" t="inlineStr">
        <is>
          <t>avverkningsanmälan</t>
        </is>
      </c>
      <c r="C1132" t="inlineStr">
        <is>
          <t>Föryngringsavverkning</t>
        </is>
      </c>
      <c r="D1132" s="1" t="n">
        <v>45639</v>
      </c>
      <c r="E1132" s="1" t="n">
        <v>46326</v>
      </c>
      <c r="F1132" t="inlineStr">
        <is>
          <t>STOCKHOLMS LÄN</t>
        </is>
      </c>
      <c r="G1132" t="inlineStr">
        <is>
          <t>NORRTÄLJE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46405-2022</t>
        </is>
      </c>
      <c r="B1133" t="inlineStr">
        <is>
          <t>avverkningsanmälan</t>
        </is>
      </c>
      <c r="C1133" t="inlineStr">
        <is>
          <t>Föryngringsavverkning</t>
        </is>
      </c>
      <c r="D1133" s="1" t="n">
        <v>44846</v>
      </c>
      <c r="E1133" s="1" t="n">
        <v>46326</v>
      </c>
      <c r="F1133" t="inlineStr">
        <is>
          <t>STOCKHOLMS LÄN</t>
        </is>
      </c>
      <c r="G1133" t="inlineStr">
        <is>
          <t>BOTKYRKA</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35127-2023</t>
        </is>
      </c>
      <c r="B1134" t="inlineStr">
        <is>
          <t>avverkningsanmälan</t>
        </is>
      </c>
      <c r="C1134" t="inlineStr">
        <is>
          <t>Föryngringsavverkning</t>
        </is>
      </c>
      <c r="D1134" s="1" t="n">
        <v>45145</v>
      </c>
      <c r="E1134" s="1" t="n">
        <v>46326</v>
      </c>
      <c r="F1134" t="inlineStr">
        <is>
          <t>STOCKHOLMS LÄN</t>
        </is>
      </c>
      <c r="G1134" t="inlineStr">
        <is>
          <t>NORRTÄLJE</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38153-2025</t>
        </is>
      </c>
      <c r="B1135" t="inlineStr">
        <is>
          <t>avverkningsanmälan</t>
        </is>
      </c>
      <c r="C1135" t="inlineStr">
        <is>
          <t>Föryngringsavverkning</t>
        </is>
      </c>
      <c r="D1135" s="1" t="n">
        <v>45882</v>
      </c>
      <c r="E1135" s="1" t="n">
        <v>46326</v>
      </c>
      <c r="F1135" t="inlineStr">
        <is>
          <t>STOCKHOLMS LÄN</t>
        </is>
      </c>
      <c r="G1135" t="inlineStr">
        <is>
          <t>NORRTÄLJE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17286-2022</t>
        </is>
      </c>
      <c r="B1136" t="inlineStr">
        <is>
          <t>avverkningsanmälan</t>
        </is>
      </c>
      <c r="C1136" t="inlineStr">
        <is>
          <t>Avverkning för annat ändamål</t>
        </is>
      </c>
      <c r="D1136" s="1" t="n">
        <v>44678</v>
      </c>
      <c r="E1136" s="1" t="n">
        <v>46326</v>
      </c>
      <c r="F1136" t="inlineStr">
        <is>
          <t>STOCKHOLMS LÄN</t>
        </is>
      </c>
      <c r="G1136" t="inlineStr">
        <is>
          <t>SIGTUNA</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92-2024</t>
        </is>
      </c>
      <c r="B1137" t="inlineStr">
        <is>
          <t>avverkningsanmälan</t>
        </is>
      </c>
      <c r="C1137" t="inlineStr">
        <is>
          <t>Föryngringsavverkning</t>
        </is>
      </c>
      <c r="D1137" s="1" t="n">
        <v>45293</v>
      </c>
      <c r="E1137" s="1" t="n">
        <v>46326</v>
      </c>
      <c r="F1137" t="inlineStr">
        <is>
          <t>STOCKHOLMS LÄN</t>
        </is>
      </c>
      <c r="G1137" t="inlineStr">
        <is>
          <t>SÖDERTÄLJE</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7308-2026</t>
        </is>
      </c>
      <c r="B1138" t="inlineStr">
        <is>
          <t>avverkningsanmälan</t>
        </is>
      </c>
      <c r="C1138" t="inlineStr">
        <is>
          <t>Föryngringsavverkning</t>
        </is>
      </c>
      <c r="D1138" s="1" t="n">
        <v>46058</v>
      </c>
      <c r="E1138" s="1" t="n">
        <v>46326</v>
      </c>
      <c r="F1138" t="inlineStr">
        <is>
          <t>STOCKHOLMS LÄN</t>
        </is>
      </c>
      <c r="G1138" t="inlineStr">
        <is>
          <t>NORRTÄLJE</t>
        </is>
      </c>
      <c r="H1138" t="inlineStr">
        <is>
          <t>Holmen skog AB</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45255-2022</t>
        </is>
      </c>
      <c r="B1139" t="inlineStr">
        <is>
          <t>avverkningsanmälan</t>
        </is>
      </c>
      <c r="C1139" t="inlineStr">
        <is>
          <t>Föryngringsavverkning</t>
        </is>
      </c>
      <c r="D1139" s="1" t="n">
        <v>44840</v>
      </c>
      <c r="E1139" s="1" t="n">
        <v>46326</v>
      </c>
      <c r="F1139" t="inlineStr">
        <is>
          <t>STOCKHOLMS LÄN</t>
        </is>
      </c>
      <c r="G1139" t="inlineStr">
        <is>
          <t>NORRTÄLJE</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59893-2022</t>
        </is>
      </c>
      <c r="B1140" t="inlineStr">
        <is>
          <t>avverkningsanmälan</t>
        </is>
      </c>
      <c r="C1140" t="inlineStr">
        <is>
          <t>Avverkning för att bevara och utveckla /försöksver</t>
        </is>
      </c>
      <c r="D1140" s="1" t="n">
        <v>44908</v>
      </c>
      <c r="E1140" s="1" t="n">
        <v>46326</v>
      </c>
      <c r="F1140" t="inlineStr">
        <is>
          <t>STOCKHOLMS LÄN</t>
        </is>
      </c>
      <c r="G1140" t="inlineStr">
        <is>
          <t>NORRTÄLJE</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35838-2023</t>
        </is>
      </c>
      <c r="B1141" t="inlineStr">
        <is>
          <t>avverkningsanmälan</t>
        </is>
      </c>
      <c r="C1141" t="inlineStr">
        <is>
          <t>Föryngringsavverkning</t>
        </is>
      </c>
      <c r="D1141" s="1" t="n">
        <v>45147</v>
      </c>
      <c r="E1141" s="1" t="n">
        <v>46326</v>
      </c>
      <c r="F1141" t="inlineStr">
        <is>
          <t>STOCKHOLMS LÄN</t>
        </is>
      </c>
      <c r="G1141" t="inlineStr">
        <is>
          <t>VAXHOLM</t>
        </is>
      </c>
      <c r="H1141" t="inlineStr">
        <is>
          <t>Övriga statliga verk och myndigheter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8055-2026</t>
        </is>
      </c>
      <c r="B1142" t="inlineStr">
        <is>
          <t>avverkningsanmälan</t>
        </is>
      </c>
      <c r="C1142" t="inlineStr">
        <is>
          <t>Föryngringsavverkning</t>
        </is>
      </c>
      <c r="D1142" s="1" t="n">
        <v>46063</v>
      </c>
      <c r="E1142" s="1" t="n">
        <v>46326</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7793-2026</t>
        </is>
      </c>
      <c r="B1143" t="inlineStr">
        <is>
          <t>avverkningsanmälan</t>
        </is>
      </c>
      <c r="C1143" t="inlineStr">
        <is>
          <t>Föryngringsavverkning</t>
        </is>
      </c>
      <c r="D1143" s="1" t="n">
        <v>46062</v>
      </c>
      <c r="E1143" s="1" t="n">
        <v>46326</v>
      </c>
      <c r="F1143" t="inlineStr">
        <is>
          <t>STOCKHOLMS LÄN</t>
        </is>
      </c>
      <c r="G1143" t="inlineStr">
        <is>
          <t>NORRTÄLJE</t>
        </is>
      </c>
      <c r="H1143" t="inlineStr">
        <is>
          <t>Holmen skog AB</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39905-2023</t>
        </is>
      </c>
      <c r="B1144" t="inlineStr">
        <is>
          <t>avverkningsanmälan</t>
        </is>
      </c>
      <c r="C1144" t="inlineStr">
        <is>
          <t>Föryngringsavverkning</t>
        </is>
      </c>
      <c r="D1144" s="1" t="n">
        <v>45168</v>
      </c>
      <c r="E1144" s="1" t="n">
        <v>46326</v>
      </c>
      <c r="F1144" t="inlineStr">
        <is>
          <t>STOCKHOLMS LÄN</t>
        </is>
      </c>
      <c r="G1144" t="inlineStr">
        <is>
          <t>NORRTÄLJE</t>
        </is>
      </c>
      <c r="H1144" t="inlineStr">
        <is>
          <t>Holmen skog AB</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60529-2023</t>
        </is>
      </c>
      <c r="B1145" t="inlineStr">
        <is>
          <t>avverkningsanmälan</t>
        </is>
      </c>
      <c r="C1145" t="inlineStr">
        <is>
          <t>Föryngringsavverkning</t>
        </is>
      </c>
      <c r="D1145" s="1" t="n">
        <v>45259</v>
      </c>
      <c r="E1145" s="1" t="n">
        <v>46326</v>
      </c>
      <c r="F1145" t="inlineStr">
        <is>
          <t>STOCKHOLMS LÄN</t>
        </is>
      </c>
      <c r="G1145" t="inlineStr">
        <is>
          <t>NORRTÄLJE</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8096-2026</t>
        </is>
      </c>
      <c r="B1146" t="inlineStr">
        <is>
          <t>avverkningsanmälan</t>
        </is>
      </c>
      <c r="C1146" t="inlineStr">
        <is>
          <t>Föryngringsavverkning</t>
        </is>
      </c>
      <c r="D1146" s="1" t="n">
        <v>46063</v>
      </c>
      <c r="E1146" s="1" t="n">
        <v>46326</v>
      </c>
      <c r="F1146" t="inlineStr">
        <is>
          <t>STOCKHOLMS LÄN</t>
        </is>
      </c>
      <c r="G1146" t="inlineStr">
        <is>
          <t>NORRTÄLJE</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7582-2026</t>
        </is>
      </c>
      <c r="B1147" t="inlineStr">
        <is>
          <t>avverkningsanmälan</t>
        </is>
      </c>
      <c r="C1147" t="inlineStr">
        <is>
          <t>Föryngringsavverkning</t>
        </is>
      </c>
      <c r="D1147" s="1" t="n">
        <v>46061</v>
      </c>
      <c r="E1147" s="1" t="n">
        <v>46326</v>
      </c>
      <c r="F1147" t="inlineStr">
        <is>
          <t>STOCKHOLMS LÄN</t>
        </is>
      </c>
      <c r="G1147" t="inlineStr">
        <is>
          <t>NORRTÄLJE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12907-2024</t>
        </is>
      </c>
      <c r="B1148" t="inlineStr">
        <is>
          <t>avverkningsanmälan</t>
        </is>
      </c>
      <c r="C1148" t="inlineStr">
        <is>
          <t>Föryngringsavverkning</t>
        </is>
      </c>
      <c r="D1148" s="1" t="n">
        <v>45385</v>
      </c>
      <c r="E1148" s="1" t="n">
        <v>46326</v>
      </c>
      <c r="F1148" t="inlineStr">
        <is>
          <t>STOCKHOLMS LÄN</t>
        </is>
      </c>
      <c r="G1148" t="inlineStr">
        <is>
          <t>SÖDERTÄLJE</t>
        </is>
      </c>
      <c r="I1148" t="n">
        <v>11.9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26909-2024</t>
        </is>
      </c>
      <c r="B1149" t="inlineStr">
        <is>
          <t>avverkningsanmälan</t>
        </is>
      </c>
      <c r="C1149" t="inlineStr">
        <is>
          <t>Föryngringsavverkning</t>
        </is>
      </c>
      <c r="D1149" s="1" t="n">
        <v>45470</v>
      </c>
      <c r="E1149" s="1" t="n">
        <v>46326</v>
      </c>
      <c r="F1149" t="inlineStr">
        <is>
          <t>STOCKHOLMS LÄN</t>
        </is>
      </c>
      <c r="G1149" t="inlineStr">
        <is>
          <t>SÖDERTÄLJE</t>
        </is>
      </c>
      <c r="H1149" t="inlineStr">
        <is>
          <t>Kommuner</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51945-2025</t>
        </is>
      </c>
      <c r="B1150" t="inlineStr">
        <is>
          <t>avverkningsanmälan</t>
        </is>
      </c>
      <c r="C1150" t="inlineStr">
        <is>
          <t>Föryngringsavverkning</t>
        </is>
      </c>
      <c r="D1150" s="1" t="n">
        <v>45952</v>
      </c>
      <c r="E1150" s="1" t="n">
        <v>46326</v>
      </c>
      <c r="F1150" t="inlineStr">
        <is>
          <t>STOCKHOLMS LÄN</t>
        </is>
      </c>
      <c r="G1150" t="inlineStr">
        <is>
          <t>NORRTÄLJE</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52220-2025</t>
        </is>
      </c>
      <c r="B1151" t="inlineStr">
        <is>
          <t>avverkningsanmälan</t>
        </is>
      </c>
      <c r="C1151" t="inlineStr">
        <is>
          <t>Avverkning för annat ändamål</t>
        </is>
      </c>
      <c r="D1151" s="1" t="n">
        <v>45953</v>
      </c>
      <c r="E1151" s="1" t="n">
        <v>46326</v>
      </c>
      <c r="F1151" t="inlineStr">
        <is>
          <t>STOCKHOLMS LÄN</t>
        </is>
      </c>
      <c r="G1151" t="inlineStr">
        <is>
          <t>ÖSTERÅKER</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20649-2022</t>
        </is>
      </c>
      <c r="B1152" t="inlineStr">
        <is>
          <t>avverkningsanmälan</t>
        </is>
      </c>
      <c r="C1152" t="inlineStr">
        <is>
          <t>Föryngringsavverkning</t>
        </is>
      </c>
      <c r="D1152" s="1" t="n">
        <v>44700</v>
      </c>
      <c r="E1152" s="1" t="n">
        <v>46326</v>
      </c>
      <c r="F1152" t="inlineStr">
        <is>
          <t>STOCKHOLMS LÄN</t>
        </is>
      </c>
      <c r="G1152" t="inlineStr">
        <is>
          <t>BOTKYRKA</t>
        </is>
      </c>
      <c r="H1152" t="inlineStr">
        <is>
          <t>Övriga Aktiebolag</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51954-2025</t>
        </is>
      </c>
      <c r="B1153" t="inlineStr">
        <is>
          <t>avverkningsanmälan</t>
        </is>
      </c>
      <c r="C1153" t="inlineStr">
        <is>
          <t>Avverkning för annat ändamål</t>
        </is>
      </c>
      <c r="D1153" s="1" t="n">
        <v>45952</v>
      </c>
      <c r="E1153" s="1" t="n">
        <v>46326</v>
      </c>
      <c r="F1153" t="inlineStr">
        <is>
          <t>STOCKHOLMS LÄN</t>
        </is>
      </c>
      <c r="G1153" t="inlineStr">
        <is>
          <t>NYNÄSHAMN</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24707-2023</t>
        </is>
      </c>
      <c r="B1154" t="inlineStr">
        <is>
          <t>avverkningsanmälan</t>
        </is>
      </c>
      <c r="C1154" t="inlineStr">
        <is>
          <t>Föryngringsavverkning</t>
        </is>
      </c>
      <c r="D1154" s="1" t="n">
        <v>45084</v>
      </c>
      <c r="E1154" s="1" t="n">
        <v>46326</v>
      </c>
      <c r="F1154" t="inlineStr">
        <is>
          <t>STOCKHOLMS LÄN</t>
        </is>
      </c>
      <c r="G1154" t="inlineStr">
        <is>
          <t>VALLENTUNA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52777-2025</t>
        </is>
      </c>
      <c r="B1155" t="inlineStr">
        <is>
          <t>avverkningsanmälan</t>
        </is>
      </c>
      <c r="C1155" t="inlineStr">
        <is>
          <t>Föryngringsavverkning</t>
        </is>
      </c>
      <c r="D1155" s="1" t="n">
        <v>45957</v>
      </c>
      <c r="E1155" s="1" t="n">
        <v>46326</v>
      </c>
      <c r="F1155" t="inlineStr">
        <is>
          <t>STOCKHOLMS LÄN</t>
        </is>
      </c>
      <c r="G1155" t="inlineStr">
        <is>
          <t>NORRTÄLJE</t>
        </is>
      </c>
      <c r="H1155" t="inlineStr">
        <is>
          <t>Sveaskog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28502-2023</t>
        </is>
      </c>
      <c r="B1156" t="inlineStr">
        <is>
          <t>avverkningsanmälan</t>
        </is>
      </c>
      <c r="C1156" t="inlineStr">
        <is>
          <t>Föryngringsavverkning</t>
        </is>
      </c>
      <c r="D1156" s="1" t="n">
        <v>45103</v>
      </c>
      <c r="E1156" s="1" t="n">
        <v>46326</v>
      </c>
      <c r="F1156" t="inlineStr">
        <is>
          <t>STOCKHOLMS LÄN</t>
        </is>
      </c>
      <c r="G1156" t="inlineStr">
        <is>
          <t>SÖDERTÄLJE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36052-2023</t>
        </is>
      </c>
      <c r="B1157" t="inlineStr">
        <is>
          <t>avverkningsanmälan</t>
        </is>
      </c>
      <c r="C1157" t="inlineStr">
        <is>
          <t>Föryngringsavverkning</t>
        </is>
      </c>
      <c r="D1157" s="1" t="n">
        <v>45149</v>
      </c>
      <c r="E1157" s="1" t="n">
        <v>46326</v>
      </c>
      <c r="F1157" t="inlineStr">
        <is>
          <t>STOCKHOLMS LÄN</t>
        </is>
      </c>
      <c r="G1157" t="inlineStr">
        <is>
          <t>NYNÄSHAMN</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19706-2023</t>
        </is>
      </c>
      <c r="B1158" t="inlineStr">
        <is>
          <t>avverkningsanmälan</t>
        </is>
      </c>
      <c r="C1158" t="inlineStr">
        <is>
          <t>Föryngringsavverkning</t>
        </is>
      </c>
      <c r="D1158" s="1" t="n">
        <v>45051</v>
      </c>
      <c r="E1158" s="1" t="n">
        <v>46326</v>
      </c>
      <c r="F1158" t="inlineStr">
        <is>
          <t>STOCKHOLMS LÄN</t>
        </is>
      </c>
      <c r="G1158" t="inlineStr">
        <is>
          <t>NORRTÄLJE</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8489-2026</t>
        </is>
      </c>
      <c r="B1159" t="inlineStr">
        <is>
          <t>avverkningsanmälan</t>
        </is>
      </c>
      <c r="C1159" t="inlineStr">
        <is>
          <t>Föryngringsavverkning</t>
        </is>
      </c>
      <c r="D1159" s="1" t="n">
        <v>46065</v>
      </c>
      <c r="E1159" s="1" t="n">
        <v>46326</v>
      </c>
      <c r="F1159" t="inlineStr">
        <is>
          <t>STOCKHOLMS LÄN</t>
        </is>
      </c>
      <c r="G1159" t="inlineStr">
        <is>
          <t>NORRTÄLJE</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8465-2026</t>
        </is>
      </c>
      <c r="B1160" t="inlineStr">
        <is>
          <t>avverkningsanmälan</t>
        </is>
      </c>
      <c r="C1160" t="inlineStr">
        <is>
          <t>Föryngringsavverkning</t>
        </is>
      </c>
      <c r="D1160" s="1" t="n">
        <v>46065</v>
      </c>
      <c r="E1160" s="1" t="n">
        <v>46326</v>
      </c>
      <c r="F1160" t="inlineStr">
        <is>
          <t>STOCKHOLMS LÄN</t>
        </is>
      </c>
      <c r="G1160" t="inlineStr">
        <is>
          <t>NORRTÄLJE</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15176-2024</t>
        </is>
      </c>
      <c r="B1161" t="inlineStr">
        <is>
          <t>avverkningsanmälan</t>
        </is>
      </c>
      <c r="C1161" t="inlineStr">
        <is>
          <t>Föryngringsavverkning</t>
        </is>
      </c>
      <c r="D1161" s="1" t="n">
        <v>45400</v>
      </c>
      <c r="E1161" s="1" t="n">
        <v>46326</v>
      </c>
      <c r="F1161" t="inlineStr">
        <is>
          <t>STOCKHOLMS LÄN</t>
        </is>
      </c>
      <c r="G1161" t="inlineStr">
        <is>
          <t>NYNÄSHAMN</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52734-2025</t>
        </is>
      </c>
      <c r="B1162" t="inlineStr">
        <is>
          <t>avverkningsanmälan</t>
        </is>
      </c>
      <c r="C1162" t="inlineStr">
        <is>
          <t>Föryngringsavverkning</t>
        </is>
      </c>
      <c r="D1162" s="1" t="n">
        <v>45957</v>
      </c>
      <c r="E1162" s="1" t="n">
        <v>46326</v>
      </c>
      <c r="F1162" t="inlineStr">
        <is>
          <t>STOCKHOLMS LÄN</t>
        </is>
      </c>
      <c r="G1162" t="inlineStr">
        <is>
          <t>NORRTÄLJE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16835-2022</t>
        </is>
      </c>
      <c r="B1163" t="inlineStr">
        <is>
          <t>avverkningsanmälan</t>
        </is>
      </c>
      <c r="C1163" t="inlineStr">
        <is>
          <t>Föryngringsavverkning</t>
        </is>
      </c>
      <c r="D1163" s="1" t="n">
        <v>44673</v>
      </c>
      <c r="E1163" s="1" t="n">
        <v>46326</v>
      </c>
      <c r="F1163" t="inlineStr">
        <is>
          <t>STOCKHOLMS LÄN</t>
        </is>
      </c>
      <c r="G1163" t="inlineStr">
        <is>
          <t>NORRTÄLJE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8454-2026</t>
        </is>
      </c>
      <c r="B1164" t="inlineStr">
        <is>
          <t>avverkningsanmälan</t>
        </is>
      </c>
      <c r="C1164" t="inlineStr">
        <is>
          <t>Föryngringsavverkning</t>
        </is>
      </c>
      <c r="D1164" s="1" t="n">
        <v>46065</v>
      </c>
      <c r="E1164" s="1" t="n">
        <v>46326</v>
      </c>
      <c r="F1164" t="inlineStr">
        <is>
          <t>STOCKHOLMS LÄN</t>
        </is>
      </c>
      <c r="G1164" t="inlineStr">
        <is>
          <t>NORRTÄLJE</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58404-2023</t>
        </is>
      </c>
      <c r="B1165" t="inlineStr">
        <is>
          <t>avverkningsanmälan</t>
        </is>
      </c>
      <c r="C1165" t="inlineStr">
        <is>
          <t>Avverkning för annat ändamål</t>
        </is>
      </c>
      <c r="D1165" s="1" t="n">
        <v>45245</v>
      </c>
      <c r="E1165" s="1" t="n">
        <v>46326</v>
      </c>
      <c r="F1165" t="inlineStr">
        <is>
          <t>STOCKHOLMS LÄN</t>
        </is>
      </c>
      <c r="G1165" t="inlineStr">
        <is>
          <t>NORRTÄLJE</t>
        </is>
      </c>
      <c r="I1165" t="n">
        <v>53.5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52704-2025</t>
        </is>
      </c>
      <c r="B1166" t="inlineStr">
        <is>
          <t>avverkningsanmälan</t>
        </is>
      </c>
      <c r="C1166" t="inlineStr">
        <is>
          <t>Föryngringsavverkning</t>
        </is>
      </c>
      <c r="D1166" s="1" t="n">
        <v>45956</v>
      </c>
      <c r="E1166" s="1" t="n">
        <v>46326</v>
      </c>
      <c r="F1166" t="inlineStr">
        <is>
          <t>STOCKHOLMS LÄN</t>
        </is>
      </c>
      <c r="G1166" t="inlineStr">
        <is>
          <t>NORRTÄLJE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52553-2025</t>
        </is>
      </c>
      <c r="B1167" t="inlineStr">
        <is>
          <t>avverkningsanmälan</t>
        </is>
      </c>
      <c r="C1167" t="inlineStr">
        <is>
          <t>Föryngringsavverkning</t>
        </is>
      </c>
      <c r="D1167" s="1" t="n">
        <v>45954</v>
      </c>
      <c r="E1167" s="1" t="n">
        <v>46326</v>
      </c>
      <c r="F1167" t="inlineStr">
        <is>
          <t>STOCKHOLMS LÄN</t>
        </is>
      </c>
      <c r="G1167" t="inlineStr">
        <is>
          <t>NORRTÄLJE</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8611-2023</t>
        </is>
      </c>
      <c r="B1168" t="inlineStr">
        <is>
          <t>avverkningsanmälan</t>
        </is>
      </c>
      <c r="C1168" t="inlineStr">
        <is>
          <t>Avverkning för annat ändamål</t>
        </is>
      </c>
      <c r="D1168" s="1" t="n">
        <v>44977</v>
      </c>
      <c r="E1168" s="1" t="n">
        <v>46326</v>
      </c>
      <c r="F1168" t="inlineStr">
        <is>
          <t>STOCKHOLMS LÄN</t>
        </is>
      </c>
      <c r="G1168" t="inlineStr">
        <is>
          <t>SÖDERTÄLJE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8989-2026</t>
        </is>
      </c>
      <c r="B1169" t="inlineStr">
        <is>
          <t>avverkningsanmälan</t>
        </is>
      </c>
      <c r="C1169" t="inlineStr">
        <is>
          <t>Föryngringsavverkning</t>
        </is>
      </c>
      <c r="D1169" s="1" t="n">
        <v>46069</v>
      </c>
      <c r="E1169" s="1" t="n">
        <v>46326</v>
      </c>
      <c r="F1169" t="inlineStr">
        <is>
          <t>STOCKHOLMS LÄN</t>
        </is>
      </c>
      <c r="G1169" t="inlineStr">
        <is>
          <t>NORRTÄLJE</t>
        </is>
      </c>
      <c r="H1169" t="inlineStr">
        <is>
          <t>Holmen skog AB</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42572-2024</t>
        </is>
      </c>
      <c r="B1170" t="inlineStr">
        <is>
          <t>avverkningsanmälan</t>
        </is>
      </c>
      <c r="C1170" t="inlineStr">
        <is>
          <t>Föryngringsavverkning</t>
        </is>
      </c>
      <c r="D1170" s="1" t="n">
        <v>45565</v>
      </c>
      <c r="E1170" s="1" t="n">
        <v>46326</v>
      </c>
      <c r="F1170" t="inlineStr">
        <is>
          <t>STOCKHOLMS LÄN</t>
        </is>
      </c>
      <c r="G1170" t="inlineStr">
        <is>
          <t>SIGTUNA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16202-2022</t>
        </is>
      </c>
      <c r="B1171" t="inlineStr">
        <is>
          <t>avverkningsanmälan</t>
        </is>
      </c>
      <c r="C1171" t="inlineStr">
        <is>
          <t>Föryngringsavverkning</t>
        </is>
      </c>
      <c r="D1171" s="1" t="n">
        <v>44670</v>
      </c>
      <c r="E1171" s="1" t="n">
        <v>46326</v>
      </c>
      <c r="F1171" t="inlineStr">
        <is>
          <t>STOCKHOLMS LÄN</t>
        </is>
      </c>
      <c r="G1171" t="inlineStr">
        <is>
          <t>NORRTÄLJE</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3108-2024</t>
        </is>
      </c>
      <c r="B1172" t="inlineStr">
        <is>
          <t>avverkningsanmälan</t>
        </is>
      </c>
      <c r="C1172" t="inlineStr">
        <is>
          <t>Avverkning för att bevara och utveckla /försöksver</t>
        </is>
      </c>
      <c r="D1172" s="1" t="n">
        <v>45316</v>
      </c>
      <c r="E1172" s="1" t="n">
        <v>46326</v>
      </c>
      <c r="F1172" t="inlineStr">
        <is>
          <t>STOCKHOLMS LÄN</t>
        </is>
      </c>
      <c r="G1172" t="inlineStr">
        <is>
          <t>SÖDERTÄLJE</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55018-2024</t>
        </is>
      </c>
      <c r="B1173" t="inlineStr">
        <is>
          <t>avverkningsanmälan</t>
        </is>
      </c>
      <c r="C1173" t="inlineStr">
        <is>
          <t>Föryngringsavverkning</t>
        </is>
      </c>
      <c r="D1173" s="1" t="n">
        <v>45621</v>
      </c>
      <c r="E1173" s="1" t="n">
        <v>46326</v>
      </c>
      <c r="F1173" t="inlineStr">
        <is>
          <t>STOCKHOLMS LÄN</t>
        </is>
      </c>
      <c r="G1173" t="inlineStr">
        <is>
          <t>NORRTÄLJE</t>
        </is>
      </c>
      <c r="H1173" t="inlineStr">
        <is>
          <t>Sveaskog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8985-2026</t>
        </is>
      </c>
      <c r="B1174" t="inlineStr">
        <is>
          <t>avverkningsanmälan</t>
        </is>
      </c>
      <c r="C1174" t="inlineStr">
        <is>
          <t>Föryngringsavverkning</t>
        </is>
      </c>
      <c r="D1174" s="1" t="n">
        <v>46069</v>
      </c>
      <c r="E1174" s="1" t="n">
        <v>46326</v>
      </c>
      <c r="F1174" t="inlineStr">
        <is>
          <t>STOCKHOLMS LÄN</t>
        </is>
      </c>
      <c r="G1174" t="inlineStr">
        <is>
          <t>NORRTÄLJE</t>
        </is>
      </c>
      <c r="H1174" t="inlineStr">
        <is>
          <t>Holmen skog AB</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8962-2026</t>
        </is>
      </c>
      <c r="B1175" t="inlineStr">
        <is>
          <t>avverkningsanmälan</t>
        </is>
      </c>
      <c r="C1175" t="inlineStr">
        <is>
          <t>Föryngringsavverkning</t>
        </is>
      </c>
      <c r="D1175" s="1" t="n">
        <v>46069</v>
      </c>
      <c r="E1175" s="1" t="n">
        <v>46326</v>
      </c>
      <c r="F1175" t="inlineStr">
        <is>
          <t>STOCKHOLMS LÄN</t>
        </is>
      </c>
      <c r="G1175" t="inlineStr">
        <is>
          <t>NORRTÄLJE</t>
        </is>
      </c>
      <c r="H1175" t="inlineStr">
        <is>
          <t>Holmen skog AB</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50136-2023</t>
        </is>
      </c>
      <c r="B1176" t="inlineStr">
        <is>
          <t>avverkningsanmälan</t>
        </is>
      </c>
      <c r="C1176" t="inlineStr">
        <is>
          <t>Föryngringsavverkning</t>
        </is>
      </c>
      <c r="D1176" s="1" t="n">
        <v>45215</v>
      </c>
      <c r="E1176" s="1" t="n">
        <v>46326</v>
      </c>
      <c r="F1176" t="inlineStr">
        <is>
          <t>STOCKHOLMS LÄN</t>
        </is>
      </c>
      <c r="G1176" t="inlineStr">
        <is>
          <t>NORRTÄLJE</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25656-2023</t>
        </is>
      </c>
      <c r="B1177" t="inlineStr">
        <is>
          <t>avverkningsanmälan</t>
        </is>
      </c>
      <c r="C1177" t="inlineStr">
        <is>
          <t>Föryngringsavverkning</t>
        </is>
      </c>
      <c r="D1177" s="1" t="n">
        <v>45089</v>
      </c>
      <c r="E1177" s="1" t="n">
        <v>46326</v>
      </c>
      <c r="F1177" t="inlineStr">
        <is>
          <t>STOCKHOLMS LÄN</t>
        </is>
      </c>
      <c r="G1177" t="inlineStr">
        <is>
          <t>NORRTÄLJE</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6003-2025</t>
        </is>
      </c>
      <c r="B1178" t="inlineStr">
        <is>
          <t>avverkningsanmälan</t>
        </is>
      </c>
      <c r="C1178" t="inlineStr">
        <is>
          <t>Föryngringsavverkning</t>
        </is>
      </c>
      <c r="D1178" s="1" t="n">
        <v>45695</v>
      </c>
      <c r="E1178" s="1" t="n">
        <v>46326</v>
      </c>
      <c r="F1178" t="inlineStr">
        <is>
          <t>STOCKHOLMS LÄN</t>
        </is>
      </c>
      <c r="G1178" t="inlineStr">
        <is>
          <t>NORRTÄLJE</t>
        </is>
      </c>
      <c r="H1178" t="inlineStr">
        <is>
          <t>Holmen skog AB</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11430-2022</t>
        </is>
      </c>
      <c r="B1179" t="inlineStr">
        <is>
          <t>avverkningsanmälan</t>
        </is>
      </c>
      <c r="C1179" t="inlineStr">
        <is>
          <t>Föryngringsavverkning</t>
        </is>
      </c>
      <c r="D1179" s="1" t="n">
        <v>44630</v>
      </c>
      <c r="E1179" s="1" t="n">
        <v>46326</v>
      </c>
      <c r="F1179" t="inlineStr">
        <is>
          <t>STOCKHOLMS LÄN</t>
        </is>
      </c>
      <c r="G1179" t="inlineStr">
        <is>
          <t>NYKVARN</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53747-2025</t>
        </is>
      </c>
      <c r="B1180" t="inlineStr">
        <is>
          <t>avverkningsanmälan</t>
        </is>
      </c>
      <c r="C1180" t="inlineStr">
        <is>
          <t>Föryngringsavverkning</t>
        </is>
      </c>
      <c r="D1180" s="1" t="n">
        <v>45960</v>
      </c>
      <c r="E1180" s="1" t="n">
        <v>46326</v>
      </c>
      <c r="F1180" t="inlineStr">
        <is>
          <t>STOCKHOLMS LÄN</t>
        </is>
      </c>
      <c r="G1180" t="inlineStr">
        <is>
          <t>NORRTÄLJE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11902-2024</t>
        </is>
      </c>
      <c r="B1181" t="inlineStr">
        <is>
          <t>avverkningsanmälan</t>
        </is>
      </c>
      <c r="C1181" t="inlineStr">
        <is>
          <t>Föryngringsavverkning</t>
        </is>
      </c>
      <c r="D1181" s="1" t="n">
        <v>45376</v>
      </c>
      <c r="E1181" s="1" t="n">
        <v>46326</v>
      </c>
      <c r="F1181" t="inlineStr">
        <is>
          <t>STOCKHOLMS LÄN</t>
        </is>
      </c>
      <c r="G1181" t="inlineStr">
        <is>
          <t>NORRTÄLJE</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14776-2024</t>
        </is>
      </c>
      <c r="B1182" t="inlineStr">
        <is>
          <t>avverkningsanmälan</t>
        </is>
      </c>
      <c r="C1182" t="inlineStr">
        <is>
          <t>Föryngringsavverkning</t>
        </is>
      </c>
      <c r="D1182" s="1" t="n">
        <v>45397</v>
      </c>
      <c r="E1182" s="1" t="n">
        <v>46326</v>
      </c>
      <c r="F1182" t="inlineStr">
        <is>
          <t>STOCKHOLMS LÄN</t>
        </is>
      </c>
      <c r="G1182" t="inlineStr">
        <is>
          <t>ÖSTERÅKER</t>
        </is>
      </c>
      <c r="I1182" t="n">
        <v>13.6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38049-2023</t>
        </is>
      </c>
      <c r="B1183" t="inlineStr">
        <is>
          <t>avverkningsanmälan</t>
        </is>
      </c>
      <c r="C1183" t="inlineStr">
        <is>
          <t>Föryngringsavverkning</t>
        </is>
      </c>
      <c r="D1183" s="1" t="n">
        <v>45159</v>
      </c>
      <c r="E1183" s="1" t="n">
        <v>46326</v>
      </c>
      <c r="F1183" t="inlineStr">
        <is>
          <t>STOCKHOLMS LÄN</t>
        </is>
      </c>
      <c r="G1183" t="inlineStr">
        <is>
          <t>NORRTÄLJE</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3152-2026</t>
        </is>
      </c>
      <c r="B1184" t="inlineStr">
        <is>
          <t>avverkningsanmälan</t>
        </is>
      </c>
      <c r="C1184" t="inlineStr">
        <is>
          <t>Avverkning för annat ändamål</t>
        </is>
      </c>
      <c r="D1184" s="1" t="n">
        <v>46041</v>
      </c>
      <c r="E1184" s="1" t="n">
        <v>46326</v>
      </c>
      <c r="F1184" t="inlineStr">
        <is>
          <t>STOCKHOLMS LÄN</t>
        </is>
      </c>
      <c r="G1184" t="inlineStr">
        <is>
          <t>SÖDERTÄLJE</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9234-2026</t>
        </is>
      </c>
      <c r="B1185" t="inlineStr">
        <is>
          <t>avverkningsanmälan</t>
        </is>
      </c>
      <c r="C1185" t="inlineStr">
        <is>
          <t>Föryngringsavverkning</t>
        </is>
      </c>
      <c r="D1185" s="1" t="n">
        <v>46070</v>
      </c>
      <c r="E1185" s="1" t="n">
        <v>46326</v>
      </c>
      <c r="F1185" t="inlineStr">
        <is>
          <t>STOCKHOLMS LÄN</t>
        </is>
      </c>
      <c r="G1185" t="inlineStr">
        <is>
          <t>SÖDERTÄLJE</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8528-2024</t>
        </is>
      </c>
      <c r="B1186" t="inlineStr">
        <is>
          <t>avverkningsanmälan</t>
        </is>
      </c>
      <c r="C1186" t="inlineStr">
        <is>
          <t>Avverkning för annat ändamål</t>
        </is>
      </c>
      <c r="D1186" s="1" t="n">
        <v>45355</v>
      </c>
      <c r="E1186" s="1" t="n">
        <v>46326</v>
      </c>
      <c r="F1186" t="inlineStr">
        <is>
          <t>STOCKHOLMS LÄN</t>
        </is>
      </c>
      <c r="G1186" t="inlineStr">
        <is>
          <t>BOTKYRKA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9655-2026</t>
        </is>
      </c>
      <c r="B1187" t="inlineStr">
        <is>
          <t>avverkningsanmälan</t>
        </is>
      </c>
      <c r="C1187" t="inlineStr">
        <is>
          <t>Föryngringsavverkning</t>
        </is>
      </c>
      <c r="D1187" s="1" t="n">
        <v>46070</v>
      </c>
      <c r="E1187" s="1" t="n">
        <v>46326</v>
      </c>
      <c r="F1187" t="inlineStr">
        <is>
          <t>STOCKHOLMS LÄN</t>
        </is>
      </c>
      <c r="G1187" t="inlineStr">
        <is>
          <t>UPPLANDS-BRO</t>
        </is>
      </c>
      <c r="H1187" t="inlineStr">
        <is>
          <t>Övriga statliga verk och myndigheter</t>
        </is>
      </c>
      <c r="I1187" t="n">
        <v>17.2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45233-2024</t>
        </is>
      </c>
      <c r="B1188" t="inlineStr">
        <is>
          <t>avverkningsanmälan</t>
        </is>
      </c>
      <c r="C1188" t="inlineStr">
        <is>
          <t>Föryngringsavverkning</t>
        </is>
      </c>
      <c r="D1188" s="1" t="n">
        <v>45575</v>
      </c>
      <c r="E1188" s="1" t="n">
        <v>46326</v>
      </c>
      <c r="F1188" t="inlineStr">
        <is>
          <t>STOCKHOLMS LÄN</t>
        </is>
      </c>
      <c r="G1188" t="inlineStr">
        <is>
          <t>SIGTUNA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4183-2025</t>
        </is>
      </c>
      <c r="B1189" t="inlineStr">
        <is>
          <t>avverkningsanmälan</t>
        </is>
      </c>
      <c r="C1189" t="inlineStr">
        <is>
          <t>Föryngringsavverkning</t>
        </is>
      </c>
      <c r="D1189" s="1" t="n">
        <v>45685</v>
      </c>
      <c r="E1189" s="1" t="n">
        <v>46326</v>
      </c>
      <c r="F1189" t="inlineStr">
        <is>
          <t>STOCKHOLMS LÄN</t>
        </is>
      </c>
      <c r="G1189" t="inlineStr">
        <is>
          <t>NORRTÄLJE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59957-2023</t>
        </is>
      </c>
      <c r="B1190" t="inlineStr">
        <is>
          <t>avverkningsanmälan</t>
        </is>
      </c>
      <c r="C1190" t="inlineStr">
        <is>
          <t>Föryngringsavverkning</t>
        </is>
      </c>
      <c r="D1190" s="1" t="n">
        <v>45257</v>
      </c>
      <c r="E1190" s="1" t="n">
        <v>46326</v>
      </c>
      <c r="F1190" t="inlineStr">
        <is>
          <t>STOCKHOLMS LÄN</t>
        </is>
      </c>
      <c r="G1190" t="inlineStr">
        <is>
          <t>SIGTUNA</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18592-2023</t>
        </is>
      </c>
      <c r="B1191" t="inlineStr">
        <is>
          <t>avverkningsanmälan</t>
        </is>
      </c>
      <c r="C1191" t="inlineStr">
        <is>
          <t>Föryngringsavverkning</t>
        </is>
      </c>
      <c r="D1191" s="1" t="n">
        <v>45043</v>
      </c>
      <c r="E1191" s="1" t="n">
        <v>46326</v>
      </c>
      <c r="F1191" t="inlineStr">
        <is>
          <t>STOCKHOLMS LÄN</t>
        </is>
      </c>
      <c r="G1191" t="inlineStr">
        <is>
          <t>SÖDERTÄLJE</t>
        </is>
      </c>
      <c r="I1191" t="n">
        <v>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54468-2025</t>
        </is>
      </c>
      <c r="B1192" t="inlineStr">
        <is>
          <t>avverkningsanmälan</t>
        </is>
      </c>
      <c r="C1192" t="inlineStr">
        <is>
          <t>Föryngringsavverkning</t>
        </is>
      </c>
      <c r="D1192" s="1" t="n">
        <v>45965</v>
      </c>
      <c r="E1192" s="1" t="n">
        <v>46326</v>
      </c>
      <c r="F1192" t="inlineStr">
        <is>
          <t>STOCKHOLMS LÄN</t>
        </is>
      </c>
      <c r="G1192" t="inlineStr">
        <is>
          <t>BOTKYRKA</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9720-2026</t>
        </is>
      </c>
      <c r="B1193" t="inlineStr">
        <is>
          <t>avverkningsanmälan</t>
        </is>
      </c>
      <c r="C1193" t="inlineStr">
        <is>
          <t>Föryngringsavverkning</t>
        </is>
      </c>
      <c r="D1193" s="1" t="n">
        <v>46072</v>
      </c>
      <c r="E1193" s="1" t="n">
        <v>46326</v>
      </c>
      <c r="F1193" t="inlineStr">
        <is>
          <t>STOCKHOLMS LÄN</t>
        </is>
      </c>
      <c r="G1193" t="inlineStr">
        <is>
          <t>NORRTÄLJE</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1381-2023</t>
        </is>
      </c>
      <c r="B1194" t="inlineStr">
        <is>
          <t>avverkningsanmälan</t>
        </is>
      </c>
      <c r="C1194" t="inlineStr">
        <is>
          <t>Föryngringsavverkning</t>
        </is>
      </c>
      <c r="D1194" s="1" t="n">
        <v>44936</v>
      </c>
      <c r="E1194" s="1" t="n">
        <v>46326</v>
      </c>
      <c r="F1194" t="inlineStr">
        <is>
          <t>STOCKHOLMS LÄN</t>
        </is>
      </c>
      <c r="G1194" t="inlineStr">
        <is>
          <t>SÖDERTÄLJE</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10399-2026</t>
        </is>
      </c>
      <c r="B1195" t="inlineStr">
        <is>
          <t>avverkningsanmälan</t>
        </is>
      </c>
      <c r="C1195" t="inlineStr">
        <is>
          <t>Avverkning för annat ändamål</t>
        </is>
      </c>
      <c r="D1195" s="1" t="n">
        <v>46077</v>
      </c>
      <c r="E1195" s="1" t="n">
        <v>46326</v>
      </c>
      <c r="F1195" t="inlineStr">
        <is>
          <t>STOCKHOLMS LÄN</t>
        </is>
      </c>
      <c r="G1195" t="inlineStr">
        <is>
          <t>NORRTÄLJE</t>
        </is>
      </c>
      <c r="H1195" t="inlineStr">
        <is>
          <t>Övriga Aktiebolag</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10327-2026</t>
        </is>
      </c>
      <c r="B1196" t="inlineStr">
        <is>
          <t>avverkningsanmälan</t>
        </is>
      </c>
      <c r="C1196" t="inlineStr">
        <is>
          <t>Föryngringsavverkning</t>
        </is>
      </c>
      <c r="D1196" s="1" t="n">
        <v>46076</v>
      </c>
      <c r="E1196" s="1" t="n">
        <v>46326</v>
      </c>
      <c r="F1196" t="inlineStr">
        <is>
          <t>STOCKHOLMS LÄN</t>
        </is>
      </c>
      <c r="G1196" t="inlineStr">
        <is>
          <t>SÖDERTÄLJE</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10414-2026</t>
        </is>
      </c>
      <c r="B1197" t="inlineStr">
        <is>
          <t>avverkningsanmälan</t>
        </is>
      </c>
      <c r="C1197" t="inlineStr">
        <is>
          <t>Föryngringsavverkning</t>
        </is>
      </c>
      <c r="D1197" s="1" t="n">
        <v>46077</v>
      </c>
      <c r="E1197" s="1" t="n">
        <v>46326</v>
      </c>
      <c r="F1197" t="inlineStr">
        <is>
          <t>STOCKHOLMS LÄN</t>
        </is>
      </c>
      <c r="G1197" t="inlineStr">
        <is>
          <t>SÖDERTÄLJE</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10426-2026</t>
        </is>
      </c>
      <c r="B1198" t="inlineStr">
        <is>
          <t>avverkningsanmälan</t>
        </is>
      </c>
      <c r="C1198" t="inlineStr">
        <is>
          <t>Föryngringsavverkning</t>
        </is>
      </c>
      <c r="D1198" s="1" t="n">
        <v>46077</v>
      </c>
      <c r="E1198" s="1" t="n">
        <v>46326</v>
      </c>
      <c r="F1198" t="inlineStr">
        <is>
          <t>STOCKHOLMS LÄN</t>
        </is>
      </c>
      <c r="G1198" t="inlineStr">
        <is>
          <t>SÖDERTÄLJE</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24522-2023</t>
        </is>
      </c>
      <c r="B1199" t="inlineStr">
        <is>
          <t>avverkningsanmälan</t>
        </is>
      </c>
      <c r="C1199" t="inlineStr">
        <is>
          <t>Föryngringsavverkning</t>
        </is>
      </c>
      <c r="D1199" s="1" t="n">
        <v>45082</v>
      </c>
      <c r="E1199" s="1" t="n">
        <v>46326</v>
      </c>
      <c r="F1199" t="inlineStr">
        <is>
          <t>STOCKHOLMS LÄN</t>
        </is>
      </c>
      <c r="G1199" t="inlineStr">
        <is>
          <t>NORRTÄLJE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25625-2023</t>
        </is>
      </c>
      <c r="B1200" t="inlineStr">
        <is>
          <t>avverkningsanmälan</t>
        </is>
      </c>
      <c r="C1200" t="inlineStr">
        <is>
          <t>Föryngringsavverkning</t>
        </is>
      </c>
      <c r="D1200" s="1" t="n">
        <v>45089</v>
      </c>
      <c r="E1200" s="1" t="n">
        <v>46326</v>
      </c>
      <c r="F1200" t="inlineStr">
        <is>
          <t>STOCKHOLMS LÄN</t>
        </is>
      </c>
      <c r="G1200" t="inlineStr">
        <is>
          <t>NORRTÄLJE</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37147-2023</t>
        </is>
      </c>
      <c r="B1201" t="inlineStr">
        <is>
          <t>avverkningsanmälan</t>
        </is>
      </c>
      <c r="C1201" t="inlineStr">
        <is>
          <t>Föryngringsavverkning</t>
        </is>
      </c>
      <c r="D1201" s="1" t="n">
        <v>45155</v>
      </c>
      <c r="E1201" s="1" t="n">
        <v>46326</v>
      </c>
      <c r="F1201" t="inlineStr">
        <is>
          <t>STOCKHOLMS LÄN</t>
        </is>
      </c>
      <c r="G1201" t="inlineStr">
        <is>
          <t>NORRTÄLJE</t>
        </is>
      </c>
      <c r="I1201" t="n">
        <v>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10586-2026</t>
        </is>
      </c>
      <c r="B1202" t="inlineStr">
        <is>
          <t>avverkningsanmälan</t>
        </is>
      </c>
      <c r="C1202" t="inlineStr">
        <is>
          <t>Föryngringsavverkning</t>
        </is>
      </c>
      <c r="D1202" s="1" t="n">
        <v>46077</v>
      </c>
      <c r="E1202" s="1" t="n">
        <v>46326</v>
      </c>
      <c r="F1202" t="inlineStr">
        <is>
          <t>STOCKHOLMS LÄN</t>
        </is>
      </c>
      <c r="G1202" t="inlineStr">
        <is>
          <t>NORRTÄLJE</t>
        </is>
      </c>
      <c r="H1202" t="inlineStr">
        <is>
          <t>Holmen skog AB</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10425-2026</t>
        </is>
      </c>
      <c r="B1203" t="inlineStr">
        <is>
          <t>avverkningsanmälan</t>
        </is>
      </c>
      <c r="C1203" t="inlineStr">
        <is>
          <t>Föryngringsavverkning</t>
        </is>
      </c>
      <c r="D1203" s="1" t="n">
        <v>46077</v>
      </c>
      <c r="E1203" s="1" t="n">
        <v>46326</v>
      </c>
      <c r="F1203" t="inlineStr">
        <is>
          <t>STOCKHOLMS LÄN</t>
        </is>
      </c>
      <c r="G1203" t="inlineStr">
        <is>
          <t>SÖDERTÄLJE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10429-2026</t>
        </is>
      </c>
      <c r="B1204" t="inlineStr">
        <is>
          <t>avverkningsanmälan</t>
        </is>
      </c>
      <c r="C1204" t="inlineStr">
        <is>
          <t>Föryngringsavverkning</t>
        </is>
      </c>
      <c r="D1204" s="1" t="n">
        <v>46077</v>
      </c>
      <c r="E1204" s="1" t="n">
        <v>46326</v>
      </c>
      <c r="F1204" t="inlineStr">
        <is>
          <t>STOCKHOLMS LÄN</t>
        </is>
      </c>
      <c r="G1204" t="inlineStr">
        <is>
          <t>NORRTÄLJE</t>
        </is>
      </c>
      <c r="H1204" t="inlineStr">
        <is>
          <t>Holmen skog AB</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7186-2024</t>
        </is>
      </c>
      <c r="B1205" t="inlineStr">
        <is>
          <t>avverkningsanmälan</t>
        </is>
      </c>
      <c r="C1205" t="inlineStr">
        <is>
          <t>Föryngringsavverkning</t>
        </is>
      </c>
      <c r="D1205" s="1" t="n">
        <v>45344</v>
      </c>
      <c r="E1205" s="1" t="n">
        <v>46326</v>
      </c>
      <c r="F1205" t="inlineStr">
        <is>
          <t>STOCKHOLMS LÄN</t>
        </is>
      </c>
      <c r="G1205" t="inlineStr">
        <is>
          <t>NORRTÄLJE</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10450-2026</t>
        </is>
      </c>
      <c r="B1206" t="inlineStr">
        <is>
          <t>avverkningsanmälan</t>
        </is>
      </c>
      <c r="C1206" t="inlineStr">
        <is>
          <t>Föryngringsavverkning</t>
        </is>
      </c>
      <c r="D1206" s="1" t="n">
        <v>46077</v>
      </c>
      <c r="E1206" s="1" t="n">
        <v>46326</v>
      </c>
      <c r="F1206" t="inlineStr">
        <is>
          <t>STOCKHOLMS LÄN</t>
        </is>
      </c>
      <c r="G1206" t="inlineStr">
        <is>
          <t>SÖDERTÄLJE</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45869-2022</t>
        </is>
      </c>
      <c r="B1207" t="inlineStr">
        <is>
          <t>avverkningsanmälan</t>
        </is>
      </c>
      <c r="C1207" t="inlineStr">
        <is>
          <t>Föryngringsavverkning</t>
        </is>
      </c>
      <c r="D1207" s="1" t="n">
        <v>44844</v>
      </c>
      <c r="E1207" s="1" t="n">
        <v>46326</v>
      </c>
      <c r="F1207" t="inlineStr">
        <is>
          <t>STOCKHOLMS LÄN</t>
        </is>
      </c>
      <c r="G1207" t="inlineStr">
        <is>
          <t>BOTKYRKA</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56354-2023</t>
        </is>
      </c>
      <c r="B1208" t="inlineStr">
        <is>
          <t>avverkningsanmälan</t>
        </is>
      </c>
      <c r="C1208" t="inlineStr">
        <is>
          <t>Föryngringsavverkning</t>
        </is>
      </c>
      <c r="D1208" s="1" t="n">
        <v>45243</v>
      </c>
      <c r="E1208" s="1" t="n">
        <v>46326</v>
      </c>
      <c r="F1208" t="inlineStr">
        <is>
          <t>STOCKHOLMS LÄN</t>
        </is>
      </c>
      <c r="G1208" t="inlineStr">
        <is>
          <t>SÖDERTÄLJE</t>
        </is>
      </c>
      <c r="I1208" t="n">
        <v>11.4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10444-2026</t>
        </is>
      </c>
      <c r="B1209" t="inlineStr">
        <is>
          <t>avverkningsanmälan</t>
        </is>
      </c>
      <c r="C1209" t="inlineStr">
        <is>
          <t>Föryngringsavverkning</t>
        </is>
      </c>
      <c r="D1209" s="1" t="n">
        <v>46077</v>
      </c>
      <c r="E1209" s="1" t="n">
        <v>46326</v>
      </c>
      <c r="F1209" t="inlineStr">
        <is>
          <t>STOCKHOLMS LÄN</t>
        </is>
      </c>
      <c r="G1209" t="inlineStr">
        <is>
          <t>NORRTÄLJE</t>
        </is>
      </c>
      <c r="H1209" t="inlineStr">
        <is>
          <t>Holmen skog AB</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10452-2026</t>
        </is>
      </c>
      <c r="B1210" t="inlineStr">
        <is>
          <t>avverkningsanmälan</t>
        </is>
      </c>
      <c r="C1210" t="inlineStr">
        <is>
          <t>Föryngringsavverkning</t>
        </is>
      </c>
      <c r="D1210" s="1" t="n">
        <v>46077</v>
      </c>
      <c r="E1210" s="1" t="n">
        <v>46326</v>
      </c>
      <c r="F1210" t="inlineStr">
        <is>
          <t>STOCKHOLMS LÄN</t>
        </is>
      </c>
      <c r="G1210" t="inlineStr">
        <is>
          <t>SÖDERTÄLJE</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3686-2022</t>
        </is>
      </c>
      <c r="B1211" t="inlineStr">
        <is>
          <t>avverkningsanmälan</t>
        </is>
      </c>
      <c r="C1211" t="inlineStr">
        <is>
          <t>Föryngringsavverkning</t>
        </is>
      </c>
      <c r="D1211" s="1" t="n">
        <v>44586</v>
      </c>
      <c r="E1211" s="1" t="n">
        <v>46326</v>
      </c>
      <c r="F1211" t="inlineStr">
        <is>
          <t>STOCKHOLMS LÄN</t>
        </is>
      </c>
      <c r="G1211" t="inlineStr">
        <is>
          <t>BOTKYRKA</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26365-2024</t>
        </is>
      </c>
      <c r="B1212" t="inlineStr">
        <is>
          <t>avverkningsanmälan</t>
        </is>
      </c>
      <c r="C1212" t="inlineStr">
        <is>
          <t>Föryngringsavverkning</t>
        </is>
      </c>
      <c r="D1212" s="1" t="n">
        <v>45469</v>
      </c>
      <c r="E1212" s="1" t="n">
        <v>46326</v>
      </c>
      <c r="F1212" t="inlineStr">
        <is>
          <t>STOCKHOLMS LÄN</t>
        </is>
      </c>
      <c r="G1212" t="inlineStr">
        <is>
          <t>NORRTÄLJE</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55599-2025</t>
        </is>
      </c>
      <c r="B1213" t="inlineStr">
        <is>
          <t>avverkningsanmälan</t>
        </is>
      </c>
      <c r="C1213" t="inlineStr">
        <is>
          <t>Föryngringsavverkning</t>
        </is>
      </c>
      <c r="D1213" s="1" t="n">
        <v>45971</v>
      </c>
      <c r="E1213" s="1" t="n">
        <v>46326</v>
      </c>
      <c r="F1213" t="inlineStr">
        <is>
          <t>STOCKHOLMS LÄN</t>
        </is>
      </c>
      <c r="G1213" t="inlineStr">
        <is>
          <t>NORRTÄLJE</t>
        </is>
      </c>
      <c r="H1213" t="inlineStr">
        <is>
          <t>Holmen skog AB</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10404-2026</t>
        </is>
      </c>
      <c r="B1214" t="inlineStr">
        <is>
          <t>avverkningsanmälan</t>
        </is>
      </c>
      <c r="C1214" t="inlineStr">
        <is>
          <t>Föryngringsavverkning</t>
        </is>
      </c>
      <c r="D1214" s="1" t="n">
        <v>46077</v>
      </c>
      <c r="E1214" s="1" t="n">
        <v>46326</v>
      </c>
      <c r="F1214" t="inlineStr">
        <is>
          <t>STOCKHOLMS LÄN</t>
        </is>
      </c>
      <c r="G1214" t="inlineStr">
        <is>
          <t>SÖDERTÄLJE</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56114-2025</t>
        </is>
      </c>
      <c r="B1215" t="inlineStr">
        <is>
          <t>avverkningsanmälan</t>
        </is>
      </c>
      <c r="C1215" t="inlineStr">
        <is>
          <t>Föryngringsavverkning</t>
        </is>
      </c>
      <c r="D1215" s="1" t="n">
        <v>45973</v>
      </c>
      <c r="E1215" s="1" t="n">
        <v>46326</v>
      </c>
      <c r="F1215" t="inlineStr">
        <is>
          <t>STOCKHOLMS LÄN</t>
        </is>
      </c>
      <c r="G1215" t="inlineStr">
        <is>
          <t>NORRTÄLJE</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31375-2024</t>
        </is>
      </c>
      <c r="B1216" t="inlineStr">
        <is>
          <t>avverkningsanmälan</t>
        </is>
      </c>
      <c r="C1216" t="inlineStr">
        <is>
          <t>Avverkning för annat ändamål</t>
        </is>
      </c>
      <c r="D1216" s="1" t="n">
        <v>45505</v>
      </c>
      <c r="E1216" s="1" t="n">
        <v>46326</v>
      </c>
      <c r="F1216" t="inlineStr">
        <is>
          <t>STOCKHOLMS LÄN</t>
        </is>
      </c>
      <c r="G1216" t="inlineStr">
        <is>
          <t>SÖDERTÄLJE</t>
        </is>
      </c>
      <c r="H1216" t="inlineStr">
        <is>
          <t>Kommuner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5910-2022</t>
        </is>
      </c>
      <c r="B1217" t="inlineStr">
        <is>
          <t>avverkningsanmälan</t>
        </is>
      </c>
      <c r="C1217" t="inlineStr">
        <is>
          <t>Föryngringsavverkning</t>
        </is>
      </c>
      <c r="D1217" s="1" t="n">
        <v>44597</v>
      </c>
      <c r="E1217" s="1" t="n">
        <v>46326</v>
      </c>
      <c r="F1217" t="inlineStr">
        <is>
          <t>STOCKHOLMS LÄN</t>
        </is>
      </c>
      <c r="G1217" t="inlineStr">
        <is>
          <t>VALLENTUNA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26640-2023</t>
        </is>
      </c>
      <c r="B1218" t="inlineStr">
        <is>
          <t>avverkningsanmälan</t>
        </is>
      </c>
      <c r="C1218" t="inlineStr">
        <is>
          <t>Föryngringsavverkning</t>
        </is>
      </c>
      <c r="D1218" s="1" t="n">
        <v>45092</v>
      </c>
      <c r="E1218" s="1" t="n">
        <v>46326</v>
      </c>
      <c r="F1218" t="inlineStr">
        <is>
          <t>STOCKHOLMS LÄN</t>
        </is>
      </c>
      <c r="G1218" t="inlineStr">
        <is>
          <t>NORRTÄLJE</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28900-2022</t>
        </is>
      </c>
      <c r="B1219" t="inlineStr">
        <is>
          <t>avverkningsanmälan</t>
        </is>
      </c>
      <c r="C1219" t="inlineStr">
        <is>
          <t>Föryngringsavverkning</t>
        </is>
      </c>
      <c r="D1219" s="1" t="n">
        <v>44749</v>
      </c>
      <c r="E1219" s="1" t="n">
        <v>46326</v>
      </c>
      <c r="F1219" t="inlineStr">
        <is>
          <t>STOCKHOLMS LÄN</t>
        </is>
      </c>
      <c r="G1219" t="inlineStr">
        <is>
          <t>NORRTÄLJE</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17086-2025</t>
        </is>
      </c>
      <c r="B1220" t="inlineStr">
        <is>
          <t>avverkningsanmälan</t>
        </is>
      </c>
      <c r="C1220" t="inlineStr">
        <is>
          <t>Föryngringsavverkning</t>
        </is>
      </c>
      <c r="D1220" s="1" t="n">
        <v>45754</v>
      </c>
      <c r="E1220" s="1" t="n">
        <v>46326</v>
      </c>
      <c r="F1220" t="inlineStr">
        <is>
          <t>STOCKHOLMS LÄN</t>
        </is>
      </c>
      <c r="G1220" t="inlineStr">
        <is>
          <t>VÄRMDÖ</t>
        </is>
      </c>
      <c r="H1220" t="inlineStr">
        <is>
          <t>Övriga statliga verk och myndigheter</t>
        </is>
      </c>
      <c r="I1220" t="n">
        <v>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58297-2023</t>
        </is>
      </c>
      <c r="B1221" t="inlineStr">
        <is>
          <t>avverkningsanmälan</t>
        </is>
      </c>
      <c r="C1221" t="inlineStr">
        <is>
          <t>Föryngringsavverkning</t>
        </is>
      </c>
      <c r="D1221" s="1" t="n">
        <v>45245</v>
      </c>
      <c r="E1221" s="1" t="n">
        <v>46326</v>
      </c>
      <c r="F1221" t="inlineStr">
        <is>
          <t>STOCKHOLMS LÄN</t>
        </is>
      </c>
      <c r="G1221" t="inlineStr">
        <is>
          <t>NORRTÄLJE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56210-2025</t>
        </is>
      </c>
      <c r="B1222" t="inlineStr">
        <is>
          <t>avverkningsanmälan</t>
        </is>
      </c>
      <c r="C1222" t="inlineStr">
        <is>
          <t>Föryngringsavverkning</t>
        </is>
      </c>
      <c r="D1222" s="1" t="n">
        <v>45974</v>
      </c>
      <c r="E1222" s="1" t="n">
        <v>46326</v>
      </c>
      <c r="F1222" t="inlineStr">
        <is>
          <t>STOCKHOLMS LÄN</t>
        </is>
      </c>
      <c r="G1222" t="inlineStr">
        <is>
          <t>NYNÄSHAMN</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20304-2023</t>
        </is>
      </c>
      <c r="B1223" t="inlineStr">
        <is>
          <t>avverkningsanmälan</t>
        </is>
      </c>
      <c r="C1223" t="inlineStr">
        <is>
          <t>Föryngringsavverkning</t>
        </is>
      </c>
      <c r="D1223" s="1" t="n">
        <v>45056</v>
      </c>
      <c r="E1223" s="1" t="n">
        <v>46326</v>
      </c>
      <c r="F1223" t="inlineStr">
        <is>
          <t>STOCKHOLMS LÄN</t>
        </is>
      </c>
      <c r="G1223" t="inlineStr">
        <is>
          <t>NORRTÄLJE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56385-2025</t>
        </is>
      </c>
      <c r="B1224" t="inlineStr">
        <is>
          <t>avverkningsanmälan</t>
        </is>
      </c>
      <c r="C1224" t="inlineStr">
        <is>
          <t>Föryngringsavverkning</t>
        </is>
      </c>
      <c r="D1224" s="1" t="n">
        <v>45974</v>
      </c>
      <c r="E1224" s="1" t="n">
        <v>46326</v>
      </c>
      <c r="F1224" t="inlineStr">
        <is>
          <t>STOCKHOLMS LÄN</t>
        </is>
      </c>
      <c r="G1224" t="inlineStr">
        <is>
          <t>NYNÄSHAMN</t>
        </is>
      </c>
      <c r="I1224" t="n">
        <v>6.1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11929-2024</t>
        </is>
      </c>
      <c r="B1225" t="inlineStr">
        <is>
          <t>avverkningsanmälan</t>
        </is>
      </c>
      <c r="C1225" t="inlineStr">
        <is>
          <t>Föryngringsavverkning</t>
        </is>
      </c>
      <c r="D1225" s="1" t="n">
        <v>45376</v>
      </c>
      <c r="E1225" s="1" t="n">
        <v>46326</v>
      </c>
      <c r="F1225" t="inlineStr">
        <is>
          <t>STOCKHOLMS LÄN</t>
        </is>
      </c>
      <c r="G1225" t="inlineStr">
        <is>
          <t>NORRTÄLJE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33958-2023</t>
        </is>
      </c>
      <c r="B1226" t="inlineStr">
        <is>
          <t>avverkningsanmälan</t>
        </is>
      </c>
      <c r="C1226" t="inlineStr">
        <is>
          <t>Föryngringsavverkning</t>
        </is>
      </c>
      <c r="D1226" s="1" t="n">
        <v>45124</v>
      </c>
      <c r="E1226" s="1" t="n">
        <v>46326</v>
      </c>
      <c r="F1226" t="inlineStr">
        <is>
          <t>STOCKHOLMS LÄN</t>
        </is>
      </c>
      <c r="G1226" t="inlineStr">
        <is>
          <t>VÄRMDÖ</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31120-2023</t>
        </is>
      </c>
      <c r="B1227" t="inlineStr">
        <is>
          <t>avverkningsanmälan</t>
        </is>
      </c>
      <c r="C1227" t="inlineStr">
        <is>
          <t>Avverkning för annat ändamål</t>
        </is>
      </c>
      <c r="D1227" s="1" t="n">
        <v>45113</v>
      </c>
      <c r="E1227" s="1" t="n">
        <v>46326</v>
      </c>
      <c r="F1227" t="inlineStr">
        <is>
          <t>STOCKHOLMS LÄN</t>
        </is>
      </c>
      <c r="G1227" t="inlineStr">
        <is>
          <t>UPPLANDS VÄSBY</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6775-2022</t>
        </is>
      </c>
      <c r="B1228" t="inlineStr">
        <is>
          <t>avverkningsanmälan</t>
        </is>
      </c>
      <c r="C1228" t="inlineStr">
        <is>
          <t>Föryngringsavverkning</t>
        </is>
      </c>
      <c r="D1228" s="1" t="n">
        <v>44602</v>
      </c>
      <c r="E1228" s="1" t="n">
        <v>46326</v>
      </c>
      <c r="F1228" t="inlineStr">
        <is>
          <t>STOCKHOLMS LÄN</t>
        </is>
      </c>
      <c r="G1228" t="inlineStr">
        <is>
          <t>NYNÄSHAMN</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11648-2026</t>
        </is>
      </c>
      <c r="B1229" t="inlineStr">
        <is>
          <t>avverkningsanmälan</t>
        </is>
      </c>
      <c r="C1229" t="inlineStr">
        <is>
          <t>Föryngringsavverkning</t>
        </is>
      </c>
      <c r="D1229" s="1" t="n">
        <v>46084</v>
      </c>
      <c r="E1229" s="1" t="n">
        <v>46326</v>
      </c>
      <c r="F1229" t="inlineStr">
        <is>
          <t>STOCKHOLMS LÄN</t>
        </is>
      </c>
      <c r="G1229" t="inlineStr">
        <is>
          <t>NORRTÄLJE</t>
        </is>
      </c>
      <c r="I1229" t="n">
        <v>4.1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56917-2025</t>
        </is>
      </c>
      <c r="B1230" t="inlineStr">
        <is>
          <t>avverkningsanmälan</t>
        </is>
      </c>
      <c r="C1230" t="inlineStr">
        <is>
          <t>Föryngringsavverkning</t>
        </is>
      </c>
      <c r="D1230" s="1" t="n">
        <v>45978</v>
      </c>
      <c r="E1230" s="1" t="n">
        <v>46326</v>
      </c>
      <c r="F1230" t="inlineStr">
        <is>
          <t>STOCKHOLMS LÄN</t>
        </is>
      </c>
      <c r="G1230" t="inlineStr">
        <is>
          <t>UPPLANDS VÄSBY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8296-2023</t>
        </is>
      </c>
      <c r="B1231" t="inlineStr">
        <is>
          <t>avverkningsanmälan</t>
        </is>
      </c>
      <c r="C1231" t="inlineStr">
        <is>
          <t>Föryngringsavverkning</t>
        </is>
      </c>
      <c r="D1231" s="1" t="n">
        <v>44974</v>
      </c>
      <c r="E1231" s="1" t="n">
        <v>46326</v>
      </c>
      <c r="F1231" t="inlineStr">
        <is>
          <t>STOCKHOLMS LÄN</t>
        </is>
      </c>
      <c r="G1231" t="inlineStr">
        <is>
          <t>NORRTÄLJE</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24575-2024</t>
        </is>
      </c>
      <c r="B1232" t="inlineStr">
        <is>
          <t>avverkningsanmälan</t>
        </is>
      </c>
      <c r="C1232" t="inlineStr">
        <is>
          <t>Föryngringsavverkning</t>
        </is>
      </c>
      <c r="D1232" s="1" t="n">
        <v>45460</v>
      </c>
      <c r="E1232" s="1" t="n">
        <v>46326</v>
      </c>
      <c r="F1232" t="inlineStr">
        <is>
          <t>STOCKHOLMS LÄN</t>
        </is>
      </c>
      <c r="G1232" t="inlineStr">
        <is>
          <t>NORRTÄLJE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52617-2024</t>
        </is>
      </c>
      <c r="B1233" t="inlineStr">
        <is>
          <t>avverkningsanmälan</t>
        </is>
      </c>
      <c r="C1233" t="inlineStr">
        <is>
          <t>Föryngringsavverkning</t>
        </is>
      </c>
      <c r="D1233" s="1" t="n">
        <v>45609</v>
      </c>
      <c r="E1233" s="1" t="n">
        <v>46326</v>
      </c>
      <c r="F1233" t="inlineStr">
        <is>
          <t>STOCKHOLMS LÄN</t>
        </is>
      </c>
      <c r="G1233" t="inlineStr">
        <is>
          <t>NORRTÄLJE</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12116-2026</t>
        </is>
      </c>
      <c r="B1234" t="inlineStr">
        <is>
          <t>avverkningsanmälan</t>
        </is>
      </c>
      <c r="C1234" t="inlineStr">
        <is>
          <t>Föryngringsavverkning</t>
        </is>
      </c>
      <c r="D1234" s="1" t="n">
        <v>46086</v>
      </c>
      <c r="E1234" s="1" t="n">
        <v>46326</v>
      </c>
      <c r="F1234" t="inlineStr">
        <is>
          <t>STOCKHOLMS LÄN</t>
        </is>
      </c>
      <c r="G1234" t="inlineStr">
        <is>
          <t>SÖDERTÄLJE</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59904-2023</t>
        </is>
      </c>
      <c r="B1235" t="inlineStr">
        <is>
          <t>avverkningsanmälan</t>
        </is>
      </c>
      <c r="C1235" t="inlineStr">
        <is>
          <t>Föryngringsavverkning</t>
        </is>
      </c>
      <c r="D1235" s="1" t="n">
        <v>45257</v>
      </c>
      <c r="E1235" s="1" t="n">
        <v>46326</v>
      </c>
      <c r="F1235" t="inlineStr">
        <is>
          <t>STOCKHOLMS LÄN</t>
        </is>
      </c>
      <c r="G1235" t="inlineStr">
        <is>
          <t>NORRTÄLJE</t>
        </is>
      </c>
      <c r="I1235" t="n">
        <v>17.4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15260-2023</t>
        </is>
      </c>
      <c r="B1236" t="inlineStr">
        <is>
          <t>avverkningsanmälan</t>
        </is>
      </c>
      <c r="C1236" t="inlineStr">
        <is>
          <t>Föryngringsavverkning</t>
        </is>
      </c>
      <c r="D1236" s="1" t="n">
        <v>45019</v>
      </c>
      <c r="E1236" s="1" t="n">
        <v>46326</v>
      </c>
      <c r="F1236" t="inlineStr">
        <is>
          <t>STOCKHOLMS LÄN</t>
        </is>
      </c>
      <c r="G1236" t="inlineStr">
        <is>
          <t>NACKA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57953-2025</t>
        </is>
      </c>
      <c r="B1237" t="inlineStr">
        <is>
          <t>avverkningsanmälan</t>
        </is>
      </c>
      <c r="C1237" t="inlineStr">
        <is>
          <t>Föryngringsavverkning</t>
        </is>
      </c>
      <c r="D1237" s="1" t="n">
        <v>45982</v>
      </c>
      <c r="E1237" s="1" t="n">
        <v>46326</v>
      </c>
      <c r="F1237" t="inlineStr">
        <is>
          <t>STOCKHOLMS LÄN</t>
        </is>
      </c>
      <c r="G1237" t="inlineStr">
        <is>
          <t>NORRTÄLJE</t>
        </is>
      </c>
      <c r="H1237" t="inlineStr">
        <is>
          <t>Sveaskog</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17990-2024</t>
        </is>
      </c>
      <c r="B1238" t="inlineStr">
        <is>
          <t>avverkningsanmälan</t>
        </is>
      </c>
      <c r="C1238" t="inlineStr">
        <is>
          <t>Föryngringsavverkning</t>
        </is>
      </c>
      <c r="D1238" s="1" t="n">
        <v>45419</v>
      </c>
      <c r="E1238" s="1" t="n">
        <v>46326</v>
      </c>
      <c r="F1238" t="inlineStr">
        <is>
          <t>STOCKHOLMS LÄN</t>
        </is>
      </c>
      <c r="G1238" t="inlineStr">
        <is>
          <t>NYNÄSHAMN</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12121-2026</t>
        </is>
      </c>
      <c r="B1239" t="inlineStr">
        <is>
          <t>avverkningsanmälan</t>
        </is>
      </c>
      <c r="C1239" t="inlineStr">
        <is>
          <t>Föryngringsavverkning</t>
        </is>
      </c>
      <c r="D1239" s="1" t="n">
        <v>46086</v>
      </c>
      <c r="E1239" s="1" t="n">
        <v>46326</v>
      </c>
      <c r="F1239" t="inlineStr">
        <is>
          <t>STOCKHOLMS LÄN</t>
        </is>
      </c>
      <c r="G1239" t="inlineStr">
        <is>
          <t>SÖDERTÄLJE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15692-2023</t>
        </is>
      </c>
      <c r="B1240" t="inlineStr">
        <is>
          <t>avverkningsanmälan</t>
        </is>
      </c>
      <c r="C1240" t="inlineStr">
        <is>
          <t>Föryngringsavverkning</t>
        </is>
      </c>
      <c r="D1240" s="1" t="n">
        <v>45020</v>
      </c>
      <c r="E1240" s="1" t="n">
        <v>46326</v>
      </c>
      <c r="F1240" t="inlineStr">
        <is>
          <t>STOCKHOLMS LÄN</t>
        </is>
      </c>
      <c r="G1240" t="inlineStr">
        <is>
          <t>BOTKYRKA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15905-2023</t>
        </is>
      </c>
      <c r="B1241" t="inlineStr">
        <is>
          <t>avverkningsanmälan</t>
        </is>
      </c>
      <c r="C1241" t="inlineStr">
        <is>
          <t>Föryngringsavverkning</t>
        </is>
      </c>
      <c r="D1241" s="1" t="n">
        <v>45022</v>
      </c>
      <c r="E1241" s="1" t="n">
        <v>46326</v>
      </c>
      <c r="F1241" t="inlineStr">
        <is>
          <t>STOCKHOLMS LÄN</t>
        </is>
      </c>
      <c r="G1241" t="inlineStr">
        <is>
          <t>NORRTÄLJE</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60795-2023</t>
        </is>
      </c>
      <c r="B1242" t="inlineStr">
        <is>
          <t>avverkningsanmälan</t>
        </is>
      </c>
      <c r="C1242" t="inlineStr">
        <is>
          <t>Avverkning för annat ändamål</t>
        </is>
      </c>
      <c r="D1242" s="1" t="n">
        <v>45260</v>
      </c>
      <c r="E1242" s="1" t="n">
        <v>46326</v>
      </c>
      <c r="F1242" t="inlineStr">
        <is>
          <t>STOCKHOLMS LÄN</t>
        </is>
      </c>
      <c r="G1242" t="inlineStr">
        <is>
          <t>VALLENTUNA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39394-2023</t>
        </is>
      </c>
      <c r="B1243" t="inlineStr">
        <is>
          <t>avverkningsanmälan</t>
        </is>
      </c>
      <c r="C1243" t="inlineStr">
        <is>
          <t>Föryngringsavverkning</t>
        </is>
      </c>
      <c r="D1243" s="1" t="n">
        <v>45166</v>
      </c>
      <c r="E1243" s="1" t="n">
        <v>46326</v>
      </c>
      <c r="F1243" t="inlineStr">
        <is>
          <t>STOCKHOLMS LÄN</t>
        </is>
      </c>
      <c r="G1243" t="inlineStr">
        <is>
          <t>ÖSTERÅKER</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17624-2024</t>
        </is>
      </c>
      <c r="B1244" t="inlineStr">
        <is>
          <t>avverkningsanmälan</t>
        </is>
      </c>
      <c r="C1244" t="inlineStr">
        <is>
          <t>Föryngringsavverkning</t>
        </is>
      </c>
      <c r="D1244" s="1" t="n">
        <v>45417</v>
      </c>
      <c r="E1244" s="1" t="n">
        <v>46326</v>
      </c>
      <c r="F1244" t="inlineStr">
        <is>
          <t>STOCKHOLMS LÄN</t>
        </is>
      </c>
      <c r="G1244" t="inlineStr">
        <is>
          <t>VÄRMDÖ</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15956-2023</t>
        </is>
      </c>
      <c r="B1245" t="inlineStr">
        <is>
          <t>avverkningsanmälan</t>
        </is>
      </c>
      <c r="C1245" t="inlineStr">
        <is>
          <t>Föryngringsavverkning</t>
        </is>
      </c>
      <c r="D1245" s="1" t="n">
        <v>45022</v>
      </c>
      <c r="E1245" s="1" t="n">
        <v>46326</v>
      </c>
      <c r="F1245" t="inlineStr">
        <is>
          <t>STOCKHOLMS LÄN</t>
        </is>
      </c>
      <c r="G1245" t="inlineStr">
        <is>
          <t>NORRTÄLJE</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64411-2023</t>
        </is>
      </c>
      <c r="B1246" t="inlineStr">
        <is>
          <t>avverkningsanmälan</t>
        </is>
      </c>
      <c r="C1246" t="inlineStr">
        <is>
          <t>Föryngringsavverkning</t>
        </is>
      </c>
      <c r="D1246" s="1" t="n">
        <v>45280</v>
      </c>
      <c r="E1246" s="1" t="n">
        <v>46326</v>
      </c>
      <c r="F1246" t="inlineStr">
        <is>
          <t>STOCKHOLMS LÄN</t>
        </is>
      </c>
      <c r="G1246" t="inlineStr">
        <is>
          <t>NYNÄSHAMN</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47626-2022</t>
        </is>
      </c>
      <c r="B1247" t="inlineStr">
        <is>
          <t>avverkningsanmälan</t>
        </is>
      </c>
      <c r="C1247" t="inlineStr">
        <is>
          <t>Föryngringsavverkning</t>
        </is>
      </c>
      <c r="D1247" s="1" t="n">
        <v>44854</v>
      </c>
      <c r="E1247" s="1" t="n">
        <v>46326</v>
      </c>
      <c r="F1247" t="inlineStr">
        <is>
          <t>STOCKHOLMS LÄN</t>
        </is>
      </c>
      <c r="G1247" t="inlineStr">
        <is>
          <t>NORRTÄLJE</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12345-2026</t>
        </is>
      </c>
      <c r="B1248" t="inlineStr">
        <is>
          <t>avverkningsanmälan</t>
        </is>
      </c>
      <c r="C1248" t="inlineStr">
        <is>
          <t>Föryngringsavverkning</t>
        </is>
      </c>
      <c r="D1248" s="1" t="n">
        <v>46087</v>
      </c>
      <c r="E1248" s="1" t="n">
        <v>46326</v>
      </c>
      <c r="F1248" t="inlineStr">
        <is>
          <t>STOCKHOLMS LÄN</t>
        </is>
      </c>
      <c r="G1248" t="inlineStr">
        <is>
          <t>ÖSTERÅKER</t>
        </is>
      </c>
      <c r="H1248" t="inlineStr">
        <is>
          <t>Övriga Aktiebolag</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59348-2025</t>
        </is>
      </c>
      <c r="B1249" t="inlineStr">
        <is>
          <t>avverkningsanmälan</t>
        </is>
      </c>
      <c r="C1249" t="inlineStr">
        <is>
          <t>Föryngringsavverkning</t>
        </is>
      </c>
      <c r="D1249" s="1" t="n">
        <v>45989</v>
      </c>
      <c r="E1249" s="1" t="n">
        <v>46326</v>
      </c>
      <c r="F1249" t="inlineStr">
        <is>
          <t>STOCKHOLMS LÄN</t>
        </is>
      </c>
      <c r="G1249" t="inlineStr">
        <is>
          <t>NYKVARN</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62206-2022</t>
        </is>
      </c>
      <c r="B1250" t="inlineStr">
        <is>
          <t>avverkningsanmälan</t>
        </is>
      </c>
      <c r="C1250" t="inlineStr">
        <is>
          <t>Avverkning för annat ändamål</t>
        </is>
      </c>
      <c r="D1250" s="1" t="n">
        <v>44922</v>
      </c>
      <c r="E1250" s="1" t="n">
        <v>46326</v>
      </c>
      <c r="F1250" t="inlineStr">
        <is>
          <t>STOCKHOLMS LÄN</t>
        </is>
      </c>
      <c r="G1250" t="inlineStr">
        <is>
          <t>NORRTÄLJE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12306-2026</t>
        </is>
      </c>
      <c r="B1251" t="inlineStr">
        <is>
          <t>avverkningsanmälan</t>
        </is>
      </c>
      <c r="C1251" t="inlineStr">
        <is>
          <t>Föryngringsavverkning</t>
        </is>
      </c>
      <c r="D1251" s="1" t="n">
        <v>46087</v>
      </c>
      <c r="E1251" s="1" t="n">
        <v>46326</v>
      </c>
      <c r="F1251" t="inlineStr">
        <is>
          <t>STOCKHOLMS LÄN</t>
        </is>
      </c>
      <c r="G1251" t="inlineStr">
        <is>
          <t>BOTKYRKA</t>
        </is>
      </c>
      <c r="H1251" t="inlineStr">
        <is>
          <t>Övriga Aktiebolag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31695-2022</t>
        </is>
      </c>
      <c r="B1252" t="inlineStr">
        <is>
          <t>avverkningsanmälan</t>
        </is>
      </c>
      <c r="C1252" t="inlineStr">
        <is>
          <t>Avverkning för att bevara och utveckla /försöksver</t>
        </is>
      </c>
      <c r="D1252" s="1" t="n">
        <v>44776</v>
      </c>
      <c r="E1252" s="1" t="n">
        <v>46326</v>
      </c>
      <c r="F1252" t="inlineStr">
        <is>
          <t>STOCKHOLMS LÄN</t>
        </is>
      </c>
      <c r="G1252" t="inlineStr">
        <is>
          <t>SIGTUNA</t>
        </is>
      </c>
      <c r="H1252" t="inlineStr">
        <is>
          <t>Kommuner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20618-2022</t>
        </is>
      </c>
      <c r="B1253" t="inlineStr">
        <is>
          <t>avverkningsanmälan</t>
        </is>
      </c>
      <c r="C1253" t="inlineStr">
        <is>
          <t>Föryngringsavverkning</t>
        </is>
      </c>
      <c r="D1253" s="1" t="n">
        <v>44700</v>
      </c>
      <c r="E1253" s="1" t="n">
        <v>46326</v>
      </c>
      <c r="F1253" t="inlineStr">
        <is>
          <t>STOCKHOLMS LÄN</t>
        </is>
      </c>
      <c r="G1253" t="inlineStr">
        <is>
          <t>NORRTÄLJE</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40168-2023</t>
        </is>
      </c>
      <c r="B1254" t="inlineStr">
        <is>
          <t>avverkningsanmälan</t>
        </is>
      </c>
      <c r="C1254" t="inlineStr">
        <is>
          <t>Föryngringsavverkning</t>
        </is>
      </c>
      <c r="D1254" s="1" t="n">
        <v>45169</v>
      </c>
      <c r="E1254" s="1" t="n">
        <v>46326</v>
      </c>
      <c r="F1254" t="inlineStr">
        <is>
          <t>STOCKHOLMS LÄN</t>
        </is>
      </c>
      <c r="G1254" t="inlineStr">
        <is>
          <t>NYKVARN</t>
        </is>
      </c>
      <c r="H1254" t="inlineStr">
        <is>
          <t>Sveaskog</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17320-2023</t>
        </is>
      </c>
      <c r="B1255" t="inlineStr">
        <is>
          <t>avverkningsanmälan</t>
        </is>
      </c>
      <c r="C1255" t="inlineStr">
        <is>
          <t>Föryngringsavverkning</t>
        </is>
      </c>
      <c r="D1255" s="1" t="n">
        <v>45035</v>
      </c>
      <c r="E1255" s="1" t="n">
        <v>46326</v>
      </c>
      <c r="F1255" t="inlineStr">
        <is>
          <t>STOCKHOLMS LÄN</t>
        </is>
      </c>
      <c r="G1255" t="inlineStr">
        <is>
          <t>SIGTUNA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11900-2022</t>
        </is>
      </c>
      <c r="B1256" t="inlineStr">
        <is>
          <t>avverkningsanmälan</t>
        </is>
      </c>
      <c r="C1256" t="inlineStr">
        <is>
          <t>Föryngringsavverkning</t>
        </is>
      </c>
      <c r="D1256" s="1" t="n">
        <v>44635</v>
      </c>
      <c r="E1256" s="1" t="n">
        <v>46326</v>
      </c>
      <c r="F1256" t="inlineStr">
        <is>
          <t>STOCKHOLMS LÄN</t>
        </is>
      </c>
      <c r="G1256" t="inlineStr">
        <is>
          <t>NORRTÄLJE</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27885-2022</t>
        </is>
      </c>
      <c r="B1257" t="inlineStr">
        <is>
          <t>avverkningsanmälan</t>
        </is>
      </c>
      <c r="C1257" t="inlineStr">
        <is>
          <t>Föryngringsavverkning</t>
        </is>
      </c>
      <c r="D1257" s="1" t="n">
        <v>44743</v>
      </c>
      <c r="E1257" s="1" t="n">
        <v>46326</v>
      </c>
      <c r="F1257" t="inlineStr">
        <is>
          <t>STOCKHOLMS LÄN</t>
        </is>
      </c>
      <c r="G1257" t="inlineStr">
        <is>
          <t>NORRTÄLJE</t>
        </is>
      </c>
      <c r="H1257" t="inlineStr">
        <is>
          <t>Holmen skog AB</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41681-2023</t>
        </is>
      </c>
      <c r="B1258" t="inlineStr">
        <is>
          <t>avverkningsanmälan</t>
        </is>
      </c>
      <c r="C1258" t="inlineStr">
        <is>
          <t>Föryngringsavverkning</t>
        </is>
      </c>
      <c r="D1258" s="1" t="n">
        <v>45173</v>
      </c>
      <c r="E1258" s="1" t="n">
        <v>46326</v>
      </c>
      <c r="F1258" t="inlineStr">
        <is>
          <t>STOCKHOLMS LÄN</t>
        </is>
      </c>
      <c r="G1258" t="inlineStr">
        <is>
          <t>NYKVARN</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59914-2025</t>
        </is>
      </c>
      <c r="B1259" t="inlineStr">
        <is>
          <t>avverkningsanmälan</t>
        </is>
      </c>
      <c r="C1259" t="inlineStr">
        <is>
          <t>Föryngringsavverkning</t>
        </is>
      </c>
      <c r="D1259" s="1" t="n">
        <v>45993</v>
      </c>
      <c r="E1259" s="1" t="n">
        <v>46326</v>
      </c>
      <c r="F1259" t="inlineStr">
        <is>
          <t>STOCKHOLMS LÄN</t>
        </is>
      </c>
      <c r="G1259" t="inlineStr">
        <is>
          <t>NORRTÄLJE</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59672-2025</t>
        </is>
      </c>
      <c r="B1260" t="inlineStr">
        <is>
          <t>avverkningsanmälan</t>
        </is>
      </c>
      <c r="C1260" t="inlineStr">
        <is>
          <t>Föryngringsavverkning</t>
        </is>
      </c>
      <c r="D1260" s="1" t="n">
        <v>45992</v>
      </c>
      <c r="E1260" s="1" t="n">
        <v>46326</v>
      </c>
      <c r="F1260" t="inlineStr">
        <is>
          <t>STOCKHOLMS LÄN</t>
        </is>
      </c>
      <c r="G1260" t="inlineStr">
        <is>
          <t>NORRTÄLJE</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16803-2022</t>
        </is>
      </c>
      <c r="B1261" t="inlineStr">
        <is>
          <t>avverkningsanmälan</t>
        </is>
      </c>
      <c r="C1261" t="inlineStr">
        <is>
          <t>Föryngringsavverkning</t>
        </is>
      </c>
      <c r="D1261" s="1" t="n">
        <v>44673</v>
      </c>
      <c r="E1261" s="1" t="n">
        <v>46326</v>
      </c>
      <c r="F1261" t="inlineStr">
        <is>
          <t>STOCKHOLMS LÄN</t>
        </is>
      </c>
      <c r="G1261" t="inlineStr">
        <is>
          <t>ÖSTERÅKER</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954-2023</t>
        </is>
      </c>
      <c r="B1262" t="inlineStr">
        <is>
          <t>avverkningsanmälan</t>
        </is>
      </c>
      <c r="C1262" t="inlineStr">
        <is>
          <t>Föryngringsavverkning</t>
        </is>
      </c>
      <c r="D1262" s="1" t="n">
        <v>44934</v>
      </c>
      <c r="E1262" s="1" t="n">
        <v>46326</v>
      </c>
      <c r="F1262" t="inlineStr">
        <is>
          <t>STOCKHOLMS LÄN</t>
        </is>
      </c>
      <c r="G1262" t="inlineStr">
        <is>
          <t>SÖDERTÄLJE</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59907-2025</t>
        </is>
      </c>
      <c r="B1263" t="inlineStr">
        <is>
          <t>avverkningsanmälan</t>
        </is>
      </c>
      <c r="C1263" t="inlineStr">
        <is>
          <t>Föryngringsavverkning</t>
        </is>
      </c>
      <c r="D1263" s="1" t="n">
        <v>45993</v>
      </c>
      <c r="E1263" s="1" t="n">
        <v>46326</v>
      </c>
      <c r="F1263" t="inlineStr">
        <is>
          <t>STOCKHOLMS LÄN</t>
        </is>
      </c>
      <c r="G1263" t="inlineStr">
        <is>
          <t>NORRTÄLJE</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35200-2023</t>
        </is>
      </c>
      <c r="B1264" t="inlineStr">
        <is>
          <t>avverkningsanmälan</t>
        </is>
      </c>
      <c r="C1264" t="inlineStr">
        <is>
          <t>Föryngringsavverkning</t>
        </is>
      </c>
      <c r="D1264" s="1" t="n">
        <v>45145</v>
      </c>
      <c r="E1264" s="1" t="n">
        <v>46326</v>
      </c>
      <c r="F1264" t="inlineStr">
        <is>
          <t>STOCKHOLMS LÄN</t>
        </is>
      </c>
      <c r="G1264" t="inlineStr">
        <is>
          <t>SÖDERTÄLJE</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12294-2026</t>
        </is>
      </c>
      <c r="B1265" t="inlineStr">
        <is>
          <t>avverkningsanmälan</t>
        </is>
      </c>
      <c r="C1265" t="inlineStr">
        <is>
          <t>Föryngringsavverkning</t>
        </is>
      </c>
      <c r="D1265" s="1" t="n">
        <v>46087</v>
      </c>
      <c r="E1265" s="1" t="n">
        <v>46326</v>
      </c>
      <c r="F1265" t="inlineStr">
        <is>
          <t>STOCKHOLMS LÄN</t>
        </is>
      </c>
      <c r="G1265" t="inlineStr">
        <is>
          <t>BOTKYRKA</t>
        </is>
      </c>
      <c r="H1265" t="inlineStr">
        <is>
          <t>Övriga Aktiebolag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60253-2025</t>
        </is>
      </c>
      <c r="B1266" t="inlineStr">
        <is>
          <t>avverkningsanmälan</t>
        </is>
      </c>
      <c r="C1266" t="inlineStr">
        <is>
          <t>Föryngringsavverkning</t>
        </is>
      </c>
      <c r="D1266" s="1" t="n">
        <v>45994</v>
      </c>
      <c r="E1266" s="1" t="n">
        <v>46326</v>
      </c>
      <c r="F1266" t="inlineStr">
        <is>
          <t>STOCKHOLMS LÄN</t>
        </is>
      </c>
      <c r="G1266" t="inlineStr">
        <is>
          <t>NORRTÄLJE</t>
        </is>
      </c>
      <c r="H1266" t="inlineStr">
        <is>
          <t>Holmen skog AB</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470-2022</t>
        </is>
      </c>
      <c r="B1267" t="inlineStr">
        <is>
          <t>avverkningsanmälan</t>
        </is>
      </c>
      <c r="C1267" t="inlineStr">
        <is>
          <t>Föryngringsavverkning</t>
        </is>
      </c>
      <c r="D1267" s="1" t="n">
        <v>44565</v>
      </c>
      <c r="E1267" s="1" t="n">
        <v>46326</v>
      </c>
      <c r="F1267" t="inlineStr">
        <is>
          <t>STOCKHOLMS LÄN</t>
        </is>
      </c>
      <c r="G1267" t="inlineStr">
        <is>
          <t>ÖSTERÅKER</t>
        </is>
      </c>
      <c r="H1267" t="inlineStr">
        <is>
          <t>Övriga Aktiebolag</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73151-2021</t>
        </is>
      </c>
      <c r="B1268" t="inlineStr">
        <is>
          <t>avverkningsanmälan</t>
        </is>
      </c>
      <c r="C1268" t="inlineStr">
        <is>
          <t>Föryngringsavverkning</t>
        </is>
      </c>
      <c r="D1268" s="1" t="n">
        <v>44550</v>
      </c>
      <c r="E1268" s="1" t="n">
        <v>46326</v>
      </c>
      <c r="F1268" t="inlineStr">
        <is>
          <t>STOCKHOLMS LÄN</t>
        </is>
      </c>
      <c r="G1268" t="inlineStr">
        <is>
          <t>BOTKYRKA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60214-2025</t>
        </is>
      </c>
      <c r="B1269" t="inlineStr">
        <is>
          <t>avverkningsanmälan</t>
        </is>
      </c>
      <c r="C1269" t="inlineStr">
        <is>
          <t>Föryngringsavverkning</t>
        </is>
      </c>
      <c r="D1269" s="1" t="n">
        <v>45994</v>
      </c>
      <c r="E1269" s="1" t="n">
        <v>46326</v>
      </c>
      <c r="F1269" t="inlineStr">
        <is>
          <t>STOCKHOLMS LÄN</t>
        </is>
      </c>
      <c r="G1269" t="inlineStr">
        <is>
          <t>NORRTÄLJE</t>
        </is>
      </c>
      <c r="I1269" t="n">
        <v>9.199999999999999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12052-2026</t>
        </is>
      </c>
      <c r="B1270" t="inlineStr">
        <is>
          <t>avverkningsanmälan</t>
        </is>
      </c>
      <c r="C1270" t="inlineStr">
        <is>
          <t>Föryngringsavverkning</t>
        </is>
      </c>
      <c r="D1270" s="1" t="n">
        <v>46086</v>
      </c>
      <c r="E1270" s="1" t="n">
        <v>46326</v>
      </c>
      <c r="F1270" t="inlineStr">
        <is>
          <t>STOCKHOLMS LÄN</t>
        </is>
      </c>
      <c r="G1270" t="inlineStr">
        <is>
          <t>SIGTUNA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60223-2025</t>
        </is>
      </c>
      <c r="B1271" t="inlineStr">
        <is>
          <t>avverkningsanmälan</t>
        </is>
      </c>
      <c r="C1271" t="inlineStr">
        <is>
          <t>Föryngringsavverkning</t>
        </is>
      </c>
      <c r="D1271" s="1" t="n">
        <v>45994</v>
      </c>
      <c r="E1271" s="1" t="n">
        <v>46326</v>
      </c>
      <c r="F1271" t="inlineStr">
        <is>
          <t>STOCKHOLMS LÄN</t>
        </is>
      </c>
      <c r="G1271" t="inlineStr">
        <is>
          <t>NORRTÄLJE</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18528-2024</t>
        </is>
      </c>
      <c r="B1272" t="inlineStr">
        <is>
          <t>avverkningsanmälan</t>
        </is>
      </c>
      <c r="C1272" t="inlineStr">
        <is>
          <t>Föryngringsavverkning</t>
        </is>
      </c>
      <c r="D1272" s="1" t="n">
        <v>45425</v>
      </c>
      <c r="E1272" s="1" t="n">
        <v>46326</v>
      </c>
      <c r="F1272" t="inlineStr">
        <is>
          <t>STOCKHOLMS LÄN</t>
        </is>
      </c>
      <c r="G1272" t="inlineStr">
        <is>
          <t>HANINGE</t>
        </is>
      </c>
      <c r="H1272" t="inlineStr">
        <is>
          <t>Kommuner</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60224-2023</t>
        </is>
      </c>
      <c r="B1273" t="inlineStr">
        <is>
          <t>avverkningsanmälan</t>
        </is>
      </c>
      <c r="C1273" t="inlineStr">
        <is>
          <t>Avverkning för annat ändamål</t>
        </is>
      </c>
      <c r="D1273" s="1" t="n">
        <v>45257</v>
      </c>
      <c r="E1273" s="1" t="n">
        <v>46326</v>
      </c>
      <c r="F1273" t="inlineStr">
        <is>
          <t>STOCKHOLMS LÄN</t>
        </is>
      </c>
      <c r="G1273" t="inlineStr">
        <is>
          <t>NORRTÄLJE</t>
        </is>
      </c>
      <c r="I1273" t="n">
        <v>8.1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60649-2025</t>
        </is>
      </c>
      <c r="B1274" t="inlineStr">
        <is>
          <t>avverkningsanmälan</t>
        </is>
      </c>
      <c r="C1274" t="inlineStr">
        <is>
          <t>Föryngringsavverkning</t>
        </is>
      </c>
      <c r="D1274" s="1" t="n">
        <v>45996</v>
      </c>
      <c r="E1274" s="1" t="n">
        <v>46326</v>
      </c>
      <c r="F1274" t="inlineStr">
        <is>
          <t>STOCKHOLMS LÄN</t>
        </is>
      </c>
      <c r="G1274" t="inlineStr">
        <is>
          <t>NORRTÄLJE</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60948-2025</t>
        </is>
      </c>
      <c r="B1275" t="inlineStr">
        <is>
          <t>avverkningsanmälan</t>
        </is>
      </c>
      <c r="C1275" t="inlineStr">
        <is>
          <t>Föryngringsavverkning</t>
        </is>
      </c>
      <c r="D1275" s="1" t="n">
        <v>45999</v>
      </c>
      <c r="E1275" s="1" t="n">
        <v>46326</v>
      </c>
      <c r="F1275" t="inlineStr">
        <is>
          <t>STOCKHOLMS LÄN</t>
        </is>
      </c>
      <c r="G1275" t="inlineStr">
        <is>
          <t>NORRTÄLJE</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5142-2024</t>
        </is>
      </c>
      <c r="B1276" t="inlineStr">
        <is>
          <t>avverkningsanmälan</t>
        </is>
      </c>
      <c r="C1276" t="inlineStr">
        <is>
          <t>Avverkning för annat ändamål</t>
        </is>
      </c>
      <c r="D1276" s="1" t="n">
        <v>45330</v>
      </c>
      <c r="E1276" s="1" t="n">
        <v>46326</v>
      </c>
      <c r="F1276" t="inlineStr">
        <is>
          <t>STOCKHOLMS LÄN</t>
        </is>
      </c>
      <c r="G1276" t="inlineStr">
        <is>
          <t>SIGTUNA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5158-2024</t>
        </is>
      </c>
      <c r="B1277" t="inlineStr">
        <is>
          <t>avverkningsanmälan</t>
        </is>
      </c>
      <c r="C1277" t="inlineStr">
        <is>
          <t>Föryngringsavverkning</t>
        </is>
      </c>
      <c r="D1277" s="1" t="n">
        <v>45330</v>
      </c>
      <c r="E1277" s="1" t="n">
        <v>46326</v>
      </c>
      <c r="F1277" t="inlineStr">
        <is>
          <t>STOCKHOLMS LÄN</t>
        </is>
      </c>
      <c r="G1277" t="inlineStr">
        <is>
          <t>NORRTÄLJE</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20957-2023</t>
        </is>
      </c>
      <c r="B1278" t="inlineStr">
        <is>
          <t>avverkningsanmälan</t>
        </is>
      </c>
      <c r="C1278" t="inlineStr">
        <is>
          <t>Föryngringsavverkning</t>
        </is>
      </c>
      <c r="D1278" s="1" t="n">
        <v>45061</v>
      </c>
      <c r="E1278" s="1" t="n">
        <v>46326</v>
      </c>
      <c r="F1278" t="inlineStr">
        <is>
          <t>STOCKHOLMS LÄN</t>
        </is>
      </c>
      <c r="G1278" t="inlineStr">
        <is>
          <t>SIGTUNA</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12787-2026</t>
        </is>
      </c>
      <c r="B1279" t="inlineStr">
        <is>
          <t>avverkningsanmälan</t>
        </is>
      </c>
      <c r="C1279" t="inlineStr">
        <is>
          <t>Föryngringsavverkning</t>
        </is>
      </c>
      <c r="D1279" s="1" t="n">
        <v>46091</v>
      </c>
      <c r="E1279" s="1" t="n">
        <v>46326</v>
      </c>
      <c r="F1279" t="inlineStr">
        <is>
          <t>STOCKHOLMS LÄN</t>
        </is>
      </c>
      <c r="G1279" t="inlineStr">
        <is>
          <t>HANINGE</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14775-2024</t>
        </is>
      </c>
      <c r="B1280" t="inlineStr">
        <is>
          <t>avverkningsanmälan</t>
        </is>
      </c>
      <c r="C1280" t="inlineStr">
        <is>
          <t>Föryngringsavverkning</t>
        </is>
      </c>
      <c r="D1280" s="1" t="n">
        <v>45397</v>
      </c>
      <c r="E1280" s="1" t="n">
        <v>46326</v>
      </c>
      <c r="F1280" t="inlineStr">
        <is>
          <t>STOCKHOLMS LÄN</t>
        </is>
      </c>
      <c r="G1280" t="inlineStr">
        <is>
          <t>VALLENTUNA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13544-2026</t>
        </is>
      </c>
      <c r="B1281" t="inlineStr">
        <is>
          <t>avverkningsanmälan</t>
        </is>
      </c>
      <c r="C1281" t="inlineStr">
        <is>
          <t>Föryngringsavverkning</t>
        </is>
      </c>
      <c r="D1281" s="1" t="n">
        <v>46094</v>
      </c>
      <c r="E1281" s="1" t="n">
        <v>46326</v>
      </c>
      <c r="F1281" t="inlineStr">
        <is>
          <t>STOCKHOLMS LÄN</t>
        </is>
      </c>
      <c r="G1281" t="inlineStr">
        <is>
          <t>NORRTÄLJE</t>
        </is>
      </c>
      <c r="H1281" t="inlineStr">
        <is>
          <t>Holmen skog AB</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13204-2026</t>
        </is>
      </c>
      <c r="B1282" t="inlineStr">
        <is>
          <t>avverkningsanmälan</t>
        </is>
      </c>
      <c r="C1282" t="inlineStr">
        <is>
          <t>Föryngringsavverkning</t>
        </is>
      </c>
      <c r="D1282" s="1" t="n">
        <v>46093</v>
      </c>
      <c r="E1282" s="1" t="n">
        <v>46326</v>
      </c>
      <c r="F1282" t="inlineStr">
        <is>
          <t>STOCKHOLMS LÄN</t>
        </is>
      </c>
      <c r="G1282" t="inlineStr">
        <is>
          <t>NORRTÄLJE</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17551-2025</t>
        </is>
      </c>
      <c r="B1283" t="inlineStr">
        <is>
          <t>avverkningsanmälan</t>
        </is>
      </c>
      <c r="C1283" t="inlineStr">
        <is>
          <t>Föryngringsavverkning</t>
        </is>
      </c>
      <c r="D1283" s="1" t="n">
        <v>45757</v>
      </c>
      <c r="E1283" s="1" t="n">
        <v>46326</v>
      </c>
      <c r="F1283" t="inlineStr">
        <is>
          <t>STOCKHOLMS LÄN</t>
        </is>
      </c>
      <c r="G1283" t="inlineStr">
        <is>
          <t>NORRTÄLJE</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13545-2026</t>
        </is>
      </c>
      <c r="B1284" t="inlineStr">
        <is>
          <t>avverkningsanmälan</t>
        </is>
      </c>
      <c r="C1284" t="inlineStr">
        <is>
          <t>Föryngringsavverkning</t>
        </is>
      </c>
      <c r="D1284" s="1" t="n">
        <v>46094</v>
      </c>
      <c r="E1284" s="1" t="n">
        <v>46326</v>
      </c>
      <c r="F1284" t="inlineStr">
        <is>
          <t>STOCKHOLMS LÄN</t>
        </is>
      </c>
      <c r="G1284" t="inlineStr">
        <is>
          <t>NORRTÄLJE</t>
        </is>
      </c>
      <c r="H1284" t="inlineStr">
        <is>
          <t>Holmen skog AB</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31105-2022</t>
        </is>
      </c>
      <c r="B1285" t="inlineStr">
        <is>
          <t>avverkningsanmälan</t>
        </is>
      </c>
      <c r="C1285" t="inlineStr">
        <is>
          <t>Föryngringsavverkning</t>
        </is>
      </c>
      <c r="D1285" s="1" t="n">
        <v>44769</v>
      </c>
      <c r="E1285" s="1" t="n">
        <v>46326</v>
      </c>
      <c r="F1285" t="inlineStr">
        <is>
          <t>STOCKHOLMS LÄN</t>
        </is>
      </c>
      <c r="G1285" t="inlineStr">
        <is>
          <t>NORRTÄLJE</t>
        </is>
      </c>
      <c r="I1285" t="n">
        <v>8.699999999999999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64110-2023</t>
        </is>
      </c>
      <c r="B1286" t="inlineStr">
        <is>
          <t>avverkningsanmälan</t>
        </is>
      </c>
      <c r="C1286" t="inlineStr">
        <is>
          <t>Föryngringsavverkning</t>
        </is>
      </c>
      <c r="D1286" s="1" t="n">
        <v>45279</v>
      </c>
      <c r="E1286" s="1" t="n">
        <v>46326</v>
      </c>
      <c r="F1286" t="inlineStr">
        <is>
          <t>STOCKHOLMS LÄN</t>
        </is>
      </c>
      <c r="G1286" t="inlineStr">
        <is>
          <t>UPPLANDS-BRO</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60731-2025</t>
        </is>
      </c>
      <c r="B1287" t="inlineStr">
        <is>
          <t>avverkningsanmälan</t>
        </is>
      </c>
      <c r="C1287" t="inlineStr">
        <is>
          <t>Föryngringsavverkning</t>
        </is>
      </c>
      <c r="D1287" s="1" t="n">
        <v>45995</v>
      </c>
      <c r="E1287" s="1" t="n">
        <v>46326</v>
      </c>
      <c r="F1287" t="inlineStr">
        <is>
          <t>STOCKHOLMS LÄN</t>
        </is>
      </c>
      <c r="G1287" t="inlineStr">
        <is>
          <t>SALEM</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61160-2025</t>
        </is>
      </c>
      <c r="B1288" t="inlineStr">
        <is>
          <t>avverkningsanmälan</t>
        </is>
      </c>
      <c r="C1288" t="inlineStr">
        <is>
          <t>Föryngringsavverkning</t>
        </is>
      </c>
      <c r="D1288" s="1" t="n">
        <v>46000</v>
      </c>
      <c r="E1288" s="1" t="n">
        <v>46326</v>
      </c>
      <c r="F1288" t="inlineStr">
        <is>
          <t>STOCKHOLMS LÄN</t>
        </is>
      </c>
      <c r="G1288" t="inlineStr">
        <is>
          <t>NORRTÄLJE</t>
        </is>
      </c>
      <c r="I1288" t="n">
        <v>5.3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60733-2025</t>
        </is>
      </c>
      <c r="B1289" t="inlineStr">
        <is>
          <t>avverkningsanmälan</t>
        </is>
      </c>
      <c r="C1289" t="inlineStr">
        <is>
          <t>Föryngringsavverkning</t>
        </is>
      </c>
      <c r="D1289" s="1" t="n">
        <v>45995</v>
      </c>
      <c r="E1289" s="1" t="n">
        <v>46326</v>
      </c>
      <c r="F1289" t="inlineStr">
        <is>
          <t>STOCKHOLMS LÄN</t>
        </is>
      </c>
      <c r="G1289" t="inlineStr">
        <is>
          <t>SALEM</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41677-2023</t>
        </is>
      </c>
      <c r="B1290" t="inlineStr">
        <is>
          <t>avverkningsanmälan</t>
        </is>
      </c>
      <c r="C1290" t="inlineStr">
        <is>
          <t>Föryngringsavverkning</t>
        </is>
      </c>
      <c r="D1290" s="1" t="n">
        <v>45173</v>
      </c>
      <c r="E1290" s="1" t="n">
        <v>46326</v>
      </c>
      <c r="F1290" t="inlineStr">
        <is>
          <t>STOCKHOLMS LÄN</t>
        </is>
      </c>
      <c r="G1290" t="inlineStr">
        <is>
          <t>NYNÄSHAMN</t>
        </is>
      </c>
      <c r="I1290" t="n">
        <v>6.2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41680-2023</t>
        </is>
      </c>
      <c r="B1291" t="inlineStr">
        <is>
          <t>avverkningsanmälan</t>
        </is>
      </c>
      <c r="C1291" t="inlineStr">
        <is>
          <t>Föryngringsavverkning</t>
        </is>
      </c>
      <c r="D1291" s="1" t="n">
        <v>45173</v>
      </c>
      <c r="E1291" s="1" t="n">
        <v>46326</v>
      </c>
      <c r="F1291" t="inlineStr">
        <is>
          <t>STOCKHOLMS LÄN</t>
        </is>
      </c>
      <c r="G1291" t="inlineStr">
        <is>
          <t>NYNÄSHAMN</t>
        </is>
      </c>
      <c r="I1291" t="n">
        <v>12.3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61430-2025</t>
        </is>
      </c>
      <c r="B1292" t="inlineStr">
        <is>
          <t>avverkningsanmälan</t>
        </is>
      </c>
      <c r="C1292" t="inlineStr">
        <is>
          <t>Föryngringsavverkning</t>
        </is>
      </c>
      <c r="D1292" s="1" t="n">
        <v>46001</v>
      </c>
      <c r="E1292" s="1" t="n">
        <v>46326</v>
      </c>
      <c r="F1292" t="inlineStr">
        <is>
          <t>STOCKHOLMS LÄN</t>
        </is>
      </c>
      <c r="G1292" t="inlineStr">
        <is>
          <t>NORRTÄLJE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13546-2026</t>
        </is>
      </c>
      <c r="B1293" t="inlineStr">
        <is>
          <t>avverkningsanmälan</t>
        </is>
      </c>
      <c r="C1293" t="inlineStr">
        <is>
          <t>Föryngringsavverkning</t>
        </is>
      </c>
      <c r="D1293" s="1" t="n">
        <v>46094</v>
      </c>
      <c r="E1293" s="1" t="n">
        <v>46326</v>
      </c>
      <c r="F1293" t="inlineStr">
        <is>
          <t>STOCKHOLMS LÄN</t>
        </is>
      </c>
      <c r="G1293" t="inlineStr">
        <is>
          <t>NORRTÄLJE</t>
        </is>
      </c>
      <c r="H1293" t="inlineStr">
        <is>
          <t>Holmen skog AB</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13662-2026</t>
        </is>
      </c>
      <c r="B1294" t="inlineStr">
        <is>
          <t>avverkningsanmälan</t>
        </is>
      </c>
      <c r="C1294" t="inlineStr">
        <is>
          <t>Föryngringsavverkning</t>
        </is>
      </c>
      <c r="D1294" s="1" t="n">
        <v>46097</v>
      </c>
      <c r="E1294" s="1" t="n">
        <v>46326</v>
      </c>
      <c r="F1294" t="inlineStr">
        <is>
          <t>STOCKHOLMS LÄN</t>
        </is>
      </c>
      <c r="G1294" t="inlineStr">
        <is>
          <t>SIGTUNA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23098-2024</t>
        </is>
      </c>
      <c r="B1295" t="inlineStr">
        <is>
          <t>avverkningsanmälan</t>
        </is>
      </c>
      <c r="C1295" t="inlineStr">
        <is>
          <t>Föryngringsavverkning</t>
        </is>
      </c>
      <c r="D1295" s="1" t="n">
        <v>45450</v>
      </c>
      <c r="E1295" s="1" t="n">
        <v>46326</v>
      </c>
      <c r="F1295" t="inlineStr">
        <is>
          <t>STOCKHOLMS LÄN</t>
        </is>
      </c>
      <c r="G1295" t="inlineStr">
        <is>
          <t>UPPLANDS-BRO</t>
        </is>
      </c>
      <c r="H1295" t="inlineStr">
        <is>
          <t>Övriga statliga verk och myndigheter</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8787-2024</t>
        </is>
      </c>
      <c r="B1296" t="inlineStr">
        <is>
          <t>avverkningsanmälan</t>
        </is>
      </c>
      <c r="C1296" t="inlineStr">
        <is>
          <t>Avverkning för annat ändamål</t>
        </is>
      </c>
      <c r="D1296" s="1" t="n">
        <v>45356</v>
      </c>
      <c r="E1296" s="1" t="n">
        <v>46326</v>
      </c>
      <c r="F1296" t="inlineStr">
        <is>
          <t>STOCKHOLMS LÄN</t>
        </is>
      </c>
      <c r="G1296" t="inlineStr">
        <is>
          <t>VALLENTUNA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24283-2022</t>
        </is>
      </c>
      <c r="B1297" t="inlineStr">
        <is>
          <t>avverkningsanmälan</t>
        </is>
      </c>
      <c r="C1297" t="inlineStr">
        <is>
          <t>Föryngringsavverkning</t>
        </is>
      </c>
      <c r="D1297" s="1" t="n">
        <v>44725</v>
      </c>
      <c r="E1297" s="1" t="n">
        <v>46326</v>
      </c>
      <c r="F1297" t="inlineStr">
        <is>
          <t>STOCKHOLMS LÄN</t>
        </is>
      </c>
      <c r="G1297" t="inlineStr">
        <is>
          <t>NYKVARN</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61289-2025</t>
        </is>
      </c>
      <c r="B1298" t="inlineStr">
        <is>
          <t>avverkningsanmälan</t>
        </is>
      </c>
      <c r="C1298" t="inlineStr">
        <is>
          <t>Föryngringsavverkning</t>
        </is>
      </c>
      <c r="D1298" s="1" t="n">
        <v>46000</v>
      </c>
      <c r="E1298" s="1" t="n">
        <v>46326</v>
      </c>
      <c r="F1298" t="inlineStr">
        <is>
          <t>STOCKHOLMS LÄN</t>
        </is>
      </c>
      <c r="G1298" t="inlineStr">
        <is>
          <t>NORRTÄLJE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59165-2022</t>
        </is>
      </c>
      <c r="B1299" t="inlineStr">
        <is>
          <t>avverkningsanmälan</t>
        </is>
      </c>
      <c r="C1299" t="inlineStr">
        <is>
          <t>Föryngringsavverkning</t>
        </is>
      </c>
      <c r="D1299" s="1" t="n">
        <v>44904</v>
      </c>
      <c r="E1299" s="1" t="n">
        <v>46326</v>
      </c>
      <c r="F1299" t="inlineStr">
        <is>
          <t>STOCKHOLMS LÄN</t>
        </is>
      </c>
      <c r="G1299" t="inlineStr">
        <is>
          <t>SIGTUNA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61769-2025</t>
        </is>
      </c>
      <c r="B1300" t="inlineStr">
        <is>
          <t>avverkningsanmälan</t>
        </is>
      </c>
      <c r="C1300" t="inlineStr">
        <is>
          <t>Föryngringsavverkning</t>
        </is>
      </c>
      <c r="D1300" s="1" t="n">
        <v>46002</v>
      </c>
      <c r="E1300" s="1" t="n">
        <v>46326</v>
      </c>
      <c r="F1300" t="inlineStr">
        <is>
          <t>STOCKHOLMS LÄN</t>
        </is>
      </c>
      <c r="G1300" t="inlineStr">
        <is>
          <t>NORRTÄLJE</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30620-2022</t>
        </is>
      </c>
      <c r="B1301" t="inlineStr">
        <is>
          <t>avverkningsanmälan</t>
        </is>
      </c>
      <c r="C1301" t="inlineStr">
        <is>
          <t>Föryngringsavverkning</t>
        </is>
      </c>
      <c r="D1301" s="1" t="n">
        <v>44763</v>
      </c>
      <c r="E1301" s="1" t="n">
        <v>46326</v>
      </c>
      <c r="F1301" t="inlineStr">
        <is>
          <t>STOCKHOLMS LÄN</t>
        </is>
      </c>
      <c r="G1301" t="inlineStr">
        <is>
          <t>NORRTÄLJE</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55724-2024</t>
        </is>
      </c>
      <c r="B1302" t="inlineStr">
        <is>
          <t>avverkningsanmälan</t>
        </is>
      </c>
      <c r="C1302" t="inlineStr">
        <is>
          <t>Föryngringsavverkning</t>
        </is>
      </c>
      <c r="D1302" s="1" t="n">
        <v>45622</v>
      </c>
      <c r="E1302" s="1" t="n">
        <v>46326</v>
      </c>
      <c r="F1302" t="inlineStr">
        <is>
          <t>STOCKHOLMS LÄN</t>
        </is>
      </c>
      <c r="G1302" t="inlineStr">
        <is>
          <t>EKERÖ</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42955-2022</t>
        </is>
      </c>
      <c r="B1303" t="inlineStr">
        <is>
          <t>avverkningsanmälan</t>
        </is>
      </c>
      <c r="C1303" t="inlineStr">
        <is>
          <t>Föryngringsavverkning</t>
        </is>
      </c>
      <c r="D1303" s="1" t="n">
        <v>44833</v>
      </c>
      <c r="E1303" s="1" t="n">
        <v>46326</v>
      </c>
      <c r="F1303" t="inlineStr">
        <is>
          <t>STOCKHOLMS LÄN</t>
        </is>
      </c>
      <c r="G1303" t="inlineStr">
        <is>
          <t>NORRTÄLJE</t>
        </is>
      </c>
      <c r="I1303" t="n">
        <v>13.1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64431-2023</t>
        </is>
      </c>
      <c r="B1304" t="inlineStr">
        <is>
          <t>avverkningsanmälan</t>
        </is>
      </c>
      <c r="C1304" t="inlineStr">
        <is>
          <t>Föryngringsavverkning</t>
        </is>
      </c>
      <c r="D1304" s="1" t="n">
        <v>45280</v>
      </c>
      <c r="E1304" s="1" t="n">
        <v>46326</v>
      </c>
      <c r="F1304" t="inlineStr">
        <is>
          <t>STOCKHOLMS LÄN</t>
        </is>
      </c>
      <c r="G1304" t="inlineStr">
        <is>
          <t>UPPLANDS VÄSBY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28851-2022</t>
        </is>
      </c>
      <c r="B1305" t="inlineStr">
        <is>
          <t>avverkningsanmälan</t>
        </is>
      </c>
      <c r="C1305" t="inlineStr">
        <is>
          <t>Föryngringsavverkning</t>
        </is>
      </c>
      <c r="D1305" s="1" t="n">
        <v>44749</v>
      </c>
      <c r="E1305" s="1" t="n">
        <v>46326</v>
      </c>
      <c r="F1305" t="inlineStr">
        <is>
          <t>STOCKHOLMS LÄN</t>
        </is>
      </c>
      <c r="G1305" t="inlineStr">
        <is>
          <t>SIGTUNA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61764-2025</t>
        </is>
      </c>
      <c r="B1306" t="inlineStr">
        <is>
          <t>avverkningsanmälan</t>
        </is>
      </c>
      <c r="C1306" t="inlineStr">
        <is>
          <t>Föryngringsavverkning</t>
        </is>
      </c>
      <c r="D1306" s="1" t="n">
        <v>46002</v>
      </c>
      <c r="E1306" s="1" t="n">
        <v>46326</v>
      </c>
      <c r="F1306" t="inlineStr">
        <is>
          <t>STOCKHOLMS LÄN</t>
        </is>
      </c>
      <c r="G1306" t="inlineStr">
        <is>
          <t>NORRTÄLJE</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13943-2026</t>
        </is>
      </c>
      <c r="B1307" t="inlineStr">
        <is>
          <t>avverkningsanmälan</t>
        </is>
      </c>
      <c r="C1307" t="inlineStr">
        <is>
          <t>Föryngringsavverkning</t>
        </is>
      </c>
      <c r="D1307" s="1" t="n">
        <v>46098</v>
      </c>
      <c r="E1307" s="1" t="n">
        <v>46326</v>
      </c>
      <c r="F1307" t="inlineStr">
        <is>
          <t>STOCKHOLMS LÄN</t>
        </is>
      </c>
      <c r="G1307" t="inlineStr">
        <is>
          <t>SÖDERTÄLJE</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61646-2025</t>
        </is>
      </c>
      <c r="B1308" t="inlineStr">
        <is>
          <t>avverkningsanmälan</t>
        </is>
      </c>
      <c r="C1308" t="inlineStr">
        <is>
          <t>Föryngringsavverkning</t>
        </is>
      </c>
      <c r="D1308" s="1" t="n">
        <v>46002</v>
      </c>
      <c r="E1308" s="1" t="n">
        <v>46326</v>
      </c>
      <c r="F1308" t="inlineStr">
        <is>
          <t>STOCKHOLMS LÄN</t>
        </is>
      </c>
      <c r="G1308" t="inlineStr">
        <is>
          <t>VALLENTUNA</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49568-2024</t>
        </is>
      </c>
      <c r="B1309" t="inlineStr">
        <is>
          <t>avverkningsanmälan</t>
        </is>
      </c>
      <c r="C1309" t="inlineStr">
        <is>
          <t>Föryngringsavverkning</t>
        </is>
      </c>
      <c r="D1309" s="1" t="n">
        <v>45596</v>
      </c>
      <c r="E1309" s="1" t="n">
        <v>46326</v>
      </c>
      <c r="F1309" t="inlineStr">
        <is>
          <t>STOCKHOLMS LÄN</t>
        </is>
      </c>
      <c r="G1309" t="inlineStr">
        <is>
          <t>VÄRMDÖ</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9120-2025</t>
        </is>
      </c>
      <c r="B1310" t="inlineStr">
        <is>
          <t>avverkningsanmälan</t>
        </is>
      </c>
      <c r="C1310" t="inlineStr">
        <is>
          <t>Föryngringsavverkning</t>
        </is>
      </c>
      <c r="D1310" s="1" t="n">
        <v>45713</v>
      </c>
      <c r="E1310" s="1" t="n">
        <v>46326</v>
      </c>
      <c r="F1310" t="inlineStr">
        <is>
          <t>STOCKHOLMS LÄN</t>
        </is>
      </c>
      <c r="G1310" t="inlineStr">
        <is>
          <t>SIGTUNA</t>
        </is>
      </c>
      <c r="H1310" t="inlineStr">
        <is>
          <t>Allmännings- och besparingsskogar</t>
        </is>
      </c>
      <c r="I1310" t="n">
        <v>9.699999999999999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18490-2025</t>
        </is>
      </c>
      <c r="B1311" t="inlineStr">
        <is>
          <t>avverkningsanmälan</t>
        </is>
      </c>
      <c r="C1311" t="inlineStr">
        <is>
          <t>Föryngringsavverkning</t>
        </is>
      </c>
      <c r="D1311" s="1" t="n">
        <v>45763</v>
      </c>
      <c r="E1311" s="1" t="n">
        <v>46326</v>
      </c>
      <c r="F1311" t="inlineStr">
        <is>
          <t>STOCKHOLMS LÄN</t>
        </is>
      </c>
      <c r="G1311" t="inlineStr">
        <is>
          <t>HANINGE</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62047-2025</t>
        </is>
      </c>
      <c r="B1312" t="inlineStr">
        <is>
          <t>avverkningsanmälan</t>
        </is>
      </c>
      <c r="C1312" t="inlineStr">
        <is>
          <t>Föryngringsavverkning</t>
        </is>
      </c>
      <c r="D1312" s="1" t="n">
        <v>46006</v>
      </c>
      <c r="E1312" s="1" t="n">
        <v>46326</v>
      </c>
      <c r="F1312" t="inlineStr">
        <is>
          <t>STOCKHOLMS LÄN</t>
        </is>
      </c>
      <c r="G1312" t="inlineStr">
        <is>
          <t>SÖDERTÄLJE</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62049-2025</t>
        </is>
      </c>
      <c r="B1313" t="inlineStr">
        <is>
          <t>avverkningsanmälan</t>
        </is>
      </c>
      <c r="C1313" t="inlineStr">
        <is>
          <t>Föryngringsavverkning</t>
        </is>
      </c>
      <c r="D1313" s="1" t="n">
        <v>46006</v>
      </c>
      <c r="E1313" s="1" t="n">
        <v>46326</v>
      </c>
      <c r="F1313" t="inlineStr">
        <is>
          <t>STOCKHOLMS LÄN</t>
        </is>
      </c>
      <c r="G1313" t="inlineStr">
        <is>
          <t>SÖDERTÄLJE</t>
        </is>
      </c>
      <c r="I1313" t="n">
        <v>10.4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61937-2021</t>
        </is>
      </c>
      <c r="B1314" t="inlineStr">
        <is>
          <t>avverkningsanmälan</t>
        </is>
      </c>
      <c r="C1314" t="inlineStr">
        <is>
          <t>Avverkning för annat ändamål</t>
        </is>
      </c>
      <c r="D1314" s="1" t="n">
        <v>44502</v>
      </c>
      <c r="E1314" s="1" t="n">
        <v>46326</v>
      </c>
      <c r="F1314" t="inlineStr">
        <is>
          <t>STOCKHOLMS LÄN</t>
        </is>
      </c>
      <c r="G1314" t="inlineStr">
        <is>
          <t>SIGTUNA</t>
        </is>
      </c>
      <c r="I1314" t="n">
        <v>14.7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13767-2025</t>
        </is>
      </c>
      <c r="B1315" t="inlineStr">
        <is>
          <t>avverkningsanmälan</t>
        </is>
      </c>
      <c r="C1315" t="inlineStr">
        <is>
          <t>Föryngringsavverkning</t>
        </is>
      </c>
      <c r="D1315" s="1" t="n">
        <v>45737</v>
      </c>
      <c r="E1315" s="1" t="n">
        <v>46326</v>
      </c>
      <c r="F1315" t="inlineStr">
        <is>
          <t>STOCKHOLMS LÄN</t>
        </is>
      </c>
      <c r="G1315" t="inlineStr">
        <is>
          <t>NORRTÄLJE</t>
        </is>
      </c>
      <c r="H1315" t="inlineStr">
        <is>
          <t>Holmen skog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14782-2024</t>
        </is>
      </c>
      <c r="B1316" t="inlineStr">
        <is>
          <t>avverkningsanmälan</t>
        </is>
      </c>
      <c r="C1316" t="inlineStr">
        <is>
          <t>Avverkning för att bevara och utveckla /försöksver</t>
        </is>
      </c>
      <c r="D1316" s="1" t="n">
        <v>45397</v>
      </c>
      <c r="E1316" s="1" t="n">
        <v>46326</v>
      </c>
      <c r="F1316" t="inlineStr">
        <is>
          <t>STOCKHOLMS LÄN</t>
        </is>
      </c>
      <c r="G1316" t="inlineStr">
        <is>
          <t>VALLENTUNA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15422-2024</t>
        </is>
      </c>
      <c r="B1317" t="inlineStr">
        <is>
          <t>avverkningsanmälan</t>
        </is>
      </c>
      <c r="C1317" t="inlineStr">
        <is>
          <t>Föryngringsavverkning</t>
        </is>
      </c>
      <c r="D1317" s="1" t="n">
        <v>45401</v>
      </c>
      <c r="E1317" s="1" t="n">
        <v>46326</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52562-2023</t>
        </is>
      </c>
      <c r="B1318" t="inlineStr">
        <is>
          <t>avverkningsanmälan</t>
        </is>
      </c>
      <c r="C1318" t="inlineStr">
        <is>
          <t>Föryngringsavverkning</t>
        </is>
      </c>
      <c r="D1318" s="1" t="n">
        <v>45225</v>
      </c>
      <c r="E1318" s="1" t="n">
        <v>46326</v>
      </c>
      <c r="F1318" t="inlineStr">
        <is>
          <t>STOCKHOLMS LÄN</t>
        </is>
      </c>
      <c r="G1318" t="inlineStr">
        <is>
          <t>VALLENTUNA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58140-2023</t>
        </is>
      </c>
      <c r="B1319" t="inlineStr">
        <is>
          <t>avverkningsanmälan</t>
        </is>
      </c>
      <c r="C1319" t="inlineStr">
        <is>
          <t>Avverkning för annat ändamål</t>
        </is>
      </c>
      <c r="D1319" s="1" t="n">
        <v>45250</v>
      </c>
      <c r="E1319" s="1" t="n">
        <v>46326</v>
      </c>
      <c r="F1319" t="inlineStr">
        <is>
          <t>STOCKHOLMS LÄN</t>
        </is>
      </c>
      <c r="G1319" t="inlineStr">
        <is>
          <t>SÖDERTÄLJE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59377-2024</t>
        </is>
      </c>
      <c r="B1320" t="inlineStr">
        <is>
          <t>avverkningsanmälan</t>
        </is>
      </c>
      <c r="C1320" t="inlineStr">
        <is>
          <t>Föryngringsavverkning</t>
        </is>
      </c>
      <c r="D1320" s="1" t="n">
        <v>45638</v>
      </c>
      <c r="E1320" s="1" t="n">
        <v>46326</v>
      </c>
      <c r="F1320" t="inlineStr">
        <is>
          <t>STOCKHOLMS LÄN</t>
        </is>
      </c>
      <c r="G1320" t="inlineStr">
        <is>
          <t>UPPLANDS-BRO</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30508-2023</t>
        </is>
      </c>
      <c r="B1321" t="inlineStr">
        <is>
          <t>avverkningsanmälan</t>
        </is>
      </c>
      <c r="C1321" t="inlineStr">
        <is>
          <t>Avverkning för annat ändamål</t>
        </is>
      </c>
      <c r="D1321" s="1" t="n">
        <v>45111</v>
      </c>
      <c r="E1321" s="1" t="n">
        <v>46326</v>
      </c>
      <c r="F1321" t="inlineStr">
        <is>
          <t>STOCKHOLMS LÄN</t>
        </is>
      </c>
      <c r="G1321" t="inlineStr">
        <is>
          <t>NORRTÄLJE</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34478-2025</t>
        </is>
      </c>
      <c r="B1322" t="inlineStr">
        <is>
          <t>avverkningsanmälan</t>
        </is>
      </c>
      <c r="C1322" t="inlineStr">
        <is>
          <t>Föryngringsavverkning</t>
        </is>
      </c>
      <c r="D1322" s="1" t="n">
        <v>45847</v>
      </c>
      <c r="E1322" s="1" t="n">
        <v>46326</v>
      </c>
      <c r="F1322" t="inlineStr">
        <is>
          <t>STOCKHOLMS LÄN</t>
        </is>
      </c>
      <c r="G1322" t="inlineStr">
        <is>
          <t>NORRTÄLJE</t>
        </is>
      </c>
      <c r="H1322" t="inlineStr">
        <is>
          <t>Övriga Aktiebolag</t>
        </is>
      </c>
      <c r="I1322" t="n">
        <v>10.8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62681-2025</t>
        </is>
      </c>
      <c r="B1323" t="inlineStr">
        <is>
          <t>avverkningsanmälan</t>
        </is>
      </c>
      <c r="C1323" t="inlineStr">
        <is>
          <t>Föryngringsavverkning</t>
        </is>
      </c>
      <c r="D1323" s="1" t="n">
        <v>46008</v>
      </c>
      <c r="E1323" s="1" t="n">
        <v>46326</v>
      </c>
      <c r="F1323" t="inlineStr">
        <is>
          <t>STOCKHOLMS LÄN</t>
        </is>
      </c>
      <c r="G1323" t="inlineStr">
        <is>
          <t>NORRTÄLJE</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62922-2025</t>
        </is>
      </c>
      <c r="B1324" t="inlineStr">
        <is>
          <t>avverkningsanmälan</t>
        </is>
      </c>
      <c r="C1324" t="inlineStr">
        <is>
          <t>Föryngringsavverkning</t>
        </is>
      </c>
      <c r="D1324" s="1" t="n">
        <v>46009</v>
      </c>
      <c r="E1324" s="1" t="n">
        <v>46326</v>
      </c>
      <c r="F1324" t="inlineStr">
        <is>
          <t>STOCKHOLMS LÄN</t>
        </is>
      </c>
      <c r="G1324" t="inlineStr">
        <is>
          <t>NORRTÄLJE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8096-2023</t>
        </is>
      </c>
      <c r="B1325" t="inlineStr">
        <is>
          <t>avverkningsanmälan</t>
        </is>
      </c>
      <c r="C1325" t="inlineStr">
        <is>
          <t>Föryngringsavverkning</t>
        </is>
      </c>
      <c r="D1325" s="1" t="n">
        <v>44974</v>
      </c>
      <c r="E1325" s="1" t="n">
        <v>46326</v>
      </c>
      <c r="F1325" t="inlineStr">
        <is>
          <t>STOCKHOLMS LÄN</t>
        </is>
      </c>
      <c r="G1325" t="inlineStr">
        <is>
          <t>NYKVARN</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49530-2023</t>
        </is>
      </c>
      <c r="B1326" t="inlineStr">
        <is>
          <t>avverkningsanmälan</t>
        </is>
      </c>
      <c r="C1326" t="inlineStr">
        <is>
          <t>Föryngringsavverkning</t>
        </is>
      </c>
      <c r="D1326" s="1" t="n">
        <v>45205</v>
      </c>
      <c r="E1326" s="1" t="n">
        <v>46326</v>
      </c>
      <c r="F1326" t="inlineStr">
        <is>
          <t>STOCKHOLMS LÄN</t>
        </is>
      </c>
      <c r="G1326" t="inlineStr">
        <is>
          <t>VALLENTUNA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9032-2023</t>
        </is>
      </c>
      <c r="B1327" t="inlineStr">
        <is>
          <t>avverkningsanmälan</t>
        </is>
      </c>
      <c r="C1327" t="inlineStr">
        <is>
          <t>Föryngringsavverkning</t>
        </is>
      </c>
      <c r="D1327" s="1" t="n">
        <v>44979</v>
      </c>
      <c r="E1327" s="1" t="n">
        <v>46326</v>
      </c>
      <c r="F1327" t="inlineStr">
        <is>
          <t>STOCKHOLMS LÄN</t>
        </is>
      </c>
      <c r="G1327" t="inlineStr">
        <is>
          <t>BOTKYRKA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18548-2024</t>
        </is>
      </c>
      <c r="B1328" t="inlineStr">
        <is>
          <t>avverkningsanmälan</t>
        </is>
      </c>
      <c r="C1328" t="inlineStr">
        <is>
          <t>Föryngringsavverkning</t>
        </is>
      </c>
      <c r="D1328" s="1" t="n">
        <v>45425</v>
      </c>
      <c r="E1328" s="1" t="n">
        <v>46326</v>
      </c>
      <c r="F1328" t="inlineStr">
        <is>
          <t>STOCKHOLMS LÄN</t>
        </is>
      </c>
      <c r="G1328" t="inlineStr">
        <is>
          <t>HANINGE</t>
        </is>
      </c>
      <c r="H1328" t="inlineStr">
        <is>
          <t>Kommuner</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16008-2025</t>
        </is>
      </c>
      <c r="B1329" t="inlineStr">
        <is>
          <t>avverkningsanmälan</t>
        </is>
      </c>
      <c r="C1329" t="inlineStr">
        <is>
          <t>Avverkning för annat ändamål</t>
        </is>
      </c>
      <c r="D1329" s="1" t="n">
        <v>45749</v>
      </c>
      <c r="E1329" s="1" t="n">
        <v>46326</v>
      </c>
      <c r="F1329" t="inlineStr">
        <is>
          <t>STOCKHOLMS LÄN</t>
        </is>
      </c>
      <c r="G1329" t="inlineStr">
        <is>
          <t>NORRTÄLJE</t>
        </is>
      </c>
      <c r="H1329" t="inlineStr">
        <is>
          <t>Holmen skog AB</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28590-2024</t>
        </is>
      </c>
      <c r="B1330" t="inlineStr">
        <is>
          <t>avverkningsanmälan</t>
        </is>
      </c>
      <c r="C1330" t="inlineStr">
        <is>
          <t>Föryngringsavverkning</t>
        </is>
      </c>
      <c r="D1330" s="1" t="n">
        <v>45478</v>
      </c>
      <c r="E1330" s="1" t="n">
        <v>46326</v>
      </c>
      <c r="F1330" t="inlineStr">
        <is>
          <t>STOCKHOLMS LÄN</t>
        </is>
      </c>
      <c r="G1330" t="inlineStr">
        <is>
          <t>VÄRMDÖ</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62689-2025</t>
        </is>
      </c>
      <c r="B1331" t="inlineStr">
        <is>
          <t>avverkningsanmälan</t>
        </is>
      </c>
      <c r="C1331" t="inlineStr">
        <is>
          <t>Föryngringsavverkning</t>
        </is>
      </c>
      <c r="D1331" s="1" t="n">
        <v>46008</v>
      </c>
      <c r="E1331" s="1" t="n">
        <v>46326</v>
      </c>
      <c r="F1331" t="inlineStr">
        <is>
          <t>STOCKHOLMS LÄN</t>
        </is>
      </c>
      <c r="G1331" t="inlineStr">
        <is>
          <t>NORRTÄLJE</t>
        </is>
      </c>
      <c r="H1331" t="inlineStr">
        <is>
          <t>Kyrkan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21158-2022</t>
        </is>
      </c>
      <c r="B1332" t="inlineStr">
        <is>
          <t>avverkningsanmälan</t>
        </is>
      </c>
      <c r="C1332" t="inlineStr">
        <is>
          <t>Föryngringsavverkning</t>
        </is>
      </c>
      <c r="D1332" s="1" t="n">
        <v>44704</v>
      </c>
      <c r="E1332" s="1" t="n">
        <v>46326</v>
      </c>
      <c r="F1332" t="inlineStr">
        <is>
          <t>STOCKHOLMS LÄN</t>
        </is>
      </c>
      <c r="G1332" t="inlineStr">
        <is>
          <t>NORRTÄLJE</t>
        </is>
      </c>
      <c r="I1332" t="n">
        <v>17.8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63378-2025</t>
        </is>
      </c>
      <c r="B1333" t="inlineStr">
        <is>
          <t>avverkningsanmälan</t>
        </is>
      </c>
      <c r="C1333" t="inlineStr">
        <is>
          <t>Föryngringsavverkning</t>
        </is>
      </c>
      <c r="D1333" s="1" t="n">
        <v>46010</v>
      </c>
      <c r="E1333" s="1" t="n">
        <v>46326</v>
      </c>
      <c r="F1333" t="inlineStr">
        <is>
          <t>STOCKHOLMS LÄN</t>
        </is>
      </c>
      <c r="G1333" t="inlineStr">
        <is>
          <t>EKERÖ</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52542-2023</t>
        </is>
      </c>
      <c r="B1334" t="inlineStr">
        <is>
          <t>avverkningsanmälan</t>
        </is>
      </c>
      <c r="C1334" t="inlineStr">
        <is>
          <t>Föryngringsavverkning</t>
        </is>
      </c>
      <c r="D1334" s="1" t="n">
        <v>45225</v>
      </c>
      <c r="E1334" s="1" t="n">
        <v>46326</v>
      </c>
      <c r="F1334" t="inlineStr">
        <is>
          <t>STOCKHOLMS LÄN</t>
        </is>
      </c>
      <c r="G1334" t="inlineStr">
        <is>
          <t>VALLENTUNA</t>
        </is>
      </c>
      <c r="I1334" t="n">
        <v>3.8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32101-2022</t>
        </is>
      </c>
      <c r="B1335" t="inlineStr">
        <is>
          <t>avverkningsanmälan</t>
        </is>
      </c>
      <c r="C1335" t="inlineStr">
        <is>
          <t>Föryngringsavverkning</t>
        </is>
      </c>
      <c r="D1335" s="1" t="n">
        <v>44778</v>
      </c>
      <c r="E1335" s="1" t="n">
        <v>46326</v>
      </c>
      <c r="F1335" t="inlineStr">
        <is>
          <t>STOCKHOLMS LÄN</t>
        </is>
      </c>
      <c r="G1335" t="inlineStr">
        <is>
          <t>NORRTÄLJE</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23150-2024</t>
        </is>
      </c>
      <c r="B1336" t="inlineStr">
        <is>
          <t>avverkningsanmälan</t>
        </is>
      </c>
      <c r="C1336" t="inlineStr">
        <is>
          <t>Föryngringsavverkning</t>
        </is>
      </c>
      <c r="D1336" s="1" t="n">
        <v>45450</v>
      </c>
      <c r="E1336" s="1" t="n">
        <v>46326</v>
      </c>
      <c r="F1336" t="inlineStr">
        <is>
          <t>STOCKHOLMS LÄN</t>
        </is>
      </c>
      <c r="G1336" t="inlineStr">
        <is>
          <t>NORRTÄLJE</t>
        </is>
      </c>
      <c r="H1336" t="inlineStr">
        <is>
          <t>Kommuner</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2318-2024</t>
        </is>
      </c>
      <c r="B1337" t="inlineStr">
        <is>
          <t>avverkningsanmälan</t>
        </is>
      </c>
      <c r="C1337" t="inlineStr">
        <is>
          <t>Föryngringsavverkning</t>
        </is>
      </c>
      <c r="D1337" s="1" t="n">
        <v>45310</v>
      </c>
      <c r="E1337" s="1" t="n">
        <v>46326</v>
      </c>
      <c r="F1337" t="inlineStr">
        <is>
          <t>STOCKHOLMS LÄN</t>
        </is>
      </c>
      <c r="G1337" t="inlineStr">
        <is>
          <t>VALLENTUNA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24933-2023</t>
        </is>
      </c>
      <c r="B1338" t="inlineStr">
        <is>
          <t>avverkningsanmälan</t>
        </is>
      </c>
      <c r="C1338" t="inlineStr">
        <is>
          <t>Föryngringsavverkning</t>
        </is>
      </c>
      <c r="D1338" s="1" t="n">
        <v>45085</v>
      </c>
      <c r="E1338" s="1" t="n">
        <v>46326</v>
      </c>
      <c r="F1338" t="inlineStr">
        <is>
          <t>STOCKHOLMS LÄN</t>
        </is>
      </c>
      <c r="G1338" t="inlineStr">
        <is>
          <t>NORRTÄLJE</t>
        </is>
      </c>
      <c r="H1338" t="inlineStr">
        <is>
          <t>Holmen skog AB</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14475-2026</t>
        </is>
      </c>
      <c r="B1339" t="inlineStr">
        <is>
          <t>avverkningsanmälan</t>
        </is>
      </c>
      <c r="C1339" t="inlineStr">
        <is>
          <t>Föryngringsavverkning</t>
        </is>
      </c>
      <c r="D1339" s="1" t="n">
        <v>46100</v>
      </c>
      <c r="E1339" s="1" t="n">
        <v>46326</v>
      </c>
      <c r="F1339" t="inlineStr">
        <is>
          <t>STOCKHOLMS LÄN</t>
        </is>
      </c>
      <c r="G1339" t="inlineStr">
        <is>
          <t>NORRTÄLJE</t>
        </is>
      </c>
      <c r="I1339" t="n">
        <v>12.3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314-2022</t>
        </is>
      </c>
      <c r="B1340" t="inlineStr">
        <is>
          <t>avverkningsanmälan</t>
        </is>
      </c>
      <c r="C1340" t="inlineStr">
        <is>
          <t>Föryngringsavverkning</t>
        </is>
      </c>
      <c r="D1340" s="1" t="n">
        <v>44564</v>
      </c>
      <c r="E1340" s="1" t="n">
        <v>46326</v>
      </c>
      <c r="F1340" t="inlineStr">
        <is>
          <t>STOCKHOLMS LÄN</t>
        </is>
      </c>
      <c r="G1340" t="inlineStr">
        <is>
          <t>SÖDERTÄLJE</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20839-2024</t>
        </is>
      </c>
      <c r="B1341" t="inlineStr">
        <is>
          <t>avverkningsanmälan</t>
        </is>
      </c>
      <c r="C1341" t="inlineStr">
        <is>
          <t>Föryngringsavverkning</t>
        </is>
      </c>
      <c r="D1341" s="1" t="n">
        <v>45439</v>
      </c>
      <c r="E1341" s="1" t="n">
        <v>46326</v>
      </c>
      <c r="F1341" t="inlineStr">
        <is>
          <t>STOCKHOLMS LÄN</t>
        </is>
      </c>
      <c r="G1341" t="inlineStr">
        <is>
          <t>HANINGE</t>
        </is>
      </c>
      <c r="I1341" t="n">
        <v>8.4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14348-2026</t>
        </is>
      </c>
      <c r="B1342" t="inlineStr">
        <is>
          <t>avverkningsanmälan</t>
        </is>
      </c>
      <c r="C1342" t="inlineStr">
        <is>
          <t>Föryngringsavverkning</t>
        </is>
      </c>
      <c r="D1342" s="1" t="n">
        <v>46100</v>
      </c>
      <c r="E1342" s="1" t="n">
        <v>46326</v>
      </c>
      <c r="F1342" t="inlineStr">
        <is>
          <t>STOCKHOLMS LÄN</t>
        </is>
      </c>
      <c r="G1342" t="inlineStr">
        <is>
          <t>NORRTÄLJE</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56631-2024</t>
        </is>
      </c>
      <c r="B1343" t="inlineStr">
        <is>
          <t>avverkningsanmälan</t>
        </is>
      </c>
      <c r="C1343" t="inlineStr">
        <is>
          <t>Föryngringsavverkning</t>
        </is>
      </c>
      <c r="D1343" s="1" t="n">
        <v>45625</v>
      </c>
      <c r="E1343" s="1" t="n">
        <v>46326</v>
      </c>
      <c r="F1343" t="inlineStr">
        <is>
          <t>STOCKHOLMS LÄN</t>
        </is>
      </c>
      <c r="G1343" t="inlineStr">
        <is>
          <t>NORRTÄLJE</t>
        </is>
      </c>
      <c r="I1343" t="n">
        <v>8.199999999999999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487-2024</t>
        </is>
      </c>
      <c r="B1344" t="inlineStr">
        <is>
          <t>avverkningsanmälan</t>
        </is>
      </c>
      <c r="C1344" t="inlineStr">
        <is>
          <t>Föryngringsavverkning</t>
        </is>
      </c>
      <c r="D1344" s="1" t="n">
        <v>45298</v>
      </c>
      <c r="E1344" s="1" t="n">
        <v>46326</v>
      </c>
      <c r="F1344" t="inlineStr">
        <is>
          <t>STOCKHOLMS LÄN</t>
        </is>
      </c>
      <c r="G1344" t="inlineStr">
        <is>
          <t>SÖDERTÄLJE</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14799-2026</t>
        </is>
      </c>
      <c r="B1345" t="inlineStr">
        <is>
          <t>avverkningsanmälan</t>
        </is>
      </c>
      <c r="C1345" t="inlineStr">
        <is>
          <t>Föryngringsavverkning</t>
        </is>
      </c>
      <c r="D1345" s="1" t="n">
        <v>46102</v>
      </c>
      <c r="E1345" s="1" t="n">
        <v>46326</v>
      </c>
      <c r="F1345" t="inlineStr">
        <is>
          <t>STOCKHOLMS LÄN</t>
        </is>
      </c>
      <c r="G1345" t="inlineStr">
        <is>
          <t>VALLENTUNA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21445-2023</t>
        </is>
      </c>
      <c r="B1346" t="inlineStr">
        <is>
          <t>avverkningsanmälan</t>
        </is>
      </c>
      <c r="C1346" t="inlineStr">
        <is>
          <t>Föryngringsavverkning</t>
        </is>
      </c>
      <c r="D1346" s="1" t="n">
        <v>45063</v>
      </c>
      <c r="E1346" s="1" t="n">
        <v>46326</v>
      </c>
      <c r="F1346" t="inlineStr">
        <is>
          <t>STOCKHOLMS LÄN</t>
        </is>
      </c>
      <c r="G1346" t="inlineStr">
        <is>
          <t>VALLENTUNA</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234-2026</t>
        </is>
      </c>
      <c r="B1347" t="inlineStr">
        <is>
          <t>avverkningsanmälan</t>
        </is>
      </c>
      <c r="C1347" t="inlineStr">
        <is>
          <t>Föryngringsavverkning</t>
        </is>
      </c>
      <c r="D1347" s="1" t="n">
        <v>46027</v>
      </c>
      <c r="E1347" s="1" t="n">
        <v>46326</v>
      </c>
      <c r="F1347" t="inlineStr">
        <is>
          <t>STOCKHOLMS LÄN</t>
        </is>
      </c>
      <c r="G1347" t="inlineStr">
        <is>
          <t>SÖDERTÄLJE</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243-2026</t>
        </is>
      </c>
      <c r="B1348" t="inlineStr">
        <is>
          <t>avverkningsanmälan</t>
        </is>
      </c>
      <c r="C1348" t="inlineStr">
        <is>
          <t>Föryngringsavverkning</t>
        </is>
      </c>
      <c r="D1348" s="1" t="n">
        <v>46027</v>
      </c>
      <c r="E1348" s="1" t="n">
        <v>46326</v>
      </c>
      <c r="F1348" t="inlineStr">
        <is>
          <t>STOCKHOLMS LÄN</t>
        </is>
      </c>
      <c r="G1348" t="inlineStr">
        <is>
          <t>SÖDERTÄLJE</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11499-2023</t>
        </is>
      </c>
      <c r="B1349" t="inlineStr">
        <is>
          <t>avverkningsanmälan</t>
        </is>
      </c>
      <c r="C1349" t="inlineStr">
        <is>
          <t>Föryngringsavverkning</t>
        </is>
      </c>
      <c r="D1349" s="1" t="n">
        <v>44993</v>
      </c>
      <c r="E1349" s="1" t="n">
        <v>46326</v>
      </c>
      <c r="F1349" t="inlineStr">
        <is>
          <t>STOCKHOLMS LÄN</t>
        </is>
      </c>
      <c r="G1349" t="inlineStr">
        <is>
          <t>NORRTÄLJE</t>
        </is>
      </c>
      <c r="H1349" t="inlineStr">
        <is>
          <t>Holmen skog AB</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45319-2023</t>
        </is>
      </c>
      <c r="B1350" t="inlineStr">
        <is>
          <t>avverkningsanmälan</t>
        </is>
      </c>
      <c r="C1350" t="inlineStr">
        <is>
          <t>Föryngringsavverkning</t>
        </is>
      </c>
      <c r="D1350" s="1" t="n">
        <v>45191</v>
      </c>
      <c r="E1350" s="1" t="n">
        <v>46326</v>
      </c>
      <c r="F1350" t="inlineStr">
        <is>
          <t>STOCKHOLMS LÄN</t>
        </is>
      </c>
      <c r="G1350" t="inlineStr">
        <is>
          <t>SIGTUNA</t>
        </is>
      </c>
      <c r="H1350" t="inlineStr">
        <is>
          <t>Allmännings- och besparingsskogar</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576-2023</t>
        </is>
      </c>
      <c r="B1351" t="inlineStr">
        <is>
          <t>avverkningsanmälan</t>
        </is>
      </c>
      <c r="C1351" t="inlineStr">
        <is>
          <t>Föryngringsavverkning</t>
        </is>
      </c>
      <c r="D1351" s="1" t="n">
        <v>44925</v>
      </c>
      <c r="E1351" s="1" t="n">
        <v>46326</v>
      </c>
      <c r="F1351" t="inlineStr">
        <is>
          <t>STOCKHOLMS LÄN</t>
        </is>
      </c>
      <c r="G1351" t="inlineStr">
        <is>
          <t>NORRTÄLJE</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59402-2022</t>
        </is>
      </c>
      <c r="B1352" t="inlineStr">
        <is>
          <t>avverkningsanmälan</t>
        </is>
      </c>
      <c r="C1352" t="inlineStr">
        <is>
          <t>Föryngringsavverkning</t>
        </is>
      </c>
      <c r="D1352" s="1" t="n">
        <v>44906</v>
      </c>
      <c r="E1352" s="1" t="n">
        <v>46326</v>
      </c>
      <c r="F1352" t="inlineStr">
        <is>
          <t>STOCKHOLMS LÄN</t>
        </is>
      </c>
      <c r="G1352" t="inlineStr">
        <is>
          <t>UPPLANDS-BRO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10678-2025</t>
        </is>
      </c>
      <c r="B1353" t="inlineStr">
        <is>
          <t>avverkningsanmälan</t>
        </is>
      </c>
      <c r="C1353" t="inlineStr">
        <is>
          <t>Föryngringsavverkning</t>
        </is>
      </c>
      <c r="D1353" s="1" t="n">
        <v>45721</v>
      </c>
      <c r="E1353" s="1" t="n">
        <v>46326</v>
      </c>
      <c r="F1353" t="inlineStr">
        <is>
          <t>STOCKHOLMS LÄN</t>
        </is>
      </c>
      <c r="G1353" t="inlineStr">
        <is>
          <t>NORRTÄLJE</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31936-2022</t>
        </is>
      </c>
      <c r="B1354" t="inlineStr">
        <is>
          <t>avverkningsanmälan</t>
        </is>
      </c>
      <c r="C1354" t="inlineStr">
        <is>
          <t>Föryngringsavverkning</t>
        </is>
      </c>
      <c r="D1354" s="1" t="n">
        <v>44777</v>
      </c>
      <c r="E1354" s="1" t="n">
        <v>46326</v>
      </c>
      <c r="F1354" t="inlineStr">
        <is>
          <t>STOCKHOLMS LÄN</t>
        </is>
      </c>
      <c r="G1354" t="inlineStr">
        <is>
          <t>NORRTÄLJE</t>
        </is>
      </c>
      <c r="I1354" t="n">
        <v>5.2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5474-2024</t>
        </is>
      </c>
      <c r="B1355" t="inlineStr">
        <is>
          <t>avverkningsanmälan</t>
        </is>
      </c>
      <c r="C1355" t="inlineStr">
        <is>
          <t>Föryngringsavverkning</t>
        </is>
      </c>
      <c r="D1355" s="1" t="n">
        <v>45333</v>
      </c>
      <c r="E1355" s="1" t="n">
        <v>46326</v>
      </c>
      <c r="F1355" t="inlineStr">
        <is>
          <t>STOCKHOLMS LÄN</t>
        </is>
      </c>
      <c r="G1355" t="inlineStr">
        <is>
          <t>HANINGE</t>
        </is>
      </c>
      <c r="H1355" t="inlineStr">
        <is>
          <t>Kommuner</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59873-2024</t>
        </is>
      </c>
      <c r="B1356" t="inlineStr">
        <is>
          <t>avverkningsanmälan</t>
        </is>
      </c>
      <c r="C1356" t="inlineStr">
        <is>
          <t>Föryngringsavverkning</t>
        </is>
      </c>
      <c r="D1356" s="1" t="n">
        <v>45640</v>
      </c>
      <c r="E1356" s="1" t="n">
        <v>46326</v>
      </c>
      <c r="F1356" t="inlineStr">
        <is>
          <t>STOCKHOLMS LÄN</t>
        </is>
      </c>
      <c r="G1356" t="inlineStr">
        <is>
          <t>NORRTÄLJE</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2240-2023</t>
        </is>
      </c>
      <c r="B1357" t="inlineStr">
        <is>
          <t>avverkningsanmälan</t>
        </is>
      </c>
      <c r="C1357" t="inlineStr">
        <is>
          <t>Föryngringsavverkning</t>
        </is>
      </c>
      <c r="D1357" s="1" t="n">
        <v>44938</v>
      </c>
      <c r="E1357" s="1" t="n">
        <v>46326</v>
      </c>
      <c r="F1357" t="inlineStr">
        <is>
          <t>STOCKHOLMS LÄN</t>
        </is>
      </c>
      <c r="G1357" t="inlineStr">
        <is>
          <t>VÄRMDÖ</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35916-2024</t>
        </is>
      </c>
      <c r="B1358" t="inlineStr">
        <is>
          <t>avverkningsanmälan</t>
        </is>
      </c>
      <c r="C1358" t="inlineStr">
        <is>
          <t>Föryngringsavverkning</t>
        </is>
      </c>
      <c r="D1358" s="1" t="n">
        <v>45533</v>
      </c>
      <c r="E1358" s="1" t="n">
        <v>46326</v>
      </c>
      <c r="F1358" t="inlineStr">
        <is>
          <t>STOCKHOLMS LÄN</t>
        </is>
      </c>
      <c r="G1358" t="inlineStr">
        <is>
          <t>NORRTÄLJE</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10098-2022</t>
        </is>
      </c>
      <c r="B1359" t="inlineStr">
        <is>
          <t>avverkningsanmälan</t>
        </is>
      </c>
      <c r="C1359" t="inlineStr">
        <is>
          <t>Föryngringsavverkning</t>
        </is>
      </c>
      <c r="D1359" s="1" t="n">
        <v>44621</v>
      </c>
      <c r="E1359" s="1" t="n">
        <v>46326</v>
      </c>
      <c r="F1359" t="inlineStr">
        <is>
          <t>STOCKHOLMS LÄN</t>
        </is>
      </c>
      <c r="G1359" t="inlineStr">
        <is>
          <t>NORRTÄLJE</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63161-2023</t>
        </is>
      </c>
      <c r="B1360" t="inlineStr">
        <is>
          <t>avverkningsanmälan</t>
        </is>
      </c>
      <c r="C1360" t="inlineStr">
        <is>
          <t>Föryngringsavverkning</t>
        </is>
      </c>
      <c r="D1360" s="1" t="n">
        <v>45273</v>
      </c>
      <c r="E1360" s="1" t="n">
        <v>46326</v>
      </c>
      <c r="F1360" t="inlineStr">
        <is>
          <t>STOCKHOLMS LÄN</t>
        </is>
      </c>
      <c r="G1360" t="inlineStr">
        <is>
          <t>NORRTÄLJE</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15964-2026</t>
        </is>
      </c>
      <c r="B1361" t="inlineStr">
        <is>
          <t>avverkningsanmälan</t>
        </is>
      </c>
      <c r="C1361" t="inlineStr">
        <is>
          <t>Föryngringsavverkning</t>
        </is>
      </c>
      <c r="D1361" s="1" t="n">
        <v>46108</v>
      </c>
      <c r="E1361" s="1" t="n">
        <v>46326</v>
      </c>
      <c r="F1361" t="inlineStr">
        <is>
          <t>STOCKHOLMS LÄN</t>
        </is>
      </c>
      <c r="G1361" t="inlineStr">
        <is>
          <t>SÖDERTÄLJE</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35955-2023</t>
        </is>
      </c>
      <c r="B1362" t="inlineStr">
        <is>
          <t>avverkningsanmälan</t>
        </is>
      </c>
      <c r="C1362" t="inlineStr">
        <is>
          <t>Föryngringsavverkning</t>
        </is>
      </c>
      <c r="D1362" s="1" t="n">
        <v>45148</v>
      </c>
      <c r="E1362" s="1" t="n">
        <v>46326</v>
      </c>
      <c r="F1362" t="inlineStr">
        <is>
          <t>STOCKHOLMS LÄN</t>
        </is>
      </c>
      <c r="G1362" t="inlineStr">
        <is>
          <t>EKERÖ</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58041-2024</t>
        </is>
      </c>
      <c r="B1363" t="inlineStr">
        <is>
          <t>avverkningsanmälan</t>
        </is>
      </c>
      <c r="C1363" t="inlineStr">
        <is>
          <t>Föryngringsavverkning</t>
        </is>
      </c>
      <c r="D1363" s="1" t="n">
        <v>45631</v>
      </c>
      <c r="E1363" s="1" t="n">
        <v>46326</v>
      </c>
      <c r="F1363" t="inlineStr">
        <is>
          <t>STOCKHOLMS LÄN</t>
        </is>
      </c>
      <c r="G1363" t="inlineStr">
        <is>
          <t>NORRTÄLJE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30268-2024</t>
        </is>
      </c>
      <c r="B1364" t="inlineStr">
        <is>
          <t>avverkningsanmälan</t>
        </is>
      </c>
      <c r="C1364" t="inlineStr">
        <is>
          <t>Föryngringsavverkning</t>
        </is>
      </c>
      <c r="D1364" s="1" t="n">
        <v>45490</v>
      </c>
      <c r="E1364" s="1" t="n">
        <v>46326</v>
      </c>
      <c r="F1364" t="inlineStr">
        <is>
          <t>STOCKHOLMS LÄN</t>
        </is>
      </c>
      <c r="G1364" t="inlineStr">
        <is>
          <t>NORRTÄLJE</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73155-2021</t>
        </is>
      </c>
      <c r="B1365" t="inlineStr">
        <is>
          <t>avverkningsanmälan</t>
        </is>
      </c>
      <c r="C1365" t="inlineStr">
        <is>
          <t>Föryngringsavverkning</t>
        </is>
      </c>
      <c r="D1365" s="1" t="n">
        <v>44550</v>
      </c>
      <c r="E1365" s="1" t="n">
        <v>46326</v>
      </c>
      <c r="F1365" t="inlineStr">
        <is>
          <t>STOCKHOLMS LÄN</t>
        </is>
      </c>
      <c r="G1365" t="inlineStr">
        <is>
          <t>BOTKYRKA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4316-2023</t>
        </is>
      </c>
      <c r="B1366" t="inlineStr">
        <is>
          <t>avverkningsanmälan</t>
        </is>
      </c>
      <c r="C1366" t="inlineStr">
        <is>
          <t>Föryngringsavverkning</t>
        </is>
      </c>
      <c r="D1366" s="1" t="n">
        <v>44953</v>
      </c>
      <c r="E1366" s="1" t="n">
        <v>46326</v>
      </c>
      <c r="F1366" t="inlineStr">
        <is>
          <t>STOCKHOLMS LÄN</t>
        </is>
      </c>
      <c r="G1366" t="inlineStr">
        <is>
          <t>NORRTÄLJE</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23666-2024</t>
        </is>
      </c>
      <c r="B1367" t="inlineStr">
        <is>
          <t>avverkningsanmälan</t>
        </is>
      </c>
      <c r="C1367" t="inlineStr">
        <is>
          <t>Föryngringsavverkning</t>
        </is>
      </c>
      <c r="D1367" s="1" t="n">
        <v>45454</v>
      </c>
      <c r="E1367" s="1" t="n">
        <v>46326</v>
      </c>
      <c r="F1367" t="inlineStr">
        <is>
          <t>STOCKHOLMS LÄN</t>
        </is>
      </c>
      <c r="G1367" t="inlineStr">
        <is>
          <t>HANINGE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41587-2023</t>
        </is>
      </c>
      <c r="B1368" t="inlineStr">
        <is>
          <t>avverkningsanmälan</t>
        </is>
      </c>
      <c r="C1368" t="inlineStr">
        <is>
          <t>Avverkning för annat ändamål</t>
        </is>
      </c>
      <c r="D1368" s="1" t="n">
        <v>45175</v>
      </c>
      <c r="E1368" s="1" t="n">
        <v>46326</v>
      </c>
      <c r="F1368" t="inlineStr">
        <is>
          <t>STOCKHOLMS LÄN</t>
        </is>
      </c>
      <c r="G1368" t="inlineStr">
        <is>
          <t>NORRTÄLJE</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17025-2026</t>
        </is>
      </c>
      <c r="B1369" t="inlineStr">
        <is>
          <t>avverkningsanmälan</t>
        </is>
      </c>
      <c r="C1369" t="inlineStr">
        <is>
          <t>Föryngringsavverkning</t>
        </is>
      </c>
      <c r="D1369" s="1" t="n">
        <v>46113</v>
      </c>
      <c r="E1369" s="1" t="n">
        <v>46326</v>
      </c>
      <c r="F1369" t="inlineStr">
        <is>
          <t>STOCKHOLMS LÄN</t>
        </is>
      </c>
      <c r="G1369" t="inlineStr">
        <is>
          <t>NORRTÄLJE</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16862-2026</t>
        </is>
      </c>
      <c r="B1370" t="inlineStr">
        <is>
          <t>avverkningsanmälan</t>
        </is>
      </c>
      <c r="C1370" t="inlineStr">
        <is>
          <t>Föryngringsavverkning</t>
        </is>
      </c>
      <c r="D1370" s="1" t="n">
        <v>46113</v>
      </c>
      <c r="E1370" s="1" t="n">
        <v>46326</v>
      </c>
      <c r="F1370" t="inlineStr">
        <is>
          <t>STOCKHOLMS LÄN</t>
        </is>
      </c>
      <c r="G1370" t="inlineStr">
        <is>
          <t>UPPLANDS VÄSBY</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47576-2023</t>
        </is>
      </c>
      <c r="B1371" t="inlineStr">
        <is>
          <t>avverkningsanmälan</t>
        </is>
      </c>
      <c r="C1371" t="inlineStr">
        <is>
          <t>Föryngringsavverkning</t>
        </is>
      </c>
      <c r="D1371" s="1" t="n">
        <v>45197</v>
      </c>
      <c r="E1371" s="1" t="n">
        <v>46326</v>
      </c>
      <c r="F1371" t="inlineStr">
        <is>
          <t>STOCKHOLMS LÄN</t>
        </is>
      </c>
      <c r="G1371" t="inlineStr">
        <is>
          <t>SÖDERTÄLJE</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16854-2026</t>
        </is>
      </c>
      <c r="B1372" t="inlineStr">
        <is>
          <t>avverkningsanmälan</t>
        </is>
      </c>
      <c r="C1372" t="inlineStr">
        <is>
          <t>Föryngringsavverkning</t>
        </is>
      </c>
      <c r="D1372" s="1" t="n">
        <v>46113</v>
      </c>
      <c r="E1372" s="1" t="n">
        <v>46326</v>
      </c>
      <c r="F1372" t="inlineStr">
        <is>
          <t>STOCKHOLMS LÄN</t>
        </is>
      </c>
      <c r="G1372" t="inlineStr">
        <is>
          <t>UPPLANDS VÄSBY</t>
        </is>
      </c>
      <c r="I1372" t="n">
        <v>5.5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34441-2023</t>
        </is>
      </c>
      <c r="B1373" t="inlineStr">
        <is>
          <t>avverkningsanmälan</t>
        </is>
      </c>
      <c r="C1373" t="inlineStr">
        <is>
          <t>Föryngringsavverkning</t>
        </is>
      </c>
      <c r="D1373" s="1" t="n">
        <v>45139</v>
      </c>
      <c r="E1373" s="1" t="n">
        <v>46326</v>
      </c>
      <c r="F1373" t="inlineStr">
        <is>
          <t>STOCKHOLMS LÄN</t>
        </is>
      </c>
      <c r="G1373" t="inlineStr">
        <is>
          <t>VALLENTUNA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34445-2023</t>
        </is>
      </c>
      <c r="B1374" t="inlineStr">
        <is>
          <t>avverkningsanmälan</t>
        </is>
      </c>
      <c r="C1374" t="inlineStr">
        <is>
          <t>Föryngringsavverkning</t>
        </is>
      </c>
      <c r="D1374" s="1" t="n">
        <v>45139</v>
      </c>
      <c r="E1374" s="1" t="n">
        <v>46326</v>
      </c>
      <c r="F1374" t="inlineStr">
        <is>
          <t>STOCKHOLMS LÄN</t>
        </is>
      </c>
      <c r="G1374" t="inlineStr">
        <is>
          <t>VALLENTUNA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11280-2023</t>
        </is>
      </c>
      <c r="B1375" t="inlineStr">
        <is>
          <t>avverkningsanmälan</t>
        </is>
      </c>
      <c r="C1375" t="inlineStr">
        <is>
          <t>Föryngringsavverkning</t>
        </is>
      </c>
      <c r="D1375" s="1" t="n">
        <v>44992</v>
      </c>
      <c r="E1375" s="1" t="n">
        <v>46326</v>
      </c>
      <c r="F1375" t="inlineStr">
        <is>
          <t>STOCKHOLMS LÄN</t>
        </is>
      </c>
      <c r="G1375" t="inlineStr">
        <is>
          <t>NORRTÄLJE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17347-2026</t>
        </is>
      </c>
      <c r="B1376" t="inlineStr">
        <is>
          <t>avverkningsanmälan</t>
        </is>
      </c>
      <c r="C1376" t="inlineStr">
        <is>
          <t>Föryngringsavverkning</t>
        </is>
      </c>
      <c r="D1376" s="1" t="n">
        <v>46119</v>
      </c>
      <c r="E1376" s="1" t="n">
        <v>46326</v>
      </c>
      <c r="F1376" t="inlineStr">
        <is>
          <t>STOCKHOLMS LÄN</t>
        </is>
      </c>
      <c r="G1376" t="inlineStr">
        <is>
          <t>NORRTÄLJE</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68896-2021</t>
        </is>
      </c>
      <c r="B1377" t="inlineStr">
        <is>
          <t>avverkningsanmälan</t>
        </is>
      </c>
      <c r="C1377" t="inlineStr">
        <is>
          <t>Föryngringsavverkning</t>
        </is>
      </c>
      <c r="D1377" s="1" t="n">
        <v>44526</v>
      </c>
      <c r="E1377" s="1" t="n">
        <v>46326</v>
      </c>
      <c r="F1377" t="inlineStr">
        <is>
          <t>STOCKHOLMS LÄN</t>
        </is>
      </c>
      <c r="G1377" t="inlineStr">
        <is>
          <t>HANINGE</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26668-2024</t>
        </is>
      </c>
      <c r="B1378" t="inlineStr">
        <is>
          <t>avverkningsanmälan</t>
        </is>
      </c>
      <c r="C1378" t="inlineStr">
        <is>
          <t>Avverkning för att bevara och utveckla /försöksver</t>
        </is>
      </c>
      <c r="D1378" s="1" t="n">
        <v>45469</v>
      </c>
      <c r="E1378" s="1" t="n">
        <v>46326</v>
      </c>
      <c r="F1378" t="inlineStr">
        <is>
          <t>STOCKHOLMS LÄN</t>
        </is>
      </c>
      <c r="G1378" t="inlineStr">
        <is>
          <t>NORRTÄLJE</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17207-2026</t>
        </is>
      </c>
      <c r="B1379" t="inlineStr">
        <is>
          <t>avverkningsanmälan</t>
        </is>
      </c>
      <c r="C1379" t="inlineStr">
        <is>
          <t>Föryngringsavverkning</t>
        </is>
      </c>
      <c r="D1379" s="1" t="n">
        <v>46119</v>
      </c>
      <c r="E1379" s="1" t="n">
        <v>46326</v>
      </c>
      <c r="F1379" t="inlineStr">
        <is>
          <t>STOCKHOLMS LÄN</t>
        </is>
      </c>
      <c r="G1379" t="inlineStr">
        <is>
          <t>NORRTÄLJE</t>
        </is>
      </c>
      <c r="H1379" t="inlineStr">
        <is>
          <t>Holmen skog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17345-2026</t>
        </is>
      </c>
      <c r="B1380" t="inlineStr">
        <is>
          <t>avverkningsanmälan</t>
        </is>
      </c>
      <c r="C1380" t="inlineStr">
        <is>
          <t>Föryngringsavverkning</t>
        </is>
      </c>
      <c r="D1380" s="1" t="n">
        <v>46119</v>
      </c>
      <c r="E1380" s="1" t="n">
        <v>46326</v>
      </c>
      <c r="F1380" t="inlineStr">
        <is>
          <t>STOCKHOLMS LÄN</t>
        </is>
      </c>
      <c r="G1380" t="inlineStr">
        <is>
          <t>NORRTÄLJE</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54583-2023</t>
        </is>
      </c>
      <c r="B1381" t="inlineStr">
        <is>
          <t>avverkningsanmälan</t>
        </is>
      </c>
      <c r="C1381" t="inlineStr">
        <is>
          <t>Föryngringsavverkning</t>
        </is>
      </c>
      <c r="D1381" s="1" t="n">
        <v>45233</v>
      </c>
      <c r="E1381" s="1" t="n">
        <v>46326</v>
      </c>
      <c r="F1381" t="inlineStr">
        <is>
          <t>STOCKHOLMS LÄN</t>
        </is>
      </c>
      <c r="G1381" t="inlineStr">
        <is>
          <t>NYKVARN</t>
        </is>
      </c>
      <c r="H1381" t="inlineStr">
        <is>
          <t>Kommuner</t>
        </is>
      </c>
      <c r="I1381" t="n">
        <v>8.4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17215-2026</t>
        </is>
      </c>
      <c r="B1382" t="inlineStr">
        <is>
          <t>avverkningsanmälan</t>
        </is>
      </c>
      <c r="C1382" t="inlineStr">
        <is>
          <t>Föryngringsavverkning</t>
        </is>
      </c>
      <c r="D1382" s="1" t="n">
        <v>46119</v>
      </c>
      <c r="E1382" s="1" t="n">
        <v>46326</v>
      </c>
      <c r="F1382" t="inlineStr">
        <is>
          <t>STOCKHOLMS LÄN</t>
        </is>
      </c>
      <c r="G1382" t="inlineStr">
        <is>
          <t>NORRTÄLJE</t>
        </is>
      </c>
      <c r="H1382" t="inlineStr">
        <is>
          <t>Holmen skog AB</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54670-2023</t>
        </is>
      </c>
      <c r="B1383" t="inlineStr">
        <is>
          <t>avverkningsanmälan</t>
        </is>
      </c>
      <c r="C1383" t="inlineStr">
        <is>
          <t>Föryngringsavverkning</t>
        </is>
      </c>
      <c r="D1383" s="1" t="n">
        <v>45235</v>
      </c>
      <c r="E1383" s="1" t="n">
        <v>46326</v>
      </c>
      <c r="F1383" t="inlineStr">
        <is>
          <t>STOCKHOLMS LÄN</t>
        </is>
      </c>
      <c r="G1383" t="inlineStr">
        <is>
          <t>NYKVARN</t>
        </is>
      </c>
      <c r="H1383" t="inlineStr">
        <is>
          <t>Kommuner</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35906-2022</t>
        </is>
      </c>
      <c r="B1384" t="inlineStr">
        <is>
          <t>avverkningsanmälan</t>
        </is>
      </c>
      <c r="C1384" t="inlineStr">
        <is>
          <t>Avverkning för annat ändamål</t>
        </is>
      </c>
      <c r="D1384" s="1" t="n">
        <v>44802</v>
      </c>
      <c r="E1384" s="1" t="n">
        <v>46326</v>
      </c>
      <c r="F1384" t="inlineStr">
        <is>
          <t>STOCKHOLMS LÄN</t>
        </is>
      </c>
      <c r="G1384" t="inlineStr">
        <is>
          <t>SÖDERTÄLJE</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31926-2022</t>
        </is>
      </c>
      <c r="B1385" t="inlineStr">
        <is>
          <t>avverkningsanmälan</t>
        </is>
      </c>
      <c r="C1385" t="inlineStr">
        <is>
          <t>Föryngringsavverkning</t>
        </is>
      </c>
      <c r="D1385" s="1" t="n">
        <v>44777</v>
      </c>
      <c r="E1385" s="1" t="n">
        <v>46326</v>
      </c>
      <c r="F1385" t="inlineStr">
        <is>
          <t>STOCKHOLMS LÄN</t>
        </is>
      </c>
      <c r="G1385" t="inlineStr">
        <is>
          <t>NORRTÄLJE</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47173-2022</t>
        </is>
      </c>
      <c r="B1386" t="inlineStr">
        <is>
          <t>avverkningsanmälan</t>
        </is>
      </c>
      <c r="C1386" t="inlineStr">
        <is>
          <t>Föryngringsavverkning</t>
        </is>
      </c>
      <c r="D1386" s="1" t="n">
        <v>44852</v>
      </c>
      <c r="E1386" s="1" t="n">
        <v>46326</v>
      </c>
      <c r="F1386" t="inlineStr">
        <is>
          <t>STOCKHOLMS LÄN</t>
        </is>
      </c>
      <c r="G1386" t="inlineStr">
        <is>
          <t>HUDDINGE</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6655-2023</t>
        </is>
      </c>
      <c r="B1387" t="inlineStr">
        <is>
          <t>avverkningsanmälan</t>
        </is>
      </c>
      <c r="C1387" t="inlineStr">
        <is>
          <t>Föryngringsavverkning</t>
        </is>
      </c>
      <c r="D1387" s="1" t="n">
        <v>44966</v>
      </c>
      <c r="E1387" s="1" t="n">
        <v>46326</v>
      </c>
      <c r="F1387" t="inlineStr">
        <is>
          <t>STOCKHOLMS LÄN</t>
        </is>
      </c>
      <c r="G1387" t="inlineStr">
        <is>
          <t>ÖSTERÅKER</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52815-2023</t>
        </is>
      </c>
      <c r="B1388" t="inlineStr">
        <is>
          <t>avverkningsanmälan</t>
        </is>
      </c>
      <c r="C1388" t="inlineStr">
        <is>
          <t>Föryngringsavverkning</t>
        </is>
      </c>
      <c r="D1388" s="1" t="n">
        <v>45226</v>
      </c>
      <c r="E1388" s="1" t="n">
        <v>46326</v>
      </c>
      <c r="F1388" t="inlineStr">
        <is>
          <t>STOCKHOLMS LÄN</t>
        </is>
      </c>
      <c r="G1388" t="inlineStr">
        <is>
          <t>SÖDERTÄLJE</t>
        </is>
      </c>
      <c r="H1388" t="inlineStr">
        <is>
          <t>Sveaskog</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21480-2022</t>
        </is>
      </c>
      <c r="B1389" t="inlineStr">
        <is>
          <t>avverkningsanmälan</t>
        </is>
      </c>
      <c r="C1389" t="inlineStr">
        <is>
          <t>Föryngringsavverkning</t>
        </is>
      </c>
      <c r="D1389" s="1" t="n">
        <v>44704</v>
      </c>
      <c r="E1389" s="1" t="n">
        <v>46326</v>
      </c>
      <c r="F1389" t="inlineStr">
        <is>
          <t>STOCKHOLMS LÄN</t>
        </is>
      </c>
      <c r="G1389" t="inlineStr">
        <is>
          <t>NORRTÄLJE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24024-2024</t>
        </is>
      </c>
      <c r="B1390" t="inlineStr">
        <is>
          <t>avverkningsanmälan</t>
        </is>
      </c>
      <c r="C1390" t="inlineStr">
        <is>
          <t>Föryngringsavverkning</t>
        </is>
      </c>
      <c r="D1390" s="1" t="n">
        <v>45456</v>
      </c>
      <c r="E1390" s="1" t="n">
        <v>46326</v>
      </c>
      <c r="F1390" t="inlineStr">
        <is>
          <t>STOCKHOLMS LÄN</t>
        </is>
      </c>
      <c r="G1390" t="inlineStr">
        <is>
          <t>NORRTÄLJE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28809-2023</t>
        </is>
      </c>
      <c r="B1391" t="inlineStr">
        <is>
          <t>avverkningsanmälan</t>
        </is>
      </c>
      <c r="C1391" t="inlineStr">
        <is>
          <t>Föryngringsavverkning</t>
        </is>
      </c>
      <c r="D1391" s="1" t="n">
        <v>45104</v>
      </c>
      <c r="E1391" s="1" t="n">
        <v>46326</v>
      </c>
      <c r="F1391" t="inlineStr">
        <is>
          <t>STOCKHOLMS LÄN</t>
        </is>
      </c>
      <c r="G1391" t="inlineStr">
        <is>
          <t>NORRTÄLJE</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28813-2023</t>
        </is>
      </c>
      <c r="B1392" t="inlineStr">
        <is>
          <t>avverkningsanmälan</t>
        </is>
      </c>
      <c r="C1392" t="inlineStr">
        <is>
          <t>Föryngringsavverkning</t>
        </is>
      </c>
      <c r="D1392" s="1" t="n">
        <v>45104</v>
      </c>
      <c r="E1392" s="1" t="n">
        <v>46326</v>
      </c>
      <c r="F1392" t="inlineStr">
        <is>
          <t>STOCKHOLMS LÄN</t>
        </is>
      </c>
      <c r="G1392" t="inlineStr">
        <is>
          <t>NORRTÄLJE</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40656-2022</t>
        </is>
      </c>
      <c r="B1393" t="inlineStr">
        <is>
          <t>avverkningsanmälan</t>
        </is>
      </c>
      <c r="C1393" t="inlineStr">
        <is>
          <t>Föryngringsavverkning</t>
        </is>
      </c>
      <c r="D1393" s="1" t="n">
        <v>44824</v>
      </c>
      <c r="E1393" s="1" t="n">
        <v>46326</v>
      </c>
      <c r="F1393" t="inlineStr">
        <is>
          <t>STOCKHOLMS LÄN</t>
        </is>
      </c>
      <c r="G1393" t="inlineStr">
        <is>
          <t>NORRTÄLJE</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60694-2024</t>
        </is>
      </c>
      <c r="B1394" t="inlineStr">
        <is>
          <t>avverkningsanmälan</t>
        </is>
      </c>
      <c r="C1394" t="inlineStr">
        <is>
          <t>Föryngringsavverkning</t>
        </is>
      </c>
      <c r="D1394" s="1" t="n">
        <v>45644</v>
      </c>
      <c r="E1394" s="1" t="n">
        <v>46326</v>
      </c>
      <c r="F1394" t="inlineStr">
        <is>
          <t>STOCKHOLMS LÄN</t>
        </is>
      </c>
      <c r="G1394" t="inlineStr">
        <is>
          <t>NORRTÄLJE</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12585-2023</t>
        </is>
      </c>
      <c r="B1395" t="inlineStr">
        <is>
          <t>avverkningsanmälan</t>
        </is>
      </c>
      <c r="C1395" t="inlineStr">
        <is>
          <t>Föryngringsavverkning</t>
        </is>
      </c>
      <c r="D1395" s="1" t="n">
        <v>45000</v>
      </c>
      <c r="E1395" s="1" t="n">
        <v>46326</v>
      </c>
      <c r="F1395" t="inlineStr">
        <is>
          <t>STOCKHOLMS LÄN</t>
        </is>
      </c>
      <c r="G1395" t="inlineStr">
        <is>
          <t>VALLENTUNA</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15836-2026</t>
        </is>
      </c>
      <c r="B1396" t="inlineStr">
        <is>
          <t>avverkningsanmälan</t>
        </is>
      </c>
      <c r="C1396" t="inlineStr">
        <is>
          <t>Föryngringsavverkning</t>
        </is>
      </c>
      <c r="D1396" s="1" t="n">
        <v>46107</v>
      </c>
      <c r="E1396" s="1" t="n">
        <v>46326</v>
      </c>
      <c r="F1396" t="inlineStr">
        <is>
          <t>STOCKHOLMS LÄN</t>
        </is>
      </c>
      <c r="G1396" t="inlineStr">
        <is>
          <t>NORRTÄLJE</t>
        </is>
      </c>
      <c r="I1396" t="n">
        <v>9.300000000000001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18778-2026</t>
        </is>
      </c>
      <c r="B1397" t="inlineStr">
        <is>
          <t>avverkningsanmälan</t>
        </is>
      </c>
      <c r="C1397" t="inlineStr">
        <is>
          <t>Föryngringsavverkning</t>
        </is>
      </c>
      <c r="D1397" s="1" t="n">
        <v>46128</v>
      </c>
      <c r="E1397" s="1" t="n">
        <v>46326</v>
      </c>
      <c r="F1397" t="inlineStr">
        <is>
          <t>STOCKHOLMS LÄN</t>
        </is>
      </c>
      <c r="G1397" t="inlineStr">
        <is>
          <t>UPPLANDS-BRO</t>
        </is>
      </c>
      <c r="H1397" t="inlineStr">
        <is>
          <t>Övriga statliga verk och myndigheter</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18780-2026</t>
        </is>
      </c>
      <c r="B1398" t="inlineStr">
        <is>
          <t>avverkningsanmälan</t>
        </is>
      </c>
      <c r="C1398" t="inlineStr">
        <is>
          <t>Föryngringsavverkning</t>
        </is>
      </c>
      <c r="D1398" s="1" t="n">
        <v>46128</v>
      </c>
      <c r="E1398" s="1" t="n">
        <v>46326</v>
      </c>
      <c r="F1398" t="inlineStr">
        <is>
          <t>STOCKHOLMS LÄN</t>
        </is>
      </c>
      <c r="G1398" t="inlineStr">
        <is>
          <t>NYKVARN</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18813-2026</t>
        </is>
      </c>
      <c r="B1399" t="inlineStr">
        <is>
          <t>avverkningsanmälan</t>
        </is>
      </c>
      <c r="C1399" t="inlineStr">
        <is>
          <t>Föryngringsavverkning</t>
        </is>
      </c>
      <c r="D1399" s="1" t="n">
        <v>46128</v>
      </c>
      <c r="E1399" s="1" t="n">
        <v>46326</v>
      </c>
      <c r="F1399" t="inlineStr">
        <is>
          <t>STOCKHOLMS LÄN</t>
        </is>
      </c>
      <c r="G1399" t="inlineStr">
        <is>
          <t>UPPLANDS-BRO</t>
        </is>
      </c>
      <c r="H1399" t="inlineStr">
        <is>
          <t>Övriga statliga verk och myndigheter</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18818-2026</t>
        </is>
      </c>
      <c r="B1400" t="inlineStr">
        <is>
          <t>avverkningsanmälan</t>
        </is>
      </c>
      <c r="C1400" t="inlineStr">
        <is>
          <t>Föryngringsavverkning</t>
        </is>
      </c>
      <c r="D1400" s="1" t="n">
        <v>46128</v>
      </c>
      <c r="E1400" s="1" t="n">
        <v>46326</v>
      </c>
      <c r="F1400" t="inlineStr">
        <is>
          <t>STOCKHOLMS LÄN</t>
        </is>
      </c>
      <c r="G1400" t="inlineStr">
        <is>
          <t>UPPLANDS-BRO</t>
        </is>
      </c>
      <c r="H1400" t="inlineStr">
        <is>
          <t>Övriga statliga verk och myndigheter</t>
        </is>
      </c>
      <c r="I1400" t="n">
        <v>17.8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18787-2026</t>
        </is>
      </c>
      <c r="B1401" t="inlineStr">
        <is>
          <t>avverkningsanmälan</t>
        </is>
      </c>
      <c r="C1401" t="inlineStr">
        <is>
          <t>Föryngringsavverkning</t>
        </is>
      </c>
      <c r="D1401" s="1" t="n">
        <v>46128</v>
      </c>
      <c r="E1401" s="1" t="n">
        <v>46326</v>
      </c>
      <c r="F1401" t="inlineStr">
        <is>
          <t>STOCKHOLMS LÄN</t>
        </is>
      </c>
      <c r="G1401" t="inlineStr">
        <is>
          <t>UPPLANDS-BRO</t>
        </is>
      </c>
      <c r="H1401" t="inlineStr">
        <is>
          <t>Övriga statliga verk och myndigheter</t>
        </is>
      </c>
      <c r="I1401" t="n">
        <v>7.8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61217-2024</t>
        </is>
      </c>
      <c r="B1402" t="inlineStr">
        <is>
          <t>avverkningsanmälan</t>
        </is>
      </c>
      <c r="C1402" t="inlineStr">
        <is>
          <t>Föryngringsavverkning</t>
        </is>
      </c>
      <c r="D1402" s="1" t="n">
        <v>45645</v>
      </c>
      <c r="E1402" s="1" t="n">
        <v>46326</v>
      </c>
      <c r="F1402" t="inlineStr">
        <is>
          <t>STOCKHOLMS LÄN</t>
        </is>
      </c>
      <c r="G1402" t="inlineStr">
        <is>
          <t>EKERÖ</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17328-2025</t>
        </is>
      </c>
      <c r="B1403" t="inlineStr">
        <is>
          <t>avverkningsanmälan</t>
        </is>
      </c>
      <c r="C1403" t="inlineStr">
        <is>
          <t>Föryngringsavverkning</t>
        </is>
      </c>
      <c r="D1403" s="1" t="n">
        <v>45756</v>
      </c>
      <c r="E1403" s="1" t="n">
        <v>46326</v>
      </c>
      <c r="F1403" t="inlineStr">
        <is>
          <t>STOCKHOLMS LÄN</t>
        </is>
      </c>
      <c r="G1403" t="inlineStr">
        <is>
          <t>NYKVARN</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56002-2024</t>
        </is>
      </c>
      <c r="B1404" t="inlineStr">
        <is>
          <t>avverkningsanmälan</t>
        </is>
      </c>
      <c r="C1404" t="inlineStr">
        <is>
          <t>Föryngringsavverkning</t>
        </is>
      </c>
      <c r="D1404" s="1" t="n">
        <v>45623</v>
      </c>
      <c r="E1404" s="1" t="n">
        <v>46326</v>
      </c>
      <c r="F1404" t="inlineStr">
        <is>
          <t>STOCKHOLMS LÄN</t>
        </is>
      </c>
      <c r="G1404" t="inlineStr">
        <is>
          <t>EKERÖ</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19071-2026</t>
        </is>
      </c>
      <c r="B1405" t="inlineStr">
        <is>
          <t>avverkningsanmälan</t>
        </is>
      </c>
      <c r="C1405" t="inlineStr">
        <is>
          <t>Föryngringsavverkning</t>
        </is>
      </c>
      <c r="D1405" s="1" t="n">
        <v>46132</v>
      </c>
      <c r="E1405" s="1" t="n">
        <v>46326</v>
      </c>
      <c r="F1405" t="inlineStr">
        <is>
          <t>STOCKHOLMS LÄN</t>
        </is>
      </c>
      <c r="G1405" t="inlineStr">
        <is>
          <t>SÖDERTÄLJE</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33353-2023</t>
        </is>
      </c>
      <c r="B1406" t="inlineStr">
        <is>
          <t>avverkningsanmälan</t>
        </is>
      </c>
      <c r="C1406" t="inlineStr">
        <is>
          <t>Avverkning för annat ändamål</t>
        </is>
      </c>
      <c r="D1406" s="1" t="n">
        <v>45128</v>
      </c>
      <c r="E1406" s="1" t="n">
        <v>46326</v>
      </c>
      <c r="F1406" t="inlineStr">
        <is>
          <t>STOCKHOLMS LÄN</t>
        </is>
      </c>
      <c r="G1406" t="inlineStr">
        <is>
          <t>NORRTÄLJE</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60728-2022</t>
        </is>
      </c>
      <c r="B1407" t="inlineStr">
        <is>
          <t>avverkningsanmälan</t>
        </is>
      </c>
      <c r="C1407" t="inlineStr">
        <is>
          <t>Föryngringsavverkning</t>
        </is>
      </c>
      <c r="D1407" s="1" t="n">
        <v>44913</v>
      </c>
      <c r="E1407" s="1" t="n">
        <v>46326</v>
      </c>
      <c r="F1407" t="inlineStr">
        <is>
          <t>STOCKHOLMS LÄN</t>
        </is>
      </c>
      <c r="G1407" t="inlineStr">
        <is>
          <t>EKERÖ</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2170-2023</t>
        </is>
      </c>
      <c r="B1408" t="inlineStr">
        <is>
          <t>avverkningsanmälan</t>
        </is>
      </c>
      <c r="C1408" t="inlineStr">
        <is>
          <t>Föryngringsavverkning</t>
        </is>
      </c>
      <c r="D1408" s="1" t="n">
        <v>44941</v>
      </c>
      <c r="E1408" s="1" t="n">
        <v>46326</v>
      </c>
      <c r="F1408" t="inlineStr">
        <is>
          <t>STOCKHOLMS LÄN</t>
        </is>
      </c>
      <c r="G1408" t="inlineStr">
        <is>
          <t>NYNÄSHAMN</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21192-2023</t>
        </is>
      </c>
      <c r="B1409" t="inlineStr">
        <is>
          <t>avverkningsanmälan</t>
        </is>
      </c>
      <c r="C1409" t="inlineStr">
        <is>
          <t>Föryngringsavverkning</t>
        </is>
      </c>
      <c r="D1409" s="1" t="n">
        <v>45062</v>
      </c>
      <c r="E1409" s="1" t="n">
        <v>46326</v>
      </c>
      <c r="F1409" t="inlineStr">
        <is>
          <t>STOCKHOLMS LÄN</t>
        </is>
      </c>
      <c r="G1409" t="inlineStr">
        <is>
          <t>NYNÄSHAMN</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19078-2026</t>
        </is>
      </c>
      <c r="B1410" t="inlineStr">
        <is>
          <t>avverkningsanmälan</t>
        </is>
      </c>
      <c r="C1410" t="inlineStr">
        <is>
          <t>Föryngringsavverkning</t>
        </is>
      </c>
      <c r="D1410" s="1" t="n">
        <v>46132</v>
      </c>
      <c r="E1410" s="1" t="n">
        <v>46326</v>
      </c>
      <c r="F1410" t="inlineStr">
        <is>
          <t>STOCKHOLMS LÄN</t>
        </is>
      </c>
      <c r="G1410" t="inlineStr">
        <is>
          <t>SÖDERTÄLJE</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9062-2023</t>
        </is>
      </c>
      <c r="B1411" t="inlineStr">
        <is>
          <t>avverkningsanmälan</t>
        </is>
      </c>
      <c r="C1411" t="inlineStr">
        <is>
          <t>Föryngringsavverkning</t>
        </is>
      </c>
      <c r="D1411" s="1" t="n">
        <v>44979</v>
      </c>
      <c r="E1411" s="1" t="n">
        <v>46326</v>
      </c>
      <c r="F1411" t="inlineStr">
        <is>
          <t>STOCKHOLMS LÄN</t>
        </is>
      </c>
      <c r="G1411" t="inlineStr">
        <is>
          <t>NYNÄSHAMN</t>
        </is>
      </c>
      <c r="H1411" t="inlineStr">
        <is>
          <t>Kommuner</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3966-2024</t>
        </is>
      </c>
      <c r="B1412" t="inlineStr">
        <is>
          <t>avverkningsanmälan</t>
        </is>
      </c>
      <c r="C1412" t="inlineStr">
        <is>
          <t>Föryngringsavverkning</t>
        </is>
      </c>
      <c r="D1412" s="1" t="n">
        <v>45322</v>
      </c>
      <c r="E1412" s="1" t="n">
        <v>46326</v>
      </c>
      <c r="F1412" t="inlineStr">
        <is>
          <t>STOCKHOLMS LÄN</t>
        </is>
      </c>
      <c r="G1412" t="inlineStr">
        <is>
          <t>NORRTÄLJE</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19358-2026</t>
        </is>
      </c>
      <c r="B1413" t="inlineStr">
        <is>
          <t>avverkningsanmälan</t>
        </is>
      </c>
      <c r="C1413" t="inlineStr">
        <is>
          <t>Föryngringsavverkning</t>
        </is>
      </c>
      <c r="D1413" s="1" t="n">
        <v>46133</v>
      </c>
      <c r="E1413" s="1" t="n">
        <v>46326</v>
      </c>
      <c r="F1413" t="inlineStr">
        <is>
          <t>STOCKHOLMS LÄN</t>
        </is>
      </c>
      <c r="G1413" t="inlineStr">
        <is>
          <t>NORRTÄLJE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19170-2026</t>
        </is>
      </c>
      <c r="B1414" t="inlineStr">
        <is>
          <t>avverkningsanmälan</t>
        </is>
      </c>
      <c r="C1414" t="inlineStr">
        <is>
          <t>Föryngringsavverkning</t>
        </is>
      </c>
      <c r="D1414" s="1" t="n">
        <v>46132</v>
      </c>
      <c r="E1414" s="1" t="n">
        <v>46326</v>
      </c>
      <c r="F1414" t="inlineStr">
        <is>
          <t>STOCKHOLMS LÄN</t>
        </is>
      </c>
      <c r="G1414" t="inlineStr">
        <is>
          <t>NORRTÄLJE</t>
        </is>
      </c>
      <c r="I1414" t="n">
        <v>8.300000000000001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19688-2026</t>
        </is>
      </c>
      <c r="B1415" t="inlineStr">
        <is>
          <t>avverkningsanmälan</t>
        </is>
      </c>
      <c r="C1415" t="inlineStr">
        <is>
          <t>Föryngringsavverkning</t>
        </is>
      </c>
      <c r="D1415" s="1" t="n">
        <v>46134</v>
      </c>
      <c r="E1415" s="1" t="n">
        <v>46326</v>
      </c>
      <c r="F1415" t="inlineStr">
        <is>
          <t>STOCKHOLMS LÄN</t>
        </is>
      </c>
      <c r="G1415" t="inlineStr">
        <is>
          <t>NORRTÄLJE</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19759-2026</t>
        </is>
      </c>
      <c r="B1416" t="inlineStr">
        <is>
          <t>avverkningsanmälan</t>
        </is>
      </c>
      <c r="C1416" t="inlineStr">
        <is>
          <t>Föryngringsavverkning</t>
        </is>
      </c>
      <c r="D1416" s="1" t="n">
        <v>46135</v>
      </c>
      <c r="E1416" s="1" t="n">
        <v>46326</v>
      </c>
      <c r="F1416" t="inlineStr">
        <is>
          <t>STOCKHOLMS LÄN</t>
        </is>
      </c>
      <c r="G1416" t="inlineStr">
        <is>
          <t>NORRTÄLJE</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17209-2026</t>
        </is>
      </c>
      <c r="B1417" t="inlineStr">
        <is>
          <t>avverkningsanmälan</t>
        </is>
      </c>
      <c r="C1417" t="inlineStr">
        <is>
          <t>Föryngringsavverkning</t>
        </is>
      </c>
      <c r="D1417" s="1" t="n">
        <v>46119</v>
      </c>
      <c r="E1417" s="1" t="n">
        <v>46326</v>
      </c>
      <c r="F1417" t="inlineStr">
        <is>
          <t>STOCKHOLMS LÄN</t>
        </is>
      </c>
      <c r="G1417" t="inlineStr">
        <is>
          <t>NORRTÄLJE</t>
        </is>
      </c>
      <c r="H1417" t="inlineStr">
        <is>
          <t>Holmen skog AB</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23262-2023</t>
        </is>
      </c>
      <c r="B1418" t="inlineStr">
        <is>
          <t>avverkningsanmälan</t>
        </is>
      </c>
      <c r="C1418" t="inlineStr">
        <is>
          <t>Föryngringsavverkning</t>
        </is>
      </c>
      <c r="D1418" s="1" t="n">
        <v>45075</v>
      </c>
      <c r="E1418" s="1" t="n">
        <v>46326</v>
      </c>
      <c r="F1418" t="inlineStr">
        <is>
          <t>STOCKHOLMS LÄN</t>
        </is>
      </c>
      <c r="G1418" t="inlineStr">
        <is>
          <t>NORRTÄLJE</t>
        </is>
      </c>
      <c r="H1418" t="inlineStr">
        <is>
          <t>Kommuner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23268-2023</t>
        </is>
      </c>
      <c r="B1419" t="inlineStr">
        <is>
          <t>avverkningsanmälan</t>
        </is>
      </c>
      <c r="C1419" t="inlineStr">
        <is>
          <t>Föryngringsavverkning</t>
        </is>
      </c>
      <c r="D1419" s="1" t="n">
        <v>45075</v>
      </c>
      <c r="E1419" s="1" t="n">
        <v>46326</v>
      </c>
      <c r="F1419" t="inlineStr">
        <is>
          <t>STOCKHOLMS LÄN</t>
        </is>
      </c>
      <c r="G1419" t="inlineStr">
        <is>
          <t>NORRTÄLJE</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23270-2023</t>
        </is>
      </c>
      <c r="B1420" t="inlineStr">
        <is>
          <t>avverkningsanmälan</t>
        </is>
      </c>
      <c r="C1420" t="inlineStr">
        <is>
          <t>Föryngringsavverkning</t>
        </is>
      </c>
      <c r="D1420" s="1" t="n">
        <v>45075</v>
      </c>
      <c r="E1420" s="1" t="n">
        <v>46326</v>
      </c>
      <c r="F1420" t="inlineStr">
        <is>
          <t>STOCKHOLMS LÄN</t>
        </is>
      </c>
      <c r="G1420" t="inlineStr">
        <is>
          <t>NORRTÄLJE</t>
        </is>
      </c>
      <c r="I1420" t="n">
        <v>12.3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23274-2023</t>
        </is>
      </c>
      <c r="B1421" t="inlineStr">
        <is>
          <t>avverkningsanmälan</t>
        </is>
      </c>
      <c r="C1421" t="inlineStr">
        <is>
          <t>Föryngringsavverkning</t>
        </is>
      </c>
      <c r="D1421" s="1" t="n">
        <v>45075</v>
      </c>
      <c r="E1421" s="1" t="n">
        <v>46326</v>
      </c>
      <c r="F1421" t="inlineStr">
        <is>
          <t>STOCKHOLMS LÄN</t>
        </is>
      </c>
      <c r="G1421" t="inlineStr">
        <is>
          <t>NORRTÄLJE</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25175-2023</t>
        </is>
      </c>
      <c r="B1422" t="inlineStr">
        <is>
          <t>avverkningsanmälan</t>
        </is>
      </c>
      <c r="C1422" t="inlineStr">
        <is>
          <t>Föryngringsavverkning</t>
        </is>
      </c>
      <c r="D1422" s="1" t="n">
        <v>45086</v>
      </c>
      <c r="E1422" s="1" t="n">
        <v>46326</v>
      </c>
      <c r="F1422" t="inlineStr">
        <is>
          <t>STOCKHOLMS LÄN</t>
        </is>
      </c>
      <c r="G1422" t="inlineStr">
        <is>
          <t>NYNÄSHAMN</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26636-2023</t>
        </is>
      </c>
      <c r="B1423" t="inlineStr">
        <is>
          <t>avverkningsanmälan</t>
        </is>
      </c>
      <c r="C1423" t="inlineStr">
        <is>
          <t>Föryngringsavverkning</t>
        </is>
      </c>
      <c r="D1423" s="1" t="n">
        <v>45092</v>
      </c>
      <c r="E1423" s="1" t="n">
        <v>46326</v>
      </c>
      <c r="F1423" t="inlineStr">
        <is>
          <t>STOCKHOLMS LÄN</t>
        </is>
      </c>
      <c r="G1423" t="inlineStr">
        <is>
          <t>NORRTÄLJE</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26637-2023</t>
        </is>
      </c>
      <c r="B1424" t="inlineStr">
        <is>
          <t>avverkningsanmälan</t>
        </is>
      </c>
      <c r="C1424" t="inlineStr">
        <is>
          <t>Föryngringsavverkning</t>
        </is>
      </c>
      <c r="D1424" s="1" t="n">
        <v>45092</v>
      </c>
      <c r="E1424" s="1" t="n">
        <v>46326</v>
      </c>
      <c r="F1424" t="inlineStr">
        <is>
          <t>STOCKHOLMS LÄN</t>
        </is>
      </c>
      <c r="G1424" t="inlineStr">
        <is>
          <t>NORRTÄLJE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56639-2023</t>
        </is>
      </c>
      <c r="B1425" t="inlineStr">
        <is>
          <t>avverkningsanmälan</t>
        </is>
      </c>
      <c r="C1425" t="inlineStr">
        <is>
          <t>Föryngringsavverkning</t>
        </is>
      </c>
      <c r="D1425" s="1" t="n">
        <v>45243</v>
      </c>
      <c r="E1425" s="1" t="n">
        <v>46326</v>
      </c>
      <c r="F1425" t="inlineStr">
        <is>
          <t>STOCKHOLMS LÄN</t>
        </is>
      </c>
      <c r="G1425" t="inlineStr">
        <is>
          <t>NYKVARN</t>
        </is>
      </c>
      <c r="H1425" t="inlineStr">
        <is>
          <t>Kommuner</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41301-2025</t>
        </is>
      </c>
      <c r="B1426" t="inlineStr">
        <is>
          <t>avverkningsanmälan</t>
        </is>
      </c>
      <c r="C1426" t="inlineStr">
        <is>
          <t>Föryngringsavverkning</t>
        </is>
      </c>
      <c r="D1426" s="1" t="n">
        <v>45898</v>
      </c>
      <c r="E1426" s="1" t="n">
        <v>46326</v>
      </c>
      <c r="F1426" t="inlineStr">
        <is>
          <t>STOCKHOLMS LÄN</t>
        </is>
      </c>
      <c r="G1426" t="inlineStr">
        <is>
          <t>NORRTÄLJE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55503-2025</t>
        </is>
      </c>
      <c r="B1427" t="inlineStr">
        <is>
          <t>avverkningsanmälan</t>
        </is>
      </c>
      <c r="C1427" t="inlineStr">
        <is>
          <t>Föryngringsavverkning</t>
        </is>
      </c>
      <c r="D1427" s="1" t="n">
        <v>45971</v>
      </c>
      <c r="E1427" s="1" t="n">
        <v>46326</v>
      </c>
      <c r="F1427" t="inlineStr">
        <is>
          <t>STOCKHOLMS LÄN</t>
        </is>
      </c>
      <c r="G1427" t="inlineStr">
        <is>
          <t>NORRTÄLJE</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60635-2024</t>
        </is>
      </c>
      <c r="B1428" t="inlineStr">
        <is>
          <t>avverkningsanmälan</t>
        </is>
      </c>
      <c r="C1428" t="inlineStr">
        <is>
          <t>Föryngringsavverkning</t>
        </is>
      </c>
      <c r="D1428" s="1" t="n">
        <v>45644</v>
      </c>
      <c r="E1428" s="1" t="n">
        <v>46326</v>
      </c>
      <c r="F1428" t="inlineStr">
        <is>
          <t>STOCKHOLMS LÄN</t>
        </is>
      </c>
      <c r="G1428" t="inlineStr">
        <is>
          <t>SÖDERTÄLJE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8077-2022</t>
        </is>
      </c>
      <c r="B1429" t="inlineStr">
        <is>
          <t>avverkningsanmälan</t>
        </is>
      </c>
      <c r="C1429" t="inlineStr">
        <is>
          <t>Föryngringsavverkning</t>
        </is>
      </c>
      <c r="D1429" s="1" t="n">
        <v>44609</v>
      </c>
      <c r="E1429" s="1" t="n">
        <v>46326</v>
      </c>
      <c r="F1429" t="inlineStr">
        <is>
          <t>STOCKHOLMS LÄN</t>
        </is>
      </c>
      <c r="G1429" t="inlineStr">
        <is>
          <t>VALLENTUNA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72704-2021</t>
        </is>
      </c>
      <c r="B1430" t="inlineStr">
        <is>
          <t>avverkningsanmälan</t>
        </is>
      </c>
      <c r="C1430" t="inlineStr">
        <is>
          <t>Föryngringsavverkning</t>
        </is>
      </c>
      <c r="D1430" s="1" t="n">
        <v>44546</v>
      </c>
      <c r="E1430" s="1" t="n">
        <v>46326</v>
      </c>
      <c r="F1430" t="inlineStr">
        <is>
          <t>STOCKHOLMS LÄN</t>
        </is>
      </c>
      <c r="G1430" t="inlineStr">
        <is>
          <t>NORRTÄLJE</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52743-2024</t>
        </is>
      </c>
      <c r="B1431" t="inlineStr">
        <is>
          <t>avverkningsanmälan</t>
        </is>
      </c>
      <c r="C1431" t="inlineStr">
        <is>
          <t>Föryngringsavverkning</t>
        </is>
      </c>
      <c r="D1431" s="1" t="n">
        <v>45610</v>
      </c>
      <c r="E1431" s="1" t="n">
        <v>46326</v>
      </c>
      <c r="F1431" t="inlineStr">
        <is>
          <t>STOCKHOLMS LÄN</t>
        </is>
      </c>
      <c r="G1431" t="inlineStr">
        <is>
          <t>NORRTÄLJE</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16852-2024</t>
        </is>
      </c>
      <c r="B1432" t="inlineStr">
        <is>
          <t>avverkningsanmälan</t>
        </is>
      </c>
      <c r="C1432" t="inlineStr">
        <is>
          <t>Avverkning för annat ändamål</t>
        </is>
      </c>
      <c r="D1432" s="1" t="n">
        <v>45411</v>
      </c>
      <c r="E1432" s="1" t="n">
        <v>46326</v>
      </c>
      <c r="F1432" t="inlineStr">
        <is>
          <t>STOCKHOLMS LÄN</t>
        </is>
      </c>
      <c r="G1432" t="inlineStr">
        <is>
          <t>NORRTÄLJE</t>
        </is>
      </c>
      <c r="H1432" t="inlineStr">
        <is>
          <t>Holmen skog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56909-2024</t>
        </is>
      </c>
      <c r="B1433" t="inlineStr">
        <is>
          <t>avverkningsanmälan</t>
        </is>
      </c>
      <c r="C1433" t="inlineStr">
        <is>
          <t>Avverkning för att bevara och utveckla /försöksver</t>
        </is>
      </c>
      <c r="D1433" s="1" t="n">
        <v>45628</v>
      </c>
      <c r="E1433" s="1" t="n">
        <v>46326</v>
      </c>
      <c r="F1433" t="inlineStr">
        <is>
          <t>STOCKHOLMS LÄN</t>
        </is>
      </c>
      <c r="G1433" t="inlineStr">
        <is>
          <t>ÖSTERÅKER</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47521-2024</t>
        </is>
      </c>
      <c r="B1434" t="inlineStr">
        <is>
          <t>avverkningsanmälan</t>
        </is>
      </c>
      <c r="C1434" t="inlineStr">
        <is>
          <t>Föryngringsavverkning</t>
        </is>
      </c>
      <c r="D1434" s="1" t="n">
        <v>45587</v>
      </c>
      <c r="E1434" s="1" t="n">
        <v>46326</v>
      </c>
      <c r="F1434" t="inlineStr">
        <is>
          <t>STOCKHOLMS LÄN</t>
        </is>
      </c>
      <c r="G1434" t="inlineStr">
        <is>
          <t>NORRTÄLJE</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60935-2023</t>
        </is>
      </c>
      <c r="B1435" t="inlineStr">
        <is>
          <t>avverkningsanmälan</t>
        </is>
      </c>
      <c r="C1435" t="inlineStr">
        <is>
          <t>Föryngringsavverkning</t>
        </is>
      </c>
      <c r="D1435" s="1" t="n">
        <v>45261</v>
      </c>
      <c r="E1435" s="1" t="n">
        <v>46326</v>
      </c>
      <c r="F1435" t="inlineStr">
        <is>
          <t>STOCKHOLMS LÄN</t>
        </is>
      </c>
      <c r="G1435" t="inlineStr">
        <is>
          <t>SIGTUNA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55755-2023</t>
        </is>
      </c>
      <c r="B1436" t="inlineStr">
        <is>
          <t>avverkningsanmälan</t>
        </is>
      </c>
      <c r="C1436" t="inlineStr">
        <is>
          <t>Föryngringsavverkning</t>
        </is>
      </c>
      <c r="D1436" s="1" t="n">
        <v>45239</v>
      </c>
      <c r="E1436" s="1" t="n">
        <v>46326</v>
      </c>
      <c r="F1436" t="inlineStr">
        <is>
          <t>STOCKHOLMS LÄN</t>
        </is>
      </c>
      <c r="G1436" t="inlineStr">
        <is>
          <t>NORRTÄLJE</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33281-2025</t>
        </is>
      </c>
      <c r="B1437" t="inlineStr">
        <is>
          <t>avverkningsanmälan</t>
        </is>
      </c>
      <c r="C1437" t="inlineStr">
        <is>
          <t>Avverkning för att bevara och utveckla /försöksver</t>
        </is>
      </c>
      <c r="D1437" s="1" t="n">
        <v>45839</v>
      </c>
      <c r="E1437" s="1" t="n">
        <v>46326</v>
      </c>
      <c r="F1437" t="inlineStr">
        <is>
          <t>STOCKHOLMS LÄN</t>
        </is>
      </c>
      <c r="G1437" t="inlineStr">
        <is>
          <t>SALEM</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35254-2025</t>
        </is>
      </c>
      <c r="B1438" t="inlineStr">
        <is>
          <t>avverkningsanmälan</t>
        </is>
      </c>
      <c r="C1438" t="inlineStr">
        <is>
          <t>Föryngringsavverkning</t>
        </is>
      </c>
      <c r="D1438" s="1" t="n">
        <v>45853</v>
      </c>
      <c r="E1438" s="1" t="n">
        <v>46326</v>
      </c>
      <c r="F1438" t="inlineStr">
        <is>
          <t>STOCKHOLMS LÄN</t>
        </is>
      </c>
      <c r="G1438" t="inlineStr">
        <is>
          <t>NORRTÄLJE</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47140-2024</t>
        </is>
      </c>
      <c r="B1439" t="inlineStr">
        <is>
          <t>avverkningsanmälan</t>
        </is>
      </c>
      <c r="C1439" t="inlineStr">
        <is>
          <t>Föryngringsavverkning</t>
        </is>
      </c>
      <c r="D1439" s="1" t="n">
        <v>45586</v>
      </c>
      <c r="E1439" s="1" t="n">
        <v>46326</v>
      </c>
      <c r="F1439" t="inlineStr">
        <is>
          <t>STOCKHOLMS LÄN</t>
        </is>
      </c>
      <c r="G1439" t="inlineStr">
        <is>
          <t>VALLENTUNA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20399-2026</t>
        </is>
      </c>
      <c r="B1440" t="inlineStr">
        <is>
          <t>avverkningsanmälan</t>
        </is>
      </c>
      <c r="C1440" t="inlineStr">
        <is>
          <t>Föryngringsavverkning</t>
        </is>
      </c>
      <c r="D1440" s="1" t="n">
        <v>46139</v>
      </c>
      <c r="E1440" s="1" t="n">
        <v>46326</v>
      </c>
      <c r="F1440" t="inlineStr">
        <is>
          <t>STOCKHOLMS LÄN</t>
        </is>
      </c>
      <c r="G1440" t="inlineStr">
        <is>
          <t>EKERÖ</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32948-2025</t>
        </is>
      </c>
      <c r="B1441" t="inlineStr">
        <is>
          <t>avverkningsanmälan</t>
        </is>
      </c>
      <c r="C1441" t="inlineStr">
        <is>
          <t>Föryngringsavverkning</t>
        </is>
      </c>
      <c r="D1441" s="1" t="n">
        <v>45839</v>
      </c>
      <c r="E1441" s="1" t="n">
        <v>46326</v>
      </c>
      <c r="F1441" t="inlineStr">
        <is>
          <t>STOCKHOLMS LÄN</t>
        </is>
      </c>
      <c r="G1441" t="inlineStr">
        <is>
          <t>HANINGE</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4804-2024</t>
        </is>
      </c>
      <c r="B1442" t="inlineStr">
        <is>
          <t>avverkningsanmälan</t>
        </is>
      </c>
      <c r="C1442" t="inlineStr">
        <is>
          <t>Avverkning för annat ändamål</t>
        </is>
      </c>
      <c r="D1442" s="1" t="n">
        <v>45328</v>
      </c>
      <c r="E1442" s="1" t="n">
        <v>46326</v>
      </c>
      <c r="F1442" t="inlineStr">
        <is>
          <t>STOCKHOLMS LÄN</t>
        </is>
      </c>
      <c r="G1442" t="inlineStr">
        <is>
          <t>VALLENTUNA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17348-2024</t>
        </is>
      </c>
      <c r="B1443" t="inlineStr">
        <is>
          <t>avverkningsanmälan</t>
        </is>
      </c>
      <c r="C1443" t="inlineStr">
        <is>
          <t>Föryngringsavverkning</t>
        </is>
      </c>
      <c r="D1443" s="1" t="n">
        <v>45414</v>
      </c>
      <c r="E1443" s="1" t="n">
        <v>46326</v>
      </c>
      <c r="F1443" t="inlineStr">
        <is>
          <t>STOCKHOLMS LÄN</t>
        </is>
      </c>
      <c r="G1443" t="inlineStr">
        <is>
          <t>NORRTÄLJE</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1654-2025</t>
        </is>
      </c>
      <c r="B1444" t="inlineStr">
        <is>
          <t>avverkningsanmälan</t>
        </is>
      </c>
      <c r="C1444" t="inlineStr">
        <is>
          <t>Föryngringsavverkning</t>
        </is>
      </c>
      <c r="D1444" s="1" t="n">
        <v>45670</v>
      </c>
      <c r="E1444" s="1" t="n">
        <v>46326</v>
      </c>
      <c r="F1444" t="inlineStr">
        <is>
          <t>STOCKHOLMS LÄN</t>
        </is>
      </c>
      <c r="G1444" t="inlineStr">
        <is>
          <t>NORRTÄLJE</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5264-2023</t>
        </is>
      </c>
      <c r="B1445" t="inlineStr">
        <is>
          <t>avverkningsanmälan</t>
        </is>
      </c>
      <c r="C1445" t="inlineStr">
        <is>
          <t>Föryngringsavverkning</t>
        </is>
      </c>
      <c r="D1445" s="1" t="n">
        <v>44959</v>
      </c>
      <c r="E1445" s="1" t="n">
        <v>46326</v>
      </c>
      <c r="F1445" t="inlineStr">
        <is>
          <t>STOCKHOLMS LÄN</t>
        </is>
      </c>
      <c r="G1445" t="inlineStr">
        <is>
          <t>UPPLANDS-BRO</t>
        </is>
      </c>
      <c r="I1445" t="n">
        <v>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11041-2025</t>
        </is>
      </c>
      <c r="B1446" t="inlineStr">
        <is>
          <t>avverkningsanmälan</t>
        </is>
      </c>
      <c r="C1446" t="inlineStr">
        <is>
          <t>Föryngringsavverkning</t>
        </is>
      </c>
      <c r="D1446" s="1" t="n">
        <v>45723</v>
      </c>
      <c r="E1446" s="1" t="n">
        <v>46326</v>
      </c>
      <c r="F1446" t="inlineStr">
        <is>
          <t>STOCKHOLMS LÄN</t>
        </is>
      </c>
      <c r="G1446" t="inlineStr">
        <is>
          <t>NORRTÄLJE</t>
        </is>
      </c>
      <c r="H1446" t="inlineStr">
        <is>
          <t>Övriga Aktiebolag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52251-2025</t>
        </is>
      </c>
      <c r="B1447" t="inlineStr">
        <is>
          <t>avverkningsanmälan</t>
        </is>
      </c>
      <c r="C1447" t="inlineStr">
        <is>
          <t>Föryngringsavverkning</t>
        </is>
      </c>
      <c r="D1447" s="1" t="n">
        <v>45953</v>
      </c>
      <c r="E1447" s="1" t="n">
        <v>46326</v>
      </c>
      <c r="F1447" t="inlineStr">
        <is>
          <t>STOCKHOLMS LÄN</t>
        </is>
      </c>
      <c r="G1447" t="inlineStr">
        <is>
          <t>NORRTÄLJE</t>
        </is>
      </c>
      <c r="I1447" t="n">
        <v>6.2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13785-2024</t>
        </is>
      </c>
      <c r="B1448" t="inlineStr">
        <is>
          <t>avverkningsanmälan</t>
        </is>
      </c>
      <c r="C1448" t="inlineStr">
        <is>
          <t>Föryngringsavverkning</t>
        </is>
      </c>
      <c r="D1448" s="1" t="n">
        <v>45391</v>
      </c>
      <c r="E1448" s="1" t="n">
        <v>46326</v>
      </c>
      <c r="F1448" t="inlineStr">
        <is>
          <t>STOCKHOLMS LÄN</t>
        </is>
      </c>
      <c r="G1448" t="inlineStr">
        <is>
          <t>NORRTÄLJE</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63400-2023</t>
        </is>
      </c>
      <c r="B1449" t="inlineStr">
        <is>
          <t>avverkningsanmälan</t>
        </is>
      </c>
      <c r="C1449" t="inlineStr">
        <is>
          <t>Föryngringsavverkning</t>
        </is>
      </c>
      <c r="D1449" s="1" t="n">
        <v>45274</v>
      </c>
      <c r="E1449" s="1" t="n">
        <v>46326</v>
      </c>
      <c r="F1449" t="inlineStr">
        <is>
          <t>STOCKHOLMS LÄN</t>
        </is>
      </c>
      <c r="G1449" t="inlineStr">
        <is>
          <t>NYKVARN</t>
        </is>
      </c>
      <c r="H1449" t="inlineStr">
        <is>
          <t>Kommuner</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63463-2023</t>
        </is>
      </c>
      <c r="B1450" t="inlineStr">
        <is>
          <t>avverkningsanmälan</t>
        </is>
      </c>
      <c r="C1450" t="inlineStr">
        <is>
          <t>Föryngringsavverkning</t>
        </is>
      </c>
      <c r="D1450" s="1" t="n">
        <v>45274</v>
      </c>
      <c r="E1450" s="1" t="n">
        <v>46326</v>
      </c>
      <c r="F1450" t="inlineStr">
        <is>
          <t>STOCKHOLMS LÄN</t>
        </is>
      </c>
      <c r="G1450" t="inlineStr">
        <is>
          <t>NYNÄSHAMN</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34713-2025</t>
        </is>
      </c>
      <c r="B1451" t="inlineStr">
        <is>
          <t>avverkningsanmälan</t>
        </is>
      </c>
      <c r="C1451" t="inlineStr">
        <is>
          <t>Föryngringsavverkning</t>
        </is>
      </c>
      <c r="D1451" s="1" t="n">
        <v>45848</v>
      </c>
      <c r="E1451" s="1" t="n">
        <v>46326</v>
      </c>
      <c r="F1451" t="inlineStr">
        <is>
          <t>STOCKHOLMS LÄN</t>
        </is>
      </c>
      <c r="G1451" t="inlineStr">
        <is>
          <t>ÖSTERÅKER</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20336-2024</t>
        </is>
      </c>
      <c r="B1452" t="inlineStr">
        <is>
          <t>avverkningsanmälan</t>
        </is>
      </c>
      <c r="C1452" t="inlineStr">
        <is>
          <t>Föryngringsavverkning</t>
        </is>
      </c>
      <c r="D1452" s="1" t="n">
        <v>45435</v>
      </c>
      <c r="E1452" s="1" t="n">
        <v>46326</v>
      </c>
      <c r="F1452" t="inlineStr">
        <is>
          <t>STOCKHOLMS LÄN</t>
        </is>
      </c>
      <c r="G1452" t="inlineStr">
        <is>
          <t>NORRTÄLJE</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52254-2025</t>
        </is>
      </c>
      <c r="B1453" t="inlineStr">
        <is>
          <t>avverkningsanmälan</t>
        </is>
      </c>
      <c r="C1453" t="inlineStr">
        <is>
          <t>Föryngringsavverkning</t>
        </is>
      </c>
      <c r="D1453" s="1" t="n">
        <v>45953</v>
      </c>
      <c r="E1453" s="1" t="n">
        <v>46326</v>
      </c>
      <c r="F1453" t="inlineStr">
        <is>
          <t>STOCKHOLMS LÄN</t>
        </is>
      </c>
      <c r="G1453" t="inlineStr">
        <is>
          <t>NORRTÄLJE</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13089-2022</t>
        </is>
      </c>
      <c r="B1454" t="inlineStr">
        <is>
          <t>avverkningsanmälan</t>
        </is>
      </c>
      <c r="C1454" t="inlineStr">
        <is>
          <t>Föryngringsavverkning</t>
        </is>
      </c>
      <c r="D1454" s="1" t="n">
        <v>44643</v>
      </c>
      <c r="E1454" s="1" t="n">
        <v>46326</v>
      </c>
      <c r="F1454" t="inlineStr">
        <is>
          <t>STOCKHOLMS LÄN</t>
        </is>
      </c>
      <c r="G1454" t="inlineStr">
        <is>
          <t>NORRTÄLJE</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18411-2025</t>
        </is>
      </c>
      <c r="B1455" t="inlineStr">
        <is>
          <t>avverkningsanmälan</t>
        </is>
      </c>
      <c r="C1455" t="inlineStr">
        <is>
          <t>Föryngringsavverkning</t>
        </is>
      </c>
      <c r="D1455" s="1" t="n">
        <v>45762</v>
      </c>
      <c r="E1455" s="1" t="n">
        <v>46326</v>
      </c>
      <c r="F1455" t="inlineStr">
        <is>
          <t>STOCKHOLMS LÄN</t>
        </is>
      </c>
      <c r="G1455" t="inlineStr">
        <is>
          <t>NYNÄSHAMN</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23998-2024</t>
        </is>
      </c>
      <c r="B1456" t="inlineStr">
        <is>
          <t>avverkningsanmälan</t>
        </is>
      </c>
      <c r="C1456" t="inlineStr">
        <is>
          <t>Föryngringsavverkning</t>
        </is>
      </c>
      <c r="D1456" s="1" t="n">
        <v>45456</v>
      </c>
      <c r="E1456" s="1" t="n">
        <v>46326</v>
      </c>
      <c r="F1456" t="inlineStr">
        <is>
          <t>STOCKHOLMS LÄN</t>
        </is>
      </c>
      <c r="G1456" t="inlineStr">
        <is>
          <t>NORRTÄLJE</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41966-2025</t>
        </is>
      </c>
      <c r="B1457" t="inlineStr">
        <is>
          <t>avverkningsanmälan</t>
        </is>
      </c>
      <c r="C1457" t="inlineStr">
        <is>
          <t>Föryngringsavverkning</t>
        </is>
      </c>
      <c r="D1457" s="1" t="n">
        <v>45903</v>
      </c>
      <c r="E1457" s="1" t="n">
        <v>46326</v>
      </c>
      <c r="F1457" t="inlineStr">
        <is>
          <t>STOCKHOLMS LÄN</t>
        </is>
      </c>
      <c r="G1457" t="inlineStr">
        <is>
          <t>NORRTÄLJE</t>
        </is>
      </c>
      <c r="H1457" t="inlineStr">
        <is>
          <t>Sveaskog</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15447-2023</t>
        </is>
      </c>
      <c r="B1458" t="inlineStr">
        <is>
          <t>avverkningsanmälan</t>
        </is>
      </c>
      <c r="C1458" t="inlineStr">
        <is>
          <t>Föryngringsavverkning</t>
        </is>
      </c>
      <c r="D1458" s="1" t="n">
        <v>45020</v>
      </c>
      <c r="E1458" s="1" t="n">
        <v>46326</v>
      </c>
      <c r="F1458" t="inlineStr">
        <is>
          <t>STOCKHOLMS LÄN</t>
        </is>
      </c>
      <c r="G1458" t="inlineStr">
        <is>
          <t>NORRTÄLJE</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60482-2025</t>
        </is>
      </c>
      <c r="B1459" t="inlineStr">
        <is>
          <t>avverkningsanmälan</t>
        </is>
      </c>
      <c r="C1459" t="inlineStr">
        <is>
          <t>Föryngringsavverkning</t>
        </is>
      </c>
      <c r="D1459" s="1" t="n">
        <v>45995</v>
      </c>
      <c r="E1459" s="1" t="n">
        <v>46326</v>
      </c>
      <c r="F1459" t="inlineStr">
        <is>
          <t>STOCKHOLMS LÄN</t>
        </is>
      </c>
      <c r="G1459" t="inlineStr">
        <is>
          <t>ÖSTERÅKER</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25412-2025</t>
        </is>
      </c>
      <c r="B1460" t="inlineStr">
        <is>
          <t>avverkningsanmälan</t>
        </is>
      </c>
      <c r="C1460" t="inlineStr">
        <is>
          <t>Föryngringsavverkning</t>
        </is>
      </c>
      <c r="D1460" s="1" t="n">
        <v>45799</v>
      </c>
      <c r="E1460" s="1" t="n">
        <v>46326</v>
      </c>
      <c r="F1460" t="inlineStr">
        <is>
          <t>STOCKHOLMS LÄN</t>
        </is>
      </c>
      <c r="G1460" t="inlineStr">
        <is>
          <t>SÖDERTÄLJE</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32094-2025</t>
        </is>
      </c>
      <c r="B1461" t="inlineStr">
        <is>
          <t>avverkningsanmälan</t>
        </is>
      </c>
      <c r="C1461" t="inlineStr">
        <is>
          <t>Föryngringsavverkning</t>
        </is>
      </c>
      <c r="D1461" s="1" t="n">
        <v>45835</v>
      </c>
      <c r="E1461" s="1" t="n">
        <v>46326</v>
      </c>
      <c r="F1461" t="inlineStr">
        <is>
          <t>STOCKHOLMS LÄN</t>
        </is>
      </c>
      <c r="G1461" t="inlineStr">
        <is>
          <t>NORRTÄLJE</t>
        </is>
      </c>
      <c r="H1461" t="inlineStr">
        <is>
          <t>Holmen skog AB</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7806-2025</t>
        </is>
      </c>
      <c r="B1462" t="inlineStr">
        <is>
          <t>avverkningsanmälan</t>
        </is>
      </c>
      <c r="C1462" t="inlineStr">
        <is>
          <t>Föryngringsavverkning</t>
        </is>
      </c>
      <c r="D1462" s="1" t="n">
        <v>45706</v>
      </c>
      <c r="E1462" s="1" t="n">
        <v>46326</v>
      </c>
      <c r="F1462" t="inlineStr">
        <is>
          <t>STOCKHOLMS LÄN</t>
        </is>
      </c>
      <c r="G1462" t="inlineStr">
        <is>
          <t>NORRTÄLJE</t>
        </is>
      </c>
      <c r="H1462" t="inlineStr">
        <is>
          <t>Holmen skog AB</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8792-2025</t>
        </is>
      </c>
      <c r="B1463" t="inlineStr">
        <is>
          <t>avverkningsanmälan</t>
        </is>
      </c>
      <c r="C1463" t="inlineStr">
        <is>
          <t>Föryngringsavverkning</t>
        </is>
      </c>
      <c r="D1463" s="1" t="n">
        <v>45712</v>
      </c>
      <c r="E1463" s="1" t="n">
        <v>46326</v>
      </c>
      <c r="F1463" t="inlineStr">
        <is>
          <t>STOCKHOLMS LÄN</t>
        </is>
      </c>
      <c r="G1463" t="inlineStr">
        <is>
          <t>NORRTÄLJE</t>
        </is>
      </c>
      <c r="H1463" t="inlineStr">
        <is>
          <t>Övriga Aktiebolag</t>
        </is>
      </c>
      <c r="I1463" t="n">
        <v>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48656-2022</t>
        </is>
      </c>
      <c r="B1464" t="inlineStr">
        <is>
          <t>avverkningsanmälan</t>
        </is>
      </c>
      <c r="C1464" t="inlineStr">
        <is>
          <t>Föryngringsavverkning</t>
        </is>
      </c>
      <c r="D1464" s="1" t="n">
        <v>44859</v>
      </c>
      <c r="E1464" s="1" t="n">
        <v>46326</v>
      </c>
      <c r="F1464" t="inlineStr">
        <is>
          <t>STOCKHOLMS LÄN</t>
        </is>
      </c>
      <c r="G1464" t="inlineStr">
        <is>
          <t>BOTKYRKA</t>
        </is>
      </c>
      <c r="H1464" t="inlineStr">
        <is>
          <t>Övriga Aktiebolag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2229-2023</t>
        </is>
      </c>
      <c r="B1465" t="inlineStr">
        <is>
          <t>avverkningsanmälan</t>
        </is>
      </c>
      <c r="C1465" t="inlineStr">
        <is>
          <t>Avverkning för att bevara och utveckla /försöksver</t>
        </is>
      </c>
      <c r="D1465" s="1" t="n">
        <v>44939</v>
      </c>
      <c r="E1465" s="1" t="n">
        <v>46326</v>
      </c>
      <c r="F1465" t="inlineStr">
        <is>
          <t>STOCKHOLMS LÄN</t>
        </is>
      </c>
      <c r="G1465" t="inlineStr">
        <is>
          <t>VAXHOLM</t>
        </is>
      </c>
      <c r="H1465" t="inlineStr">
        <is>
          <t>Övriga statliga verk och myndigheter</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21796-2025</t>
        </is>
      </c>
      <c r="B1466" t="inlineStr">
        <is>
          <t>avverkningsanmälan</t>
        </is>
      </c>
      <c r="C1466" t="inlineStr">
        <is>
          <t>Föryngringsavverkning</t>
        </is>
      </c>
      <c r="D1466" s="1" t="n">
        <v>45783</v>
      </c>
      <c r="E1466" s="1" t="n">
        <v>46326</v>
      </c>
      <c r="F1466" t="inlineStr">
        <is>
          <t>STOCKHOLMS LÄN</t>
        </is>
      </c>
      <c r="G1466" t="inlineStr">
        <is>
          <t>ÖSTERÅKER</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38194-2022</t>
        </is>
      </c>
      <c r="B1467" t="inlineStr">
        <is>
          <t>avverkningsanmälan</t>
        </is>
      </c>
      <c r="C1467" t="inlineStr">
        <is>
          <t>Föryngringsavverkning</t>
        </is>
      </c>
      <c r="D1467" s="1" t="n">
        <v>44812</v>
      </c>
      <c r="E1467" s="1" t="n">
        <v>46326</v>
      </c>
      <c r="F1467" t="inlineStr">
        <is>
          <t>STOCKHOLMS LÄN</t>
        </is>
      </c>
      <c r="G1467" t="inlineStr">
        <is>
          <t>BOTKYRKA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54358-2022</t>
        </is>
      </c>
      <c r="B1468" t="inlineStr">
        <is>
          <t>avverkningsanmälan</t>
        </is>
      </c>
      <c r="C1468" t="inlineStr">
        <is>
          <t>Föryngringsavverkning</t>
        </is>
      </c>
      <c r="D1468" s="1" t="n">
        <v>44882</v>
      </c>
      <c r="E1468" s="1" t="n">
        <v>46326</v>
      </c>
      <c r="F1468" t="inlineStr">
        <is>
          <t>STOCKHOLMS LÄN</t>
        </is>
      </c>
      <c r="G1468" t="inlineStr">
        <is>
          <t>NORRTÄLJE</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33667-2022</t>
        </is>
      </c>
      <c r="B1469" t="inlineStr">
        <is>
          <t>avverkningsanmälan</t>
        </is>
      </c>
      <c r="C1469" t="inlineStr">
        <is>
          <t>Föryngringsavverkning</t>
        </is>
      </c>
      <c r="D1469" s="1" t="n">
        <v>44789</v>
      </c>
      <c r="E1469" s="1" t="n">
        <v>46326</v>
      </c>
      <c r="F1469" t="inlineStr">
        <is>
          <t>STOCKHOLMS LÄN</t>
        </is>
      </c>
      <c r="G1469" t="inlineStr">
        <is>
          <t>NYNÄSHAMN</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60977-2022</t>
        </is>
      </c>
      <c r="B1470" t="inlineStr">
        <is>
          <t>avverkningsanmälan</t>
        </is>
      </c>
      <c r="C1470" t="inlineStr">
        <is>
          <t>Avverkning för att bevara och utveckla /försöksver</t>
        </is>
      </c>
      <c r="D1470" s="1" t="n">
        <v>44908</v>
      </c>
      <c r="E1470" s="1" t="n">
        <v>46326</v>
      </c>
      <c r="F1470" t="inlineStr">
        <is>
          <t>STOCKHOLMS LÄN</t>
        </is>
      </c>
      <c r="G1470" t="inlineStr">
        <is>
          <t>NYNÄSHAMN</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23263-2023</t>
        </is>
      </c>
      <c r="B1471" t="inlineStr">
        <is>
          <t>avverkningsanmälan</t>
        </is>
      </c>
      <c r="C1471" t="inlineStr">
        <is>
          <t>Föryngringsavverkning</t>
        </is>
      </c>
      <c r="D1471" s="1" t="n">
        <v>45075</v>
      </c>
      <c r="E1471" s="1" t="n">
        <v>46326</v>
      </c>
      <c r="F1471" t="inlineStr">
        <is>
          <t>STOCKHOLMS LÄN</t>
        </is>
      </c>
      <c r="G1471" t="inlineStr">
        <is>
          <t>NORRTÄLJE</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23264-2023</t>
        </is>
      </c>
      <c r="B1472" t="inlineStr">
        <is>
          <t>avverkningsanmälan</t>
        </is>
      </c>
      <c r="C1472" t="inlineStr">
        <is>
          <t>Föryngringsavverkning</t>
        </is>
      </c>
      <c r="D1472" s="1" t="n">
        <v>45075</v>
      </c>
      <c r="E1472" s="1" t="n">
        <v>46326</v>
      </c>
      <c r="F1472" t="inlineStr">
        <is>
          <t>STOCKHOLMS LÄN</t>
        </is>
      </c>
      <c r="G1472" t="inlineStr">
        <is>
          <t>NORRTÄLJE</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23267-2023</t>
        </is>
      </c>
      <c r="B1473" t="inlineStr">
        <is>
          <t>avverkningsanmälan</t>
        </is>
      </c>
      <c r="C1473" t="inlineStr">
        <is>
          <t>Föryngringsavverkning</t>
        </is>
      </c>
      <c r="D1473" s="1" t="n">
        <v>45075</v>
      </c>
      <c r="E1473" s="1" t="n">
        <v>46326</v>
      </c>
      <c r="F1473" t="inlineStr">
        <is>
          <t>STOCKHOLMS LÄN</t>
        </is>
      </c>
      <c r="G1473" t="inlineStr">
        <is>
          <t>NORRTÄLJE</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23269-2023</t>
        </is>
      </c>
      <c r="B1474" t="inlineStr">
        <is>
          <t>avverkningsanmälan</t>
        </is>
      </c>
      <c r="C1474" t="inlineStr">
        <is>
          <t>Föryngringsavverkning</t>
        </is>
      </c>
      <c r="D1474" s="1" t="n">
        <v>45075</v>
      </c>
      <c r="E1474" s="1" t="n">
        <v>46326</v>
      </c>
      <c r="F1474" t="inlineStr">
        <is>
          <t>STOCKHOLMS LÄN</t>
        </is>
      </c>
      <c r="G1474" t="inlineStr">
        <is>
          <t>NORRTÄLJE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19911-2025</t>
        </is>
      </c>
      <c r="B1475" t="inlineStr">
        <is>
          <t>avverkningsanmälan</t>
        </is>
      </c>
      <c r="C1475" t="inlineStr">
        <is>
          <t>Avverkning för annat ändamål</t>
        </is>
      </c>
      <c r="D1475" s="1" t="n">
        <v>45771</v>
      </c>
      <c r="E1475" s="1" t="n">
        <v>46326</v>
      </c>
      <c r="F1475" t="inlineStr">
        <is>
          <t>STOCKHOLMS LÄN</t>
        </is>
      </c>
      <c r="G1475" t="inlineStr">
        <is>
          <t>NORRTÄLJE</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5831-2022</t>
        </is>
      </c>
      <c r="B1476" t="inlineStr">
        <is>
          <t>avverkningsanmälan</t>
        </is>
      </c>
      <c r="C1476" t="inlineStr">
        <is>
          <t>Föryngringsavverkning</t>
        </is>
      </c>
      <c r="D1476" s="1" t="n">
        <v>44596</v>
      </c>
      <c r="E1476" s="1" t="n">
        <v>46326</v>
      </c>
      <c r="F1476" t="inlineStr">
        <is>
          <t>STOCKHOLMS LÄN</t>
        </is>
      </c>
      <c r="G1476" t="inlineStr">
        <is>
          <t>NORRTÄLJE</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5867-2022</t>
        </is>
      </c>
      <c r="B1477" t="inlineStr">
        <is>
          <t>avverkningsanmälan</t>
        </is>
      </c>
      <c r="C1477" t="inlineStr">
        <is>
          <t>Föryngringsavverkning</t>
        </is>
      </c>
      <c r="D1477" s="1" t="n">
        <v>44596</v>
      </c>
      <c r="E1477" s="1" t="n">
        <v>46326</v>
      </c>
      <c r="F1477" t="inlineStr">
        <is>
          <t>STOCKHOLMS LÄN</t>
        </is>
      </c>
      <c r="G1477" t="inlineStr">
        <is>
          <t>NORRTÄLJE</t>
        </is>
      </c>
      <c r="H1477" t="inlineStr">
        <is>
          <t>Naturvårdsverket</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4688-2023</t>
        </is>
      </c>
      <c r="B1478" t="inlineStr">
        <is>
          <t>avverkningsanmälan</t>
        </is>
      </c>
      <c r="C1478" t="inlineStr">
        <is>
          <t>Föryngringsavverkning</t>
        </is>
      </c>
      <c r="D1478" s="1" t="n">
        <v>44957</v>
      </c>
      <c r="E1478" s="1" t="n">
        <v>46326</v>
      </c>
      <c r="F1478" t="inlineStr">
        <is>
          <t>STOCKHOLMS LÄN</t>
        </is>
      </c>
      <c r="G1478" t="inlineStr">
        <is>
          <t>NYNÄSHAMN</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62878-2023</t>
        </is>
      </c>
      <c r="B1479" t="inlineStr">
        <is>
          <t>avverkningsanmälan</t>
        </is>
      </c>
      <c r="C1479" t="inlineStr">
        <is>
          <t>Föryngringsavverkning</t>
        </is>
      </c>
      <c r="D1479" s="1" t="n">
        <v>45272</v>
      </c>
      <c r="E1479" s="1" t="n">
        <v>46326</v>
      </c>
      <c r="F1479" t="inlineStr">
        <is>
          <t>STOCKHOLMS LÄN</t>
        </is>
      </c>
      <c r="G1479" t="inlineStr">
        <is>
          <t>NYNÄSHAMN</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48633-2023</t>
        </is>
      </c>
      <c r="B1480" t="inlineStr">
        <is>
          <t>avverkningsanmälan</t>
        </is>
      </c>
      <c r="C1480" t="inlineStr">
        <is>
          <t>Föryngringsavverkning</t>
        </is>
      </c>
      <c r="D1480" s="1" t="n">
        <v>45208</v>
      </c>
      <c r="E1480" s="1" t="n">
        <v>46326</v>
      </c>
      <c r="F1480" t="inlineStr">
        <is>
          <t>STOCKHOLMS LÄN</t>
        </is>
      </c>
      <c r="G1480" t="inlineStr">
        <is>
          <t>NORRTÄLJE</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33792-2023</t>
        </is>
      </c>
      <c r="B1481" t="inlineStr">
        <is>
          <t>avverkningsanmälan</t>
        </is>
      </c>
      <c r="C1481" t="inlineStr">
        <is>
          <t>Föryngringsavverkning</t>
        </is>
      </c>
      <c r="D1481" s="1" t="n">
        <v>45121</v>
      </c>
      <c r="E1481" s="1" t="n">
        <v>46326</v>
      </c>
      <c r="F1481" t="inlineStr">
        <is>
          <t>STOCKHOLMS LÄN</t>
        </is>
      </c>
      <c r="G1481" t="inlineStr">
        <is>
          <t>HANINGE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24351-2025</t>
        </is>
      </c>
      <c r="B1482" t="inlineStr">
        <is>
          <t>avverkningsanmälan</t>
        </is>
      </c>
      <c r="C1482" t="inlineStr">
        <is>
          <t>Föryngringsavverkning</t>
        </is>
      </c>
      <c r="D1482" s="1" t="n">
        <v>45797</v>
      </c>
      <c r="E1482" s="1" t="n">
        <v>46326</v>
      </c>
      <c r="F1482" t="inlineStr">
        <is>
          <t>STOCKHOLMS LÄN</t>
        </is>
      </c>
      <c r="G1482" t="inlineStr">
        <is>
          <t>NORRTÄLJE</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48606-2025</t>
        </is>
      </c>
      <c r="B1483" t="inlineStr">
        <is>
          <t>avverkningsanmälan</t>
        </is>
      </c>
      <c r="C1483" t="inlineStr">
        <is>
          <t>Föryngringsavverkning</t>
        </is>
      </c>
      <c r="D1483" s="1" t="n">
        <v>45936</v>
      </c>
      <c r="E1483" s="1" t="n">
        <v>46326</v>
      </c>
      <c r="F1483" t="inlineStr">
        <is>
          <t>STOCKHOLMS LÄN</t>
        </is>
      </c>
      <c r="G1483" t="inlineStr">
        <is>
          <t>HANINGE</t>
        </is>
      </c>
      <c r="I1483" t="n">
        <v>6.9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39669-2024</t>
        </is>
      </c>
      <c r="B1484" t="inlineStr">
        <is>
          <t>avverkningsanmälan</t>
        </is>
      </c>
      <c r="C1484" t="inlineStr">
        <is>
          <t>Föryngringsavverkning</t>
        </is>
      </c>
      <c r="D1484" s="1" t="n">
        <v>45552</v>
      </c>
      <c r="E1484" s="1" t="n">
        <v>46326</v>
      </c>
      <c r="F1484" t="inlineStr">
        <is>
          <t>STOCKHOLMS LÄN</t>
        </is>
      </c>
      <c r="G1484" t="inlineStr">
        <is>
          <t>NORRTÄLJE</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27806-2025</t>
        </is>
      </c>
      <c r="B1485" t="inlineStr">
        <is>
          <t>avverkningsanmälan</t>
        </is>
      </c>
      <c r="C1485" t="inlineStr">
        <is>
          <t>Föryngringsavverkning</t>
        </is>
      </c>
      <c r="D1485" s="1" t="n">
        <v>45817</v>
      </c>
      <c r="E1485" s="1" t="n">
        <v>46326</v>
      </c>
      <c r="F1485" t="inlineStr">
        <is>
          <t>STOCKHOLMS LÄN</t>
        </is>
      </c>
      <c r="G1485" t="inlineStr">
        <is>
          <t>NORRTÄLJE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13314-2025</t>
        </is>
      </c>
      <c r="B1486" t="inlineStr">
        <is>
          <t>avverkningsanmälan</t>
        </is>
      </c>
      <c r="C1486" t="inlineStr">
        <is>
          <t>Föryngringsavverkning</t>
        </is>
      </c>
      <c r="D1486" s="1" t="n">
        <v>45735</v>
      </c>
      <c r="E1486" s="1" t="n">
        <v>46326</v>
      </c>
      <c r="F1486" t="inlineStr">
        <is>
          <t>STOCKHOLMS LÄN</t>
        </is>
      </c>
      <c r="G1486" t="inlineStr">
        <is>
          <t>NORRTÄLJE</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14900-2025</t>
        </is>
      </c>
      <c r="B1487" t="inlineStr">
        <is>
          <t>avverkningsanmälan</t>
        </is>
      </c>
      <c r="C1487" t="inlineStr">
        <is>
          <t>Föryngringsavverkning</t>
        </is>
      </c>
      <c r="D1487" s="1" t="n">
        <v>45743</v>
      </c>
      <c r="E1487" s="1" t="n">
        <v>46326</v>
      </c>
      <c r="F1487" t="inlineStr">
        <is>
          <t>STOCKHOLMS LÄN</t>
        </is>
      </c>
      <c r="G1487" t="inlineStr">
        <is>
          <t>HANINGE</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6678-2025</t>
        </is>
      </c>
      <c r="B1488" t="inlineStr">
        <is>
          <t>avverkningsanmälan</t>
        </is>
      </c>
      <c r="C1488" t="inlineStr">
        <is>
          <t>Föryngringsavverkning</t>
        </is>
      </c>
      <c r="D1488" s="1" t="n">
        <v>45700</v>
      </c>
      <c r="E1488" s="1" t="n">
        <v>46326</v>
      </c>
      <c r="F1488" t="inlineStr">
        <is>
          <t>STOCKHOLMS LÄN</t>
        </is>
      </c>
      <c r="G1488" t="inlineStr">
        <is>
          <t>NORRTÄLJE</t>
        </is>
      </c>
      <c r="H1488" t="inlineStr">
        <is>
          <t>Övriga Aktiebolag</t>
        </is>
      </c>
      <c r="I1488" t="n">
        <v>6.6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25706-2023</t>
        </is>
      </c>
      <c r="B1489" t="inlineStr">
        <is>
          <t>avverkningsanmälan</t>
        </is>
      </c>
      <c r="C1489" t="inlineStr">
        <is>
          <t>Föryngringsavverkning</t>
        </is>
      </c>
      <c r="D1489" s="1" t="n">
        <v>45090</v>
      </c>
      <c r="E1489" s="1" t="n">
        <v>46326</v>
      </c>
      <c r="F1489" t="inlineStr">
        <is>
          <t>STOCKHOLMS LÄN</t>
        </is>
      </c>
      <c r="G1489" t="inlineStr">
        <is>
          <t>SÖDERTÄLJE</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1283-2025</t>
        </is>
      </c>
      <c r="B1490" t="inlineStr">
        <is>
          <t>avverkningsanmälan</t>
        </is>
      </c>
      <c r="C1490" t="inlineStr">
        <is>
          <t>Föryngringsavverkning</t>
        </is>
      </c>
      <c r="D1490" s="1" t="n">
        <v>45667</v>
      </c>
      <c r="E1490" s="1" t="n">
        <v>46326</v>
      </c>
      <c r="F1490" t="inlineStr">
        <is>
          <t>STOCKHOLMS LÄN</t>
        </is>
      </c>
      <c r="G1490" t="inlineStr">
        <is>
          <t>NORRTÄLJE</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20398-2026</t>
        </is>
      </c>
      <c r="B1491" t="inlineStr">
        <is>
          <t>avverkningsanmälan</t>
        </is>
      </c>
      <c r="C1491" t="inlineStr">
        <is>
          <t>Föryngringsavverkning</t>
        </is>
      </c>
      <c r="D1491" s="1" t="n">
        <v>46139</v>
      </c>
      <c r="E1491" s="1" t="n">
        <v>46326</v>
      </c>
      <c r="F1491" t="inlineStr">
        <is>
          <t>STOCKHOLMS LÄN</t>
        </is>
      </c>
      <c r="G1491" t="inlineStr">
        <is>
          <t>EKERÖ</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43170-2023</t>
        </is>
      </c>
      <c r="B1492" t="inlineStr">
        <is>
          <t>avverkningsanmälan</t>
        </is>
      </c>
      <c r="C1492" t="inlineStr">
        <is>
          <t>Föryngringsavverkning</t>
        </is>
      </c>
      <c r="D1492" s="1" t="n">
        <v>45183</v>
      </c>
      <c r="E1492" s="1" t="n">
        <v>46326</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9-2024</t>
        </is>
      </c>
      <c r="B1493" t="inlineStr">
        <is>
          <t>avverkningsanmälan</t>
        </is>
      </c>
      <c r="C1493" t="inlineStr">
        <is>
          <t>Avverkning för annat ändamål</t>
        </is>
      </c>
      <c r="D1493" s="1" t="n">
        <v>45293</v>
      </c>
      <c r="E1493" s="1" t="n">
        <v>46326</v>
      </c>
      <c r="F1493" t="inlineStr">
        <is>
          <t>STOCKHOLMS LÄN</t>
        </is>
      </c>
      <c r="G1493" t="inlineStr">
        <is>
          <t>NORRTÄLJE</t>
        </is>
      </c>
      <c r="H1493" t="inlineStr">
        <is>
          <t>Sveaskog</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11867-2024</t>
        </is>
      </c>
      <c r="B1494" t="inlineStr">
        <is>
          <t>avverkningsanmälan</t>
        </is>
      </c>
      <c r="C1494" t="inlineStr">
        <is>
          <t>Föryngringsavverkning</t>
        </is>
      </c>
      <c r="D1494" s="1" t="n">
        <v>45376</v>
      </c>
      <c r="E1494" s="1" t="n">
        <v>46326</v>
      </c>
      <c r="F1494" t="inlineStr">
        <is>
          <t>STOCKHOLMS LÄN</t>
        </is>
      </c>
      <c r="G1494" t="inlineStr">
        <is>
          <t>BOTKYRKA</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16913-2025</t>
        </is>
      </c>
      <c r="B1495" t="inlineStr">
        <is>
          <t>avverkningsanmälan</t>
        </is>
      </c>
      <c r="C1495" t="inlineStr">
        <is>
          <t>Föryngringsavverkning</t>
        </is>
      </c>
      <c r="D1495" s="1" t="n">
        <v>45755</v>
      </c>
      <c r="E1495" s="1" t="n">
        <v>46326</v>
      </c>
      <c r="F1495" t="inlineStr">
        <is>
          <t>STOCKHOLMS LÄN</t>
        </is>
      </c>
      <c r="G1495" t="inlineStr">
        <is>
          <t>NORRTÄLJE</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4035-2023</t>
        </is>
      </c>
      <c r="B1496" t="inlineStr">
        <is>
          <t>avverkningsanmälan</t>
        </is>
      </c>
      <c r="C1496" t="inlineStr">
        <is>
          <t>Föryngringsavverkning</t>
        </is>
      </c>
      <c r="D1496" s="1" t="n">
        <v>44952</v>
      </c>
      <c r="E1496" s="1" t="n">
        <v>46326</v>
      </c>
      <c r="F1496" t="inlineStr">
        <is>
          <t>STOCKHOLMS LÄN</t>
        </is>
      </c>
      <c r="G1496" t="inlineStr">
        <is>
          <t>NORRTÄLJE</t>
        </is>
      </c>
      <c r="H1496" t="inlineStr">
        <is>
          <t>Holmen skog AB</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33793-2022</t>
        </is>
      </c>
      <c r="B1497" t="inlineStr">
        <is>
          <t>avverkningsanmälan</t>
        </is>
      </c>
      <c r="C1497" t="inlineStr">
        <is>
          <t>Föryngringsavverkning</t>
        </is>
      </c>
      <c r="D1497" s="1" t="n">
        <v>44790</v>
      </c>
      <c r="E1497" s="1" t="n">
        <v>46326</v>
      </c>
      <c r="F1497" t="inlineStr">
        <is>
          <t>STOCKHOLMS LÄN</t>
        </is>
      </c>
      <c r="G1497" t="inlineStr">
        <is>
          <t>NORRTÄLJE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53600-2022</t>
        </is>
      </c>
      <c r="B1498" t="inlineStr">
        <is>
          <t>avverkningsanmälan</t>
        </is>
      </c>
      <c r="C1498" t="inlineStr">
        <is>
          <t>Föryngringsavverkning</t>
        </is>
      </c>
      <c r="D1498" s="1" t="n">
        <v>44879</v>
      </c>
      <c r="E1498" s="1" t="n">
        <v>46326</v>
      </c>
      <c r="F1498" t="inlineStr">
        <is>
          <t>STOCKHOLMS LÄN</t>
        </is>
      </c>
      <c r="G1498" t="inlineStr">
        <is>
          <t>NORRTÄLJE</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37628-2025</t>
        </is>
      </c>
      <c r="B1499" t="inlineStr">
        <is>
          <t>avverkningsanmälan</t>
        </is>
      </c>
      <c r="C1499" t="inlineStr">
        <is>
          <t>Föryngringsavverkning</t>
        </is>
      </c>
      <c r="D1499" s="1" t="n">
        <v>45880</v>
      </c>
      <c r="E1499" s="1" t="n">
        <v>46326</v>
      </c>
      <c r="F1499" t="inlineStr">
        <is>
          <t>STOCKHOLMS LÄN</t>
        </is>
      </c>
      <c r="G1499" t="inlineStr">
        <is>
          <t>NORRTÄLJE</t>
        </is>
      </c>
      <c r="H1499" t="inlineStr">
        <is>
          <t>Sveaskog</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51587-2023</t>
        </is>
      </c>
      <c r="B1500" t="inlineStr">
        <is>
          <t>avverkningsanmälan</t>
        </is>
      </c>
      <c r="C1500" t="inlineStr">
        <is>
          <t>Föryngringsavverkning</t>
        </is>
      </c>
      <c r="D1500" s="1" t="n">
        <v>45215</v>
      </c>
      <c r="E1500" s="1" t="n">
        <v>46326</v>
      </c>
      <c r="F1500" t="inlineStr">
        <is>
          <t>STOCKHOLMS LÄN</t>
        </is>
      </c>
      <c r="G1500" t="inlineStr">
        <is>
          <t>UPPLANDS-BRO</t>
        </is>
      </c>
      <c r="H1500" t="inlineStr">
        <is>
          <t>Allmännings- och besparingsskogar</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32122-2025</t>
        </is>
      </c>
      <c r="B1501" t="inlineStr">
        <is>
          <t>avverkningsanmälan</t>
        </is>
      </c>
      <c r="C1501" t="inlineStr">
        <is>
          <t>Föryngringsavverkning</t>
        </is>
      </c>
      <c r="D1501" s="1" t="n">
        <v>45835</v>
      </c>
      <c r="E1501" s="1" t="n">
        <v>46326</v>
      </c>
      <c r="F1501" t="inlineStr">
        <is>
          <t>STOCKHOLMS LÄN</t>
        </is>
      </c>
      <c r="G1501" t="inlineStr">
        <is>
          <t>NORRTÄLJE</t>
        </is>
      </c>
      <c r="H1501" t="inlineStr">
        <is>
          <t>Holmen skog AB</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18711-2023</t>
        </is>
      </c>
      <c r="B1502" t="inlineStr">
        <is>
          <t>avverkningsanmälan</t>
        </is>
      </c>
      <c r="C1502" t="inlineStr">
        <is>
          <t>Föryngringsavverkning</t>
        </is>
      </c>
      <c r="D1502" s="1" t="n">
        <v>45043</v>
      </c>
      <c r="E1502" s="1" t="n">
        <v>46326</v>
      </c>
      <c r="F1502" t="inlineStr">
        <is>
          <t>STOCKHOLMS LÄN</t>
        </is>
      </c>
      <c r="G1502" t="inlineStr">
        <is>
          <t>ÖSTERÅKER</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20527-2025</t>
        </is>
      </c>
      <c r="B1503" t="inlineStr">
        <is>
          <t>avverkningsanmälan</t>
        </is>
      </c>
      <c r="C1503" t="inlineStr">
        <is>
          <t>Föryngringsavverkning</t>
        </is>
      </c>
      <c r="D1503" s="1" t="n">
        <v>45775</v>
      </c>
      <c r="E1503" s="1" t="n">
        <v>46326</v>
      </c>
      <c r="F1503" t="inlineStr">
        <is>
          <t>STOCKHOLMS LÄN</t>
        </is>
      </c>
      <c r="G1503" t="inlineStr">
        <is>
          <t>HANINGE</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64568-2023</t>
        </is>
      </c>
      <c r="B1504" t="inlineStr">
        <is>
          <t>avverkningsanmälan</t>
        </is>
      </c>
      <c r="C1504" t="inlineStr">
        <is>
          <t>Föryngringsavverkning</t>
        </is>
      </c>
      <c r="D1504" s="1" t="n">
        <v>45281</v>
      </c>
      <c r="E1504" s="1" t="n">
        <v>46326</v>
      </c>
      <c r="F1504" t="inlineStr">
        <is>
          <t>STOCKHOLMS LÄN</t>
        </is>
      </c>
      <c r="G1504" t="inlineStr">
        <is>
          <t>HANINGE</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19487-2023</t>
        </is>
      </c>
      <c r="B1505" t="inlineStr">
        <is>
          <t>avverkningsanmälan</t>
        </is>
      </c>
      <c r="C1505" t="inlineStr">
        <is>
          <t>Avverkning för att bevara och utveckla /försöksver</t>
        </is>
      </c>
      <c r="D1505" s="1" t="n">
        <v>45050</v>
      </c>
      <c r="E1505" s="1" t="n">
        <v>46326</v>
      </c>
      <c r="F1505" t="inlineStr">
        <is>
          <t>STOCKHOLMS LÄN</t>
        </is>
      </c>
      <c r="G1505" t="inlineStr">
        <is>
          <t>NYKVARN</t>
        </is>
      </c>
      <c r="H1505" t="inlineStr">
        <is>
          <t>Sveaskog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13-2024</t>
        </is>
      </c>
      <c r="B1506" t="inlineStr">
        <is>
          <t>avverkningsanmälan</t>
        </is>
      </c>
      <c r="C1506" t="inlineStr">
        <is>
          <t>Föryngringsavverkning</t>
        </is>
      </c>
      <c r="D1506" s="1" t="n">
        <v>45293</v>
      </c>
      <c r="E1506" s="1" t="n">
        <v>46326</v>
      </c>
      <c r="F1506" t="inlineStr">
        <is>
          <t>STOCKHOLMS LÄN</t>
        </is>
      </c>
      <c r="G1506" t="inlineStr">
        <is>
          <t>NORRTÄLJE</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19-2024</t>
        </is>
      </c>
      <c r="B1507" t="inlineStr">
        <is>
          <t>avverkningsanmälan</t>
        </is>
      </c>
      <c r="C1507" t="inlineStr">
        <is>
          <t>Föryngringsavverkning</t>
        </is>
      </c>
      <c r="D1507" s="1" t="n">
        <v>45293</v>
      </c>
      <c r="E1507" s="1" t="n">
        <v>46326</v>
      </c>
      <c r="F1507" t="inlineStr">
        <is>
          <t>STOCKHOLMS LÄN</t>
        </is>
      </c>
      <c r="G1507" t="inlineStr">
        <is>
          <t>NORRTÄLJE</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22-2024</t>
        </is>
      </c>
      <c r="B1508" t="inlineStr">
        <is>
          <t>avverkningsanmälan</t>
        </is>
      </c>
      <c r="C1508" t="inlineStr">
        <is>
          <t>Föryngringsavverkning</t>
        </is>
      </c>
      <c r="D1508" s="1" t="n">
        <v>45293</v>
      </c>
      <c r="E1508" s="1" t="n">
        <v>46326</v>
      </c>
      <c r="F1508" t="inlineStr">
        <is>
          <t>STOCKHOLMS LÄN</t>
        </is>
      </c>
      <c r="G1508" t="inlineStr">
        <is>
          <t>SÖDERTÄLJE</t>
        </is>
      </c>
      <c r="I1508" t="n">
        <v>4.4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30221-2024</t>
        </is>
      </c>
      <c r="B1509" t="inlineStr">
        <is>
          <t>avverkningsanmälan</t>
        </is>
      </c>
      <c r="C1509" t="inlineStr">
        <is>
          <t>Föryngringsavverkning</t>
        </is>
      </c>
      <c r="D1509" s="1" t="n">
        <v>45490</v>
      </c>
      <c r="E1509" s="1" t="n">
        <v>46326</v>
      </c>
      <c r="F1509" t="inlineStr">
        <is>
          <t>STOCKHOLMS LÄN</t>
        </is>
      </c>
      <c r="G1509" t="inlineStr">
        <is>
          <t>NORRTÄLJE</t>
        </is>
      </c>
      <c r="H1509" t="inlineStr">
        <is>
          <t>Holmen skog AB</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31559-2022</t>
        </is>
      </c>
      <c r="B1510" t="inlineStr">
        <is>
          <t>avverkningsanmälan</t>
        </is>
      </c>
      <c r="C1510" t="inlineStr">
        <is>
          <t>Föryngringsavverkning</t>
        </is>
      </c>
      <c r="D1510" s="1" t="n">
        <v>44775</v>
      </c>
      <c r="E1510" s="1" t="n">
        <v>46326</v>
      </c>
      <c r="F1510" t="inlineStr">
        <is>
          <t>STOCKHOLMS LÄN</t>
        </is>
      </c>
      <c r="G1510" t="inlineStr">
        <is>
          <t>NORRTÄLJE</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95-2024</t>
        </is>
      </c>
      <c r="B1511" t="inlineStr">
        <is>
          <t>avverkningsanmälan</t>
        </is>
      </c>
      <c r="C1511" t="inlineStr">
        <is>
          <t>Föryngringsavverkning</t>
        </is>
      </c>
      <c r="D1511" s="1" t="n">
        <v>45293</v>
      </c>
      <c r="E1511" s="1" t="n">
        <v>46326</v>
      </c>
      <c r="F1511" t="inlineStr">
        <is>
          <t>STOCKHOLMS LÄN</t>
        </is>
      </c>
      <c r="G1511" t="inlineStr">
        <is>
          <t>SÖDERTÄLJE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25415-2025</t>
        </is>
      </c>
      <c r="B1512" t="inlineStr">
        <is>
          <t>avverkningsanmälan</t>
        </is>
      </c>
      <c r="C1512" t="inlineStr">
        <is>
          <t>Föryngringsavverkning</t>
        </is>
      </c>
      <c r="D1512" s="1" t="n">
        <v>45799</v>
      </c>
      <c r="E1512" s="1" t="n">
        <v>46326</v>
      </c>
      <c r="F1512" t="inlineStr">
        <is>
          <t>STOCKHOLMS LÄN</t>
        </is>
      </c>
      <c r="G1512" t="inlineStr">
        <is>
          <t>SÖDERTÄLJE</t>
        </is>
      </c>
      <c r="I1512" t="n">
        <v>10.8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20375-2023</t>
        </is>
      </c>
      <c r="B1513" t="inlineStr">
        <is>
          <t>avverkningsanmälan</t>
        </is>
      </c>
      <c r="C1513" t="inlineStr">
        <is>
          <t>Föryngringsavverkning</t>
        </is>
      </c>
      <c r="D1513" s="1" t="n">
        <v>45054</v>
      </c>
      <c r="E1513" s="1" t="n">
        <v>46326</v>
      </c>
      <c r="F1513" t="inlineStr">
        <is>
          <t>STOCKHOLMS LÄN</t>
        </is>
      </c>
      <c r="G1513" t="inlineStr">
        <is>
          <t>SIGTUNA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59534-2024</t>
        </is>
      </c>
      <c r="B1514" t="inlineStr">
        <is>
          <t>avverkningsanmälan</t>
        </is>
      </c>
      <c r="C1514" t="inlineStr">
        <is>
          <t>Föryngringsavverkning</t>
        </is>
      </c>
      <c r="D1514" s="1" t="n">
        <v>45638</v>
      </c>
      <c r="E1514" s="1" t="n">
        <v>46326</v>
      </c>
      <c r="F1514" t="inlineStr">
        <is>
          <t>STOCKHOLMS LÄN</t>
        </is>
      </c>
      <c r="G1514" t="inlineStr">
        <is>
          <t>NORRTÄLJE</t>
        </is>
      </c>
      <c r="H1514" t="inlineStr">
        <is>
          <t>Holmen skog AB</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504-2023</t>
        </is>
      </c>
      <c r="B1515" t="inlineStr">
        <is>
          <t>avverkningsanmälan</t>
        </is>
      </c>
      <c r="C1515" t="inlineStr">
        <is>
          <t>Föryngringsavverkning</t>
        </is>
      </c>
      <c r="D1515" s="1" t="n">
        <v>44930</v>
      </c>
      <c r="E1515" s="1" t="n">
        <v>46326</v>
      </c>
      <c r="F1515" t="inlineStr">
        <is>
          <t>STOCKHOLMS LÄN</t>
        </is>
      </c>
      <c r="G1515" t="inlineStr">
        <is>
          <t>SALEM</t>
        </is>
      </c>
      <c r="H1515" t="inlineStr">
        <is>
          <t>Kommuner</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20603-2026</t>
        </is>
      </c>
      <c r="B1516" t="inlineStr">
        <is>
          <t>avverkningsanmälan</t>
        </is>
      </c>
      <c r="C1516" t="inlineStr">
        <is>
          <t>Föryngringsavverkning</t>
        </is>
      </c>
      <c r="D1516" s="1" t="n">
        <v>46140</v>
      </c>
      <c r="E1516" s="1" t="n">
        <v>46326</v>
      </c>
      <c r="F1516" t="inlineStr">
        <is>
          <t>STOCKHOLMS LÄN</t>
        </is>
      </c>
      <c r="G1516" t="inlineStr">
        <is>
          <t>SÖDERTÄLJE</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18793-2023</t>
        </is>
      </c>
      <c r="B1517" t="inlineStr">
        <is>
          <t>avverkningsanmälan</t>
        </is>
      </c>
      <c r="C1517" t="inlineStr">
        <is>
          <t>Föryngringsavverkning</t>
        </is>
      </c>
      <c r="D1517" s="1" t="n">
        <v>45044</v>
      </c>
      <c r="E1517" s="1" t="n">
        <v>46326</v>
      </c>
      <c r="F1517" t="inlineStr">
        <is>
          <t>STOCKHOLMS LÄN</t>
        </is>
      </c>
      <c r="G1517" t="inlineStr">
        <is>
          <t>NYKVARN</t>
        </is>
      </c>
      <c r="H1517" t="inlineStr">
        <is>
          <t>Kyrkan</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50020-2023</t>
        </is>
      </c>
      <c r="B1518" t="inlineStr">
        <is>
          <t>avverkningsanmälan</t>
        </is>
      </c>
      <c r="C1518" t="inlineStr">
        <is>
          <t>Föryngringsavverkning</t>
        </is>
      </c>
      <c r="D1518" s="1" t="n">
        <v>45215</v>
      </c>
      <c r="E1518" s="1" t="n">
        <v>46326</v>
      </c>
      <c r="F1518" t="inlineStr">
        <is>
          <t>STOCKHOLMS LÄN</t>
        </is>
      </c>
      <c r="G1518" t="inlineStr">
        <is>
          <t>NYKVARN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845-2024</t>
        </is>
      </c>
      <c r="B1519" t="inlineStr">
        <is>
          <t>avverkningsanmälan</t>
        </is>
      </c>
      <c r="C1519" t="inlineStr">
        <is>
          <t>Föryngringsavverkning</t>
        </is>
      </c>
      <c r="D1519" s="1" t="n">
        <v>45300</v>
      </c>
      <c r="E1519" s="1" t="n">
        <v>46326</v>
      </c>
      <c r="F1519" t="inlineStr">
        <is>
          <t>STOCKHOLMS LÄN</t>
        </is>
      </c>
      <c r="G1519" t="inlineStr">
        <is>
          <t>ÖSTERÅKER</t>
        </is>
      </c>
      <c r="I1519" t="n">
        <v>10.1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46988-2024</t>
        </is>
      </c>
      <c r="B1520" t="inlineStr">
        <is>
          <t>avverkningsanmälan</t>
        </is>
      </c>
      <c r="C1520" t="inlineStr">
        <is>
          <t>Föryngringsavverkning</t>
        </is>
      </c>
      <c r="D1520" s="1" t="n">
        <v>45586</v>
      </c>
      <c r="E1520" s="1" t="n">
        <v>46326</v>
      </c>
      <c r="F1520" t="inlineStr">
        <is>
          <t>STOCKHOLMS LÄN</t>
        </is>
      </c>
      <c r="G1520" t="inlineStr">
        <is>
          <t>NORRTÄLJE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13701-2022</t>
        </is>
      </c>
      <c r="B1521" t="inlineStr">
        <is>
          <t>avverkningsanmälan</t>
        </is>
      </c>
      <c r="C1521" t="inlineStr">
        <is>
          <t>Föryngringsavverkning</t>
        </is>
      </c>
      <c r="D1521" s="1" t="n">
        <v>44648</v>
      </c>
      <c r="E1521" s="1" t="n">
        <v>46326</v>
      </c>
      <c r="F1521" t="inlineStr">
        <is>
          <t>STOCKHOLMS LÄN</t>
        </is>
      </c>
      <c r="G1521" t="inlineStr">
        <is>
          <t>NORRTÄLJE</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27554-2025</t>
        </is>
      </c>
      <c r="B1522" t="inlineStr">
        <is>
          <t>avverkningsanmälan</t>
        </is>
      </c>
      <c r="C1522" t="inlineStr">
        <is>
          <t>Föryngringsavverkning</t>
        </is>
      </c>
      <c r="D1522" s="1" t="n">
        <v>45813</v>
      </c>
      <c r="E1522" s="1" t="n">
        <v>46326</v>
      </c>
      <c r="F1522" t="inlineStr">
        <is>
          <t>STOCKHOLMS LÄN</t>
        </is>
      </c>
      <c r="G1522" t="inlineStr">
        <is>
          <t>NORRTÄLJE</t>
        </is>
      </c>
      <c r="H1522" t="inlineStr">
        <is>
          <t>Övriga Aktiebolag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20582-2026</t>
        </is>
      </c>
      <c r="B1523" t="inlineStr">
        <is>
          <t>avverkningsanmälan</t>
        </is>
      </c>
      <c r="C1523" t="inlineStr">
        <is>
          <t>Föryngringsavverkning</t>
        </is>
      </c>
      <c r="D1523" s="1" t="n">
        <v>46140</v>
      </c>
      <c r="E1523" s="1" t="n">
        <v>46326</v>
      </c>
      <c r="F1523" t="inlineStr">
        <is>
          <t>STOCKHOLMS LÄN</t>
        </is>
      </c>
      <c r="G1523" t="inlineStr">
        <is>
          <t>SÖDERTÄLJE</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1180-2024</t>
        </is>
      </c>
      <c r="B1524" t="inlineStr">
        <is>
          <t>avverkningsanmälan</t>
        </is>
      </c>
      <c r="C1524" t="inlineStr">
        <is>
          <t>Föryngringsavverkning</t>
        </is>
      </c>
      <c r="D1524" s="1" t="n">
        <v>45302</v>
      </c>
      <c r="E1524" s="1" t="n">
        <v>46326</v>
      </c>
      <c r="F1524" t="inlineStr">
        <is>
          <t>STOCKHOLMS LÄN</t>
        </is>
      </c>
      <c r="G1524" t="inlineStr">
        <is>
          <t>HANINGE</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49956-2022</t>
        </is>
      </c>
      <c r="B1525" t="inlineStr">
        <is>
          <t>avverkningsanmälan</t>
        </is>
      </c>
      <c r="C1525" t="inlineStr">
        <is>
          <t>Föryngringsavverkning</t>
        </is>
      </c>
      <c r="D1525" s="1" t="n">
        <v>44865</v>
      </c>
      <c r="E1525" s="1" t="n">
        <v>46326</v>
      </c>
      <c r="F1525" t="inlineStr">
        <is>
          <t>STOCKHOLMS LÄN</t>
        </is>
      </c>
      <c r="G1525" t="inlineStr">
        <is>
          <t>SÖDERTÄLJE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14132-2025</t>
        </is>
      </c>
      <c r="B1526" t="inlineStr">
        <is>
          <t>avverkningsanmälan</t>
        </is>
      </c>
      <c r="C1526" t="inlineStr">
        <is>
          <t>Föryngringsavverkning</t>
        </is>
      </c>
      <c r="D1526" s="1" t="n">
        <v>45740</v>
      </c>
      <c r="E1526" s="1" t="n">
        <v>46326</v>
      </c>
      <c r="F1526" t="inlineStr">
        <is>
          <t>STOCKHOLMS LÄN</t>
        </is>
      </c>
      <c r="G1526" t="inlineStr">
        <is>
          <t>NORRTÄLJE</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14133-2025</t>
        </is>
      </c>
      <c r="B1527" t="inlineStr">
        <is>
          <t>avverkningsanmälan</t>
        </is>
      </c>
      <c r="C1527" t="inlineStr">
        <is>
          <t>Föryngringsavverkning</t>
        </is>
      </c>
      <c r="D1527" s="1" t="n">
        <v>45740</v>
      </c>
      <c r="E1527" s="1" t="n">
        <v>46326</v>
      </c>
      <c r="F1527" t="inlineStr">
        <is>
          <t>STOCKHOLMS LÄN</t>
        </is>
      </c>
      <c r="G1527" t="inlineStr">
        <is>
          <t>NORRTÄLJE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20596-2026</t>
        </is>
      </c>
      <c r="B1528" t="inlineStr">
        <is>
          <t>avverkningsanmälan</t>
        </is>
      </c>
      <c r="C1528" t="inlineStr">
        <is>
          <t>Föryngringsavverkning</t>
        </is>
      </c>
      <c r="D1528" s="1" t="n">
        <v>46140</v>
      </c>
      <c r="E1528" s="1" t="n">
        <v>46326</v>
      </c>
      <c r="F1528" t="inlineStr">
        <is>
          <t>STOCKHOLMS LÄN</t>
        </is>
      </c>
      <c r="G1528" t="inlineStr">
        <is>
          <t>SÖDERTÄLJE</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24873-2023</t>
        </is>
      </c>
      <c r="B1529" t="inlineStr">
        <is>
          <t>avverkningsanmälan</t>
        </is>
      </c>
      <c r="C1529" t="inlineStr">
        <is>
          <t>Föryngringsavverkning</t>
        </is>
      </c>
      <c r="D1529" s="1" t="n">
        <v>45085</v>
      </c>
      <c r="E1529" s="1" t="n">
        <v>46326</v>
      </c>
      <c r="F1529" t="inlineStr">
        <is>
          <t>STOCKHOLMS LÄN</t>
        </is>
      </c>
      <c r="G1529" t="inlineStr">
        <is>
          <t>HANINGE</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24887-2023</t>
        </is>
      </c>
      <c r="B1530" t="inlineStr">
        <is>
          <t>avverkningsanmälan</t>
        </is>
      </c>
      <c r="C1530" t="inlineStr">
        <is>
          <t>Föryngringsavverkning</t>
        </is>
      </c>
      <c r="D1530" s="1" t="n">
        <v>45085</v>
      </c>
      <c r="E1530" s="1" t="n">
        <v>46326</v>
      </c>
      <c r="F1530" t="inlineStr">
        <is>
          <t>STOCKHOLMS LÄN</t>
        </is>
      </c>
      <c r="G1530" t="inlineStr">
        <is>
          <t>NORRTÄLJE</t>
        </is>
      </c>
      <c r="I1530" t="n">
        <v>13.9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20579-2026</t>
        </is>
      </c>
      <c r="B1531" t="inlineStr">
        <is>
          <t>avverkningsanmälan</t>
        </is>
      </c>
      <c r="C1531" t="inlineStr">
        <is>
          <t>Föryngringsavverkning</t>
        </is>
      </c>
      <c r="D1531" s="1" t="n">
        <v>46140</v>
      </c>
      <c r="E1531" s="1" t="n">
        <v>46326</v>
      </c>
      <c r="F1531" t="inlineStr">
        <is>
          <t>STOCKHOLMS LÄN</t>
        </is>
      </c>
      <c r="G1531" t="inlineStr">
        <is>
          <t>SÖDERTÄLJE</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20591-2026</t>
        </is>
      </c>
      <c r="B1532" t="inlineStr">
        <is>
          <t>avverkningsanmälan</t>
        </is>
      </c>
      <c r="C1532" t="inlineStr">
        <is>
          <t>Föryngringsavverkning</t>
        </is>
      </c>
      <c r="D1532" s="1" t="n">
        <v>46140</v>
      </c>
      <c r="E1532" s="1" t="n">
        <v>46326</v>
      </c>
      <c r="F1532" t="inlineStr">
        <is>
          <t>STOCKHOLMS LÄN</t>
        </is>
      </c>
      <c r="G1532" t="inlineStr">
        <is>
          <t>SÖDERTÄLJE</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4326-2023</t>
        </is>
      </c>
      <c r="B1533" t="inlineStr">
        <is>
          <t>avverkningsanmälan</t>
        </is>
      </c>
      <c r="C1533" t="inlineStr">
        <is>
          <t>Föryngringsavverkning</t>
        </is>
      </c>
      <c r="D1533" s="1" t="n">
        <v>44953</v>
      </c>
      <c r="E1533" s="1" t="n">
        <v>46326</v>
      </c>
      <c r="F1533" t="inlineStr">
        <is>
          <t>STOCKHOLMS LÄN</t>
        </is>
      </c>
      <c r="G1533" t="inlineStr">
        <is>
          <t>NORRTÄLJE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54504-2024</t>
        </is>
      </c>
      <c r="B1534" t="inlineStr">
        <is>
          <t>avverkningsanmälan</t>
        </is>
      </c>
      <c r="C1534" t="inlineStr">
        <is>
          <t>Föryngringsavverkning</t>
        </is>
      </c>
      <c r="D1534" s="1" t="n">
        <v>45617</v>
      </c>
      <c r="E1534" s="1" t="n">
        <v>46326</v>
      </c>
      <c r="F1534" t="inlineStr">
        <is>
          <t>STOCKHOLMS LÄN</t>
        </is>
      </c>
      <c r="G1534" t="inlineStr">
        <is>
          <t>NORRTÄLJE</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63586-2023</t>
        </is>
      </c>
      <c r="B1535" t="inlineStr">
        <is>
          <t>avverkningsanmälan</t>
        </is>
      </c>
      <c r="C1535" t="inlineStr">
        <is>
          <t>Avverkning för att bevara och utveckla /försöksver</t>
        </is>
      </c>
      <c r="D1535" s="1" t="n">
        <v>45275</v>
      </c>
      <c r="E1535" s="1" t="n">
        <v>46326</v>
      </c>
      <c r="F1535" t="inlineStr">
        <is>
          <t>STOCKHOLMS LÄN</t>
        </is>
      </c>
      <c r="G1535" t="inlineStr">
        <is>
          <t>NYKVARN</t>
        </is>
      </c>
      <c r="H1535" t="inlineStr">
        <is>
          <t>Kommuner</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55871-2023</t>
        </is>
      </c>
      <c r="B1536" t="inlineStr">
        <is>
          <t>avverkningsanmälan</t>
        </is>
      </c>
      <c r="C1536" t="inlineStr">
        <is>
          <t>Föryngringsavverkning</t>
        </is>
      </c>
      <c r="D1536" s="1" t="n">
        <v>45239</v>
      </c>
      <c r="E1536" s="1" t="n">
        <v>46326</v>
      </c>
      <c r="F1536" t="inlineStr">
        <is>
          <t>STOCKHOLMS LÄN</t>
        </is>
      </c>
      <c r="G1536" t="inlineStr">
        <is>
          <t>NYNÄSHAMN</t>
        </is>
      </c>
      <c r="H1536" t="inlineStr">
        <is>
          <t>Kommuner</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38276-2023</t>
        </is>
      </c>
      <c r="B1537" t="inlineStr">
        <is>
          <t>avverkningsanmälan</t>
        </is>
      </c>
      <c r="C1537" t="inlineStr">
        <is>
          <t>Föryngringsavverkning</t>
        </is>
      </c>
      <c r="D1537" s="1" t="n">
        <v>45160</v>
      </c>
      <c r="E1537" s="1" t="n">
        <v>46326</v>
      </c>
      <c r="F1537" t="inlineStr">
        <is>
          <t>STOCKHOLMS LÄN</t>
        </is>
      </c>
      <c r="G1537" t="inlineStr">
        <is>
          <t>SIGTUNA</t>
        </is>
      </c>
      <c r="I1537" t="n">
        <v>18.1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21745-2023</t>
        </is>
      </c>
      <c r="B1538" t="inlineStr">
        <is>
          <t>avverkningsanmälan</t>
        </is>
      </c>
      <c r="C1538" t="inlineStr">
        <is>
          <t>Föryngringsavverkning</t>
        </is>
      </c>
      <c r="D1538" s="1" t="n">
        <v>45065</v>
      </c>
      <c r="E1538" s="1" t="n">
        <v>46326</v>
      </c>
      <c r="F1538" t="inlineStr">
        <is>
          <t>STOCKHOLMS LÄN</t>
        </is>
      </c>
      <c r="G1538" t="inlineStr">
        <is>
          <t>NORRTÄLJE</t>
        </is>
      </c>
      <c r="H1538" t="inlineStr">
        <is>
          <t>Holmen skog AB</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21765-2023</t>
        </is>
      </c>
      <c r="B1539" t="inlineStr">
        <is>
          <t>avverkningsanmälan</t>
        </is>
      </c>
      <c r="C1539" t="inlineStr">
        <is>
          <t>Föryngringsavverkning</t>
        </is>
      </c>
      <c r="D1539" s="1" t="n">
        <v>45064</v>
      </c>
      <c r="E1539" s="1" t="n">
        <v>46326</v>
      </c>
      <c r="F1539" t="inlineStr">
        <is>
          <t>STOCKHOLMS LÄN</t>
        </is>
      </c>
      <c r="G1539" t="inlineStr">
        <is>
          <t>VALLENTUNA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21894-2023</t>
        </is>
      </c>
      <c r="B1540" t="inlineStr">
        <is>
          <t>avverkningsanmälan</t>
        </is>
      </c>
      <c r="C1540" t="inlineStr">
        <is>
          <t>Föryngringsavverkning</t>
        </is>
      </c>
      <c r="D1540" s="1" t="n">
        <v>45068</v>
      </c>
      <c r="E1540" s="1" t="n">
        <v>46326</v>
      </c>
      <c r="F1540" t="inlineStr">
        <is>
          <t>STOCKHOLMS LÄN</t>
        </is>
      </c>
      <c r="G1540" t="inlineStr">
        <is>
          <t>NORRTÄLJE</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21614-2022</t>
        </is>
      </c>
      <c r="B1541" t="inlineStr">
        <is>
          <t>avverkningsanmälan</t>
        </is>
      </c>
      <c r="C1541" t="inlineStr">
        <is>
          <t>Föryngringsavverkning</t>
        </is>
      </c>
      <c r="D1541" s="1" t="n">
        <v>44706</v>
      </c>
      <c r="E1541" s="1" t="n">
        <v>46326</v>
      </c>
      <c r="F1541" t="inlineStr">
        <is>
          <t>STOCKHOLMS LÄN</t>
        </is>
      </c>
      <c r="G1541" t="inlineStr">
        <is>
          <t>VALLENTUNA</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13276-2022</t>
        </is>
      </c>
      <c r="B1542" t="inlineStr">
        <is>
          <t>avverkningsanmälan</t>
        </is>
      </c>
      <c r="C1542" t="inlineStr">
        <is>
          <t>Föryngringsavverkning</t>
        </is>
      </c>
      <c r="D1542" s="1" t="n">
        <v>44644</v>
      </c>
      <c r="E1542" s="1" t="n">
        <v>46326</v>
      </c>
      <c r="F1542" t="inlineStr">
        <is>
          <t>STOCKHOLMS LÄN</t>
        </is>
      </c>
      <c r="G1542" t="inlineStr">
        <is>
          <t>NORRTÄLJE</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25733-2025</t>
        </is>
      </c>
      <c r="B1543" t="inlineStr">
        <is>
          <t>avverkningsanmälan</t>
        </is>
      </c>
      <c r="C1543" t="inlineStr">
        <is>
          <t>Föryngringsavverkning</t>
        </is>
      </c>
      <c r="D1543" s="1" t="n">
        <v>45800</v>
      </c>
      <c r="E1543" s="1" t="n">
        <v>46326</v>
      </c>
      <c r="F1543" t="inlineStr">
        <is>
          <t>STOCKHOLMS LÄN</t>
        </is>
      </c>
      <c r="G1543" t="inlineStr">
        <is>
          <t>NORRTÄLJE</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11343-2025</t>
        </is>
      </c>
      <c r="B1544" t="inlineStr">
        <is>
          <t>avverkningsanmälan</t>
        </is>
      </c>
      <c r="C1544" t="inlineStr">
        <is>
          <t>Föryngringsavverkning</t>
        </is>
      </c>
      <c r="D1544" s="1" t="n">
        <v>45726</v>
      </c>
      <c r="E1544" s="1" t="n">
        <v>46326</v>
      </c>
      <c r="F1544" t="inlineStr">
        <is>
          <t>STOCKHOLMS LÄN</t>
        </is>
      </c>
      <c r="G1544" t="inlineStr">
        <is>
          <t>SÖDERTÄLJE</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26505-2024</t>
        </is>
      </c>
      <c r="B1545" t="inlineStr">
        <is>
          <t>avverkningsanmälan</t>
        </is>
      </c>
      <c r="C1545" t="inlineStr">
        <is>
          <t>Föryngringsavverkning</t>
        </is>
      </c>
      <c r="D1545" s="1" t="n">
        <v>45469</v>
      </c>
      <c r="E1545" s="1" t="n">
        <v>46326</v>
      </c>
      <c r="F1545" t="inlineStr">
        <is>
          <t>STOCKHOLMS LÄN</t>
        </is>
      </c>
      <c r="G1545" t="inlineStr">
        <is>
          <t>NYNÄSHAMN</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54596-2024</t>
        </is>
      </c>
      <c r="B1546" t="inlineStr">
        <is>
          <t>avverkningsanmälan</t>
        </is>
      </c>
      <c r="C1546" t="inlineStr">
        <is>
          <t>Föryngringsavverkning</t>
        </is>
      </c>
      <c r="D1546" s="1" t="n">
        <v>45617</v>
      </c>
      <c r="E1546" s="1" t="n">
        <v>46326</v>
      </c>
      <c r="F1546" t="inlineStr">
        <is>
          <t>STOCKHOLMS LÄN</t>
        </is>
      </c>
      <c r="G1546" t="inlineStr">
        <is>
          <t>SÖDERTÄLJE</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2496-2024</t>
        </is>
      </c>
      <c r="B1547" t="inlineStr">
        <is>
          <t>avverkningsanmälan</t>
        </is>
      </c>
      <c r="C1547" t="inlineStr">
        <is>
          <t>Föryngringsavverkning</t>
        </is>
      </c>
      <c r="D1547" s="1" t="n">
        <v>45313</v>
      </c>
      <c r="E1547" s="1" t="n">
        <v>46326</v>
      </c>
      <c r="F1547" t="inlineStr">
        <is>
          <t>STOCKHOLMS LÄN</t>
        </is>
      </c>
      <c r="G1547" t="inlineStr">
        <is>
          <t>SIGTUNA</t>
        </is>
      </c>
      <c r="H1547" t="inlineStr">
        <is>
          <t>Kommuner</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58592-2023</t>
        </is>
      </c>
      <c r="B1548" t="inlineStr">
        <is>
          <t>avverkningsanmälan</t>
        </is>
      </c>
      <c r="C1548" t="inlineStr">
        <is>
          <t>Föryngringsavverkning</t>
        </is>
      </c>
      <c r="D1548" s="1" t="n">
        <v>45251</v>
      </c>
      <c r="E1548" s="1" t="n">
        <v>46326</v>
      </c>
      <c r="F1548" t="inlineStr">
        <is>
          <t>STOCKHOLMS LÄN</t>
        </is>
      </c>
      <c r="G1548" t="inlineStr">
        <is>
          <t>SALEM</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58599-2023</t>
        </is>
      </c>
      <c r="B1549" t="inlineStr">
        <is>
          <t>avverkningsanmälan</t>
        </is>
      </c>
      <c r="C1549" t="inlineStr">
        <is>
          <t>Föryngringsavverkning</t>
        </is>
      </c>
      <c r="D1549" s="1" t="n">
        <v>45251</v>
      </c>
      <c r="E1549" s="1" t="n">
        <v>46326</v>
      </c>
      <c r="F1549" t="inlineStr">
        <is>
          <t>STOCKHOLMS LÄN</t>
        </is>
      </c>
      <c r="G1549" t="inlineStr">
        <is>
          <t>HANINGE</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28182-2022</t>
        </is>
      </c>
      <c r="B1550" t="inlineStr">
        <is>
          <t>avverkningsanmälan</t>
        </is>
      </c>
      <c r="C1550" t="inlineStr">
        <is>
          <t>Föryngringsavverkning</t>
        </is>
      </c>
      <c r="D1550" s="1" t="n">
        <v>44746</v>
      </c>
      <c r="E1550" s="1" t="n">
        <v>46326</v>
      </c>
      <c r="F1550" t="inlineStr">
        <is>
          <t>STOCKHOLMS LÄN</t>
        </is>
      </c>
      <c r="G1550" t="inlineStr">
        <is>
          <t>NORRTÄLJE</t>
        </is>
      </c>
      <c r="I1550" t="n">
        <v>8.300000000000001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34461-2023</t>
        </is>
      </c>
      <c r="B1551" t="inlineStr">
        <is>
          <t>avverkningsanmälan</t>
        </is>
      </c>
      <c r="C1551" t="inlineStr">
        <is>
          <t>Föryngringsavverkning</t>
        </is>
      </c>
      <c r="D1551" s="1" t="n">
        <v>45139</v>
      </c>
      <c r="E1551" s="1" t="n">
        <v>46326</v>
      </c>
      <c r="F1551" t="inlineStr">
        <is>
          <t>STOCKHOLMS LÄN</t>
        </is>
      </c>
      <c r="G1551" t="inlineStr">
        <is>
          <t>NORRTÄLJE</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59168-2022</t>
        </is>
      </c>
      <c r="B1552" t="inlineStr">
        <is>
          <t>avverkningsanmälan</t>
        </is>
      </c>
      <c r="C1552" t="inlineStr">
        <is>
          <t>Föryngringsavverkning</t>
        </is>
      </c>
      <c r="D1552" s="1" t="n">
        <v>44904</v>
      </c>
      <c r="E1552" s="1" t="n">
        <v>46326</v>
      </c>
      <c r="F1552" t="inlineStr">
        <is>
          <t>STOCKHOLMS LÄN</t>
        </is>
      </c>
      <c r="G1552" t="inlineStr">
        <is>
          <t>SIGTUNA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8756-2023</t>
        </is>
      </c>
      <c r="B1553" t="inlineStr">
        <is>
          <t>avverkningsanmälan</t>
        </is>
      </c>
      <c r="C1553" t="inlineStr">
        <is>
          <t>Föryngringsavverkning</t>
        </is>
      </c>
      <c r="D1553" s="1" t="n">
        <v>44972</v>
      </c>
      <c r="E1553" s="1" t="n">
        <v>46326</v>
      </c>
      <c r="F1553" t="inlineStr">
        <is>
          <t>STOCKHOLMS LÄN</t>
        </is>
      </c>
      <c r="G1553" t="inlineStr">
        <is>
          <t>VÄRMDÖ</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51046-2023</t>
        </is>
      </c>
      <c r="B1554" t="inlineStr">
        <is>
          <t>avverkningsanmälan</t>
        </is>
      </c>
      <c r="C1554" t="inlineStr">
        <is>
          <t>Föryngringsavverkning</t>
        </is>
      </c>
      <c r="D1554" s="1" t="n">
        <v>45218</v>
      </c>
      <c r="E1554" s="1" t="n">
        <v>46326</v>
      </c>
      <c r="F1554" t="inlineStr">
        <is>
          <t>STOCKHOLMS LÄN</t>
        </is>
      </c>
      <c r="G1554" t="inlineStr">
        <is>
          <t>NORRTÄLJE</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23144-2024</t>
        </is>
      </c>
      <c r="B1555" t="inlineStr">
        <is>
          <t>avverkningsanmälan</t>
        </is>
      </c>
      <c r="C1555" t="inlineStr">
        <is>
          <t>Föryngringsavverkning</t>
        </is>
      </c>
      <c r="D1555" s="1" t="n">
        <v>45450</v>
      </c>
      <c r="E1555" s="1" t="n">
        <v>46326</v>
      </c>
      <c r="F1555" t="inlineStr">
        <is>
          <t>STOCKHOLMS LÄN</t>
        </is>
      </c>
      <c r="G1555" t="inlineStr">
        <is>
          <t>ÖSTERÅKER</t>
        </is>
      </c>
      <c r="H1555" t="inlineStr">
        <is>
          <t>Övriga Aktiebolag</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52770-2024</t>
        </is>
      </c>
      <c r="B1556" t="inlineStr">
        <is>
          <t>avverkningsanmälan</t>
        </is>
      </c>
      <c r="C1556" t="inlineStr">
        <is>
          <t>Föryngringsavverkning</t>
        </is>
      </c>
      <c r="D1556" s="1" t="n">
        <v>45610</v>
      </c>
      <c r="E1556" s="1" t="n">
        <v>46326</v>
      </c>
      <c r="F1556" t="inlineStr">
        <is>
          <t>STOCKHOLMS LÄN</t>
        </is>
      </c>
      <c r="G1556" t="inlineStr">
        <is>
          <t>HANINGE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3222-2022</t>
        </is>
      </c>
      <c r="B1557" t="inlineStr">
        <is>
          <t>avverkningsanmälan</t>
        </is>
      </c>
      <c r="C1557" t="inlineStr">
        <is>
          <t>Föryngringsavverkning</t>
        </is>
      </c>
      <c r="D1557" s="1" t="n">
        <v>44582</v>
      </c>
      <c r="E1557" s="1" t="n">
        <v>46326</v>
      </c>
      <c r="F1557" t="inlineStr">
        <is>
          <t>STOCKHOLMS LÄN</t>
        </is>
      </c>
      <c r="G1557" t="inlineStr">
        <is>
          <t>EKERÖ</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23986-2023</t>
        </is>
      </c>
      <c r="B1558" t="inlineStr">
        <is>
          <t>avverkningsanmälan</t>
        </is>
      </c>
      <c r="C1558" t="inlineStr">
        <is>
          <t>Föryngringsavverkning</t>
        </is>
      </c>
      <c r="D1558" s="1" t="n">
        <v>45078</v>
      </c>
      <c r="E1558" s="1" t="n">
        <v>46326</v>
      </c>
      <c r="F1558" t="inlineStr">
        <is>
          <t>STOCKHOLMS LÄN</t>
        </is>
      </c>
      <c r="G1558" t="inlineStr">
        <is>
          <t>VALLENTUNA</t>
        </is>
      </c>
      <c r="H1558" t="inlineStr">
        <is>
          <t>Kyrkan</t>
        </is>
      </c>
      <c r="I1558" t="n">
        <v>5.7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20900-2026</t>
        </is>
      </c>
      <c r="B1559" t="inlineStr">
        <is>
          <t>avverkningsanmälan</t>
        </is>
      </c>
      <c r="C1559" t="inlineStr">
        <is>
          <t>Föryngringsavverkning</t>
        </is>
      </c>
      <c r="D1559" s="1" t="n">
        <v>46142</v>
      </c>
      <c r="E1559" s="1" t="n">
        <v>46326</v>
      </c>
      <c r="F1559" t="inlineStr">
        <is>
          <t>STOCKHOLMS LÄN</t>
        </is>
      </c>
      <c r="G1559" t="inlineStr">
        <is>
          <t>UPPLANDS VÄSBY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50031-2023</t>
        </is>
      </c>
      <c r="B1560" t="inlineStr">
        <is>
          <t>avverkningsanmälan</t>
        </is>
      </c>
      <c r="C1560" t="inlineStr">
        <is>
          <t>Föryngringsavverkning</t>
        </is>
      </c>
      <c r="D1560" s="1" t="n">
        <v>45215</v>
      </c>
      <c r="E1560" s="1" t="n">
        <v>46326</v>
      </c>
      <c r="F1560" t="inlineStr">
        <is>
          <t>STOCKHOLMS LÄN</t>
        </is>
      </c>
      <c r="G1560" t="inlineStr">
        <is>
          <t>NYKVARN</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30002-2023</t>
        </is>
      </c>
      <c r="B1561" t="inlineStr">
        <is>
          <t>avverkningsanmälan</t>
        </is>
      </c>
      <c r="C1561" t="inlineStr">
        <is>
          <t>Föryngringsavverkning</t>
        </is>
      </c>
      <c r="D1561" s="1" t="n">
        <v>45109</v>
      </c>
      <c r="E1561" s="1" t="n">
        <v>46326</v>
      </c>
      <c r="F1561" t="inlineStr">
        <is>
          <t>STOCKHOLMS LÄN</t>
        </is>
      </c>
      <c r="G1561" t="inlineStr">
        <is>
          <t>VÄRMDÖ</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31134-2023</t>
        </is>
      </c>
      <c r="B1562" t="inlineStr">
        <is>
          <t>avverkningsanmälan</t>
        </is>
      </c>
      <c r="C1562" t="inlineStr">
        <is>
          <t>Föryngringsavverkning</t>
        </is>
      </c>
      <c r="D1562" s="1" t="n">
        <v>45113</v>
      </c>
      <c r="E1562" s="1" t="n">
        <v>46326</v>
      </c>
      <c r="F1562" t="inlineStr">
        <is>
          <t>STOCKHOLMS LÄN</t>
        </is>
      </c>
      <c r="G1562" t="inlineStr">
        <is>
          <t>ÖSTERÅKER</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17382-2024</t>
        </is>
      </c>
      <c r="B1563" t="inlineStr">
        <is>
          <t>avverkningsanmälan</t>
        </is>
      </c>
      <c r="C1563" t="inlineStr">
        <is>
          <t>Föryngringsavverkning</t>
        </is>
      </c>
      <c r="D1563" s="1" t="n">
        <v>45414</v>
      </c>
      <c r="E1563" s="1" t="n">
        <v>46326</v>
      </c>
      <c r="F1563" t="inlineStr">
        <is>
          <t>STOCKHOLMS LÄN</t>
        </is>
      </c>
      <c r="G1563" t="inlineStr">
        <is>
          <t>NORRTÄLJE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9856-2024</t>
        </is>
      </c>
      <c r="B1564" t="inlineStr">
        <is>
          <t>avverkningsanmälan</t>
        </is>
      </c>
      <c r="C1564" t="inlineStr">
        <is>
          <t>Avverkning för annat ändamål</t>
        </is>
      </c>
      <c r="D1564" s="1" t="n">
        <v>45363</v>
      </c>
      <c r="E1564" s="1" t="n">
        <v>46326</v>
      </c>
      <c r="F1564" t="inlineStr">
        <is>
          <t>STOCKHOLMS LÄN</t>
        </is>
      </c>
      <c r="G1564" t="inlineStr">
        <is>
          <t>SIGTUNA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6070-2022</t>
        </is>
      </c>
      <c r="B1565" t="inlineStr">
        <is>
          <t>avverkningsanmälan</t>
        </is>
      </c>
      <c r="C1565" t="inlineStr">
        <is>
          <t>Föryngringsavverkning</t>
        </is>
      </c>
      <c r="D1565" s="1" t="n">
        <v>44599</v>
      </c>
      <c r="E1565" s="1" t="n">
        <v>46326</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25278-2022</t>
        </is>
      </c>
      <c r="B1566" t="inlineStr">
        <is>
          <t>avverkningsanmälan</t>
        </is>
      </c>
      <c r="C1566" t="inlineStr">
        <is>
          <t>Föryngringsavverkning</t>
        </is>
      </c>
      <c r="D1566" s="1" t="n">
        <v>44730</v>
      </c>
      <c r="E1566" s="1" t="n">
        <v>46326</v>
      </c>
      <c r="F1566" t="inlineStr">
        <is>
          <t>STOCKHOLMS LÄN</t>
        </is>
      </c>
      <c r="G1566" t="inlineStr">
        <is>
          <t>NYKVARN</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17039-2024</t>
        </is>
      </c>
      <c r="B1567" t="inlineStr">
        <is>
          <t>avverkningsanmälan</t>
        </is>
      </c>
      <c r="C1567" t="inlineStr">
        <is>
          <t>Föryngringsavverkning</t>
        </is>
      </c>
      <c r="D1567" s="1" t="n">
        <v>45412</v>
      </c>
      <c r="E1567" s="1" t="n">
        <v>46326</v>
      </c>
      <c r="F1567" t="inlineStr">
        <is>
          <t>STOCKHOLMS LÄN</t>
        </is>
      </c>
      <c r="G1567" t="inlineStr">
        <is>
          <t>NORRTÄLJE</t>
        </is>
      </c>
      <c r="I1567" t="n">
        <v>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21206-2026</t>
        </is>
      </c>
      <c r="B1568" t="inlineStr">
        <is>
          <t>avverkningsanmälan</t>
        </is>
      </c>
      <c r="C1568" t="inlineStr">
        <is>
          <t>Föryngringsavverkning</t>
        </is>
      </c>
      <c r="D1568" s="1" t="n">
        <v>46146</v>
      </c>
      <c r="E1568" s="1" t="n">
        <v>46326</v>
      </c>
      <c r="F1568" t="inlineStr">
        <is>
          <t>STOCKHOLMS LÄN</t>
        </is>
      </c>
      <c r="G1568" t="inlineStr">
        <is>
          <t>UPPLANDS-BRO</t>
        </is>
      </c>
      <c r="H1568" t="inlineStr">
        <is>
          <t>Övriga statliga verk och myndigheter</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72524-2021</t>
        </is>
      </c>
      <c r="B1569" t="inlineStr">
        <is>
          <t>avverkningsanmälan</t>
        </is>
      </c>
      <c r="C1569" t="inlineStr">
        <is>
          <t>Föryngringsavverkning</t>
        </is>
      </c>
      <c r="D1569" s="1" t="n">
        <v>44546</v>
      </c>
      <c r="E1569" s="1" t="n">
        <v>46326</v>
      </c>
      <c r="F1569" t="inlineStr">
        <is>
          <t>STOCKHOLMS LÄN</t>
        </is>
      </c>
      <c r="G1569" t="inlineStr">
        <is>
          <t>UPPLANDS-BRO</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72530-2021</t>
        </is>
      </c>
      <c r="B1570" t="inlineStr">
        <is>
          <t>avverkningsanmälan</t>
        </is>
      </c>
      <c r="C1570" t="inlineStr">
        <is>
          <t>Avverkning för annat ändamål</t>
        </is>
      </c>
      <c r="D1570" s="1" t="n">
        <v>44546</v>
      </c>
      <c r="E1570" s="1" t="n">
        <v>46326</v>
      </c>
      <c r="F1570" t="inlineStr">
        <is>
          <t>STOCKHOLMS LÄN</t>
        </is>
      </c>
      <c r="G1570" t="inlineStr">
        <is>
          <t>SIGTUNA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48180-2023</t>
        </is>
      </c>
      <c r="B1571" t="inlineStr">
        <is>
          <t>avverkningsanmälan</t>
        </is>
      </c>
      <c r="C1571" t="inlineStr">
        <is>
          <t>Föryngringsavverkning</t>
        </is>
      </c>
      <c r="D1571" s="1" t="n">
        <v>45205</v>
      </c>
      <c r="E1571" s="1" t="n">
        <v>46326</v>
      </c>
      <c r="F1571" t="inlineStr">
        <is>
          <t>STOCKHOLMS LÄN</t>
        </is>
      </c>
      <c r="G1571" t="inlineStr">
        <is>
          <t>NORRTÄLJE</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35695-2023</t>
        </is>
      </c>
      <c r="B1572" t="inlineStr">
        <is>
          <t>avverkningsanmälan</t>
        </is>
      </c>
      <c r="C1572" t="inlineStr">
        <is>
          <t>Föryngringsavverkning</t>
        </is>
      </c>
      <c r="D1572" s="1" t="n">
        <v>45147</v>
      </c>
      <c r="E1572" s="1" t="n">
        <v>46326</v>
      </c>
      <c r="F1572" t="inlineStr">
        <is>
          <t>STOCKHOLMS LÄN</t>
        </is>
      </c>
      <c r="G1572" t="inlineStr">
        <is>
          <t>NORRTÄLJE</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45173-2023</t>
        </is>
      </c>
      <c r="B1573" t="inlineStr">
        <is>
          <t>avverkningsanmälan</t>
        </is>
      </c>
      <c r="C1573" t="inlineStr">
        <is>
          <t>Föryngringsavverkning</t>
        </is>
      </c>
      <c r="D1573" s="1" t="n">
        <v>45191</v>
      </c>
      <c r="E1573" s="1" t="n">
        <v>46326</v>
      </c>
      <c r="F1573" t="inlineStr">
        <is>
          <t>STOCKHOLMS LÄN</t>
        </is>
      </c>
      <c r="G1573" t="inlineStr">
        <is>
          <t>NORRTÄLJE</t>
        </is>
      </c>
      <c r="H1573" t="inlineStr">
        <is>
          <t>Sveaskog</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45145-2022</t>
        </is>
      </c>
      <c r="B1574" t="inlineStr">
        <is>
          <t>avverkningsanmälan</t>
        </is>
      </c>
      <c r="C1574" t="inlineStr">
        <is>
          <t>Föryngringsavverkning</t>
        </is>
      </c>
      <c r="D1574" s="1" t="n">
        <v>44844</v>
      </c>
      <c r="E1574" s="1" t="n">
        <v>46326</v>
      </c>
      <c r="F1574" t="inlineStr">
        <is>
          <t>STOCKHOLMS LÄN</t>
        </is>
      </c>
      <c r="G1574" t="inlineStr">
        <is>
          <t>SÖDERTÄLJE</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35404-2022</t>
        </is>
      </c>
      <c r="B1575" t="inlineStr">
        <is>
          <t>avverkningsanmälan</t>
        </is>
      </c>
      <c r="C1575" t="inlineStr">
        <is>
          <t>Föryngringsavverkning</t>
        </is>
      </c>
      <c r="D1575" s="1" t="n">
        <v>44798</v>
      </c>
      <c r="E1575" s="1" t="n">
        <v>46326</v>
      </c>
      <c r="F1575" t="inlineStr">
        <is>
          <t>STOCKHOLMS LÄN</t>
        </is>
      </c>
      <c r="G1575" t="inlineStr">
        <is>
          <t>HUDDINGE</t>
        </is>
      </c>
      <c r="H1575" t="inlineStr">
        <is>
          <t>Kommuner</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17263-2022</t>
        </is>
      </c>
      <c r="B1576" t="inlineStr">
        <is>
          <t>avverkningsanmälan</t>
        </is>
      </c>
      <c r="C1576" t="inlineStr">
        <is>
          <t>Föryngringsavverkning</t>
        </is>
      </c>
      <c r="D1576" s="1" t="n">
        <v>44678</v>
      </c>
      <c r="E1576" s="1" t="n">
        <v>46326</v>
      </c>
      <c r="F1576" t="inlineStr">
        <is>
          <t>STOCKHOLMS LÄN</t>
        </is>
      </c>
      <c r="G1576" t="inlineStr">
        <is>
          <t>ÖSTERÅKER</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24705-2023</t>
        </is>
      </c>
      <c r="B1577" t="inlineStr">
        <is>
          <t>avverkningsanmälan</t>
        </is>
      </c>
      <c r="C1577" t="inlineStr">
        <is>
          <t>Föryngringsavverkning</t>
        </is>
      </c>
      <c r="D1577" s="1" t="n">
        <v>45084</v>
      </c>
      <c r="E1577" s="1" t="n">
        <v>46326</v>
      </c>
      <c r="F1577" t="inlineStr">
        <is>
          <t>STOCKHOLMS LÄN</t>
        </is>
      </c>
      <c r="G1577" t="inlineStr">
        <is>
          <t>NORRTÄLJE</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21696-2024</t>
        </is>
      </c>
      <c r="B1578" t="inlineStr">
        <is>
          <t>avverkningsanmälan</t>
        </is>
      </c>
      <c r="C1578" t="inlineStr">
        <is>
          <t>Föryngringsavverkning</t>
        </is>
      </c>
      <c r="D1578" s="1" t="n">
        <v>45442</v>
      </c>
      <c r="E1578" s="1" t="n">
        <v>46326</v>
      </c>
      <c r="F1578" t="inlineStr">
        <is>
          <t>STOCKHOLMS LÄN</t>
        </is>
      </c>
      <c r="G1578" t="inlineStr">
        <is>
          <t>NORRTÄLJE</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21483-2026</t>
        </is>
      </c>
      <c r="B1579" t="inlineStr">
        <is>
          <t>avverkningsanmälan</t>
        </is>
      </c>
      <c r="C1579" t="inlineStr">
        <is>
          <t>Avverkning för annat ändamål</t>
        </is>
      </c>
      <c r="D1579" s="1" t="n">
        <v>46148</v>
      </c>
      <c r="E1579" s="1" t="n">
        <v>46326</v>
      </c>
      <c r="F1579" t="inlineStr">
        <is>
          <t>STOCKHOLMS LÄN</t>
        </is>
      </c>
      <c r="G1579" t="inlineStr">
        <is>
          <t>SÖDERTÄLJE</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20898-2026</t>
        </is>
      </c>
      <c r="B1580" t="inlineStr">
        <is>
          <t>avverkningsanmälan</t>
        </is>
      </c>
      <c r="C1580" t="inlineStr">
        <is>
          <t>Föryngringsavverkning</t>
        </is>
      </c>
      <c r="D1580" s="1" t="n">
        <v>46142</v>
      </c>
      <c r="E1580" s="1" t="n">
        <v>46326</v>
      </c>
      <c r="F1580" t="inlineStr">
        <is>
          <t>STOCKHOLMS LÄN</t>
        </is>
      </c>
      <c r="G1580" t="inlineStr">
        <is>
          <t>EKERÖ</t>
        </is>
      </c>
      <c r="I1580" t="n">
        <v>3.6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52836-2024</t>
        </is>
      </c>
      <c r="B1581" t="inlineStr">
        <is>
          <t>avverkningsanmälan</t>
        </is>
      </c>
      <c r="C1581" t="inlineStr">
        <is>
          <t>Föryngringsavverkning</t>
        </is>
      </c>
      <c r="D1581" s="1" t="n">
        <v>45610</v>
      </c>
      <c r="E1581" s="1" t="n">
        <v>46326</v>
      </c>
      <c r="F1581" t="inlineStr">
        <is>
          <t>STOCKHOLMS LÄN</t>
        </is>
      </c>
      <c r="G1581" t="inlineStr">
        <is>
          <t>HANINGE</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52859-2024</t>
        </is>
      </c>
      <c r="B1582" t="inlineStr">
        <is>
          <t>avverkningsanmälan</t>
        </is>
      </c>
      <c r="C1582" t="inlineStr">
        <is>
          <t>Föryngringsavverkning</t>
        </is>
      </c>
      <c r="D1582" s="1" t="n">
        <v>45610</v>
      </c>
      <c r="E1582" s="1" t="n">
        <v>46326</v>
      </c>
      <c r="F1582" t="inlineStr">
        <is>
          <t>STOCKHOLMS LÄN</t>
        </is>
      </c>
      <c r="G1582" t="inlineStr">
        <is>
          <t>NYNÄSHAMN</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67990-2021</t>
        </is>
      </c>
      <c r="B1583" t="inlineStr">
        <is>
          <t>avverkningsanmälan</t>
        </is>
      </c>
      <c r="C1583" t="inlineStr">
        <is>
          <t>Föryngringsavverkning</t>
        </is>
      </c>
      <c r="D1583" s="1" t="n">
        <v>44525</v>
      </c>
      <c r="E1583" s="1" t="n">
        <v>46326</v>
      </c>
      <c r="F1583" t="inlineStr">
        <is>
          <t>STOCKHOLMS LÄN</t>
        </is>
      </c>
      <c r="G1583" t="inlineStr">
        <is>
          <t>NORRTÄLJE</t>
        </is>
      </c>
      <c r="H1583" t="inlineStr">
        <is>
          <t>Sveaskog</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71540-2021</t>
        </is>
      </c>
      <c r="B1584" t="inlineStr">
        <is>
          <t>avverkningsanmälan</t>
        </is>
      </c>
      <c r="C1584" t="inlineStr">
        <is>
          <t>Föryngringsavverkning</t>
        </is>
      </c>
      <c r="D1584" s="1" t="n">
        <v>44540</v>
      </c>
      <c r="E1584" s="1" t="n">
        <v>46326</v>
      </c>
      <c r="F1584" t="inlineStr">
        <is>
          <t>STOCKHOLMS LÄN</t>
        </is>
      </c>
      <c r="G1584" t="inlineStr">
        <is>
          <t>NYKVARN</t>
        </is>
      </c>
      <c r="I1584" t="n">
        <v>6.7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71552-2021</t>
        </is>
      </c>
      <c r="B1585" t="inlineStr">
        <is>
          <t>avverkningsanmälan</t>
        </is>
      </c>
      <c r="C1585" t="inlineStr">
        <is>
          <t>Föryngringsavverkning</t>
        </is>
      </c>
      <c r="D1585" s="1" t="n">
        <v>44540</v>
      </c>
      <c r="E1585" s="1" t="n">
        <v>46326</v>
      </c>
      <c r="F1585" t="inlineStr">
        <is>
          <t>STOCKHOLMS LÄN</t>
        </is>
      </c>
      <c r="G1585" t="inlineStr">
        <is>
          <t>NORRTÄLJE</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73992-2021</t>
        </is>
      </c>
      <c r="B1586" t="inlineStr">
        <is>
          <t>avverkningsanmälan</t>
        </is>
      </c>
      <c r="C1586" t="inlineStr">
        <is>
          <t>Föryngringsavverkning</t>
        </is>
      </c>
      <c r="D1586" s="1" t="n">
        <v>44556</v>
      </c>
      <c r="E1586" s="1" t="n">
        <v>46326</v>
      </c>
      <c r="F1586" t="inlineStr">
        <is>
          <t>STOCKHOLMS LÄN</t>
        </is>
      </c>
      <c r="G1586" t="inlineStr">
        <is>
          <t>NORRTÄLJE</t>
        </is>
      </c>
      <c r="I1586" t="n">
        <v>12.5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7926-2023</t>
        </is>
      </c>
      <c r="B1587" t="inlineStr">
        <is>
          <t>avverkningsanmälan</t>
        </is>
      </c>
      <c r="C1587" t="inlineStr">
        <is>
          <t>Föryngringsavverkning</t>
        </is>
      </c>
      <c r="D1587" s="1" t="n">
        <v>44973</v>
      </c>
      <c r="E1587" s="1" t="n">
        <v>46326</v>
      </c>
      <c r="F1587" t="inlineStr">
        <is>
          <t>STOCKHOLMS LÄN</t>
        </is>
      </c>
      <c r="G1587" t="inlineStr">
        <is>
          <t>NYKVARN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26113-2024</t>
        </is>
      </c>
      <c r="B1588" t="inlineStr">
        <is>
          <t>avverkningsanmälan</t>
        </is>
      </c>
      <c r="C1588" t="inlineStr">
        <is>
          <t>Föryngringsavverkning</t>
        </is>
      </c>
      <c r="D1588" s="1" t="n">
        <v>45468</v>
      </c>
      <c r="E1588" s="1" t="n">
        <v>46326</v>
      </c>
      <c r="F1588" t="inlineStr">
        <is>
          <t>STOCKHOLMS LÄN</t>
        </is>
      </c>
      <c r="G1588" t="inlineStr">
        <is>
          <t>NORRTÄLJE</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21786-2026</t>
        </is>
      </c>
      <c r="B1589" t="inlineStr">
        <is>
          <t>avverkningsanmälan</t>
        </is>
      </c>
      <c r="C1589" t="inlineStr">
        <is>
          <t>Föryngringsavverkning</t>
        </is>
      </c>
      <c r="D1589" s="1" t="n">
        <v>46150</v>
      </c>
      <c r="E1589" s="1" t="n">
        <v>46326</v>
      </c>
      <c r="F1589" t="inlineStr">
        <is>
          <t>STOCKHOLMS LÄN</t>
        </is>
      </c>
      <c r="G1589" t="inlineStr">
        <is>
          <t>NORRTÄLJE</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22529-2022</t>
        </is>
      </c>
      <c r="B1590" t="inlineStr">
        <is>
          <t>avverkningsanmälan</t>
        </is>
      </c>
      <c r="C1590" t="inlineStr">
        <is>
          <t>Föryngringsavverkning</t>
        </is>
      </c>
      <c r="D1590" s="1" t="n">
        <v>44713</v>
      </c>
      <c r="E1590" s="1" t="n">
        <v>46326</v>
      </c>
      <c r="F1590" t="inlineStr">
        <is>
          <t>STOCKHOLMS LÄN</t>
        </is>
      </c>
      <c r="G1590" t="inlineStr">
        <is>
          <t>NYKVARN</t>
        </is>
      </c>
      <c r="H1590" t="inlineStr">
        <is>
          <t>Allmännings- och besparingsskogar</t>
        </is>
      </c>
      <c r="I1590" t="n">
        <v>8.4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34385-2023</t>
        </is>
      </c>
      <c r="B1591" t="inlineStr">
        <is>
          <t>avverkningsanmälan</t>
        </is>
      </c>
      <c r="C1591" t="inlineStr">
        <is>
          <t>Föryngringsavverkning</t>
        </is>
      </c>
      <c r="D1591" s="1" t="n">
        <v>45139</v>
      </c>
      <c r="E1591" s="1" t="n">
        <v>46326</v>
      </c>
      <c r="F1591" t="inlineStr">
        <is>
          <t>STOCKHOLMS LÄN</t>
        </is>
      </c>
      <c r="G1591" t="inlineStr">
        <is>
          <t>NYNÄSHAMN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34391-2023</t>
        </is>
      </c>
      <c r="B1592" t="inlineStr">
        <is>
          <t>avverkningsanmälan</t>
        </is>
      </c>
      <c r="C1592" t="inlineStr">
        <is>
          <t>Föryngringsavverkning</t>
        </is>
      </c>
      <c r="D1592" s="1" t="n">
        <v>45139</v>
      </c>
      <c r="E1592" s="1" t="n">
        <v>46326</v>
      </c>
      <c r="F1592" t="inlineStr">
        <is>
          <t>STOCKHOLMS LÄN</t>
        </is>
      </c>
      <c r="G1592" t="inlineStr">
        <is>
          <t>NORRTÄLJE</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42339-2024</t>
        </is>
      </c>
      <c r="B1593" t="inlineStr">
        <is>
          <t>avverkningsanmälan</t>
        </is>
      </c>
      <c r="C1593" t="inlineStr">
        <is>
          <t>Avverkning för annat ändamål</t>
        </is>
      </c>
      <c r="D1593" s="1" t="n">
        <v>45562</v>
      </c>
      <c r="E1593" s="1" t="n">
        <v>46326</v>
      </c>
      <c r="F1593" t="inlineStr">
        <is>
          <t>STOCKHOLMS LÄN</t>
        </is>
      </c>
      <c r="G1593" t="inlineStr">
        <is>
          <t>SÖDERTÄLJE</t>
        </is>
      </c>
      <c r="H1593" t="inlineStr">
        <is>
          <t>Övriga statliga verk och myndigheter</t>
        </is>
      </c>
      <c r="I1593" t="n">
        <v>4.3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21780-2026</t>
        </is>
      </c>
      <c r="B1594" t="inlineStr">
        <is>
          <t>avverkningsanmälan</t>
        </is>
      </c>
      <c r="C1594" t="inlineStr">
        <is>
          <t>Föryngringsavverkning</t>
        </is>
      </c>
      <c r="D1594" s="1" t="n">
        <v>46150</v>
      </c>
      <c r="E1594" s="1" t="n">
        <v>46326</v>
      </c>
      <c r="F1594" t="inlineStr">
        <is>
          <t>STOCKHOLMS LÄN</t>
        </is>
      </c>
      <c r="G1594" t="inlineStr">
        <is>
          <t>NORRTÄLJE</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4338-2023</t>
        </is>
      </c>
      <c r="B1595" t="inlineStr">
        <is>
          <t>avverkningsanmälan</t>
        </is>
      </c>
      <c r="C1595" t="inlineStr">
        <is>
          <t>Föryngringsavverkning</t>
        </is>
      </c>
      <c r="D1595" s="1" t="n">
        <v>44953</v>
      </c>
      <c r="E1595" s="1" t="n">
        <v>46326</v>
      </c>
      <c r="F1595" t="inlineStr">
        <is>
          <t>STOCKHOLMS LÄN</t>
        </is>
      </c>
      <c r="G1595" t="inlineStr">
        <is>
          <t>UPPLANDS-BRO</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10185-2025</t>
        </is>
      </c>
      <c r="B1596" t="inlineStr">
        <is>
          <t>avverkningsanmälan</t>
        </is>
      </c>
      <c r="C1596" t="inlineStr">
        <is>
          <t>Föryngringsavverkning</t>
        </is>
      </c>
      <c r="D1596" s="1" t="n">
        <v>45719</v>
      </c>
      <c r="E1596" s="1" t="n">
        <v>46326</v>
      </c>
      <c r="F1596" t="inlineStr">
        <is>
          <t>STOCKHOLMS LÄN</t>
        </is>
      </c>
      <c r="G1596" t="inlineStr">
        <is>
          <t>ÖSTERÅKER</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27813-2025</t>
        </is>
      </c>
      <c r="B1597" t="inlineStr">
        <is>
          <t>avverkningsanmälan</t>
        </is>
      </c>
      <c r="C1597" t="inlineStr">
        <is>
          <t>Föryngringsavverkning</t>
        </is>
      </c>
      <c r="D1597" s="1" t="n">
        <v>45817</v>
      </c>
      <c r="E1597" s="1" t="n">
        <v>46326</v>
      </c>
      <c r="F1597" t="inlineStr">
        <is>
          <t>STOCKHOLMS LÄN</t>
        </is>
      </c>
      <c r="G1597" t="inlineStr">
        <is>
          <t>NORRTÄLJE</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61336-2022</t>
        </is>
      </c>
      <c r="B1598" t="inlineStr">
        <is>
          <t>avverkningsanmälan</t>
        </is>
      </c>
      <c r="C1598" t="inlineStr">
        <is>
          <t>Föryngringsavverkning</t>
        </is>
      </c>
      <c r="D1598" s="1" t="n">
        <v>44915</v>
      </c>
      <c r="E1598" s="1" t="n">
        <v>46326</v>
      </c>
      <c r="F1598" t="inlineStr">
        <is>
          <t>STOCKHOLMS LÄN</t>
        </is>
      </c>
      <c r="G1598" t="inlineStr">
        <is>
          <t>SALEM</t>
        </is>
      </c>
      <c r="H1598" t="inlineStr">
        <is>
          <t>Kommuner</t>
        </is>
      </c>
      <c r="I1598" t="n">
        <v>5.6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22391-2026</t>
        </is>
      </c>
      <c r="B1599" t="inlineStr">
        <is>
          <t>avverkningsanmälan</t>
        </is>
      </c>
      <c r="C1599" t="inlineStr">
        <is>
          <t>Föryngringsavverkning</t>
        </is>
      </c>
      <c r="D1599" s="1" t="n">
        <v>46154</v>
      </c>
      <c r="E1599" s="1" t="n">
        <v>46326</v>
      </c>
      <c r="F1599" t="inlineStr">
        <is>
          <t>STOCKHOLMS LÄN</t>
        </is>
      </c>
      <c r="G1599" t="inlineStr">
        <is>
          <t>BOTKYRKA</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25681-2024</t>
        </is>
      </c>
      <c r="B1600" t="inlineStr">
        <is>
          <t>avverkningsanmälan</t>
        </is>
      </c>
      <c r="C1600" t="inlineStr">
        <is>
          <t>Föryngringsavverkning</t>
        </is>
      </c>
      <c r="D1600" s="1" t="n">
        <v>45463</v>
      </c>
      <c r="E1600" s="1" t="n">
        <v>46326</v>
      </c>
      <c r="F1600" t="inlineStr">
        <is>
          <t>STOCKHOLMS LÄN</t>
        </is>
      </c>
      <c r="G1600" t="inlineStr">
        <is>
          <t>NORRTÄLJE</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58853-2024</t>
        </is>
      </c>
      <c r="B1601" t="inlineStr">
        <is>
          <t>avverkningsanmälan</t>
        </is>
      </c>
      <c r="C1601" t="inlineStr">
        <is>
          <t>Föryngringsavverkning</t>
        </is>
      </c>
      <c r="D1601" s="1" t="n">
        <v>45636</v>
      </c>
      <c r="E1601" s="1" t="n">
        <v>46326</v>
      </c>
      <c r="F1601" t="inlineStr">
        <is>
          <t>STOCKHOLMS LÄN</t>
        </is>
      </c>
      <c r="G1601" t="inlineStr">
        <is>
          <t>NORRTÄLJE</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27724-2022</t>
        </is>
      </c>
      <c r="B1602" t="inlineStr">
        <is>
          <t>avverkningsanmälan</t>
        </is>
      </c>
      <c r="C1602" t="inlineStr">
        <is>
          <t>Föryngringsavverkning</t>
        </is>
      </c>
      <c r="D1602" s="1" t="n">
        <v>44743</v>
      </c>
      <c r="E1602" s="1" t="n">
        <v>46326</v>
      </c>
      <c r="F1602" t="inlineStr">
        <is>
          <t>STOCKHOLMS LÄN</t>
        </is>
      </c>
      <c r="G1602" t="inlineStr">
        <is>
          <t>UPPLANDS VÄSBY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35438-2023</t>
        </is>
      </c>
      <c r="B1603" t="inlineStr">
        <is>
          <t>avverkningsanmälan</t>
        </is>
      </c>
      <c r="C1603" t="inlineStr">
        <is>
          <t>Föryngringsavverkning</t>
        </is>
      </c>
      <c r="D1603" s="1" t="n">
        <v>45146</v>
      </c>
      <c r="E1603" s="1" t="n">
        <v>46326</v>
      </c>
      <c r="F1603" t="inlineStr">
        <is>
          <t>STOCKHOLMS LÄN</t>
        </is>
      </c>
      <c r="G1603" t="inlineStr">
        <is>
          <t>NORRTÄLJE</t>
        </is>
      </c>
      <c r="H1603" t="inlineStr">
        <is>
          <t>Kommuner</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20291-2022</t>
        </is>
      </c>
      <c r="B1604" t="inlineStr">
        <is>
          <t>avverkningsanmälan</t>
        </is>
      </c>
      <c r="C1604" t="inlineStr">
        <is>
          <t>Föryngringsavverkning</t>
        </is>
      </c>
      <c r="D1604" s="1" t="n">
        <v>44698</v>
      </c>
      <c r="E1604" s="1" t="n">
        <v>46326</v>
      </c>
      <c r="F1604" t="inlineStr">
        <is>
          <t>STOCKHOLMS LÄN</t>
        </is>
      </c>
      <c r="G1604" t="inlineStr">
        <is>
          <t>NORRTÄLJE</t>
        </is>
      </c>
      <c r="H1604" t="inlineStr">
        <is>
          <t>Naturvårdsverket</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26115-2024</t>
        </is>
      </c>
      <c r="B1605" t="inlineStr">
        <is>
          <t>avverkningsanmälan</t>
        </is>
      </c>
      <c r="C1605" t="inlineStr">
        <is>
          <t>Föryngringsavverkning</t>
        </is>
      </c>
      <c r="D1605" s="1" t="n">
        <v>45468</v>
      </c>
      <c r="E1605" s="1" t="n">
        <v>46326</v>
      </c>
      <c r="F1605" t="inlineStr">
        <is>
          <t>STOCKHOLMS LÄN</t>
        </is>
      </c>
      <c r="G1605" t="inlineStr">
        <is>
          <t>NORRTÄLJE</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34038-2025</t>
        </is>
      </c>
      <c r="B1606" t="inlineStr">
        <is>
          <t>avverkningsanmälan</t>
        </is>
      </c>
      <c r="C1606" t="inlineStr">
        <is>
          <t>Föryngringsavverkning</t>
        </is>
      </c>
      <c r="D1606" s="1" t="n">
        <v>45842</v>
      </c>
      <c r="E1606" s="1" t="n">
        <v>46326</v>
      </c>
      <c r="F1606" t="inlineStr">
        <is>
          <t>STOCKHOLMS LÄN</t>
        </is>
      </c>
      <c r="G1606" t="inlineStr">
        <is>
          <t>ÖSTERÅKER</t>
        </is>
      </c>
      <c r="H1606" t="inlineStr">
        <is>
          <t>Övriga Aktiebolag</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34660-2023</t>
        </is>
      </c>
      <c r="B1607" t="inlineStr">
        <is>
          <t>avverkningsanmälan</t>
        </is>
      </c>
      <c r="C1607" t="inlineStr">
        <is>
          <t>Föryngringsavverkning</t>
        </is>
      </c>
      <c r="D1607" s="1" t="n">
        <v>45140</v>
      </c>
      <c r="E1607" s="1" t="n">
        <v>46326</v>
      </c>
      <c r="F1607" t="inlineStr">
        <is>
          <t>STOCKHOLMS LÄN</t>
        </is>
      </c>
      <c r="G1607" t="inlineStr">
        <is>
          <t>NYNÄSHAMN</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22618-2026</t>
        </is>
      </c>
      <c r="B1608" t="inlineStr">
        <is>
          <t>avverkningsanmälan</t>
        </is>
      </c>
      <c r="C1608" t="inlineStr">
        <is>
          <t>Föryngringsavverkning</t>
        </is>
      </c>
      <c r="D1608" s="1" t="n">
        <v>46155</v>
      </c>
      <c r="E1608" s="1" t="n">
        <v>46326</v>
      </c>
      <c r="F1608" t="inlineStr">
        <is>
          <t>STOCKHOLMS LÄN</t>
        </is>
      </c>
      <c r="G1608" t="inlineStr">
        <is>
          <t>NORRTÄLJE</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5528-2023</t>
        </is>
      </c>
      <c r="B1609" t="inlineStr">
        <is>
          <t>avverkningsanmälan</t>
        </is>
      </c>
      <c r="C1609" t="inlineStr">
        <is>
          <t>Föryngringsavverkning</t>
        </is>
      </c>
      <c r="D1609" s="1" t="n">
        <v>44957</v>
      </c>
      <c r="E1609" s="1" t="n">
        <v>46326</v>
      </c>
      <c r="F1609" t="inlineStr">
        <is>
          <t>STOCKHOLMS LÄN</t>
        </is>
      </c>
      <c r="G1609" t="inlineStr">
        <is>
          <t>VAXHOLM</t>
        </is>
      </c>
      <c r="H1609" t="inlineStr">
        <is>
          <t>Övriga statliga verk och myndigheter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25217-2024</t>
        </is>
      </c>
      <c r="B1610" t="inlineStr">
        <is>
          <t>avverkningsanmälan</t>
        </is>
      </c>
      <c r="C1610" t="inlineStr">
        <is>
          <t>Avverkning för annat ändamål</t>
        </is>
      </c>
      <c r="D1610" s="1" t="n">
        <v>45462</v>
      </c>
      <c r="E1610" s="1" t="n">
        <v>46326</v>
      </c>
      <c r="F1610" t="inlineStr">
        <is>
          <t>STOCKHOLMS LÄN</t>
        </is>
      </c>
      <c r="G1610" t="inlineStr">
        <is>
          <t>BOTKYRKA</t>
        </is>
      </c>
      <c r="H1610" t="inlineStr">
        <is>
          <t>Övriga Aktiebolag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19118-2022</t>
        </is>
      </c>
      <c r="B1611" t="inlineStr">
        <is>
          <t>avverkningsanmälan</t>
        </is>
      </c>
      <c r="C1611" t="inlineStr">
        <is>
          <t>Föryngringsavverkning</t>
        </is>
      </c>
      <c r="D1611" s="1" t="n">
        <v>44691</v>
      </c>
      <c r="E1611" s="1" t="n">
        <v>46326</v>
      </c>
      <c r="F1611" t="inlineStr">
        <is>
          <t>STOCKHOLMS LÄN</t>
        </is>
      </c>
      <c r="G1611" t="inlineStr">
        <is>
          <t>NORRTÄLJE</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3937-2022</t>
        </is>
      </c>
      <c r="B1612" t="inlineStr">
        <is>
          <t>avverkningsanmälan</t>
        </is>
      </c>
      <c r="C1612" t="inlineStr">
        <is>
          <t>Föryngringsavverkning</t>
        </is>
      </c>
      <c r="D1612" s="1" t="n">
        <v>44587</v>
      </c>
      <c r="E1612" s="1" t="n">
        <v>46326</v>
      </c>
      <c r="F1612" t="inlineStr">
        <is>
          <t>STOCKHOLMS LÄN</t>
        </is>
      </c>
      <c r="G1612" t="inlineStr">
        <is>
          <t>VALLENTUNA</t>
        </is>
      </c>
      <c r="I1612" t="n">
        <v>6.6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48820-2022</t>
        </is>
      </c>
      <c r="B1613" t="inlineStr">
        <is>
          <t>avverkningsanmälan</t>
        </is>
      </c>
      <c r="C1613" t="inlineStr">
        <is>
          <t>Föryngringsavverkning</t>
        </is>
      </c>
      <c r="D1613" s="1" t="n">
        <v>44859</v>
      </c>
      <c r="E1613" s="1" t="n">
        <v>46326</v>
      </c>
      <c r="F1613" t="inlineStr">
        <is>
          <t>STOCKHOLMS LÄN</t>
        </is>
      </c>
      <c r="G1613" t="inlineStr">
        <is>
          <t>SÖDERTÄLJE</t>
        </is>
      </c>
      <c r="H1613" t="inlineStr">
        <is>
          <t>Sveaskog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23013-2024</t>
        </is>
      </c>
      <c r="B1614" t="inlineStr">
        <is>
          <t>avverkningsanmälan</t>
        </is>
      </c>
      <c r="C1614" t="inlineStr">
        <is>
          <t>Föryngringsavverkning</t>
        </is>
      </c>
      <c r="D1614" s="1" t="n">
        <v>45450</v>
      </c>
      <c r="E1614" s="1" t="n">
        <v>46326</v>
      </c>
      <c r="F1614" t="inlineStr">
        <is>
          <t>STOCKHOLMS LÄN</t>
        </is>
      </c>
      <c r="G1614" t="inlineStr">
        <is>
          <t>VALLENTUNA</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34193-2024</t>
        </is>
      </c>
      <c r="B1615" t="inlineStr">
        <is>
          <t>avverkningsanmälan</t>
        </is>
      </c>
      <c r="C1615" t="inlineStr">
        <is>
          <t>Föryngringsavverkning</t>
        </is>
      </c>
      <c r="D1615" s="1" t="n">
        <v>45524</v>
      </c>
      <c r="E1615" s="1" t="n">
        <v>46326</v>
      </c>
      <c r="F1615" t="inlineStr">
        <is>
          <t>STOCKHOLMS LÄN</t>
        </is>
      </c>
      <c r="G1615" t="inlineStr">
        <is>
          <t>SÖDERTÄLJE</t>
        </is>
      </c>
      <c r="I1615" t="n">
        <v>9.199999999999999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59848-2022</t>
        </is>
      </c>
      <c r="B1616" t="inlineStr">
        <is>
          <t>avverkningsanmälan</t>
        </is>
      </c>
      <c r="C1616" t="inlineStr">
        <is>
          <t>Föryngringsavverkning</t>
        </is>
      </c>
      <c r="D1616" s="1" t="n">
        <v>44901</v>
      </c>
      <c r="E1616" s="1" t="n">
        <v>46326</v>
      </c>
      <c r="F1616" t="inlineStr">
        <is>
          <t>STOCKHOLMS LÄN</t>
        </is>
      </c>
      <c r="G1616" t="inlineStr">
        <is>
          <t>UPPLANDS-BRO</t>
        </is>
      </c>
      <c r="H1616" t="inlineStr">
        <is>
          <t>Övriga statliga verk och myndigheter</t>
        </is>
      </c>
      <c r="I1616" t="n">
        <v>10.7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3078-2023</t>
        </is>
      </c>
      <c r="B1617" t="inlineStr">
        <is>
          <t>avverkningsanmälan</t>
        </is>
      </c>
      <c r="C1617" t="inlineStr">
        <is>
          <t>Föryngringsavverkning</t>
        </is>
      </c>
      <c r="D1617" s="1" t="n">
        <v>44946</v>
      </c>
      <c r="E1617" s="1" t="n">
        <v>46326</v>
      </c>
      <c r="F1617" t="inlineStr">
        <is>
          <t>STOCKHOLMS LÄN</t>
        </is>
      </c>
      <c r="G1617" t="inlineStr">
        <is>
          <t>VALLENTUNA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8739-2024</t>
        </is>
      </c>
      <c r="B1618" t="inlineStr">
        <is>
          <t>avverkningsanmälan</t>
        </is>
      </c>
      <c r="C1618" t="inlineStr">
        <is>
          <t>Föryngringsavverkning</t>
        </is>
      </c>
      <c r="D1618" s="1" t="n">
        <v>45356</v>
      </c>
      <c r="E1618" s="1" t="n">
        <v>46326</v>
      </c>
      <c r="F1618" t="inlineStr">
        <is>
          <t>STOCKHOLMS LÄN</t>
        </is>
      </c>
      <c r="G1618" t="inlineStr">
        <is>
          <t>NORRTÄLJE</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22913-2026</t>
        </is>
      </c>
      <c r="B1619" t="inlineStr">
        <is>
          <t>avverkningsanmälan</t>
        </is>
      </c>
      <c r="C1619" t="inlineStr">
        <is>
          <t>Föryngringsavverkning</t>
        </is>
      </c>
      <c r="D1619" s="1" t="n">
        <v>46159</v>
      </c>
      <c r="E1619" s="1" t="n">
        <v>46326</v>
      </c>
      <c r="F1619" t="inlineStr">
        <is>
          <t>STOCKHOLMS LÄN</t>
        </is>
      </c>
      <c r="G1619" t="inlineStr">
        <is>
          <t>SIGTUNA</t>
        </is>
      </c>
      <c r="H1619" t="inlineStr">
        <is>
          <t>Sveaskog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38759-2022</t>
        </is>
      </c>
      <c r="B1620" t="inlineStr">
        <is>
          <t>avverkningsanmälan</t>
        </is>
      </c>
      <c r="C1620" t="inlineStr">
        <is>
          <t>Föryngringsavverkning</t>
        </is>
      </c>
      <c r="D1620" s="1" t="n">
        <v>44816</v>
      </c>
      <c r="E1620" s="1" t="n">
        <v>46326</v>
      </c>
      <c r="F1620" t="inlineStr">
        <is>
          <t>STOCKHOLMS LÄN</t>
        </is>
      </c>
      <c r="G1620" t="inlineStr">
        <is>
          <t>NORRTÄLJE</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29714-2023</t>
        </is>
      </c>
      <c r="B1621" t="inlineStr">
        <is>
          <t>avverkningsanmälan</t>
        </is>
      </c>
      <c r="C1621" t="inlineStr">
        <is>
          <t>Föryngringsavverkning</t>
        </is>
      </c>
      <c r="D1621" s="1" t="n">
        <v>45107</v>
      </c>
      <c r="E1621" s="1" t="n">
        <v>46326</v>
      </c>
      <c r="F1621" t="inlineStr">
        <is>
          <t>STOCKHOLMS LÄN</t>
        </is>
      </c>
      <c r="G1621" t="inlineStr">
        <is>
          <t>NORRTÄLJE</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23271-2023</t>
        </is>
      </c>
      <c r="B1622" t="inlineStr">
        <is>
          <t>avverkningsanmälan</t>
        </is>
      </c>
      <c r="C1622" t="inlineStr">
        <is>
          <t>Föryngringsavverkning</t>
        </is>
      </c>
      <c r="D1622" s="1" t="n">
        <v>45075</v>
      </c>
      <c r="E1622" s="1" t="n">
        <v>46326</v>
      </c>
      <c r="F1622" t="inlineStr">
        <is>
          <t>STOCKHOLMS LÄN</t>
        </is>
      </c>
      <c r="G1622" t="inlineStr">
        <is>
          <t>NORRTÄLJE</t>
        </is>
      </c>
      <c r="I1622" t="n">
        <v>5.1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23273-2023</t>
        </is>
      </c>
      <c r="B1623" t="inlineStr">
        <is>
          <t>avverkningsanmälan</t>
        </is>
      </c>
      <c r="C1623" t="inlineStr">
        <is>
          <t>Föryngringsavverkning</t>
        </is>
      </c>
      <c r="D1623" s="1" t="n">
        <v>45075</v>
      </c>
      <c r="E1623" s="1" t="n">
        <v>46326</v>
      </c>
      <c r="F1623" t="inlineStr">
        <is>
          <t>STOCKHOLMS LÄN</t>
        </is>
      </c>
      <c r="G1623" t="inlineStr">
        <is>
          <t>NORRTÄLJE</t>
        </is>
      </c>
      <c r="I1623" t="n">
        <v>7.5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17623-2024</t>
        </is>
      </c>
      <c r="B1624" t="inlineStr">
        <is>
          <t>avverkningsanmälan</t>
        </is>
      </c>
      <c r="C1624" t="inlineStr">
        <is>
          <t>Föryngringsavverkning</t>
        </is>
      </c>
      <c r="D1624" s="1" t="n">
        <v>45417</v>
      </c>
      <c r="E1624" s="1" t="n">
        <v>46326</v>
      </c>
      <c r="F1624" t="inlineStr">
        <is>
          <t>STOCKHOLMS LÄN</t>
        </is>
      </c>
      <c r="G1624" t="inlineStr">
        <is>
          <t>VÄRMDÖ</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23992-2023</t>
        </is>
      </c>
      <c r="B1625" t="inlineStr">
        <is>
          <t>avverkningsanmälan</t>
        </is>
      </c>
      <c r="C1625" t="inlineStr">
        <is>
          <t>Föryngringsavverkning</t>
        </is>
      </c>
      <c r="D1625" s="1" t="n">
        <v>45078</v>
      </c>
      <c r="E1625" s="1" t="n">
        <v>46326</v>
      </c>
      <c r="F1625" t="inlineStr">
        <is>
          <t>STOCKHOLMS LÄN</t>
        </is>
      </c>
      <c r="G1625" t="inlineStr">
        <is>
          <t>SALEM</t>
        </is>
      </c>
      <c r="H1625" t="inlineStr">
        <is>
          <t>Kommuner</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26812-2022</t>
        </is>
      </c>
      <c r="B1626" t="inlineStr">
        <is>
          <t>avverkningsanmälan</t>
        </is>
      </c>
      <c r="C1626" t="inlineStr">
        <is>
          <t>Föryngringsavverkning</t>
        </is>
      </c>
      <c r="D1626" s="1" t="n">
        <v>44740</v>
      </c>
      <c r="E1626" s="1" t="n">
        <v>46326</v>
      </c>
      <c r="F1626" t="inlineStr">
        <is>
          <t>STOCKHOLMS LÄN</t>
        </is>
      </c>
      <c r="G1626" t="inlineStr">
        <is>
          <t>SÖDERTÄLJE</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33061-2024</t>
        </is>
      </c>
      <c r="B1627" t="inlineStr">
        <is>
          <t>avverkningsanmälan</t>
        </is>
      </c>
      <c r="C1627" t="inlineStr">
        <is>
          <t>Föryngringsavverkning</t>
        </is>
      </c>
      <c r="D1627" s="1" t="n">
        <v>45517</v>
      </c>
      <c r="E1627" s="1" t="n">
        <v>46326</v>
      </c>
      <c r="F1627" t="inlineStr">
        <is>
          <t>STOCKHOLMS LÄN</t>
        </is>
      </c>
      <c r="G1627" t="inlineStr">
        <is>
          <t>VÄRMDÖ</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51121-2025</t>
        </is>
      </c>
      <c r="B1628" t="inlineStr">
        <is>
          <t>avverkningsanmälan</t>
        </is>
      </c>
      <c r="C1628" t="inlineStr">
        <is>
          <t>Föryngringsavverkning</t>
        </is>
      </c>
      <c r="D1628" s="1" t="n">
        <v>45947</v>
      </c>
      <c r="E1628" s="1" t="n">
        <v>46326</v>
      </c>
      <c r="F1628" t="inlineStr">
        <is>
          <t>STOCKHOLMS LÄN</t>
        </is>
      </c>
      <c r="G1628" t="inlineStr">
        <is>
          <t>NORRTÄLJE</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38720-2025</t>
        </is>
      </c>
      <c r="B1629" t="inlineStr">
        <is>
          <t>avverkningsanmälan</t>
        </is>
      </c>
      <c r="C1629" t="inlineStr">
        <is>
          <t>Föryngringsavverkning</t>
        </is>
      </c>
      <c r="D1629" s="1" t="n">
        <v>45886</v>
      </c>
      <c r="E1629" s="1" t="n">
        <v>46326</v>
      </c>
      <c r="F1629" t="inlineStr">
        <is>
          <t>STOCKHOLMS LÄN</t>
        </is>
      </c>
      <c r="G1629" t="inlineStr">
        <is>
          <t>NORRTÄLJE</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8078-2024</t>
        </is>
      </c>
      <c r="B1630" t="inlineStr">
        <is>
          <t>avverkningsanmälan</t>
        </is>
      </c>
      <c r="C1630" t="inlineStr">
        <is>
          <t>Föryngringsavverkning</t>
        </is>
      </c>
      <c r="D1630" s="1" t="n">
        <v>45351</v>
      </c>
      <c r="E1630" s="1" t="n">
        <v>46326</v>
      </c>
      <c r="F1630" t="inlineStr">
        <is>
          <t>STOCKHOLMS LÄN</t>
        </is>
      </c>
      <c r="G1630" t="inlineStr">
        <is>
          <t>HANINGE</t>
        </is>
      </c>
      <c r="H1630" t="inlineStr">
        <is>
          <t>Kommuner</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30802-2022</t>
        </is>
      </c>
      <c r="B1631" t="inlineStr">
        <is>
          <t>avverkningsanmälan</t>
        </is>
      </c>
      <c r="C1631" t="inlineStr">
        <is>
          <t>Föryngringsavverkning</t>
        </is>
      </c>
      <c r="D1631" s="1" t="n">
        <v>44764</v>
      </c>
      <c r="E1631" s="1" t="n">
        <v>46326</v>
      </c>
      <c r="F1631" t="inlineStr">
        <is>
          <t>STOCKHOLMS LÄN</t>
        </is>
      </c>
      <c r="G1631" t="inlineStr">
        <is>
          <t>NORRTÄLJE</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44624-2023</t>
        </is>
      </c>
      <c r="B1632" t="inlineStr">
        <is>
          <t>avverkningsanmälan</t>
        </is>
      </c>
      <c r="C1632" t="inlineStr">
        <is>
          <t>Föryngringsavverkning</t>
        </is>
      </c>
      <c r="D1632" s="1" t="n">
        <v>45184</v>
      </c>
      <c r="E1632" s="1" t="n">
        <v>46326</v>
      </c>
      <c r="F1632" t="inlineStr">
        <is>
          <t>STOCKHOLMS LÄN</t>
        </is>
      </c>
      <c r="G1632" t="inlineStr">
        <is>
          <t>NYNÄSHAMN</t>
        </is>
      </c>
      <c r="I1632" t="n">
        <v>6.8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10446-2026</t>
        </is>
      </c>
      <c r="B1633" t="inlineStr">
        <is>
          <t>avverkningsanmälan</t>
        </is>
      </c>
      <c r="C1633" t="inlineStr">
        <is>
          <t>Föryngringsavverkning</t>
        </is>
      </c>
      <c r="D1633" s="1" t="n">
        <v>46077</v>
      </c>
      <c r="E1633" s="1" t="n">
        <v>46326</v>
      </c>
      <c r="F1633" t="inlineStr">
        <is>
          <t>STOCKHOLMS LÄN</t>
        </is>
      </c>
      <c r="G1633" t="inlineStr">
        <is>
          <t>SÖDERTÄLJE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44311-2025</t>
        </is>
      </c>
      <c r="B1634" t="inlineStr">
        <is>
          <t>avverkningsanmälan</t>
        </is>
      </c>
      <c r="C1634" t="inlineStr">
        <is>
          <t>Avverkning för att bevara och utveckla /försöksver</t>
        </is>
      </c>
      <c r="D1634" s="1" t="n">
        <v>45916</v>
      </c>
      <c r="E1634" s="1" t="n">
        <v>46326</v>
      </c>
      <c r="F1634" t="inlineStr">
        <is>
          <t>STOCKHOLMS LÄN</t>
        </is>
      </c>
      <c r="G1634" t="inlineStr">
        <is>
          <t>NORRTÄLJE</t>
        </is>
      </c>
      <c r="I1634" t="n">
        <v>8.199999999999999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27821-2025</t>
        </is>
      </c>
      <c r="B1635" t="inlineStr">
        <is>
          <t>avverkningsanmälan</t>
        </is>
      </c>
      <c r="C1635" t="inlineStr">
        <is>
          <t>Föryngringsavverkning</t>
        </is>
      </c>
      <c r="D1635" s="1" t="n">
        <v>45817</v>
      </c>
      <c r="E1635" s="1" t="n">
        <v>46326</v>
      </c>
      <c r="F1635" t="inlineStr">
        <is>
          <t>STOCKHOLMS LÄN</t>
        </is>
      </c>
      <c r="G1635" t="inlineStr">
        <is>
          <t>NORRTÄLJE</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55369-2023</t>
        </is>
      </c>
      <c r="B1636" t="inlineStr">
        <is>
          <t>avverkningsanmälan</t>
        </is>
      </c>
      <c r="C1636" t="inlineStr">
        <is>
          <t>Föryngringsavverkning</t>
        </is>
      </c>
      <c r="D1636" s="1" t="n">
        <v>45238</v>
      </c>
      <c r="E1636" s="1" t="n">
        <v>46326</v>
      </c>
      <c r="F1636" t="inlineStr">
        <is>
          <t>STOCKHOLMS LÄN</t>
        </is>
      </c>
      <c r="G1636" t="inlineStr">
        <is>
          <t>NORRTÄLJE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16243-2026</t>
        </is>
      </c>
      <c r="B1637" t="inlineStr">
        <is>
          <t>avverkningsanmälan</t>
        </is>
      </c>
      <c r="C1637" t="inlineStr">
        <is>
          <t>Föryngringsavverkning</t>
        </is>
      </c>
      <c r="D1637" s="1" t="n">
        <v>46111</v>
      </c>
      <c r="E1637" s="1" t="n">
        <v>46326</v>
      </c>
      <c r="F1637" t="inlineStr">
        <is>
          <t>STOCKHOLMS LÄN</t>
        </is>
      </c>
      <c r="G1637" t="inlineStr">
        <is>
          <t>NORRTÄLJE</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23725-2026</t>
        </is>
      </c>
      <c r="B1638" t="inlineStr">
        <is>
          <t>avverkningsanmälan</t>
        </is>
      </c>
      <c r="C1638" t="inlineStr">
        <is>
          <t>Föryngringsavverkning</t>
        </is>
      </c>
      <c r="D1638" s="1" t="n">
        <v>46164</v>
      </c>
      <c r="E1638" s="1" t="n">
        <v>46326</v>
      </c>
      <c r="F1638" t="inlineStr">
        <is>
          <t>STOCKHOLMS LÄN</t>
        </is>
      </c>
      <c r="G1638" t="inlineStr">
        <is>
          <t>BOTKYRKA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61113-2023</t>
        </is>
      </c>
      <c r="B1639" t="inlineStr">
        <is>
          <t>avverkningsanmälan</t>
        </is>
      </c>
      <c r="C1639" t="inlineStr">
        <is>
          <t>Föryngringsavverkning</t>
        </is>
      </c>
      <c r="D1639" s="1" t="n">
        <v>45261</v>
      </c>
      <c r="E1639" s="1" t="n">
        <v>46326</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23855-2026</t>
        </is>
      </c>
      <c r="B1640" t="inlineStr">
        <is>
          <t>avverkningsanmälan</t>
        </is>
      </c>
      <c r="C1640" t="inlineStr">
        <is>
          <t>Föryngringsavverkning</t>
        </is>
      </c>
      <c r="D1640" s="1" t="n">
        <v>46167</v>
      </c>
      <c r="E1640" s="1" t="n">
        <v>46326</v>
      </c>
      <c r="F1640" t="inlineStr">
        <is>
          <t>STOCKHOLMS LÄN</t>
        </is>
      </c>
      <c r="G1640" t="inlineStr">
        <is>
          <t>NORRTÄLJE</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34295-2024</t>
        </is>
      </c>
      <c r="B1641" t="inlineStr">
        <is>
          <t>avverkningsanmälan</t>
        </is>
      </c>
      <c r="C1641" t="inlineStr">
        <is>
          <t>Föryngringsavverkning</t>
        </is>
      </c>
      <c r="D1641" s="1" t="n">
        <v>45524</v>
      </c>
      <c r="E1641" s="1" t="n">
        <v>46326</v>
      </c>
      <c r="F1641" t="inlineStr">
        <is>
          <t>STOCKHOLMS LÄN</t>
        </is>
      </c>
      <c r="G1641" t="inlineStr">
        <is>
          <t>NORRTÄLJE</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58311-2023</t>
        </is>
      </c>
      <c r="B1642" t="inlineStr">
        <is>
          <t>avverkningsanmälan</t>
        </is>
      </c>
      <c r="C1642" t="inlineStr">
        <is>
          <t>Föryngringsavverkning</t>
        </is>
      </c>
      <c r="D1642" s="1" t="n">
        <v>45245</v>
      </c>
      <c r="E1642" s="1" t="n">
        <v>46326</v>
      </c>
      <c r="F1642" t="inlineStr">
        <is>
          <t>STOCKHOLMS LÄN</t>
        </is>
      </c>
      <c r="G1642" t="inlineStr">
        <is>
          <t>NORRTÄLJE</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20960-2023</t>
        </is>
      </c>
      <c r="B1643" t="inlineStr">
        <is>
          <t>avverkningsanmälan</t>
        </is>
      </c>
      <c r="C1643" t="inlineStr">
        <is>
          <t>Föryngringsavverkning</t>
        </is>
      </c>
      <c r="D1643" s="1" t="n">
        <v>45061</v>
      </c>
      <c r="E1643" s="1" t="n">
        <v>46326</v>
      </c>
      <c r="F1643" t="inlineStr">
        <is>
          <t>STOCKHOLMS LÄN</t>
        </is>
      </c>
      <c r="G1643" t="inlineStr">
        <is>
          <t>SIGTUNA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23692-2024</t>
        </is>
      </c>
      <c r="B1644" t="inlineStr">
        <is>
          <t>avverkningsanmälan</t>
        </is>
      </c>
      <c r="C1644" t="inlineStr">
        <is>
          <t>Föryngringsavverkning</t>
        </is>
      </c>
      <c r="D1644" s="1" t="n">
        <v>45454</v>
      </c>
      <c r="E1644" s="1" t="n">
        <v>46326</v>
      </c>
      <c r="F1644" t="inlineStr">
        <is>
          <t>STOCKHOLMS LÄN</t>
        </is>
      </c>
      <c r="G1644" t="inlineStr">
        <is>
          <t>NORRTÄLJE</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23716-2026</t>
        </is>
      </c>
      <c r="B1645" t="inlineStr">
        <is>
          <t>avverkningsanmälan</t>
        </is>
      </c>
      <c r="C1645" t="inlineStr">
        <is>
          <t>Föryngringsavverkning</t>
        </is>
      </c>
      <c r="D1645" s="1" t="n">
        <v>46164</v>
      </c>
      <c r="E1645" s="1" t="n">
        <v>46326</v>
      </c>
      <c r="F1645" t="inlineStr">
        <is>
          <t>STOCKHOLMS LÄN</t>
        </is>
      </c>
      <c r="G1645" t="inlineStr">
        <is>
          <t>BOTKYRKA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23718-2026</t>
        </is>
      </c>
      <c r="B1646" t="inlineStr">
        <is>
          <t>avverkningsanmälan</t>
        </is>
      </c>
      <c r="C1646" t="inlineStr">
        <is>
          <t>Föryngringsavverkning</t>
        </is>
      </c>
      <c r="D1646" s="1" t="n">
        <v>46164</v>
      </c>
      <c r="E1646" s="1" t="n">
        <v>46326</v>
      </c>
      <c r="F1646" t="inlineStr">
        <is>
          <t>STOCKHOLMS LÄN</t>
        </is>
      </c>
      <c r="G1646" t="inlineStr">
        <is>
          <t>BOTKYRKA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9865-2025</t>
        </is>
      </c>
      <c r="B1647" t="inlineStr">
        <is>
          <t>avverkningsanmälan</t>
        </is>
      </c>
      <c r="C1647" t="inlineStr">
        <is>
          <t>Föryngringsavverkning</t>
        </is>
      </c>
      <c r="D1647" s="1" t="n">
        <v>45716</v>
      </c>
      <c r="E1647" s="1" t="n">
        <v>46326</v>
      </c>
      <c r="F1647" t="inlineStr">
        <is>
          <t>STOCKHOLMS LÄN</t>
        </is>
      </c>
      <c r="G1647" t="inlineStr">
        <is>
          <t>ÖSTERÅKER</t>
        </is>
      </c>
      <c r="I1647" t="n">
        <v>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19503-2023</t>
        </is>
      </c>
      <c r="B1648" t="inlineStr">
        <is>
          <t>avverkningsanmälan</t>
        </is>
      </c>
      <c r="C1648" t="inlineStr">
        <is>
          <t>Föryngringsavverkning</t>
        </is>
      </c>
      <c r="D1648" s="1" t="n">
        <v>45050</v>
      </c>
      <c r="E1648" s="1" t="n">
        <v>46326</v>
      </c>
      <c r="F1648" t="inlineStr">
        <is>
          <t>STOCKHOLMS LÄN</t>
        </is>
      </c>
      <c r="G1648" t="inlineStr">
        <is>
          <t>VALLENTUNA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53000-2025</t>
        </is>
      </c>
      <c r="B1649" t="inlineStr">
        <is>
          <t>avverkningsanmälan</t>
        </is>
      </c>
      <c r="C1649" t="inlineStr">
        <is>
          <t>Föryngringsavverkning</t>
        </is>
      </c>
      <c r="D1649" s="1" t="n">
        <v>45957</v>
      </c>
      <c r="E1649" s="1" t="n">
        <v>46326</v>
      </c>
      <c r="F1649" t="inlineStr">
        <is>
          <t>STOCKHOLMS LÄN</t>
        </is>
      </c>
      <c r="G1649" t="inlineStr">
        <is>
          <t>NORRTÄLJE</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30910-2023</t>
        </is>
      </c>
      <c r="B1650" t="inlineStr">
        <is>
          <t>avverkningsanmälan</t>
        </is>
      </c>
      <c r="C1650" t="inlineStr">
        <is>
          <t>Föryngringsavverkning</t>
        </is>
      </c>
      <c r="D1650" s="1" t="n">
        <v>45113</v>
      </c>
      <c r="E1650" s="1" t="n">
        <v>46326</v>
      </c>
      <c r="F1650" t="inlineStr">
        <is>
          <t>STOCKHOLMS LÄN</t>
        </is>
      </c>
      <c r="G1650" t="inlineStr">
        <is>
          <t>NYNÄSHAMN</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52703-2025</t>
        </is>
      </c>
      <c r="B1651" t="inlineStr">
        <is>
          <t>avverkningsanmälan</t>
        </is>
      </c>
      <c r="C1651" t="inlineStr">
        <is>
          <t>Föryngringsavverkning</t>
        </is>
      </c>
      <c r="D1651" s="1" t="n">
        <v>45956</v>
      </c>
      <c r="E1651" s="1" t="n">
        <v>46326</v>
      </c>
      <c r="F1651" t="inlineStr">
        <is>
          <t>STOCKHOLMS LÄN</t>
        </is>
      </c>
      <c r="G1651" t="inlineStr">
        <is>
          <t>NORRTÄLJE</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24595-2026</t>
        </is>
      </c>
      <c r="B1652" t="inlineStr">
        <is>
          <t>avverkningsanmälan</t>
        </is>
      </c>
      <c r="C1652" t="inlineStr">
        <is>
          <t>Föryngringsavverkning</t>
        </is>
      </c>
      <c r="D1652" s="1" t="n">
        <v>46170</v>
      </c>
      <c r="E1652" s="1" t="n">
        <v>46326</v>
      </c>
      <c r="F1652" t="inlineStr">
        <is>
          <t>STOCKHOLMS LÄN</t>
        </is>
      </c>
      <c r="G1652" t="inlineStr">
        <is>
          <t>NYNÄSHAMN</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24579-2026</t>
        </is>
      </c>
      <c r="B1653" t="inlineStr">
        <is>
          <t>avverkningsanmälan</t>
        </is>
      </c>
      <c r="C1653" t="inlineStr">
        <is>
          <t>Föryngringsavverkning</t>
        </is>
      </c>
      <c r="D1653" s="1" t="n">
        <v>46170</v>
      </c>
      <c r="E1653" s="1" t="n">
        <v>46326</v>
      </c>
      <c r="F1653" t="inlineStr">
        <is>
          <t>STOCKHOLMS LÄN</t>
        </is>
      </c>
      <c r="G1653" t="inlineStr">
        <is>
          <t>UPPLANDS-BRO</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53792-2023</t>
        </is>
      </c>
      <c r="B1654" t="inlineStr">
        <is>
          <t>avverkningsanmälan</t>
        </is>
      </c>
      <c r="C1654" t="inlineStr">
        <is>
          <t>Föryngringsavverkning</t>
        </is>
      </c>
      <c r="D1654" s="1" t="n">
        <v>45231</v>
      </c>
      <c r="E1654" s="1" t="n">
        <v>46326</v>
      </c>
      <c r="F1654" t="inlineStr">
        <is>
          <t>STOCKHOLMS LÄN</t>
        </is>
      </c>
      <c r="G1654" t="inlineStr">
        <is>
          <t>NORRTÄLJE</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34073-2025</t>
        </is>
      </c>
      <c r="B1655" t="inlineStr">
        <is>
          <t>avverkningsanmälan</t>
        </is>
      </c>
      <c r="C1655" t="inlineStr">
        <is>
          <t>Avverkning för att bevara och utveckla /försöksver</t>
        </is>
      </c>
      <c r="D1655" s="1" t="n">
        <v>45845</v>
      </c>
      <c r="E1655" s="1" t="n">
        <v>46326</v>
      </c>
      <c r="F1655" t="inlineStr">
        <is>
          <t>STOCKHOLMS LÄN</t>
        </is>
      </c>
      <c r="G1655" t="inlineStr">
        <is>
          <t>EKERÖ</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6886-2022</t>
        </is>
      </c>
      <c r="B1656" t="inlineStr">
        <is>
          <t>avverkningsanmälan</t>
        </is>
      </c>
      <c r="C1656" t="inlineStr">
        <is>
          <t>Föryngringsavverkning</t>
        </is>
      </c>
      <c r="D1656" s="1" t="n">
        <v>44602</v>
      </c>
      <c r="E1656" s="1" t="n">
        <v>46326</v>
      </c>
      <c r="F1656" t="inlineStr">
        <is>
          <t>STOCKHOLMS LÄN</t>
        </is>
      </c>
      <c r="G1656" t="inlineStr">
        <is>
          <t>SÖDERTÄLJE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50569-2022</t>
        </is>
      </c>
      <c r="B1657" t="inlineStr">
        <is>
          <t>avverkningsanmälan</t>
        </is>
      </c>
      <c r="C1657" t="inlineStr">
        <is>
          <t>Föryngringsavverkning</t>
        </is>
      </c>
      <c r="D1657" s="1" t="n">
        <v>44866</v>
      </c>
      <c r="E1657" s="1" t="n">
        <v>46326</v>
      </c>
      <c r="F1657" t="inlineStr">
        <is>
          <t>STOCKHOLMS LÄN</t>
        </is>
      </c>
      <c r="G1657" t="inlineStr">
        <is>
          <t>NORRTÄLJE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24798-2026</t>
        </is>
      </c>
      <c r="B1658" t="inlineStr">
        <is>
          <t>avverkningsanmälan</t>
        </is>
      </c>
      <c r="C1658" t="inlineStr">
        <is>
          <t>Föryngringsavverkning</t>
        </is>
      </c>
      <c r="D1658" s="1" t="n">
        <v>46171</v>
      </c>
      <c r="E1658" s="1" t="n">
        <v>46326</v>
      </c>
      <c r="F1658" t="inlineStr">
        <is>
          <t>STOCKHOLMS LÄN</t>
        </is>
      </c>
      <c r="G1658" t="inlineStr">
        <is>
          <t>VÄRMDÖ</t>
        </is>
      </c>
      <c r="I1658" t="n">
        <v>8.1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24499-2023</t>
        </is>
      </c>
      <c r="B1659" t="inlineStr">
        <is>
          <t>avverkningsanmälan</t>
        </is>
      </c>
      <c r="C1659" t="inlineStr">
        <is>
          <t>Föryngringsavverkning</t>
        </is>
      </c>
      <c r="D1659" s="1" t="n">
        <v>45082</v>
      </c>
      <c r="E1659" s="1" t="n">
        <v>46326</v>
      </c>
      <c r="F1659" t="inlineStr">
        <is>
          <t>STOCKHOLMS LÄN</t>
        </is>
      </c>
      <c r="G1659" t="inlineStr">
        <is>
          <t>ÖSTERÅKER</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24501-2023</t>
        </is>
      </c>
      <c r="B1660" t="inlineStr">
        <is>
          <t>avverkningsanmälan</t>
        </is>
      </c>
      <c r="C1660" t="inlineStr">
        <is>
          <t>Föryngringsavverkning</t>
        </is>
      </c>
      <c r="D1660" s="1" t="n">
        <v>45082</v>
      </c>
      <c r="E1660" s="1" t="n">
        <v>46326</v>
      </c>
      <c r="F1660" t="inlineStr">
        <is>
          <t>STOCKHOLMS LÄN</t>
        </is>
      </c>
      <c r="G1660" t="inlineStr">
        <is>
          <t>NORRTÄLJE</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24520-2023</t>
        </is>
      </c>
      <c r="B1661" t="inlineStr">
        <is>
          <t>avverkningsanmälan</t>
        </is>
      </c>
      <c r="C1661" t="inlineStr">
        <is>
          <t>Föryngringsavverkning</t>
        </is>
      </c>
      <c r="D1661" s="1" t="n">
        <v>45082</v>
      </c>
      <c r="E1661" s="1" t="n">
        <v>46326</v>
      </c>
      <c r="F1661" t="inlineStr">
        <is>
          <t>STOCKHOLMS LÄN</t>
        </is>
      </c>
      <c r="G1661" t="inlineStr">
        <is>
          <t>NORRTÄLJE</t>
        </is>
      </c>
      <c r="I1661" t="n">
        <v>4.3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60654-2023</t>
        </is>
      </c>
      <c r="B1662" t="inlineStr">
        <is>
          <t>avverkningsanmälan</t>
        </is>
      </c>
      <c r="C1662" t="inlineStr">
        <is>
          <t>Föryngringsavverkning</t>
        </is>
      </c>
      <c r="D1662" s="1" t="n">
        <v>45260</v>
      </c>
      <c r="E1662" s="1" t="n">
        <v>46326</v>
      </c>
      <c r="F1662" t="inlineStr">
        <is>
          <t>STOCKHOLMS LÄN</t>
        </is>
      </c>
      <c r="G1662" t="inlineStr">
        <is>
          <t>NORRTÄLJE</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60656-2023</t>
        </is>
      </c>
      <c r="B1663" t="inlineStr">
        <is>
          <t>avverkningsanmälan</t>
        </is>
      </c>
      <c r="C1663" t="inlineStr">
        <is>
          <t>Föryngringsavverkning</t>
        </is>
      </c>
      <c r="D1663" s="1" t="n">
        <v>45260</v>
      </c>
      <c r="E1663" s="1" t="n">
        <v>46326</v>
      </c>
      <c r="F1663" t="inlineStr">
        <is>
          <t>STOCKHOLMS LÄN</t>
        </is>
      </c>
      <c r="G1663" t="inlineStr">
        <is>
          <t>NORRTÄLJE</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54496-2024</t>
        </is>
      </c>
      <c r="B1664" t="inlineStr">
        <is>
          <t>avverkningsanmälan</t>
        </is>
      </c>
      <c r="C1664" t="inlineStr">
        <is>
          <t>Föryngringsavverkning</t>
        </is>
      </c>
      <c r="D1664" s="1" t="n">
        <v>45617</v>
      </c>
      <c r="E1664" s="1" t="n">
        <v>46326</v>
      </c>
      <c r="F1664" t="inlineStr">
        <is>
          <t>STOCKHOLMS LÄN</t>
        </is>
      </c>
      <c r="G1664" t="inlineStr">
        <is>
          <t>NORRTÄLJE</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21386-2023</t>
        </is>
      </c>
      <c r="B1665" t="inlineStr">
        <is>
          <t>avverkningsanmälan</t>
        </is>
      </c>
      <c r="C1665" t="inlineStr">
        <is>
          <t>Föryngringsavverkning</t>
        </is>
      </c>
      <c r="D1665" s="1" t="n">
        <v>45063</v>
      </c>
      <c r="E1665" s="1" t="n">
        <v>46326</v>
      </c>
      <c r="F1665" t="inlineStr">
        <is>
          <t>STOCKHOLMS LÄN</t>
        </is>
      </c>
      <c r="G1665" t="inlineStr">
        <is>
          <t>NORRTÄLJE</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24891-2026</t>
        </is>
      </c>
      <c r="B1666" t="inlineStr">
        <is>
          <t>avverkningsanmälan</t>
        </is>
      </c>
      <c r="C1666" t="inlineStr">
        <is>
          <t>Föryngringsavverkning</t>
        </is>
      </c>
      <c r="D1666" s="1" t="n">
        <v>46174</v>
      </c>
      <c r="E1666" s="1" t="n">
        <v>46326</v>
      </c>
      <c r="F1666" t="inlineStr">
        <is>
          <t>STOCKHOLMS LÄN</t>
        </is>
      </c>
      <c r="G1666" t="inlineStr">
        <is>
          <t>NORRTÄLJE</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10642-2025</t>
        </is>
      </c>
      <c r="B1667" t="inlineStr">
        <is>
          <t>avverkningsanmälan</t>
        </is>
      </c>
      <c r="C1667" t="inlineStr">
        <is>
          <t>Föryngringsavverkning</t>
        </is>
      </c>
      <c r="D1667" s="1" t="n">
        <v>45721</v>
      </c>
      <c r="E1667" s="1" t="n">
        <v>46326</v>
      </c>
      <c r="F1667" t="inlineStr">
        <is>
          <t>STOCKHOLMS LÄN</t>
        </is>
      </c>
      <c r="G1667" t="inlineStr">
        <is>
          <t>NORRTÄLJE</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30622-2024</t>
        </is>
      </c>
      <c r="B1668" t="inlineStr">
        <is>
          <t>avverkningsanmälan</t>
        </is>
      </c>
      <c r="C1668" t="inlineStr">
        <is>
          <t>Avverkning för annat ändamål</t>
        </is>
      </c>
      <c r="D1668" s="1" t="n">
        <v>45495</v>
      </c>
      <c r="E1668" s="1" t="n">
        <v>46326</v>
      </c>
      <c r="F1668" t="inlineStr">
        <is>
          <t>STOCKHOLMS LÄN</t>
        </is>
      </c>
      <c r="G1668" t="inlineStr">
        <is>
          <t>BOTKYRKA</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24800-2026</t>
        </is>
      </c>
      <c r="B1669" t="inlineStr">
        <is>
          <t>avverkningsanmälan</t>
        </is>
      </c>
      <c r="C1669" t="inlineStr">
        <is>
          <t>Föryngringsavverkning</t>
        </is>
      </c>
      <c r="D1669" s="1" t="n">
        <v>46171</v>
      </c>
      <c r="E1669" s="1" t="n">
        <v>46326</v>
      </c>
      <c r="F1669" t="inlineStr">
        <is>
          <t>STOCKHOLMS LÄN</t>
        </is>
      </c>
      <c r="G1669" t="inlineStr">
        <is>
          <t>HANINGE</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32424-2023</t>
        </is>
      </c>
      <c r="B1670" t="inlineStr">
        <is>
          <t>avverkningsanmälan</t>
        </is>
      </c>
      <c r="C1670" t="inlineStr">
        <is>
          <t>Föryngringsavverkning</t>
        </is>
      </c>
      <c r="D1670" s="1" t="n">
        <v>45110</v>
      </c>
      <c r="E1670" s="1" t="n">
        <v>46326</v>
      </c>
      <c r="F1670" t="inlineStr">
        <is>
          <t>STOCKHOLMS LÄN</t>
        </is>
      </c>
      <c r="G1670" t="inlineStr">
        <is>
          <t>SIGTUNA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1150-2026</t>
        </is>
      </c>
      <c r="B1671" t="inlineStr">
        <is>
          <t>avverkningsanmälan</t>
        </is>
      </c>
      <c r="C1671" t="inlineStr">
        <is>
          <t>Föryngringsavverkning</t>
        </is>
      </c>
      <c r="D1671" s="1" t="n">
        <v>46030</v>
      </c>
      <c r="E1671" s="1" t="n">
        <v>46326</v>
      </c>
      <c r="F1671" t="inlineStr">
        <is>
          <t>STOCKHOLMS LÄN</t>
        </is>
      </c>
      <c r="G1671" t="inlineStr">
        <is>
          <t>SÖDERTÄLJE</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20053-2023</t>
        </is>
      </c>
      <c r="B1672" t="inlineStr">
        <is>
          <t>avverkningsanmälan</t>
        </is>
      </c>
      <c r="C1672" t="inlineStr">
        <is>
          <t>Avverkning för annat ändamål</t>
        </is>
      </c>
      <c r="D1672" s="1" t="n">
        <v>45054</v>
      </c>
      <c r="E1672" s="1" t="n">
        <v>46326</v>
      </c>
      <c r="F1672" t="inlineStr">
        <is>
          <t>STOCKHOLMS LÄN</t>
        </is>
      </c>
      <c r="G1672" t="inlineStr">
        <is>
          <t>VÄRMDÖ</t>
        </is>
      </c>
      <c r="H1672" t="inlineStr">
        <is>
          <t>Övriga Aktiebolag</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20144-2023</t>
        </is>
      </c>
      <c r="B1673" t="inlineStr">
        <is>
          <t>avverkningsanmälan</t>
        </is>
      </c>
      <c r="C1673" t="inlineStr">
        <is>
          <t>Föryngringsavverkning</t>
        </is>
      </c>
      <c r="D1673" s="1" t="n">
        <v>45055</v>
      </c>
      <c r="E1673" s="1" t="n">
        <v>46326</v>
      </c>
      <c r="F1673" t="inlineStr">
        <is>
          <t>STOCKHOLMS LÄN</t>
        </is>
      </c>
      <c r="G1673" t="inlineStr">
        <is>
          <t>NORRTÄLJE</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53312-2024</t>
        </is>
      </c>
      <c r="B1674" t="inlineStr">
        <is>
          <t>avverkningsanmälan</t>
        </is>
      </c>
      <c r="C1674" t="inlineStr">
        <is>
          <t>Föryngringsavverkning</t>
        </is>
      </c>
      <c r="D1674" s="1" t="n">
        <v>45614</v>
      </c>
      <c r="E1674" s="1" t="n">
        <v>46326</v>
      </c>
      <c r="F1674" t="inlineStr">
        <is>
          <t>STOCKHOLMS LÄN</t>
        </is>
      </c>
      <c r="G1674" t="inlineStr">
        <is>
          <t>NORRTÄLJE</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24796-2026</t>
        </is>
      </c>
      <c r="B1675" t="inlineStr">
        <is>
          <t>avverkningsanmälan</t>
        </is>
      </c>
      <c r="C1675" t="inlineStr">
        <is>
          <t>Föryngringsavverkning</t>
        </is>
      </c>
      <c r="D1675" s="1" t="n">
        <v>46171</v>
      </c>
      <c r="E1675" s="1" t="n">
        <v>46326</v>
      </c>
      <c r="F1675" t="inlineStr">
        <is>
          <t>STOCKHOLMS LÄN</t>
        </is>
      </c>
      <c r="G1675" t="inlineStr">
        <is>
          <t>NYKVARN</t>
        </is>
      </c>
      <c r="H1675" t="inlineStr">
        <is>
          <t>Kommuner</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22756-2022</t>
        </is>
      </c>
      <c r="B1676" t="inlineStr">
        <is>
          <t>avverkningsanmälan</t>
        </is>
      </c>
      <c r="C1676" t="inlineStr">
        <is>
          <t>Föryngringsavverkning</t>
        </is>
      </c>
      <c r="D1676" s="1" t="n">
        <v>44714</v>
      </c>
      <c r="E1676" s="1" t="n">
        <v>46326</v>
      </c>
      <c r="F1676" t="inlineStr">
        <is>
          <t>STOCKHOLMS LÄN</t>
        </is>
      </c>
      <c r="G1676" t="inlineStr">
        <is>
          <t>NORRTÄLJE</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4581-2025</t>
        </is>
      </c>
      <c r="B1677" t="inlineStr">
        <is>
          <t>avverkningsanmälan</t>
        </is>
      </c>
      <c r="C1677" t="inlineStr">
        <is>
          <t>Föryngringsavverkning</t>
        </is>
      </c>
      <c r="D1677" s="1" t="n">
        <v>45687</v>
      </c>
      <c r="E1677" s="1" t="n">
        <v>46326</v>
      </c>
      <c r="F1677" t="inlineStr">
        <is>
          <t>STOCKHOLMS LÄN</t>
        </is>
      </c>
      <c r="G1677" t="inlineStr">
        <is>
          <t>NORRTÄLJE</t>
        </is>
      </c>
      <c r="H1677" t="inlineStr">
        <is>
          <t>Holmen skog AB</t>
        </is>
      </c>
      <c r="I1677" t="n">
        <v>2.8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31246-2022</t>
        </is>
      </c>
      <c r="B1678" t="inlineStr">
        <is>
          <t>avverkningsanmälan</t>
        </is>
      </c>
      <c r="C1678" t="inlineStr">
        <is>
          <t>Avverkning för annat ändamål</t>
        </is>
      </c>
      <c r="D1678" s="1" t="n">
        <v>44771</v>
      </c>
      <c r="E1678" s="1" t="n">
        <v>46326</v>
      </c>
      <c r="F1678" t="inlineStr">
        <is>
          <t>STOCKHOLMS LÄN</t>
        </is>
      </c>
      <c r="G1678" t="inlineStr">
        <is>
          <t>HUDDINGE</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34139-2025</t>
        </is>
      </c>
      <c r="B1679" t="inlineStr">
        <is>
          <t>avverkningsanmälan</t>
        </is>
      </c>
      <c r="C1679" t="inlineStr">
        <is>
          <t>Föryngringsavverkning</t>
        </is>
      </c>
      <c r="D1679" s="1" t="n">
        <v>45845</v>
      </c>
      <c r="E1679" s="1" t="n">
        <v>46326</v>
      </c>
      <c r="F1679" t="inlineStr">
        <is>
          <t>STOCKHOLMS LÄN</t>
        </is>
      </c>
      <c r="G1679" t="inlineStr">
        <is>
          <t>NORRTÄLJE</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41767-2024</t>
        </is>
      </c>
      <c r="B1680" t="inlineStr">
        <is>
          <t>avverkningsanmälan</t>
        </is>
      </c>
      <c r="C1680" t="inlineStr">
        <is>
          <t>Avverkning för annat ändamål</t>
        </is>
      </c>
      <c r="D1680" s="1" t="n">
        <v>45561</v>
      </c>
      <c r="E1680" s="1" t="n">
        <v>46326</v>
      </c>
      <c r="F1680" t="inlineStr">
        <is>
          <t>STOCKHOLMS LÄN</t>
        </is>
      </c>
      <c r="G1680" t="inlineStr">
        <is>
          <t>NYNÄSHAMN</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4803-2024</t>
        </is>
      </c>
      <c r="B1681" t="inlineStr">
        <is>
          <t>avverkningsanmälan</t>
        </is>
      </c>
      <c r="C1681" t="inlineStr">
        <is>
          <t>Avverkning för annat ändamål</t>
        </is>
      </c>
      <c r="D1681" s="1" t="n">
        <v>45328</v>
      </c>
      <c r="E1681" s="1" t="n">
        <v>46326</v>
      </c>
      <c r="F1681" t="inlineStr">
        <is>
          <t>STOCKHOLMS LÄN</t>
        </is>
      </c>
      <c r="G1681" t="inlineStr">
        <is>
          <t>VALLENTUNA</t>
        </is>
      </c>
      <c r="I1681" t="n">
        <v>4.6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25288-2026</t>
        </is>
      </c>
      <c r="B1682" t="inlineStr">
        <is>
          <t>avverkningsanmälan</t>
        </is>
      </c>
      <c r="C1682" t="inlineStr">
        <is>
          <t>Föryngringsavverkning</t>
        </is>
      </c>
      <c r="D1682" s="1" t="n">
        <v>46176</v>
      </c>
      <c r="E1682" s="1" t="n">
        <v>46326</v>
      </c>
      <c r="F1682" t="inlineStr">
        <is>
          <t>STOCKHOLMS LÄN</t>
        </is>
      </c>
      <c r="G1682" t="inlineStr">
        <is>
          <t>SÖDERTÄLJE</t>
        </is>
      </c>
      <c r="H1682" t="inlineStr">
        <is>
          <t>Kommuner</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28146-2024</t>
        </is>
      </c>
      <c r="B1683" t="inlineStr">
        <is>
          <t>avverkningsanmälan</t>
        </is>
      </c>
      <c r="C1683" t="inlineStr">
        <is>
          <t>Föryngringsavverkning</t>
        </is>
      </c>
      <c r="D1683" s="1" t="n">
        <v>45476</v>
      </c>
      <c r="E1683" s="1" t="n">
        <v>46326</v>
      </c>
      <c r="F1683" t="inlineStr">
        <is>
          <t>STOCKHOLMS LÄN</t>
        </is>
      </c>
      <c r="G1683" t="inlineStr">
        <is>
          <t>ÖSTERÅKER</t>
        </is>
      </c>
      <c r="H1683" t="inlineStr">
        <is>
          <t>Övriga Aktiebolag</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52508-2023</t>
        </is>
      </c>
      <c r="B1684" t="inlineStr">
        <is>
          <t>avverkningsanmälan</t>
        </is>
      </c>
      <c r="C1684" t="inlineStr">
        <is>
          <t>Avverkning för att bevara och utveckla /försöksver</t>
        </is>
      </c>
      <c r="D1684" s="1" t="n">
        <v>45225</v>
      </c>
      <c r="E1684" s="1" t="n">
        <v>46326</v>
      </c>
      <c r="F1684" t="inlineStr">
        <is>
          <t>STOCKHOLMS LÄN</t>
        </is>
      </c>
      <c r="G1684" t="inlineStr">
        <is>
          <t>NORRTÄLJE</t>
        </is>
      </c>
      <c r="I1684" t="n">
        <v>19.7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59276-2023</t>
        </is>
      </c>
      <c r="B1685" t="inlineStr">
        <is>
          <t>avverkningsanmälan</t>
        </is>
      </c>
      <c r="C1685" t="inlineStr">
        <is>
          <t>Föryngringsavverkning</t>
        </is>
      </c>
      <c r="D1685" s="1" t="n">
        <v>45253</v>
      </c>
      <c r="E1685" s="1" t="n">
        <v>46326</v>
      </c>
      <c r="F1685" t="inlineStr">
        <is>
          <t>STOCKHOLMS LÄN</t>
        </is>
      </c>
      <c r="G1685" t="inlineStr">
        <is>
          <t>NORRTÄLJE</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46914-2022</t>
        </is>
      </c>
      <c r="B1686" t="inlineStr">
        <is>
          <t>avverkningsanmälan</t>
        </is>
      </c>
      <c r="C1686" t="inlineStr">
        <is>
          <t>Föryngringsavverkning</t>
        </is>
      </c>
      <c r="D1686" s="1" t="n">
        <v>44851</v>
      </c>
      <c r="E1686" s="1" t="n">
        <v>46326</v>
      </c>
      <c r="F1686" t="inlineStr">
        <is>
          <t>STOCKHOLMS LÄN</t>
        </is>
      </c>
      <c r="G1686" t="inlineStr">
        <is>
          <t>NORRTÄLJE</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18541-2023</t>
        </is>
      </c>
      <c r="B1687" t="inlineStr">
        <is>
          <t>avverkningsanmälan</t>
        </is>
      </c>
      <c r="C1687" t="inlineStr">
        <is>
          <t>Föryngringsavverkning</t>
        </is>
      </c>
      <c r="D1687" s="1" t="n">
        <v>45042</v>
      </c>
      <c r="E1687" s="1" t="n">
        <v>46326</v>
      </c>
      <c r="F1687" t="inlineStr">
        <is>
          <t>STOCKHOLMS LÄN</t>
        </is>
      </c>
      <c r="G1687" t="inlineStr">
        <is>
          <t>NORRTÄLJE</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31160-2022</t>
        </is>
      </c>
      <c r="B1688" t="inlineStr">
        <is>
          <t>avverkningsanmälan</t>
        </is>
      </c>
      <c r="C1688" t="inlineStr">
        <is>
          <t>Föryngringsavverkning</t>
        </is>
      </c>
      <c r="D1688" s="1" t="n">
        <v>44770</v>
      </c>
      <c r="E1688" s="1" t="n">
        <v>46326</v>
      </c>
      <c r="F1688" t="inlineStr">
        <is>
          <t>STOCKHOLMS LÄN</t>
        </is>
      </c>
      <c r="G1688" t="inlineStr">
        <is>
          <t>UPPLANDS-BRO</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25697-2026</t>
        </is>
      </c>
      <c r="B1689" t="inlineStr">
        <is>
          <t>avverkningsanmälan</t>
        </is>
      </c>
      <c r="C1689" t="inlineStr">
        <is>
          <t>Föryngringsavverkning</t>
        </is>
      </c>
      <c r="D1689" s="1" t="n">
        <v>46178</v>
      </c>
      <c r="E1689" s="1" t="n">
        <v>46326</v>
      </c>
      <c r="F1689" t="inlineStr">
        <is>
          <t>STOCKHOLMS LÄN</t>
        </is>
      </c>
      <c r="G1689" t="inlineStr">
        <is>
          <t>NORRTÄLJE</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3509-2022</t>
        </is>
      </c>
      <c r="B1690" t="inlineStr">
        <is>
          <t>avverkningsanmälan</t>
        </is>
      </c>
      <c r="C1690" t="inlineStr">
        <is>
          <t>Föryngringsavverkning</t>
        </is>
      </c>
      <c r="D1690" s="1" t="n">
        <v>44585</v>
      </c>
      <c r="E1690" s="1" t="n">
        <v>46326</v>
      </c>
      <c r="F1690" t="inlineStr">
        <is>
          <t>STOCKHOLMS LÄN</t>
        </is>
      </c>
      <c r="G1690" t="inlineStr">
        <is>
          <t>NORRTÄLJE</t>
        </is>
      </c>
      <c r="H1690" t="inlineStr">
        <is>
          <t>Kommuner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3698-2022</t>
        </is>
      </c>
      <c r="B1691" t="inlineStr">
        <is>
          <t>avverkningsanmälan</t>
        </is>
      </c>
      <c r="C1691" t="inlineStr">
        <is>
          <t>Föryngringsavverkning</t>
        </is>
      </c>
      <c r="D1691" s="1" t="n">
        <v>44586</v>
      </c>
      <c r="E1691" s="1" t="n">
        <v>46326</v>
      </c>
      <c r="F1691" t="inlineStr">
        <is>
          <t>STOCKHOLMS LÄN</t>
        </is>
      </c>
      <c r="G1691" t="inlineStr">
        <is>
          <t>VALLENTUNA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26407-2024</t>
        </is>
      </c>
      <c r="B1692" t="inlineStr">
        <is>
          <t>avverkningsanmälan</t>
        </is>
      </c>
      <c r="C1692" t="inlineStr">
        <is>
          <t>Föryngringsavverkning</t>
        </is>
      </c>
      <c r="D1692" s="1" t="n">
        <v>45469</v>
      </c>
      <c r="E1692" s="1" t="n">
        <v>46326</v>
      </c>
      <c r="F1692" t="inlineStr">
        <is>
          <t>STOCKHOLMS LÄN</t>
        </is>
      </c>
      <c r="G1692" t="inlineStr">
        <is>
          <t>NORRTÄLJE</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12890-2024</t>
        </is>
      </c>
      <c r="B1693" t="inlineStr">
        <is>
          <t>avverkningsanmälan</t>
        </is>
      </c>
      <c r="C1693" t="inlineStr">
        <is>
          <t>Föryngringsavverkning</t>
        </is>
      </c>
      <c r="D1693" s="1" t="n">
        <v>45385</v>
      </c>
      <c r="E1693" s="1" t="n">
        <v>46326</v>
      </c>
      <c r="F1693" t="inlineStr">
        <is>
          <t>STOCKHOLMS LÄN</t>
        </is>
      </c>
      <c r="G1693" t="inlineStr">
        <is>
          <t>NORRTÄLJE</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58598-2025</t>
        </is>
      </c>
      <c r="B1694" t="inlineStr">
        <is>
          <t>avverkningsanmälan</t>
        </is>
      </c>
      <c r="C1694" t="inlineStr">
        <is>
          <t>Föryngringsavverkning</t>
        </is>
      </c>
      <c r="D1694" s="1" t="n">
        <v>45986</v>
      </c>
      <c r="E1694" s="1" t="n">
        <v>46326</v>
      </c>
      <c r="F1694" t="inlineStr">
        <is>
          <t>STOCKHOLMS LÄN</t>
        </is>
      </c>
      <c r="G1694" t="inlineStr">
        <is>
          <t>UPPLANDS-BRO</t>
        </is>
      </c>
      <c r="H1694" t="inlineStr">
        <is>
          <t>Övriga statliga verk och myndigheter</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38102-2024</t>
        </is>
      </c>
      <c r="B1695" t="inlineStr">
        <is>
          <t>avverkningsanmälan</t>
        </is>
      </c>
      <c r="C1695" t="inlineStr">
        <is>
          <t>Föryngringsavverkning</t>
        </is>
      </c>
      <c r="D1695" s="1" t="n">
        <v>45545</v>
      </c>
      <c r="E1695" s="1" t="n">
        <v>46326</v>
      </c>
      <c r="F1695" t="inlineStr">
        <is>
          <t>STOCKHOLMS LÄN</t>
        </is>
      </c>
      <c r="G1695" t="inlineStr">
        <is>
          <t>VALLENTUNA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8748-2022</t>
        </is>
      </c>
      <c r="B1696" t="inlineStr">
        <is>
          <t>avverkningsanmälan</t>
        </is>
      </c>
      <c r="C1696" t="inlineStr">
        <is>
          <t>Föryngringsavverkning</t>
        </is>
      </c>
      <c r="D1696" s="1" t="n">
        <v>44613</v>
      </c>
      <c r="E1696" s="1" t="n">
        <v>46326</v>
      </c>
      <c r="F1696" t="inlineStr">
        <is>
          <t>STOCKHOLMS LÄN</t>
        </is>
      </c>
      <c r="G1696" t="inlineStr">
        <is>
          <t>UPPLANDS VÄSBY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64494-2023</t>
        </is>
      </c>
      <c r="B1697" t="inlineStr">
        <is>
          <t>avverkningsanmälan</t>
        </is>
      </c>
      <c r="C1697" t="inlineStr">
        <is>
          <t>Föryngringsavverkning</t>
        </is>
      </c>
      <c r="D1697" s="1" t="n">
        <v>45280</v>
      </c>
      <c r="E1697" s="1" t="n">
        <v>46326</v>
      </c>
      <c r="F1697" t="inlineStr">
        <is>
          <t>STOCKHOLMS LÄN</t>
        </is>
      </c>
      <c r="G1697" t="inlineStr">
        <is>
          <t>NYNÄSHAMN</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32426-2023</t>
        </is>
      </c>
      <c r="B1698" t="inlineStr">
        <is>
          <t>avverkningsanmälan</t>
        </is>
      </c>
      <c r="C1698" t="inlineStr">
        <is>
          <t>Föryngringsavverkning</t>
        </is>
      </c>
      <c r="D1698" s="1" t="n">
        <v>45110</v>
      </c>
      <c r="E1698" s="1" t="n">
        <v>46326</v>
      </c>
      <c r="F1698" t="inlineStr">
        <is>
          <t>STOCKHOLMS LÄN</t>
        </is>
      </c>
      <c r="G1698" t="inlineStr">
        <is>
          <t>SIGTUNA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47419-2023</t>
        </is>
      </c>
      <c r="B1699" t="inlineStr">
        <is>
          <t>avverkningsanmälan</t>
        </is>
      </c>
      <c r="C1699" t="inlineStr">
        <is>
          <t>Föryngringsavverkning</t>
        </is>
      </c>
      <c r="D1699" s="1" t="n">
        <v>45202</v>
      </c>
      <c r="E1699" s="1" t="n">
        <v>46326</v>
      </c>
      <c r="F1699" t="inlineStr">
        <is>
          <t>STOCKHOLMS LÄN</t>
        </is>
      </c>
      <c r="G1699" t="inlineStr">
        <is>
          <t>NORRTÄLJE</t>
        </is>
      </c>
      <c r="I1699" t="n">
        <v>11.4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23070-2023</t>
        </is>
      </c>
      <c r="B1700" t="inlineStr">
        <is>
          <t>avverkningsanmälan</t>
        </is>
      </c>
      <c r="C1700" t="inlineStr">
        <is>
          <t>Föryngringsavverkning</t>
        </is>
      </c>
      <c r="D1700" s="1" t="n">
        <v>45075</v>
      </c>
      <c r="E1700" s="1" t="n">
        <v>46326</v>
      </c>
      <c r="F1700" t="inlineStr">
        <is>
          <t>STOCKHOLMS LÄN</t>
        </is>
      </c>
      <c r="G1700" t="inlineStr">
        <is>
          <t>NORRTÄLJE</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25740-2026</t>
        </is>
      </c>
      <c r="B1701" t="inlineStr">
        <is>
          <t>avverkningsanmälan</t>
        </is>
      </c>
      <c r="C1701" t="inlineStr">
        <is>
          <t>Föryngringsavverkning</t>
        </is>
      </c>
      <c r="D1701" s="1" t="n">
        <v>46178</v>
      </c>
      <c r="E1701" s="1" t="n">
        <v>46326</v>
      </c>
      <c r="F1701" t="inlineStr">
        <is>
          <t>STOCKHOLMS LÄN</t>
        </is>
      </c>
      <c r="G1701" t="inlineStr">
        <is>
          <t>VALLENTUNA</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36986-2025</t>
        </is>
      </c>
      <c r="B1702" t="inlineStr">
        <is>
          <t>avverkningsanmälan</t>
        </is>
      </c>
      <c r="C1702" t="inlineStr">
        <is>
          <t>Föryngringsavverkning</t>
        </is>
      </c>
      <c r="D1702" s="1" t="n">
        <v>45874</v>
      </c>
      <c r="E1702" s="1" t="n">
        <v>46326</v>
      </c>
      <c r="F1702" t="inlineStr">
        <is>
          <t>STOCKHOLMS LÄN</t>
        </is>
      </c>
      <c r="G1702" t="inlineStr">
        <is>
          <t>NYKVARN</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25696-2026</t>
        </is>
      </c>
      <c r="B1703" t="inlineStr">
        <is>
          <t>avverkningsanmälan</t>
        </is>
      </c>
      <c r="C1703" t="inlineStr">
        <is>
          <t>Föryngringsavverkning</t>
        </is>
      </c>
      <c r="D1703" s="1" t="n">
        <v>46178</v>
      </c>
      <c r="E1703" s="1" t="n">
        <v>46326</v>
      </c>
      <c r="F1703" t="inlineStr">
        <is>
          <t>STOCKHOLMS LÄN</t>
        </is>
      </c>
      <c r="G1703" t="inlineStr">
        <is>
          <t>NORRTÄLJE</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27824-2022</t>
        </is>
      </c>
      <c r="B1704" t="inlineStr">
        <is>
          <t>avverkningsanmälan</t>
        </is>
      </c>
      <c r="C1704" t="inlineStr">
        <is>
          <t>Föryngringsavverkning</t>
        </is>
      </c>
      <c r="D1704" s="1" t="n">
        <v>44743</v>
      </c>
      <c r="E1704" s="1" t="n">
        <v>46326</v>
      </c>
      <c r="F1704" t="inlineStr">
        <is>
          <t>STOCKHOLMS LÄN</t>
        </is>
      </c>
      <c r="G1704" t="inlineStr">
        <is>
          <t>NORRTÄLJE</t>
        </is>
      </c>
      <c r="H1704" t="inlineStr">
        <is>
          <t>Kommuner</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19903-2023</t>
        </is>
      </c>
      <c r="B1705" t="inlineStr">
        <is>
          <t>avverkningsanmälan</t>
        </is>
      </c>
      <c r="C1705" t="inlineStr">
        <is>
          <t>Föryngringsavverkning</t>
        </is>
      </c>
      <c r="D1705" s="1" t="n">
        <v>45054</v>
      </c>
      <c r="E1705" s="1" t="n">
        <v>46326</v>
      </c>
      <c r="F1705" t="inlineStr">
        <is>
          <t>STOCKHOLMS LÄN</t>
        </is>
      </c>
      <c r="G1705" t="inlineStr">
        <is>
          <t>NYKVARN</t>
        </is>
      </c>
      <c r="I1705" t="n">
        <v>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57048-2024</t>
        </is>
      </c>
      <c r="B1706" t="inlineStr">
        <is>
          <t>avverkningsanmälan</t>
        </is>
      </c>
      <c r="C1706" t="inlineStr">
        <is>
          <t>Föryngringsavverkning</t>
        </is>
      </c>
      <c r="D1706" s="1" t="n">
        <v>45629</v>
      </c>
      <c r="E1706" s="1" t="n">
        <v>46326</v>
      </c>
      <c r="F1706" t="inlineStr">
        <is>
          <t>STOCKHOLMS LÄN</t>
        </is>
      </c>
      <c r="G1706" t="inlineStr">
        <is>
          <t>ÖSTERÅKER</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53337-2023</t>
        </is>
      </c>
      <c r="B1707" t="inlineStr">
        <is>
          <t>avverkningsanmälan</t>
        </is>
      </c>
      <c r="C1707" t="inlineStr">
        <is>
          <t>Föryngringsavverkning</t>
        </is>
      </c>
      <c r="D1707" s="1" t="n">
        <v>45229</v>
      </c>
      <c r="E1707" s="1" t="n">
        <v>46326</v>
      </c>
      <c r="F1707" t="inlineStr">
        <is>
          <t>STOCKHOLMS LÄN</t>
        </is>
      </c>
      <c r="G1707" t="inlineStr">
        <is>
          <t>NYKVARN</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25507-2026</t>
        </is>
      </c>
      <c r="B1708" t="inlineStr">
        <is>
          <t>avverkningsanmälan</t>
        </is>
      </c>
      <c r="C1708" t="inlineStr">
        <is>
          <t>Föryngringsavverkning</t>
        </is>
      </c>
      <c r="D1708" s="1" t="n">
        <v>46177</v>
      </c>
      <c r="E1708" s="1" t="n">
        <v>46326</v>
      </c>
      <c r="F1708" t="inlineStr">
        <is>
          <t>STOCKHOLMS LÄN</t>
        </is>
      </c>
      <c r="G1708" t="inlineStr">
        <is>
          <t>NORRTÄLJE</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25529-2026</t>
        </is>
      </c>
      <c r="B1709" t="inlineStr">
        <is>
          <t>avverkningsanmälan</t>
        </is>
      </c>
      <c r="C1709" t="inlineStr">
        <is>
          <t>Föryngringsavverkning</t>
        </is>
      </c>
      <c r="D1709" s="1" t="n">
        <v>46177</v>
      </c>
      <c r="E1709" s="1" t="n">
        <v>46326</v>
      </c>
      <c r="F1709" t="inlineStr">
        <is>
          <t>STOCKHOLMS LÄN</t>
        </is>
      </c>
      <c r="G1709" t="inlineStr">
        <is>
          <t>NORRTÄLJE</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25752-2026</t>
        </is>
      </c>
      <c r="B1710" t="inlineStr">
        <is>
          <t>avverkningsanmälan</t>
        </is>
      </c>
      <c r="C1710" t="inlineStr">
        <is>
          <t>Föryngringsavverkning</t>
        </is>
      </c>
      <c r="D1710" s="1" t="n">
        <v>46178</v>
      </c>
      <c r="E1710" s="1" t="n">
        <v>46326</v>
      </c>
      <c r="F1710" t="inlineStr">
        <is>
          <t>STOCKHOLMS LÄN</t>
        </is>
      </c>
      <c r="G1710" t="inlineStr">
        <is>
          <t>VALLENTUNA</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25919-2026</t>
        </is>
      </c>
      <c r="B1711" t="inlineStr">
        <is>
          <t>avverkningsanmälan</t>
        </is>
      </c>
      <c r="C1711" t="inlineStr">
        <is>
          <t>Föryngringsavverkning</t>
        </is>
      </c>
      <c r="D1711" s="1" t="n">
        <v>46178</v>
      </c>
      <c r="E1711" s="1" t="n">
        <v>46326</v>
      </c>
      <c r="F1711" t="inlineStr">
        <is>
          <t>STOCKHOLMS LÄN</t>
        </is>
      </c>
      <c r="G1711" t="inlineStr">
        <is>
          <t>NORRTÄLJE</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19220-2023</t>
        </is>
      </c>
      <c r="B1712" t="inlineStr">
        <is>
          <t>avverkningsanmälan</t>
        </is>
      </c>
      <c r="C1712" t="inlineStr">
        <is>
          <t>Föryngringsavverkning</t>
        </is>
      </c>
      <c r="D1712" s="1" t="n">
        <v>45048</v>
      </c>
      <c r="E1712" s="1" t="n">
        <v>46326</v>
      </c>
      <c r="F1712" t="inlineStr">
        <is>
          <t>STOCKHOLMS LÄN</t>
        </is>
      </c>
      <c r="G1712" t="inlineStr">
        <is>
          <t>HANINGE</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19952-2023</t>
        </is>
      </c>
      <c r="B1713" t="inlineStr">
        <is>
          <t>avverkningsanmälan</t>
        </is>
      </c>
      <c r="C1713" t="inlineStr">
        <is>
          <t>Föryngringsavverkning</t>
        </is>
      </c>
      <c r="D1713" s="1" t="n">
        <v>45054</v>
      </c>
      <c r="E1713" s="1" t="n">
        <v>46326</v>
      </c>
      <c r="F1713" t="inlineStr">
        <is>
          <t>STOCKHOLMS LÄN</t>
        </is>
      </c>
      <c r="G1713" t="inlineStr">
        <is>
          <t>NORRTÄLJE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19994-2023</t>
        </is>
      </c>
      <c r="B1714" t="inlineStr">
        <is>
          <t>avverkningsanmälan</t>
        </is>
      </c>
      <c r="C1714" t="inlineStr">
        <is>
          <t>Föryngringsavverkning</t>
        </is>
      </c>
      <c r="D1714" s="1" t="n">
        <v>45054</v>
      </c>
      <c r="E1714" s="1" t="n">
        <v>46326</v>
      </c>
      <c r="F1714" t="inlineStr">
        <is>
          <t>STOCKHOLMS LÄN</t>
        </is>
      </c>
      <c r="G1714" t="inlineStr">
        <is>
          <t>NORRTÄLJE</t>
        </is>
      </c>
      <c r="I1714" t="n">
        <v>4.3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1016-2022</t>
        </is>
      </c>
      <c r="B1715" t="inlineStr">
        <is>
          <t>avverkningsanmälan</t>
        </is>
      </c>
      <c r="C1715" t="inlineStr">
        <is>
          <t>Avverkning för annat ändamål</t>
        </is>
      </c>
      <c r="D1715" s="1" t="n">
        <v>44571</v>
      </c>
      <c r="E1715" s="1" t="n">
        <v>46326</v>
      </c>
      <c r="F1715" t="inlineStr">
        <is>
          <t>STOCKHOLMS LÄN</t>
        </is>
      </c>
      <c r="G1715" t="inlineStr">
        <is>
          <t>SÖDERTÄLJE</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39876-2024</t>
        </is>
      </c>
      <c r="B1716" t="inlineStr">
        <is>
          <t>avverkningsanmälan</t>
        </is>
      </c>
      <c r="C1716" t="inlineStr">
        <is>
          <t>Avverkning för annat ändamål</t>
        </is>
      </c>
      <c r="D1716" s="1" t="n">
        <v>45553</v>
      </c>
      <c r="E1716" s="1" t="n">
        <v>46326</v>
      </c>
      <c r="F1716" t="inlineStr">
        <is>
          <t>STOCKHOLMS LÄN</t>
        </is>
      </c>
      <c r="G1716" t="inlineStr">
        <is>
          <t>VAXHOLM</t>
        </is>
      </c>
      <c r="H1716" t="inlineStr">
        <is>
          <t>Övriga statliga verk och myndigheter</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5286-2025</t>
        </is>
      </c>
      <c r="B1717" t="inlineStr">
        <is>
          <t>avverkningsanmälan</t>
        </is>
      </c>
      <c r="C1717" t="inlineStr">
        <is>
          <t>Föryngringsavverkning</t>
        </is>
      </c>
      <c r="D1717" s="1" t="n">
        <v>45692</v>
      </c>
      <c r="E1717" s="1" t="n">
        <v>46326</v>
      </c>
      <c r="F1717" t="inlineStr">
        <is>
          <t>STOCKHOLMS LÄN</t>
        </is>
      </c>
      <c r="G1717" t="inlineStr">
        <is>
          <t>ÖSTERÅKER</t>
        </is>
      </c>
      <c r="I1717" t="n">
        <v>11.2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35942-2022</t>
        </is>
      </c>
      <c r="B1718" t="inlineStr">
        <is>
          <t>avverkningsanmälan</t>
        </is>
      </c>
      <c r="C1718" t="inlineStr">
        <is>
          <t>Avverkning för annat ändamål</t>
        </is>
      </c>
      <c r="D1718" s="1" t="n">
        <v>44802</v>
      </c>
      <c r="E1718" s="1" t="n">
        <v>46326</v>
      </c>
      <c r="F1718" t="inlineStr">
        <is>
          <t>STOCKHOLMS LÄN</t>
        </is>
      </c>
      <c r="G1718" t="inlineStr">
        <is>
          <t>SÖDERTÄLJE</t>
        </is>
      </c>
      <c r="I1718" t="n">
        <v>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574-2023</t>
        </is>
      </c>
      <c r="B1719" t="inlineStr">
        <is>
          <t>avverkningsanmälan</t>
        </is>
      </c>
      <c r="C1719" t="inlineStr">
        <is>
          <t>Föryngringsavverkning</t>
        </is>
      </c>
      <c r="D1719" s="1" t="n">
        <v>44925</v>
      </c>
      <c r="E1719" s="1" t="n">
        <v>46326</v>
      </c>
      <c r="F1719" t="inlineStr">
        <is>
          <t>STOCKHOLMS LÄN</t>
        </is>
      </c>
      <c r="G1719" t="inlineStr">
        <is>
          <t>NORRTÄLJE</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3383-2024</t>
        </is>
      </c>
      <c r="B1720" t="inlineStr">
        <is>
          <t>avverkningsanmälan</t>
        </is>
      </c>
      <c r="C1720" t="inlineStr">
        <is>
          <t>Avverkning för att bevara och utveckla /försöksver</t>
        </is>
      </c>
      <c r="D1720" s="1" t="n">
        <v>45317</v>
      </c>
      <c r="E1720" s="1" t="n">
        <v>46326</v>
      </c>
      <c r="F1720" t="inlineStr">
        <is>
          <t>STOCKHOLMS LÄN</t>
        </is>
      </c>
      <c r="G1720" t="inlineStr">
        <is>
          <t>SÖDERTÄLJE</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24034-2022</t>
        </is>
      </c>
      <c r="B1721" t="inlineStr">
        <is>
          <t>avverkningsanmälan</t>
        </is>
      </c>
      <c r="C1721" t="inlineStr">
        <is>
          <t>Föryngringsavverkning</t>
        </is>
      </c>
      <c r="D1721" s="1" t="n">
        <v>44724</v>
      </c>
      <c r="E1721" s="1" t="n">
        <v>46326</v>
      </c>
      <c r="F1721" t="inlineStr">
        <is>
          <t>STOCKHOLMS LÄN</t>
        </is>
      </c>
      <c r="G1721" t="inlineStr">
        <is>
          <t>SÖDERTÄLJE</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30283-2022</t>
        </is>
      </c>
      <c r="B1722" t="inlineStr">
        <is>
          <t>avverkningsanmälan</t>
        </is>
      </c>
      <c r="C1722" t="inlineStr">
        <is>
          <t>Föryngringsavverkning</t>
        </is>
      </c>
      <c r="D1722" s="1" t="n">
        <v>44760</v>
      </c>
      <c r="E1722" s="1" t="n">
        <v>46326</v>
      </c>
      <c r="F1722" t="inlineStr">
        <is>
          <t>STOCKHOLMS LÄN</t>
        </is>
      </c>
      <c r="G1722" t="inlineStr">
        <is>
          <t>NORRTÄLJE</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3817-2023</t>
        </is>
      </c>
      <c r="B1723" t="inlineStr">
        <is>
          <t>avverkningsanmälan</t>
        </is>
      </c>
      <c r="C1723" t="inlineStr">
        <is>
          <t>Föryngringsavverkning</t>
        </is>
      </c>
      <c r="D1723" s="1" t="n">
        <v>44951</v>
      </c>
      <c r="E1723" s="1" t="n">
        <v>46326</v>
      </c>
      <c r="F1723" t="inlineStr">
        <is>
          <t>STOCKHOLMS LÄN</t>
        </is>
      </c>
      <c r="G1723" t="inlineStr">
        <is>
          <t>ÖSTERÅKER</t>
        </is>
      </c>
      <c r="H1723" t="inlineStr">
        <is>
          <t>Kommuner</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544-2023</t>
        </is>
      </c>
      <c r="B1724" t="inlineStr">
        <is>
          <t>avverkningsanmälan</t>
        </is>
      </c>
      <c r="C1724" t="inlineStr">
        <is>
          <t>Avverkning för annat ändamål</t>
        </is>
      </c>
      <c r="D1724" s="1" t="n">
        <v>44924</v>
      </c>
      <c r="E1724" s="1" t="n">
        <v>46326</v>
      </c>
      <c r="F1724" t="inlineStr">
        <is>
          <t>STOCKHOLMS LÄN</t>
        </is>
      </c>
      <c r="G1724" t="inlineStr">
        <is>
          <t>ÖSTERÅKER</t>
        </is>
      </c>
      <c r="H1724" t="inlineStr">
        <is>
          <t>Övriga Aktiebolag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26249-2026</t>
        </is>
      </c>
      <c r="B1725" t="inlineStr">
        <is>
          <t>avverkningsanmälan</t>
        </is>
      </c>
      <c r="C1725" t="inlineStr">
        <is>
          <t>Avverkning för annat ändamål</t>
        </is>
      </c>
      <c r="D1725" s="1" t="n">
        <v>46182</v>
      </c>
      <c r="E1725" s="1" t="n">
        <v>46326</v>
      </c>
      <c r="F1725" t="inlineStr">
        <is>
          <t>STOCKHOLMS LÄN</t>
        </is>
      </c>
      <c r="G1725" t="inlineStr">
        <is>
          <t>ÖSTERÅKER</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26083-2026</t>
        </is>
      </c>
      <c r="B1726" t="inlineStr">
        <is>
          <t>avverkningsanmälan</t>
        </is>
      </c>
      <c r="C1726" t="inlineStr">
        <is>
          <t>Föryngringsavverkning</t>
        </is>
      </c>
      <c r="D1726" s="1" t="n">
        <v>46181</v>
      </c>
      <c r="E1726" s="1" t="n">
        <v>46326</v>
      </c>
      <c r="F1726" t="inlineStr">
        <is>
          <t>STOCKHOLMS LÄN</t>
        </is>
      </c>
      <c r="G1726" t="inlineStr">
        <is>
          <t>NORRTÄLJE</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60884-2024</t>
        </is>
      </c>
      <c r="B1727" t="inlineStr">
        <is>
          <t>avverkningsanmälan</t>
        </is>
      </c>
      <c r="C1727" t="inlineStr">
        <is>
          <t>Föryngringsavverkning</t>
        </is>
      </c>
      <c r="D1727" s="1" t="n">
        <v>45644</v>
      </c>
      <c r="E1727" s="1" t="n">
        <v>46326</v>
      </c>
      <c r="F1727" t="inlineStr">
        <is>
          <t>STOCKHOLMS LÄN</t>
        </is>
      </c>
      <c r="G1727" t="inlineStr">
        <is>
          <t>NORRTÄLJE</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26417-2026</t>
        </is>
      </c>
      <c r="B1728" t="inlineStr">
        <is>
          <t>avverkningsanmälan</t>
        </is>
      </c>
      <c r="C1728" t="inlineStr">
        <is>
          <t>Föryngringsavverkning</t>
        </is>
      </c>
      <c r="D1728" s="1" t="n">
        <v>46183</v>
      </c>
      <c r="E1728" s="1" t="n">
        <v>46326</v>
      </c>
      <c r="F1728" t="inlineStr">
        <is>
          <t>STOCKHOLMS LÄN</t>
        </is>
      </c>
      <c r="G1728" t="inlineStr">
        <is>
          <t>HANINGE</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47089-2023</t>
        </is>
      </c>
      <c r="B1729" t="inlineStr">
        <is>
          <t>avverkningsanmälan</t>
        </is>
      </c>
      <c r="C1729" t="inlineStr">
        <is>
          <t>Föryngringsavverkning</t>
        </is>
      </c>
      <c r="D1729" s="1" t="n">
        <v>45196</v>
      </c>
      <c r="E1729" s="1" t="n">
        <v>46326</v>
      </c>
      <c r="F1729" t="inlineStr">
        <is>
          <t>STOCKHOLMS LÄN</t>
        </is>
      </c>
      <c r="G1729" t="inlineStr">
        <is>
          <t>NYNÄSHAMN</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72218-2021</t>
        </is>
      </c>
      <c r="B1730" t="inlineStr">
        <is>
          <t>avverkningsanmälan</t>
        </is>
      </c>
      <c r="C1730" t="inlineStr">
        <is>
          <t>Föryngringsavverkning</t>
        </is>
      </c>
      <c r="D1730" s="1" t="n">
        <v>44544</v>
      </c>
      <c r="E1730" s="1" t="n">
        <v>46326</v>
      </c>
      <c r="F1730" t="inlineStr">
        <is>
          <t>STOCKHOLMS LÄN</t>
        </is>
      </c>
      <c r="G1730" t="inlineStr">
        <is>
          <t>SÖDERTÄLJE</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3326-2022</t>
        </is>
      </c>
      <c r="B1731" t="inlineStr">
        <is>
          <t>avverkningsanmälan</t>
        </is>
      </c>
      <c r="C1731" t="inlineStr">
        <is>
          <t>Föryngringsavverkning</t>
        </is>
      </c>
      <c r="D1731" s="1" t="n">
        <v>44583</v>
      </c>
      <c r="E1731" s="1" t="n">
        <v>46326</v>
      </c>
      <c r="F1731" t="inlineStr">
        <is>
          <t>STOCKHOLMS LÄN</t>
        </is>
      </c>
      <c r="G1731" t="inlineStr">
        <is>
          <t>ÖSTERÅKER</t>
        </is>
      </c>
      <c r="H1731" t="inlineStr">
        <is>
          <t>Övriga Aktiebolag</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10090-2022</t>
        </is>
      </c>
      <c r="B1732" t="inlineStr">
        <is>
          <t>avverkningsanmälan</t>
        </is>
      </c>
      <c r="C1732" t="inlineStr">
        <is>
          <t>Avverkning för annat ändamål</t>
        </is>
      </c>
      <c r="D1732" s="1" t="n">
        <v>44621</v>
      </c>
      <c r="E1732" s="1" t="n">
        <v>46326</v>
      </c>
      <c r="F1732" t="inlineStr">
        <is>
          <t>STOCKHOLMS LÄN</t>
        </is>
      </c>
      <c r="G1732" t="inlineStr">
        <is>
          <t>NORRTÄLJE</t>
        </is>
      </c>
      <c r="I1732" t="n">
        <v>5.2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25968-2026</t>
        </is>
      </c>
      <c r="B1733" t="inlineStr">
        <is>
          <t>avverkningsanmälan</t>
        </is>
      </c>
      <c r="C1733" t="inlineStr">
        <is>
          <t>Föryngringsavverkning</t>
        </is>
      </c>
      <c r="D1733" s="1" t="n">
        <v>46181</v>
      </c>
      <c r="E1733" s="1" t="n">
        <v>46326</v>
      </c>
      <c r="F1733" t="inlineStr">
        <is>
          <t>STOCKHOLMS LÄN</t>
        </is>
      </c>
      <c r="G1733" t="inlineStr">
        <is>
          <t>NORRTÄLJE</t>
        </is>
      </c>
      <c r="H1733" t="inlineStr">
        <is>
          <t>Kyrkan</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43300-2023</t>
        </is>
      </c>
      <c r="B1734" t="inlineStr">
        <is>
          <t>avverkningsanmälan</t>
        </is>
      </c>
      <c r="C1734" t="inlineStr">
        <is>
          <t>Föryngringsavverkning</t>
        </is>
      </c>
      <c r="D1734" s="1" t="n">
        <v>45183</v>
      </c>
      <c r="E1734" s="1" t="n">
        <v>46326</v>
      </c>
      <c r="F1734" t="inlineStr">
        <is>
          <t>STOCKHOLMS LÄN</t>
        </is>
      </c>
      <c r="G1734" t="inlineStr">
        <is>
          <t>NORRTÄLJE</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25584-2023</t>
        </is>
      </c>
      <c r="B1735" t="inlineStr">
        <is>
          <t>avverkningsanmälan</t>
        </is>
      </c>
      <c r="C1735" t="inlineStr">
        <is>
          <t>Föryngringsavverkning</t>
        </is>
      </c>
      <c r="D1735" s="1" t="n">
        <v>45089</v>
      </c>
      <c r="E1735" s="1" t="n">
        <v>46326</v>
      </c>
      <c r="F1735" t="inlineStr">
        <is>
          <t>STOCKHOLMS LÄN</t>
        </is>
      </c>
      <c r="G1735" t="inlineStr">
        <is>
          <t>HANINGE</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25654-2023</t>
        </is>
      </c>
      <c r="B1736" t="inlineStr">
        <is>
          <t>avverkningsanmälan</t>
        </is>
      </c>
      <c r="C1736" t="inlineStr">
        <is>
          <t>Föryngringsavverkning</t>
        </is>
      </c>
      <c r="D1736" s="1" t="n">
        <v>45089</v>
      </c>
      <c r="E1736" s="1" t="n">
        <v>46326</v>
      </c>
      <c r="F1736" t="inlineStr">
        <is>
          <t>STOCKHOLMS LÄN</t>
        </is>
      </c>
      <c r="G1736" t="inlineStr">
        <is>
          <t>NORRTÄLJE</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12234-2022</t>
        </is>
      </c>
      <c r="B1737" t="inlineStr">
        <is>
          <t>avverkningsanmälan</t>
        </is>
      </c>
      <c r="C1737" t="inlineStr">
        <is>
          <t>Föryngringsavverkning</t>
        </is>
      </c>
      <c r="D1737" s="1" t="n">
        <v>44637</v>
      </c>
      <c r="E1737" s="1" t="n">
        <v>46326</v>
      </c>
      <c r="F1737" t="inlineStr">
        <is>
          <t>STOCKHOLMS LÄN</t>
        </is>
      </c>
      <c r="G1737" t="inlineStr">
        <is>
          <t>VALLENTUNA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26406-2026</t>
        </is>
      </c>
      <c r="B1738" t="inlineStr">
        <is>
          <t>avverkningsanmälan</t>
        </is>
      </c>
      <c r="C1738" t="inlineStr">
        <is>
          <t>Föryngringsavverkning</t>
        </is>
      </c>
      <c r="D1738" s="1" t="n">
        <v>46183</v>
      </c>
      <c r="E1738" s="1" t="n">
        <v>46326</v>
      </c>
      <c r="F1738" t="inlineStr">
        <is>
          <t>STOCKHOLMS LÄN</t>
        </is>
      </c>
      <c r="G1738" t="inlineStr">
        <is>
          <t>NORRTÄLJE</t>
        </is>
      </c>
      <c r="I1738" t="n">
        <v>9.300000000000001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26408-2026</t>
        </is>
      </c>
      <c r="B1739" t="inlineStr">
        <is>
          <t>avverkningsanmälan</t>
        </is>
      </c>
      <c r="C1739" t="inlineStr">
        <is>
          <t>Föryngringsavverkning</t>
        </is>
      </c>
      <c r="D1739" s="1" t="n">
        <v>46183</v>
      </c>
      <c r="E1739" s="1" t="n">
        <v>46326</v>
      </c>
      <c r="F1739" t="inlineStr">
        <is>
          <t>STOCKHOLMS LÄN</t>
        </is>
      </c>
      <c r="G1739" t="inlineStr">
        <is>
          <t>NORRTÄLJE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26557-2026</t>
        </is>
      </c>
      <c r="B1740" t="inlineStr">
        <is>
          <t>avverkningsanmälan</t>
        </is>
      </c>
      <c r="C1740" t="inlineStr">
        <is>
          <t>Föryngringsavverkning</t>
        </is>
      </c>
      <c r="D1740" s="1" t="n">
        <v>46183</v>
      </c>
      <c r="E1740" s="1" t="n">
        <v>46326</v>
      </c>
      <c r="F1740" t="inlineStr">
        <is>
          <t>STOCKHOLMS LÄN</t>
        </is>
      </c>
      <c r="G1740" t="inlineStr">
        <is>
          <t>NORRTÄLJE</t>
        </is>
      </c>
      <c r="H1740" t="inlineStr">
        <is>
          <t>Holmen skog AB</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23125-2022</t>
        </is>
      </c>
      <c r="B1741" t="inlineStr">
        <is>
          <t>avverkningsanmälan</t>
        </is>
      </c>
      <c r="C1741" t="inlineStr">
        <is>
          <t>Föryngringsavverkning</t>
        </is>
      </c>
      <c r="D1741" s="1" t="n">
        <v>44719</v>
      </c>
      <c r="E1741" s="1" t="n">
        <v>46326</v>
      </c>
      <c r="F1741" t="inlineStr">
        <is>
          <t>STOCKHOLMS LÄN</t>
        </is>
      </c>
      <c r="G1741" t="inlineStr">
        <is>
          <t>NORRTÄLJE</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26633-2026</t>
        </is>
      </c>
      <c r="B1742" t="inlineStr">
        <is>
          <t>avverkningsanmälan</t>
        </is>
      </c>
      <c r="C1742" t="inlineStr">
        <is>
          <t>Föryngringsavverkning</t>
        </is>
      </c>
      <c r="D1742" s="1" t="n">
        <v>46184</v>
      </c>
      <c r="E1742" s="1" t="n">
        <v>46326</v>
      </c>
      <c r="F1742" t="inlineStr">
        <is>
          <t>STOCKHOLMS LÄN</t>
        </is>
      </c>
      <c r="G1742" t="inlineStr">
        <is>
          <t>UPPLANDS-BRO</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20121-2022</t>
        </is>
      </c>
      <c r="B1743" t="inlineStr">
        <is>
          <t>avverkningsanmälan</t>
        </is>
      </c>
      <c r="C1743" t="inlineStr">
        <is>
          <t>Föryngringsavverkning</t>
        </is>
      </c>
      <c r="D1743" s="1" t="n">
        <v>44698</v>
      </c>
      <c r="E1743" s="1" t="n">
        <v>46326</v>
      </c>
      <c r="F1743" t="inlineStr">
        <is>
          <t>STOCKHOLMS LÄN</t>
        </is>
      </c>
      <c r="G1743" t="inlineStr">
        <is>
          <t>NORRTÄLJE</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33385-2024</t>
        </is>
      </c>
      <c r="B1744" t="inlineStr">
        <is>
          <t>avverkningsanmälan</t>
        </is>
      </c>
      <c r="C1744" t="inlineStr">
        <is>
          <t>Föryngringsavverkning</t>
        </is>
      </c>
      <c r="D1744" s="1" t="n">
        <v>45519</v>
      </c>
      <c r="E1744" s="1" t="n">
        <v>46326</v>
      </c>
      <c r="F1744" t="inlineStr">
        <is>
          <t>STOCKHOLMS LÄN</t>
        </is>
      </c>
      <c r="G1744" t="inlineStr">
        <is>
          <t>NORRTÄLJE</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41172-2023</t>
        </is>
      </c>
      <c r="B1745" t="inlineStr">
        <is>
          <t>avverkningsanmälan</t>
        </is>
      </c>
      <c r="C1745" t="inlineStr">
        <is>
          <t>Föryngringsavverkning</t>
        </is>
      </c>
      <c r="D1745" s="1" t="n">
        <v>45170</v>
      </c>
      <c r="E1745" s="1" t="n">
        <v>46326</v>
      </c>
      <c r="F1745" t="inlineStr">
        <is>
          <t>STOCKHOLMS LÄN</t>
        </is>
      </c>
      <c r="G1745" t="inlineStr">
        <is>
          <t>NORRTÄLJE</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26886-2026</t>
        </is>
      </c>
      <c r="B1746" t="inlineStr">
        <is>
          <t>avverkningsanmälan</t>
        </is>
      </c>
      <c r="C1746" t="inlineStr">
        <is>
          <t>Avverkning för annat ändamål</t>
        </is>
      </c>
      <c r="D1746" s="1" t="n">
        <v>46185</v>
      </c>
      <c r="E1746" s="1" t="n">
        <v>46326</v>
      </c>
      <c r="F1746" t="inlineStr">
        <is>
          <t>STOCKHOLMS LÄN</t>
        </is>
      </c>
      <c r="G1746" t="inlineStr">
        <is>
          <t>HANINGE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20530-2024</t>
        </is>
      </c>
      <c r="B1747" t="inlineStr">
        <is>
          <t>avverkningsanmälan</t>
        </is>
      </c>
      <c r="C1747" t="inlineStr">
        <is>
          <t>Avverkning för annat ändamål</t>
        </is>
      </c>
      <c r="D1747" s="1" t="n">
        <v>45435</v>
      </c>
      <c r="E1747" s="1" t="n">
        <v>46326</v>
      </c>
      <c r="F1747" t="inlineStr">
        <is>
          <t>STOCKHOLMS LÄN</t>
        </is>
      </c>
      <c r="G1747" t="inlineStr">
        <is>
          <t>SÖDERTÄLJE</t>
        </is>
      </c>
      <c r="H1747" t="inlineStr">
        <is>
          <t>Övriga Aktiebolag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73307-2021</t>
        </is>
      </c>
      <c r="B1748" t="inlineStr">
        <is>
          <t>avverkningsanmälan</t>
        </is>
      </c>
      <c r="C1748" t="inlineStr">
        <is>
          <t>Föryngringsavverkning</t>
        </is>
      </c>
      <c r="D1748" s="1" t="n">
        <v>44549</v>
      </c>
      <c r="E1748" s="1" t="n">
        <v>46326</v>
      </c>
      <c r="F1748" t="inlineStr">
        <is>
          <t>STOCKHOLMS LÄN</t>
        </is>
      </c>
      <c r="G1748" t="inlineStr">
        <is>
          <t>NORRTÄLJE</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50534-2024</t>
        </is>
      </c>
      <c r="B1749" t="inlineStr">
        <is>
          <t>avverkningsanmälan</t>
        </is>
      </c>
      <c r="C1749" t="inlineStr">
        <is>
          <t>Föryngringsavverkning</t>
        </is>
      </c>
      <c r="D1749" s="1" t="n">
        <v>45601</v>
      </c>
      <c r="E1749" s="1" t="n">
        <v>46326</v>
      </c>
      <c r="F1749" t="inlineStr">
        <is>
          <t>STOCKHOLMS LÄN</t>
        </is>
      </c>
      <c r="G1749" t="inlineStr">
        <is>
          <t>NORRTÄLJE</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27006-2026</t>
        </is>
      </c>
      <c r="B1750" t="inlineStr">
        <is>
          <t>avverkningsanmälan</t>
        </is>
      </c>
      <c r="C1750" t="inlineStr">
        <is>
          <t>Avverkning för annat ändamål</t>
        </is>
      </c>
      <c r="D1750" s="1" t="n">
        <v>46185</v>
      </c>
      <c r="E1750" s="1" t="n">
        <v>46326</v>
      </c>
      <c r="F1750" t="inlineStr">
        <is>
          <t>STOCKHOLMS LÄN</t>
        </is>
      </c>
      <c r="G1750" t="inlineStr">
        <is>
          <t>SÖDERTÄLJE</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27179-2026</t>
        </is>
      </c>
      <c r="B1751" t="inlineStr">
        <is>
          <t>avverkningsanmälan</t>
        </is>
      </c>
      <c r="C1751" t="inlineStr">
        <is>
          <t>Föryngringsavverkning</t>
        </is>
      </c>
      <c r="D1751" s="1" t="n">
        <v>46188</v>
      </c>
      <c r="E1751" s="1" t="n">
        <v>46326</v>
      </c>
      <c r="F1751" t="inlineStr">
        <is>
          <t>STOCKHOLMS LÄN</t>
        </is>
      </c>
      <c r="G1751" t="inlineStr">
        <is>
          <t>NORRTÄLJE</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3156-2025</t>
        </is>
      </c>
      <c r="B1752" t="inlineStr">
        <is>
          <t>avverkningsanmälan</t>
        </is>
      </c>
      <c r="C1752" t="inlineStr">
        <is>
          <t>Föryngringsavverkning</t>
        </is>
      </c>
      <c r="D1752" s="1" t="n">
        <v>45679</v>
      </c>
      <c r="E1752" s="1" t="n">
        <v>46326</v>
      </c>
      <c r="F1752" t="inlineStr">
        <is>
          <t>STOCKHOLMS LÄN</t>
        </is>
      </c>
      <c r="G1752" t="inlineStr">
        <is>
          <t>HANINGE</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27257-2026</t>
        </is>
      </c>
      <c r="B1753" t="inlineStr">
        <is>
          <t>avverkningsanmälan</t>
        </is>
      </c>
      <c r="C1753" t="inlineStr">
        <is>
          <t>Föryngringsavverkning</t>
        </is>
      </c>
      <c r="D1753" s="1" t="n">
        <v>46188</v>
      </c>
      <c r="E1753" s="1" t="n">
        <v>46326</v>
      </c>
      <c r="F1753" t="inlineStr">
        <is>
          <t>STOCKHOLMS LÄN</t>
        </is>
      </c>
      <c r="G1753" t="inlineStr">
        <is>
          <t>SÖDERTÄLJE</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24943-2024</t>
        </is>
      </c>
      <c r="B1754" t="inlineStr">
        <is>
          <t>avverkningsanmälan</t>
        </is>
      </c>
      <c r="C1754" t="inlineStr">
        <is>
          <t>Föryngringsavverkning</t>
        </is>
      </c>
      <c r="D1754" s="1" t="n">
        <v>45461</v>
      </c>
      <c r="E1754" s="1" t="n">
        <v>46326</v>
      </c>
      <c r="F1754" t="inlineStr">
        <is>
          <t>STOCKHOLMS LÄN</t>
        </is>
      </c>
      <c r="G1754" t="inlineStr">
        <is>
          <t>VALLENTUNA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48978-2023</t>
        </is>
      </c>
      <c r="B1755" t="inlineStr">
        <is>
          <t>avverkningsanmälan</t>
        </is>
      </c>
      <c r="C1755" t="inlineStr">
        <is>
          <t>Föryngringsavverkning</t>
        </is>
      </c>
      <c r="D1755" s="1" t="n">
        <v>45209</v>
      </c>
      <c r="E1755" s="1" t="n">
        <v>46326</v>
      </c>
      <c r="F1755" t="inlineStr">
        <is>
          <t>STOCKHOLMS LÄN</t>
        </is>
      </c>
      <c r="G1755" t="inlineStr">
        <is>
          <t>NYNÄSHAMN</t>
        </is>
      </c>
      <c r="H1755" t="inlineStr">
        <is>
          <t>Kyrkan</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65511-2021</t>
        </is>
      </c>
      <c r="B1756" t="inlineStr">
        <is>
          <t>avverkningsanmälan</t>
        </is>
      </c>
      <c r="C1756" t="inlineStr">
        <is>
          <t>Föryngringsavverkning</t>
        </is>
      </c>
      <c r="D1756" s="1" t="n">
        <v>44516</v>
      </c>
      <c r="E1756" s="1" t="n">
        <v>46326</v>
      </c>
      <c r="F1756" t="inlineStr">
        <is>
          <t>STOCKHOLMS LÄN</t>
        </is>
      </c>
      <c r="G1756" t="inlineStr">
        <is>
          <t>NORRTÄLJE</t>
        </is>
      </c>
      <c r="H1756" t="inlineStr">
        <is>
          <t>Kommuner</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58619-2023</t>
        </is>
      </c>
      <c r="B1757" t="inlineStr">
        <is>
          <t>avverkningsanmälan</t>
        </is>
      </c>
      <c r="C1757" t="inlineStr">
        <is>
          <t>Föryngringsavverkning</t>
        </is>
      </c>
      <c r="D1757" s="1" t="n">
        <v>45251</v>
      </c>
      <c r="E1757" s="1" t="n">
        <v>46326</v>
      </c>
      <c r="F1757" t="inlineStr">
        <is>
          <t>STOCKHOLMS LÄN</t>
        </is>
      </c>
      <c r="G1757" t="inlineStr">
        <is>
          <t>SIGTUNA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22833-2024</t>
        </is>
      </c>
      <c r="B1758" t="inlineStr">
        <is>
          <t>avverkningsanmälan</t>
        </is>
      </c>
      <c r="C1758" t="inlineStr">
        <is>
          <t>Föryngringsavverkning</t>
        </is>
      </c>
      <c r="D1758" s="1" t="n">
        <v>45448</v>
      </c>
      <c r="E1758" s="1" t="n">
        <v>46326</v>
      </c>
      <c r="F1758" t="inlineStr">
        <is>
          <t>STOCKHOLMS LÄN</t>
        </is>
      </c>
      <c r="G1758" t="inlineStr">
        <is>
          <t>NORRTÄLJE</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35918-2022</t>
        </is>
      </c>
      <c r="B1759" t="inlineStr">
        <is>
          <t>avverkningsanmälan</t>
        </is>
      </c>
      <c r="C1759" t="inlineStr">
        <is>
          <t>Avverkning för annat ändamål</t>
        </is>
      </c>
      <c r="D1759" s="1" t="n">
        <v>44802</v>
      </c>
      <c r="E1759" s="1" t="n">
        <v>46326</v>
      </c>
      <c r="F1759" t="inlineStr">
        <is>
          <t>STOCKHOLMS LÄN</t>
        </is>
      </c>
      <c r="G1759" t="inlineStr">
        <is>
          <t>SÖDERTÄLJE</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32514-2022</t>
        </is>
      </c>
      <c r="B1760" t="inlineStr">
        <is>
          <t>avverkningsanmälan</t>
        </is>
      </c>
      <c r="C1760" t="inlineStr">
        <is>
          <t>Föryngringsavverkning</t>
        </is>
      </c>
      <c r="D1760" s="1" t="n">
        <v>44782</v>
      </c>
      <c r="E1760" s="1" t="n">
        <v>46326</v>
      </c>
      <c r="F1760" t="inlineStr">
        <is>
          <t>STOCKHOLMS LÄN</t>
        </is>
      </c>
      <c r="G1760" t="inlineStr">
        <is>
          <t>NORRTÄLJE</t>
        </is>
      </c>
      <c r="I1760" t="n">
        <v>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29362-2022</t>
        </is>
      </c>
      <c r="B1761" t="inlineStr">
        <is>
          <t>avverkningsanmälan</t>
        </is>
      </c>
      <c r="C1761" t="inlineStr">
        <is>
          <t>Föryngringsavverkning</t>
        </is>
      </c>
      <c r="D1761" s="1" t="n">
        <v>44753</v>
      </c>
      <c r="E1761" s="1" t="n">
        <v>46326</v>
      </c>
      <c r="F1761" t="inlineStr">
        <is>
          <t>STOCKHOLMS LÄN</t>
        </is>
      </c>
      <c r="G1761" t="inlineStr">
        <is>
          <t>NORRTÄLJE</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27181-2026</t>
        </is>
      </c>
      <c r="B1762" t="inlineStr">
        <is>
          <t>avverkningsanmälan</t>
        </is>
      </c>
      <c r="C1762" t="inlineStr">
        <is>
          <t>Föryngringsavverkning</t>
        </is>
      </c>
      <c r="D1762" s="1" t="n">
        <v>46188</v>
      </c>
      <c r="E1762" s="1" t="n">
        <v>46326</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27187-2026</t>
        </is>
      </c>
      <c r="B1763" t="inlineStr">
        <is>
          <t>avverkningsanmälan</t>
        </is>
      </c>
      <c r="C1763" t="inlineStr">
        <is>
          <t>Föryngringsavverkning</t>
        </is>
      </c>
      <c r="D1763" s="1" t="n">
        <v>46188</v>
      </c>
      <c r="E1763" s="1" t="n">
        <v>46326</v>
      </c>
      <c r="F1763" t="inlineStr">
        <is>
          <t>STOCKHOLMS LÄN</t>
        </is>
      </c>
      <c r="G1763" t="inlineStr">
        <is>
          <t>NORRTÄLJE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13366-2024</t>
        </is>
      </c>
      <c r="B1764" t="inlineStr">
        <is>
          <t>avverkningsanmälan</t>
        </is>
      </c>
      <c r="C1764" t="inlineStr">
        <is>
          <t>Föryngringsavverkning</t>
        </is>
      </c>
      <c r="D1764" s="1" t="n">
        <v>45387</v>
      </c>
      <c r="E1764" s="1" t="n">
        <v>46326</v>
      </c>
      <c r="F1764" t="inlineStr">
        <is>
          <t>STOCKHOLMS LÄN</t>
        </is>
      </c>
      <c r="G1764" t="inlineStr">
        <is>
          <t>ÖSTERÅKER</t>
        </is>
      </c>
      <c r="I1764" t="n">
        <v>13.7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58492-2022</t>
        </is>
      </c>
      <c r="B1765" t="inlineStr">
        <is>
          <t>avverkningsanmälan</t>
        </is>
      </c>
      <c r="C1765" t="inlineStr">
        <is>
          <t>Föryngringsavverkning</t>
        </is>
      </c>
      <c r="D1765" s="1" t="n">
        <v>44902</v>
      </c>
      <c r="E1765" s="1" t="n">
        <v>46326</v>
      </c>
      <c r="F1765" t="inlineStr">
        <is>
          <t>STOCKHOLMS LÄN</t>
        </is>
      </c>
      <c r="G1765" t="inlineStr">
        <is>
          <t>NORRTÄLJE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34773-2022</t>
        </is>
      </c>
      <c r="B1766" t="inlineStr">
        <is>
          <t>avverkningsanmälan</t>
        </is>
      </c>
      <c r="C1766" t="inlineStr">
        <is>
          <t>Föryngringsavverkning</t>
        </is>
      </c>
      <c r="D1766" s="1" t="n">
        <v>44795</v>
      </c>
      <c r="E1766" s="1" t="n">
        <v>46326</v>
      </c>
      <c r="F1766" t="inlineStr">
        <is>
          <t>STOCKHOLMS LÄN</t>
        </is>
      </c>
      <c r="G1766" t="inlineStr">
        <is>
          <t>NORRTÄLJE</t>
        </is>
      </c>
      <c r="I1766" t="n">
        <v>3.9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17765-2024</t>
        </is>
      </c>
      <c r="B1767" t="inlineStr">
        <is>
          <t>avverkningsanmälan</t>
        </is>
      </c>
      <c r="C1767" t="inlineStr">
        <is>
          <t>Föryngringsavverkning</t>
        </is>
      </c>
      <c r="D1767" s="1" t="n">
        <v>45418</v>
      </c>
      <c r="E1767" s="1" t="n">
        <v>46326</v>
      </c>
      <c r="F1767" t="inlineStr">
        <is>
          <t>STOCKHOLMS LÄN</t>
        </is>
      </c>
      <c r="G1767" t="inlineStr">
        <is>
          <t>HANINGE</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33173-2024</t>
        </is>
      </c>
      <c r="B1768" t="inlineStr">
        <is>
          <t>avverkningsanmälan</t>
        </is>
      </c>
      <c r="C1768" t="inlineStr">
        <is>
          <t>Föryngringsavverkning</t>
        </is>
      </c>
      <c r="D1768" s="1" t="n">
        <v>45518</v>
      </c>
      <c r="E1768" s="1" t="n">
        <v>46326</v>
      </c>
      <c r="F1768" t="inlineStr">
        <is>
          <t>STOCKHOLMS LÄN</t>
        </is>
      </c>
      <c r="G1768" t="inlineStr">
        <is>
          <t>NORRTÄLJE</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27717-2026</t>
        </is>
      </c>
      <c r="B1769" t="inlineStr">
        <is>
          <t>avverkningsanmälan</t>
        </is>
      </c>
      <c r="C1769" t="inlineStr">
        <is>
          <t>Föryngringsavverkning</t>
        </is>
      </c>
      <c r="D1769" s="1" t="n">
        <v>46190</v>
      </c>
      <c r="E1769" s="1" t="n">
        <v>46326</v>
      </c>
      <c r="F1769" t="inlineStr">
        <is>
          <t>STOCKHOLMS LÄN</t>
        </is>
      </c>
      <c r="G1769" t="inlineStr">
        <is>
          <t>BOTKYRKA</t>
        </is>
      </c>
      <c r="H1769" t="inlineStr">
        <is>
          <t>Övriga Aktiebolag</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16145-2024</t>
        </is>
      </c>
      <c r="B1770" t="inlineStr">
        <is>
          <t>avverkningsanmälan</t>
        </is>
      </c>
      <c r="C1770" t="inlineStr">
        <is>
          <t>Föryngringsavverkning</t>
        </is>
      </c>
      <c r="D1770" s="1" t="n">
        <v>45406</v>
      </c>
      <c r="E1770" s="1" t="n">
        <v>46326</v>
      </c>
      <c r="F1770" t="inlineStr">
        <is>
          <t>STOCKHOLMS LÄN</t>
        </is>
      </c>
      <c r="G1770" t="inlineStr">
        <is>
          <t>BOTKYRKA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27422-2026</t>
        </is>
      </c>
      <c r="B1771" t="inlineStr">
        <is>
          <t>avverkningsanmälan</t>
        </is>
      </c>
      <c r="C1771" t="inlineStr">
        <is>
          <t>Föryngringsavverkning</t>
        </is>
      </c>
      <c r="D1771" s="1" t="n">
        <v>46189</v>
      </c>
      <c r="E1771" s="1" t="n">
        <v>46326</v>
      </c>
      <c r="F1771" t="inlineStr">
        <is>
          <t>STOCKHOLMS LÄN</t>
        </is>
      </c>
      <c r="G1771" t="inlineStr">
        <is>
          <t>NORRTÄLJE</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55940-2023</t>
        </is>
      </c>
      <c r="B1772" t="inlineStr">
        <is>
          <t>avverkningsanmälan</t>
        </is>
      </c>
      <c r="C1772" t="inlineStr">
        <is>
          <t>Föryngringsavverkning</t>
        </is>
      </c>
      <c r="D1772" s="1" t="n">
        <v>45240</v>
      </c>
      <c r="E1772" s="1" t="n">
        <v>46326</v>
      </c>
      <c r="F1772" t="inlineStr">
        <is>
          <t>STOCKHOLMS LÄN</t>
        </is>
      </c>
      <c r="G1772" t="inlineStr">
        <is>
          <t>SÖDERTÄLJE</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28612-2026</t>
        </is>
      </c>
      <c r="B1773" t="inlineStr">
        <is>
          <t>avverkningsanmälan</t>
        </is>
      </c>
      <c r="C1773" t="inlineStr">
        <is>
          <t>Avverkning för annat ändamål</t>
        </is>
      </c>
      <c r="D1773" s="1" t="n">
        <v>46190</v>
      </c>
      <c r="E1773" s="1" t="n">
        <v>46326</v>
      </c>
      <c r="F1773" t="inlineStr">
        <is>
          <t>STOCKHOLMS LÄN</t>
        </is>
      </c>
      <c r="G1773" t="inlineStr">
        <is>
          <t>VAXHOLM</t>
        </is>
      </c>
      <c r="H1773" t="inlineStr">
        <is>
          <t>Övriga statliga verk och myndigheter</t>
        </is>
      </c>
      <c r="I1773" t="n">
        <v>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10553-2026</t>
        </is>
      </c>
      <c r="B1774" t="inlineStr">
        <is>
          <t>avverkningsanmälan</t>
        </is>
      </c>
      <c r="C1774" t="inlineStr">
        <is>
          <t>Föryngringsavverkning</t>
        </is>
      </c>
      <c r="D1774" s="1" t="n">
        <v>46077</v>
      </c>
      <c r="E1774" s="1" t="n">
        <v>46326</v>
      </c>
      <c r="F1774" t="inlineStr">
        <is>
          <t>STOCKHOLMS LÄN</t>
        </is>
      </c>
      <c r="G1774" t="inlineStr">
        <is>
          <t>NORRTÄLJE</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17991-2024</t>
        </is>
      </c>
      <c r="B1775" t="inlineStr">
        <is>
          <t>avverkningsanmälan</t>
        </is>
      </c>
      <c r="C1775" t="inlineStr">
        <is>
          <t>Föryngringsavverkning</t>
        </is>
      </c>
      <c r="D1775" s="1" t="n">
        <v>45419</v>
      </c>
      <c r="E1775" s="1" t="n">
        <v>46326</v>
      </c>
      <c r="F1775" t="inlineStr">
        <is>
          <t>STOCKHOLMS LÄN</t>
        </is>
      </c>
      <c r="G1775" t="inlineStr">
        <is>
          <t>NYNÄSHAMN</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27760-2026</t>
        </is>
      </c>
      <c r="B1776" t="inlineStr">
        <is>
          <t>avverkningsanmälan</t>
        </is>
      </c>
      <c r="C1776" t="inlineStr">
        <is>
          <t>Föryngringsavverkning</t>
        </is>
      </c>
      <c r="D1776" s="1" t="n">
        <v>46191</v>
      </c>
      <c r="E1776" s="1" t="n">
        <v>46326</v>
      </c>
      <c r="F1776" t="inlineStr">
        <is>
          <t>STOCKHOLMS LÄN</t>
        </is>
      </c>
      <c r="G1776" t="inlineStr">
        <is>
          <t>NORRTÄLJE</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27767-2026</t>
        </is>
      </c>
      <c r="B1777" t="inlineStr">
        <is>
          <t>avverkningsanmälan</t>
        </is>
      </c>
      <c r="C1777" t="inlineStr">
        <is>
          <t>Föryngringsavverkning</t>
        </is>
      </c>
      <c r="D1777" s="1" t="n">
        <v>46191</v>
      </c>
      <c r="E1777" s="1" t="n">
        <v>46326</v>
      </c>
      <c r="F1777" t="inlineStr">
        <is>
          <t>STOCKHOLMS LÄN</t>
        </is>
      </c>
      <c r="G1777" t="inlineStr">
        <is>
          <t>NORRTÄLJE</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4484-2025</t>
        </is>
      </c>
      <c r="B1778" t="inlineStr">
        <is>
          <t>avverkningsanmälan</t>
        </is>
      </c>
      <c r="C1778" t="inlineStr">
        <is>
          <t>Föryngringsavverkning</t>
        </is>
      </c>
      <c r="D1778" s="1" t="n">
        <v>45686</v>
      </c>
      <c r="E1778" s="1" t="n">
        <v>46326</v>
      </c>
      <c r="F1778" t="inlineStr">
        <is>
          <t>STOCKHOLMS LÄN</t>
        </is>
      </c>
      <c r="G1778" t="inlineStr">
        <is>
          <t>NORRTÄLJE</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33878-2024</t>
        </is>
      </c>
      <c r="B1779" t="inlineStr">
        <is>
          <t>avverkningsanmälan</t>
        </is>
      </c>
      <c r="C1779" t="inlineStr">
        <is>
          <t>Föryngringsavverkning</t>
        </is>
      </c>
      <c r="D1779" s="1" t="n">
        <v>45522</v>
      </c>
      <c r="E1779" s="1" t="n">
        <v>46326</v>
      </c>
      <c r="F1779" t="inlineStr">
        <is>
          <t>STOCKHOLMS LÄN</t>
        </is>
      </c>
      <c r="G1779" t="inlineStr">
        <is>
          <t>NORRTÄLJE</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27764-2026</t>
        </is>
      </c>
      <c r="B1780" t="inlineStr">
        <is>
          <t>avverkningsanmälan</t>
        </is>
      </c>
      <c r="C1780" t="inlineStr">
        <is>
          <t>Föryngringsavverkning</t>
        </is>
      </c>
      <c r="D1780" s="1" t="n">
        <v>46191</v>
      </c>
      <c r="E1780" s="1" t="n">
        <v>46326</v>
      </c>
      <c r="F1780" t="inlineStr">
        <is>
          <t>STOCKHOLMS LÄN</t>
        </is>
      </c>
      <c r="G1780" t="inlineStr">
        <is>
          <t>NORRTÄLJE</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3754-2026</t>
        </is>
      </c>
      <c r="B1781" t="inlineStr">
        <is>
          <t>avverkningsanmälan</t>
        </is>
      </c>
      <c r="C1781" t="inlineStr">
        <is>
          <t>Föryngringsavverkning</t>
        </is>
      </c>
      <c r="D1781" s="1" t="n">
        <v>46043</v>
      </c>
      <c r="E1781" s="1" t="n">
        <v>46326</v>
      </c>
      <c r="F1781" t="inlineStr">
        <is>
          <t>STOCKHOLMS LÄN</t>
        </is>
      </c>
      <c r="G1781" t="inlineStr">
        <is>
          <t>UPPLANDS-BRO</t>
        </is>
      </c>
      <c r="H1781" t="inlineStr">
        <is>
          <t>Övriga statliga verk och myndigheter</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12819-2026</t>
        </is>
      </c>
      <c r="B1782" t="inlineStr">
        <is>
          <t>avverkningsanmälan</t>
        </is>
      </c>
      <c r="C1782" t="inlineStr">
        <is>
          <t>Föryngringsavverkning</t>
        </is>
      </c>
      <c r="D1782" s="1" t="n">
        <v>46092</v>
      </c>
      <c r="E1782" s="1" t="n">
        <v>46326</v>
      </c>
      <c r="F1782" t="inlineStr">
        <is>
          <t>STOCKHOLMS LÄN</t>
        </is>
      </c>
      <c r="G1782" t="inlineStr">
        <is>
          <t>VALLENTUNA</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9246-2024</t>
        </is>
      </c>
      <c r="B1783" t="inlineStr">
        <is>
          <t>avverkningsanmälan</t>
        </is>
      </c>
      <c r="C1783" t="inlineStr">
        <is>
          <t>Avverkning för annat ändamål</t>
        </is>
      </c>
      <c r="D1783" s="1" t="n">
        <v>45357</v>
      </c>
      <c r="E1783" s="1" t="n">
        <v>46326</v>
      </c>
      <c r="F1783" t="inlineStr">
        <is>
          <t>STOCKHOLMS LÄN</t>
        </is>
      </c>
      <c r="G1783" t="inlineStr">
        <is>
          <t>NORRTÄLJE</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35698-2023</t>
        </is>
      </c>
      <c r="B1784" t="inlineStr">
        <is>
          <t>avverkningsanmälan</t>
        </is>
      </c>
      <c r="C1784" t="inlineStr">
        <is>
          <t>Föryngringsavverkning</t>
        </is>
      </c>
      <c r="D1784" s="1" t="n">
        <v>45147</v>
      </c>
      <c r="E1784" s="1" t="n">
        <v>46326</v>
      </c>
      <c r="F1784" t="inlineStr">
        <is>
          <t>STOCKHOLMS LÄN</t>
        </is>
      </c>
      <c r="G1784" t="inlineStr">
        <is>
          <t>NORRTÄLJE</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62398-2022</t>
        </is>
      </c>
      <c r="B1785" t="inlineStr">
        <is>
          <t>avverkningsanmälan</t>
        </is>
      </c>
      <c r="C1785" t="inlineStr">
        <is>
          <t>Föryngringsavverkning</t>
        </is>
      </c>
      <c r="D1785" s="1" t="n">
        <v>44923</v>
      </c>
      <c r="E1785" s="1" t="n">
        <v>46326</v>
      </c>
      <c r="F1785" t="inlineStr">
        <is>
          <t>STOCKHOLMS LÄN</t>
        </is>
      </c>
      <c r="G1785" t="inlineStr">
        <is>
          <t>NORRTÄLJE</t>
        </is>
      </c>
      <c r="I1785" t="n">
        <v>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49700-2023</t>
        </is>
      </c>
      <c r="B1786" t="inlineStr">
        <is>
          <t>avverkningsanmälan</t>
        </is>
      </c>
      <c r="C1786" t="inlineStr">
        <is>
          <t>Föryngringsavverkning</t>
        </is>
      </c>
      <c r="D1786" s="1" t="n">
        <v>45212</v>
      </c>
      <c r="E1786" s="1" t="n">
        <v>46326</v>
      </c>
      <c r="F1786" t="inlineStr">
        <is>
          <t>STOCKHOLMS LÄN</t>
        </is>
      </c>
      <c r="G1786" t="inlineStr">
        <is>
          <t>NORRTÄLJE</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57055-2024</t>
        </is>
      </c>
      <c r="B1787" t="inlineStr">
        <is>
          <t>avverkningsanmälan</t>
        </is>
      </c>
      <c r="C1787" t="inlineStr">
        <is>
          <t>Föryngringsavverkning</t>
        </is>
      </c>
      <c r="D1787" s="1" t="n">
        <v>45629</v>
      </c>
      <c r="E1787" s="1" t="n">
        <v>46326</v>
      </c>
      <c r="F1787" t="inlineStr">
        <is>
          <t>STOCKHOLMS LÄN</t>
        </is>
      </c>
      <c r="G1787" t="inlineStr">
        <is>
          <t>ÖSTERÅKER</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59379-2022</t>
        </is>
      </c>
      <c r="B1788" t="inlineStr">
        <is>
          <t>avverkningsanmälan</t>
        </is>
      </c>
      <c r="C1788" t="inlineStr">
        <is>
          <t>Föryngringsavverkning</t>
        </is>
      </c>
      <c r="D1788" s="1" t="n">
        <v>44905</v>
      </c>
      <c r="E1788" s="1" t="n">
        <v>46326</v>
      </c>
      <c r="F1788" t="inlineStr">
        <is>
          <t>STOCKHOLMS LÄN</t>
        </is>
      </c>
      <c r="G1788" t="inlineStr">
        <is>
          <t>ÖSTERÅKER</t>
        </is>
      </c>
      <c r="H1788" t="inlineStr">
        <is>
          <t>Kommuner</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32071-2023</t>
        </is>
      </c>
      <c r="B1789" t="inlineStr">
        <is>
          <t>avverkningsanmälan</t>
        </is>
      </c>
      <c r="C1789" t="inlineStr">
        <is>
          <t>Föryngringsavverkning</t>
        </is>
      </c>
      <c r="D1789" s="1" t="n">
        <v>45119</v>
      </c>
      <c r="E1789" s="1" t="n">
        <v>46326</v>
      </c>
      <c r="F1789" t="inlineStr">
        <is>
          <t>STOCKHOLMS LÄN</t>
        </is>
      </c>
      <c r="G1789" t="inlineStr">
        <is>
          <t>NORRTÄLJE</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1425-2025</t>
        </is>
      </c>
      <c r="B1790" t="inlineStr">
        <is>
          <t>avverkningsanmälan</t>
        </is>
      </c>
      <c r="C1790" t="inlineStr">
        <is>
          <t>Föryngringsavverkning</t>
        </is>
      </c>
      <c r="D1790" s="1" t="n">
        <v>45668</v>
      </c>
      <c r="E1790" s="1" t="n">
        <v>46326</v>
      </c>
      <c r="F1790" t="inlineStr">
        <is>
          <t>STOCKHOLMS LÄN</t>
        </is>
      </c>
      <c r="G1790" t="inlineStr">
        <is>
          <t>NORRTÄLJE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17775-2022</t>
        </is>
      </c>
      <c r="B1791" t="inlineStr">
        <is>
          <t>avverkningsanmälan</t>
        </is>
      </c>
      <c r="C1791" t="inlineStr">
        <is>
          <t>Föryngringsavverkning</t>
        </is>
      </c>
      <c r="D1791" s="1" t="n">
        <v>44682</v>
      </c>
      <c r="E1791" s="1" t="n">
        <v>46326</v>
      </c>
      <c r="F1791" t="inlineStr">
        <is>
          <t>STOCKHOLMS LÄN</t>
        </is>
      </c>
      <c r="G1791" t="inlineStr">
        <is>
          <t>NORRTÄLJE</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28097-2026</t>
        </is>
      </c>
      <c r="B1792" t="inlineStr">
        <is>
          <t>avverkningsanmälan</t>
        </is>
      </c>
      <c r="C1792" t="inlineStr">
        <is>
          <t>Föryngringsavverkning</t>
        </is>
      </c>
      <c r="D1792" s="1" t="n">
        <v>46195</v>
      </c>
      <c r="E1792" s="1" t="n">
        <v>46326</v>
      </c>
      <c r="F1792" t="inlineStr">
        <is>
          <t>STOCKHOLMS LÄN</t>
        </is>
      </c>
      <c r="G1792" t="inlineStr">
        <is>
          <t>NORRTÄLJE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46688-2022</t>
        </is>
      </c>
      <c r="B1793" t="inlineStr">
        <is>
          <t>avverkningsanmälan</t>
        </is>
      </c>
      <c r="C1793" t="inlineStr">
        <is>
          <t>Föryngringsavverkning</t>
        </is>
      </c>
      <c r="D1793" s="1" t="n">
        <v>44851</v>
      </c>
      <c r="E1793" s="1" t="n">
        <v>46326</v>
      </c>
      <c r="F1793" t="inlineStr">
        <is>
          <t>STOCKHOLMS LÄN</t>
        </is>
      </c>
      <c r="G1793" t="inlineStr">
        <is>
          <t>ÖSTERÅKER</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38720-2022</t>
        </is>
      </c>
      <c r="B1794" t="inlineStr">
        <is>
          <t>avverkningsanmälan</t>
        </is>
      </c>
      <c r="C1794" t="inlineStr">
        <is>
          <t>Föryngringsavverkning</t>
        </is>
      </c>
      <c r="D1794" s="1" t="n">
        <v>44815</v>
      </c>
      <c r="E1794" s="1" t="n">
        <v>46326</v>
      </c>
      <c r="F1794" t="inlineStr">
        <is>
          <t>STOCKHOLMS LÄN</t>
        </is>
      </c>
      <c r="G1794" t="inlineStr">
        <is>
          <t>NORRTÄLJE</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10215-2023</t>
        </is>
      </c>
      <c r="B1795" t="inlineStr">
        <is>
          <t>avverkningsanmälan</t>
        </is>
      </c>
      <c r="C1795" t="inlineStr">
        <is>
          <t>Föryngringsavverkning</t>
        </is>
      </c>
      <c r="D1795" s="1" t="n">
        <v>44986</v>
      </c>
      <c r="E1795" s="1" t="n">
        <v>46326</v>
      </c>
      <c r="F1795" t="inlineStr">
        <is>
          <t>STOCKHOLMS LÄN</t>
        </is>
      </c>
      <c r="G1795" t="inlineStr">
        <is>
          <t>NORRTÄLJE</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43700-2023</t>
        </is>
      </c>
      <c r="B1796" t="inlineStr">
        <is>
          <t>avverkningsanmälan</t>
        </is>
      </c>
      <c r="C1796" t="inlineStr">
        <is>
          <t>Föryngringsavverkning</t>
        </is>
      </c>
      <c r="D1796" s="1" t="n">
        <v>45187</v>
      </c>
      <c r="E1796" s="1" t="n">
        <v>46326</v>
      </c>
      <c r="F1796" t="inlineStr">
        <is>
          <t>STOCKHOLMS LÄN</t>
        </is>
      </c>
      <c r="G1796" t="inlineStr">
        <is>
          <t>SIGTUNA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25609-2023</t>
        </is>
      </c>
      <c r="B1797" t="inlineStr">
        <is>
          <t>avverkningsanmälan</t>
        </is>
      </c>
      <c r="C1797" t="inlineStr">
        <is>
          <t>Föryngringsavverkning</t>
        </is>
      </c>
      <c r="D1797" s="1" t="n">
        <v>45089</v>
      </c>
      <c r="E1797" s="1" t="n">
        <v>46326</v>
      </c>
      <c r="F1797" t="inlineStr">
        <is>
          <t>STOCKHOLMS LÄN</t>
        </is>
      </c>
      <c r="G1797" t="inlineStr">
        <is>
          <t>NORRTÄLJE</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28175-2026</t>
        </is>
      </c>
      <c r="B1798" t="inlineStr">
        <is>
          <t>avverkningsanmälan</t>
        </is>
      </c>
      <c r="C1798" t="inlineStr">
        <is>
          <t>Avverkning för annat ändamål</t>
        </is>
      </c>
      <c r="D1798" s="1" t="n">
        <v>46195</v>
      </c>
      <c r="E1798" s="1" t="n">
        <v>46326</v>
      </c>
      <c r="F1798" t="inlineStr">
        <is>
          <t>STOCKHOLMS LÄN</t>
        </is>
      </c>
      <c r="G1798" t="inlineStr">
        <is>
          <t>SÖDERTÄLJE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28735-2026</t>
        </is>
      </c>
      <c r="B1799" t="inlineStr">
        <is>
          <t>avverkningsanmälan</t>
        </is>
      </c>
      <c r="C1799" t="inlineStr">
        <is>
          <t>Föryngringsavverkning</t>
        </is>
      </c>
      <c r="D1799" s="1" t="n">
        <v>46198</v>
      </c>
      <c r="E1799" s="1" t="n">
        <v>46326</v>
      </c>
      <c r="F1799" t="inlineStr">
        <is>
          <t>STOCKHOLMS LÄN</t>
        </is>
      </c>
      <c r="G1799" t="inlineStr">
        <is>
          <t>UPPLANDS-BRO</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28403-2026</t>
        </is>
      </c>
      <c r="B1800" t="inlineStr">
        <is>
          <t>avverkningsanmälan</t>
        </is>
      </c>
      <c r="C1800" t="inlineStr">
        <is>
          <t>Föryngringsavverkning</t>
        </is>
      </c>
      <c r="D1800" s="1" t="n">
        <v>46197</v>
      </c>
      <c r="E1800" s="1" t="n">
        <v>46326</v>
      </c>
      <c r="F1800" t="inlineStr">
        <is>
          <t>STOCKHOLMS LÄN</t>
        </is>
      </c>
      <c r="G1800" t="inlineStr">
        <is>
          <t>NORRTÄLJE</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28465-2026</t>
        </is>
      </c>
      <c r="B1801" t="inlineStr">
        <is>
          <t>avverkningsanmälan</t>
        </is>
      </c>
      <c r="C1801" t="inlineStr">
        <is>
          <t>Föryngringsavverkning</t>
        </is>
      </c>
      <c r="D1801" s="1" t="n">
        <v>46197</v>
      </c>
      <c r="E1801" s="1" t="n">
        <v>46326</v>
      </c>
      <c r="F1801" t="inlineStr">
        <is>
          <t>STOCKHOLMS LÄN</t>
        </is>
      </c>
      <c r="G1801" t="inlineStr">
        <is>
          <t>NORRTÄLJE</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2287-2024</t>
        </is>
      </c>
      <c r="B1802" t="inlineStr">
        <is>
          <t>avverkningsanmälan</t>
        </is>
      </c>
      <c r="C1802" t="inlineStr">
        <is>
          <t>Föryngringsavverkning</t>
        </is>
      </c>
      <c r="D1802" s="1" t="n">
        <v>45310</v>
      </c>
      <c r="E1802" s="1" t="n">
        <v>46326</v>
      </c>
      <c r="F1802" t="inlineStr">
        <is>
          <t>STOCKHOLMS LÄN</t>
        </is>
      </c>
      <c r="G1802" t="inlineStr">
        <is>
          <t>NORRTÄLJE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28740-2026</t>
        </is>
      </c>
      <c r="B1803" t="inlineStr">
        <is>
          <t>avverkningsanmälan</t>
        </is>
      </c>
      <c r="C1803" t="inlineStr">
        <is>
          <t>Föryngringsavverkning</t>
        </is>
      </c>
      <c r="D1803" s="1" t="n">
        <v>46198</v>
      </c>
      <c r="E1803" s="1" t="n">
        <v>46326</v>
      </c>
      <c r="F1803" t="inlineStr">
        <is>
          <t>STOCKHOLMS LÄN</t>
        </is>
      </c>
      <c r="G1803" t="inlineStr">
        <is>
          <t>UPPLANDS-BRO</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50469-2022</t>
        </is>
      </c>
      <c r="B1804" t="inlineStr">
        <is>
          <t>avverkningsanmälan</t>
        </is>
      </c>
      <c r="C1804" t="inlineStr">
        <is>
          <t>Föryngringsavverkning</t>
        </is>
      </c>
      <c r="D1804" s="1" t="n">
        <v>44866</v>
      </c>
      <c r="E1804" s="1" t="n">
        <v>46326</v>
      </c>
      <c r="F1804" t="inlineStr">
        <is>
          <t>STOCKHOLMS LÄN</t>
        </is>
      </c>
      <c r="G1804" t="inlineStr">
        <is>
          <t>NORRTÄLJE</t>
        </is>
      </c>
      <c r="I1804" t="n">
        <v>8.199999999999999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51116-2022</t>
        </is>
      </c>
      <c r="B1805" t="inlineStr">
        <is>
          <t>avverkningsanmälan</t>
        </is>
      </c>
      <c r="C1805" t="inlineStr">
        <is>
          <t>Föryngringsavverkning</t>
        </is>
      </c>
      <c r="D1805" s="1" t="n">
        <v>44868</v>
      </c>
      <c r="E1805" s="1" t="n">
        <v>46326</v>
      </c>
      <c r="F1805" t="inlineStr">
        <is>
          <t>STOCKHOLMS LÄN</t>
        </is>
      </c>
      <c r="G1805" t="inlineStr">
        <is>
          <t>NORRTÄLJE</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28404-2026</t>
        </is>
      </c>
      <c r="B1806" t="inlineStr">
        <is>
          <t>avverkningsanmälan</t>
        </is>
      </c>
      <c r="C1806" t="inlineStr">
        <is>
          <t>Föryngringsavverkning</t>
        </is>
      </c>
      <c r="D1806" s="1" t="n">
        <v>46197</v>
      </c>
      <c r="E1806" s="1" t="n">
        <v>46326</v>
      </c>
      <c r="F1806" t="inlineStr">
        <is>
          <t>STOCKHOLMS LÄN</t>
        </is>
      </c>
      <c r="G1806" t="inlineStr">
        <is>
          <t>NORRTÄLJE</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28797-2026</t>
        </is>
      </c>
      <c r="B1807" t="inlineStr">
        <is>
          <t>avverkningsanmälan</t>
        </is>
      </c>
      <c r="C1807" t="inlineStr">
        <is>
          <t>Föryngringsavverkning</t>
        </is>
      </c>
      <c r="D1807" s="1" t="n">
        <v>46198</v>
      </c>
      <c r="E1807" s="1" t="n">
        <v>46326</v>
      </c>
      <c r="F1807" t="inlineStr">
        <is>
          <t>STOCKHOLMS LÄN</t>
        </is>
      </c>
      <c r="G1807" t="inlineStr">
        <is>
          <t>UPPLANDS-BRO</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16793-2023</t>
        </is>
      </c>
      <c r="B1808" t="inlineStr">
        <is>
          <t>avverkningsanmälan</t>
        </is>
      </c>
      <c r="C1808" t="inlineStr">
        <is>
          <t>Föryngringsavverkning</t>
        </is>
      </c>
      <c r="D1808" s="1" t="n">
        <v>45028</v>
      </c>
      <c r="E1808" s="1" t="n">
        <v>46326</v>
      </c>
      <c r="F1808" t="inlineStr">
        <is>
          <t>STOCKHOLMS LÄN</t>
        </is>
      </c>
      <c r="G1808" t="inlineStr">
        <is>
          <t>NYNÄSHAMN</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5839-2023</t>
        </is>
      </c>
      <c r="B1809" t="inlineStr">
        <is>
          <t>avverkningsanmälan</t>
        </is>
      </c>
      <c r="C1809" t="inlineStr">
        <is>
          <t>Föryngringsavverkning</t>
        </is>
      </c>
      <c r="D1809" s="1" t="n">
        <v>44963</v>
      </c>
      <c r="E1809" s="1" t="n">
        <v>46326</v>
      </c>
      <c r="F1809" t="inlineStr">
        <is>
          <t>STOCKHOLMS LÄN</t>
        </is>
      </c>
      <c r="G1809" t="inlineStr">
        <is>
          <t>NORRTÄLJE</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51931-2023</t>
        </is>
      </c>
      <c r="B1810" t="inlineStr">
        <is>
          <t>avverkningsanmälan</t>
        </is>
      </c>
      <c r="C1810" t="inlineStr">
        <is>
          <t>Föryngringsavverkning</t>
        </is>
      </c>
      <c r="D1810" s="1" t="n">
        <v>45216</v>
      </c>
      <c r="E1810" s="1" t="n">
        <v>46326</v>
      </c>
      <c r="F1810" t="inlineStr">
        <is>
          <t>STOCKHOLMS LÄN</t>
        </is>
      </c>
      <c r="G1810" t="inlineStr">
        <is>
          <t>SÖDERTÄLJE</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34194-2024</t>
        </is>
      </c>
      <c r="B1811" t="inlineStr">
        <is>
          <t>avverkningsanmälan</t>
        </is>
      </c>
      <c r="C1811" t="inlineStr">
        <is>
          <t>Föryngringsavverkning</t>
        </is>
      </c>
      <c r="D1811" s="1" t="n">
        <v>45524</v>
      </c>
      <c r="E1811" s="1" t="n">
        <v>46326</v>
      </c>
      <c r="F1811" t="inlineStr">
        <is>
          <t>STOCKHOLMS LÄN</t>
        </is>
      </c>
      <c r="G1811" t="inlineStr">
        <is>
          <t>SÖDERTÄLJE</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9533-2024</t>
        </is>
      </c>
      <c r="B1812" t="inlineStr">
        <is>
          <t>avverkningsanmälan</t>
        </is>
      </c>
      <c r="C1812" t="inlineStr">
        <is>
          <t>Föryngringsavverkning</t>
        </is>
      </c>
      <c r="D1812" s="1" t="n">
        <v>45359</v>
      </c>
      <c r="E1812" s="1" t="n">
        <v>46326</v>
      </c>
      <c r="F1812" t="inlineStr">
        <is>
          <t>STOCKHOLMS LÄN</t>
        </is>
      </c>
      <c r="G1812" t="inlineStr">
        <is>
          <t>SALEM</t>
        </is>
      </c>
      <c r="H1812" t="inlineStr">
        <is>
          <t>Kommuner</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16738-2022</t>
        </is>
      </c>
      <c r="B1813" t="inlineStr">
        <is>
          <t>avverkningsanmälan</t>
        </is>
      </c>
      <c r="C1813" t="inlineStr">
        <is>
          <t>Avverkning för annat ändamål</t>
        </is>
      </c>
      <c r="D1813" s="1" t="n">
        <v>44673</v>
      </c>
      <c r="E1813" s="1" t="n">
        <v>46326</v>
      </c>
      <c r="F1813" t="inlineStr">
        <is>
          <t>STOCKHOLMS LÄN</t>
        </is>
      </c>
      <c r="G1813" t="inlineStr">
        <is>
          <t>ÖSTERÅKER</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56796-2022</t>
        </is>
      </c>
      <c r="B1814" t="inlineStr">
        <is>
          <t>avverkningsanmälan</t>
        </is>
      </c>
      <c r="C1814" t="inlineStr">
        <is>
          <t>Föryngringsavverkning</t>
        </is>
      </c>
      <c r="D1814" s="1" t="n">
        <v>44894</v>
      </c>
      <c r="E1814" s="1" t="n">
        <v>46326</v>
      </c>
      <c r="F1814" t="inlineStr">
        <is>
          <t>STOCKHOLMS LÄN</t>
        </is>
      </c>
      <c r="G1814" t="inlineStr">
        <is>
          <t>SIGTUNA</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36181-2022</t>
        </is>
      </c>
      <c r="B1815" t="inlineStr">
        <is>
          <t>avverkningsanmälan</t>
        </is>
      </c>
      <c r="C1815" t="inlineStr">
        <is>
          <t>Föryngringsavverkning</t>
        </is>
      </c>
      <c r="D1815" s="1" t="n">
        <v>44803</v>
      </c>
      <c r="E1815" s="1" t="n">
        <v>46326</v>
      </c>
      <c r="F1815" t="inlineStr">
        <is>
          <t>STOCKHOLMS LÄN</t>
        </is>
      </c>
      <c r="G1815" t="inlineStr">
        <is>
          <t>SIGTUNA</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52729-2025</t>
        </is>
      </c>
      <c r="B1816" t="inlineStr">
        <is>
          <t>avverkningsanmälan</t>
        </is>
      </c>
      <c r="C1816" t="inlineStr">
        <is>
          <t>Föryngringsavverkning</t>
        </is>
      </c>
      <c r="D1816" s="1" t="n">
        <v>45957</v>
      </c>
      <c r="E1816" s="1" t="n">
        <v>46326</v>
      </c>
      <c r="F1816" t="inlineStr">
        <is>
          <t>STOCKHOLMS LÄN</t>
        </is>
      </c>
      <c r="G1816" t="inlineStr">
        <is>
          <t>NORRTÄLJE</t>
        </is>
      </c>
      <c r="H1816" t="inlineStr">
        <is>
          <t>Sveaskog</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38985-2022</t>
        </is>
      </c>
      <c r="B1817" t="inlineStr">
        <is>
          <t>avverkningsanmälan</t>
        </is>
      </c>
      <c r="C1817" t="inlineStr">
        <is>
          <t>Föryngringsavverkning</t>
        </is>
      </c>
      <c r="D1817" s="1" t="n">
        <v>44816</v>
      </c>
      <c r="E1817" s="1" t="n">
        <v>46326</v>
      </c>
      <c r="F1817" t="inlineStr">
        <is>
          <t>STOCKHOLMS LÄN</t>
        </is>
      </c>
      <c r="G1817" t="inlineStr">
        <is>
          <t>NORRTÄLJE</t>
        </is>
      </c>
      <c r="I1817" t="n">
        <v>10.1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4440-2023</t>
        </is>
      </c>
      <c r="B1818" t="inlineStr">
        <is>
          <t>avverkningsanmälan</t>
        </is>
      </c>
      <c r="C1818" t="inlineStr">
        <is>
          <t>Föryngringsavverkning</t>
        </is>
      </c>
      <c r="D1818" s="1" t="n">
        <v>44956</v>
      </c>
      <c r="E1818" s="1" t="n">
        <v>46326</v>
      </c>
      <c r="F1818" t="inlineStr">
        <is>
          <t>STOCKHOLMS LÄN</t>
        </is>
      </c>
      <c r="G1818" t="inlineStr">
        <is>
          <t>SÖDERTÄLJE</t>
        </is>
      </c>
      <c r="I1818" t="n">
        <v>18.4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5665-2025</t>
        </is>
      </c>
      <c r="B1819" t="inlineStr">
        <is>
          <t>avverkningsanmälan</t>
        </is>
      </c>
      <c r="C1819" t="inlineStr">
        <is>
          <t>Föryngringsavverkning</t>
        </is>
      </c>
      <c r="D1819" s="1" t="n">
        <v>45693</v>
      </c>
      <c r="E1819" s="1" t="n">
        <v>46326</v>
      </c>
      <c r="F1819" t="inlineStr">
        <is>
          <t>STOCKHOLMS LÄN</t>
        </is>
      </c>
      <c r="G1819" t="inlineStr">
        <is>
          <t>NORRTÄLJE</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29330-2026</t>
        </is>
      </c>
      <c r="B1820" t="inlineStr">
        <is>
          <t>avverkningsanmälan</t>
        </is>
      </c>
      <c r="C1820" t="inlineStr">
        <is>
          <t>Föryngringsavverkning</t>
        </is>
      </c>
      <c r="D1820" s="1" t="n">
        <v>46202</v>
      </c>
      <c r="E1820" s="1" t="n">
        <v>46326</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29443-2026</t>
        </is>
      </c>
      <c r="B1821" t="inlineStr">
        <is>
          <t>avverkningsanmälan</t>
        </is>
      </c>
      <c r="C1821" t="inlineStr">
        <is>
          <t>Föryngringsavverkning</t>
        </is>
      </c>
      <c r="D1821" s="1" t="n">
        <v>46203</v>
      </c>
      <c r="E1821" s="1" t="n">
        <v>46326</v>
      </c>
      <c r="F1821" t="inlineStr">
        <is>
          <t>STOCKHOLMS LÄN</t>
        </is>
      </c>
      <c r="G1821" t="inlineStr">
        <is>
          <t>ÖSTERÅKER</t>
        </is>
      </c>
      <c r="I1821" t="n">
        <v>13.8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6854-2022</t>
        </is>
      </c>
      <c r="B1822" t="inlineStr">
        <is>
          <t>avverkningsanmälan</t>
        </is>
      </c>
      <c r="C1822" t="inlineStr">
        <is>
          <t>Föryngringsavverkning</t>
        </is>
      </c>
      <c r="D1822" s="1" t="n">
        <v>44602</v>
      </c>
      <c r="E1822" s="1" t="n">
        <v>46326</v>
      </c>
      <c r="F1822" t="inlineStr">
        <is>
          <t>STOCKHOLMS LÄN</t>
        </is>
      </c>
      <c r="G1822" t="inlineStr">
        <is>
          <t>NYKVARN</t>
        </is>
      </c>
      <c r="H1822" t="inlineStr">
        <is>
          <t>Kommuner</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29381-2026</t>
        </is>
      </c>
      <c r="B1823" t="inlineStr">
        <is>
          <t>avverkningsanmälan</t>
        </is>
      </c>
      <c r="C1823" t="inlineStr">
        <is>
          <t>Föryngringsavverkning</t>
        </is>
      </c>
      <c r="D1823" s="1" t="n">
        <v>46203</v>
      </c>
      <c r="E1823" s="1" t="n">
        <v>46326</v>
      </c>
      <c r="F1823" t="inlineStr">
        <is>
          <t>STOCKHOLMS LÄN</t>
        </is>
      </c>
      <c r="G1823" t="inlineStr">
        <is>
          <t>NORRTÄLJE</t>
        </is>
      </c>
      <c r="I1823" t="n">
        <v>5.3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22683-2023</t>
        </is>
      </c>
      <c r="B1824" t="inlineStr">
        <is>
          <t>avverkningsanmälan</t>
        </is>
      </c>
      <c r="C1824" t="inlineStr">
        <is>
          <t>Föryngringsavverkning</t>
        </is>
      </c>
      <c r="D1824" s="1" t="n">
        <v>45071</v>
      </c>
      <c r="E1824" s="1" t="n">
        <v>46326</v>
      </c>
      <c r="F1824" t="inlineStr">
        <is>
          <t>STOCKHOLMS LÄN</t>
        </is>
      </c>
      <c r="G1824" t="inlineStr">
        <is>
          <t>VALLENTUNA</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40761-2024</t>
        </is>
      </c>
      <c r="B1825" t="inlineStr">
        <is>
          <t>avverkningsanmälan</t>
        </is>
      </c>
      <c r="C1825" t="inlineStr">
        <is>
          <t>Föryngringsavverkning</t>
        </is>
      </c>
      <c r="D1825" s="1" t="n">
        <v>45558</v>
      </c>
      <c r="E1825" s="1" t="n">
        <v>46326</v>
      </c>
      <c r="F1825" t="inlineStr">
        <is>
          <t>STOCKHOLMS LÄN</t>
        </is>
      </c>
      <c r="G1825" t="inlineStr">
        <is>
          <t>NORRTÄLJE</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1759-2025</t>
        </is>
      </c>
      <c r="B1826" t="inlineStr">
        <is>
          <t>avverkningsanmälan</t>
        </is>
      </c>
      <c r="C1826" t="inlineStr">
        <is>
          <t>Föryngringsavverkning</t>
        </is>
      </c>
      <c r="D1826" s="1" t="n">
        <v>45671</v>
      </c>
      <c r="E1826" s="1" t="n">
        <v>46326</v>
      </c>
      <c r="F1826" t="inlineStr">
        <is>
          <t>STOCKHOLMS LÄN</t>
        </is>
      </c>
      <c r="G1826" t="inlineStr">
        <is>
          <t>SÖDERTÄLJE</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29396-2026</t>
        </is>
      </c>
      <c r="B1827" t="inlineStr">
        <is>
          <t>avverkningsanmälan</t>
        </is>
      </c>
      <c r="C1827" t="inlineStr">
        <is>
          <t>Föryngringsavverkning</t>
        </is>
      </c>
      <c r="D1827" s="1" t="n">
        <v>46203</v>
      </c>
      <c r="E1827" s="1" t="n">
        <v>46326</v>
      </c>
      <c r="F1827" t="inlineStr">
        <is>
          <t>STOCKHOLMS LÄN</t>
        </is>
      </c>
      <c r="G1827" t="inlineStr">
        <is>
          <t>NORRTÄLJE</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29738-2026</t>
        </is>
      </c>
      <c r="B1828" t="inlineStr">
        <is>
          <t>avverkningsanmälan</t>
        </is>
      </c>
      <c r="C1828" t="inlineStr">
        <is>
          <t>Föryngringsavverkning</t>
        </is>
      </c>
      <c r="D1828" s="1" t="n">
        <v>46204</v>
      </c>
      <c r="E1828" s="1" t="n">
        <v>46326</v>
      </c>
      <c r="F1828" t="inlineStr">
        <is>
          <t>STOCKHOLMS LÄN</t>
        </is>
      </c>
      <c r="G1828" t="inlineStr">
        <is>
          <t>NORRTÄLJE</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29557-2026</t>
        </is>
      </c>
      <c r="B1829" t="inlineStr">
        <is>
          <t>avverkningsanmälan</t>
        </is>
      </c>
      <c r="C1829" t="inlineStr">
        <is>
          <t>Föryngringsavverkning</t>
        </is>
      </c>
      <c r="D1829" s="1" t="n">
        <v>46204</v>
      </c>
      <c r="E1829" s="1" t="n">
        <v>46326</v>
      </c>
      <c r="F1829" t="inlineStr">
        <is>
          <t>STOCKHOLMS LÄN</t>
        </is>
      </c>
      <c r="G1829" t="inlineStr">
        <is>
          <t>NORRTÄLJE</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4553-2023</t>
        </is>
      </c>
      <c r="B1830" t="inlineStr">
        <is>
          <t>avverkningsanmälan</t>
        </is>
      </c>
      <c r="C1830" t="inlineStr">
        <is>
          <t>Föryngringsavverkning</t>
        </is>
      </c>
      <c r="D1830" s="1" t="n">
        <v>44956</v>
      </c>
      <c r="E1830" s="1" t="n">
        <v>46326</v>
      </c>
      <c r="F1830" t="inlineStr">
        <is>
          <t>STOCKHOLMS LÄN</t>
        </is>
      </c>
      <c r="G1830" t="inlineStr">
        <is>
          <t>NORRTÄLJE</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4593-2023</t>
        </is>
      </c>
      <c r="B1831" t="inlineStr">
        <is>
          <t>avverkningsanmälan</t>
        </is>
      </c>
      <c r="C1831" t="inlineStr">
        <is>
          <t>Avverkning för annat ändamål</t>
        </is>
      </c>
      <c r="D1831" s="1" t="n">
        <v>44956</v>
      </c>
      <c r="E1831" s="1" t="n">
        <v>46326</v>
      </c>
      <c r="F1831" t="inlineStr">
        <is>
          <t>STOCKHOLMS LÄN</t>
        </is>
      </c>
      <c r="G1831" t="inlineStr">
        <is>
          <t>NORRTÄLJE</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12032-2026</t>
        </is>
      </c>
      <c r="B1832" t="inlineStr">
        <is>
          <t>avverkningsanmälan</t>
        </is>
      </c>
      <c r="C1832" t="inlineStr">
        <is>
          <t>Avverkning för annat ändamål</t>
        </is>
      </c>
      <c r="D1832" s="1" t="n">
        <v>46085</v>
      </c>
      <c r="E1832" s="1" t="n">
        <v>46326</v>
      </c>
      <c r="F1832" t="inlineStr">
        <is>
          <t>STOCKHOLMS LÄN</t>
        </is>
      </c>
      <c r="G1832" t="inlineStr">
        <is>
          <t>NYNÄSHAMN</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30107-2026</t>
        </is>
      </c>
      <c r="B1833" t="inlineStr">
        <is>
          <t>avverkningsanmälan</t>
        </is>
      </c>
      <c r="C1833" t="inlineStr">
        <is>
          <t>Föryngringsavverkning</t>
        </is>
      </c>
      <c r="D1833" s="1" t="n">
        <v>46206</v>
      </c>
      <c r="E1833" s="1" t="n">
        <v>46326</v>
      </c>
      <c r="F1833" t="inlineStr">
        <is>
          <t>STOCKHOLMS LÄN</t>
        </is>
      </c>
      <c r="G1833" t="inlineStr">
        <is>
          <t>NORRTÄLJE</t>
        </is>
      </c>
      <c r="I1833" t="n">
        <v>6.8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10224-2023</t>
        </is>
      </c>
      <c r="B1834" t="inlineStr">
        <is>
          <t>avverkningsanmälan</t>
        </is>
      </c>
      <c r="C1834" t="inlineStr">
        <is>
          <t>Föryngringsavverkning</t>
        </is>
      </c>
      <c r="D1834" s="1" t="n">
        <v>44986</v>
      </c>
      <c r="E1834" s="1" t="n">
        <v>46326</v>
      </c>
      <c r="F1834" t="inlineStr">
        <is>
          <t>STOCKHOLMS LÄN</t>
        </is>
      </c>
      <c r="G1834" t="inlineStr">
        <is>
          <t>NYNÄSHAMN</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34926-2022</t>
        </is>
      </c>
      <c r="B1835" t="inlineStr">
        <is>
          <t>avverkningsanmälan</t>
        </is>
      </c>
      <c r="C1835" t="inlineStr">
        <is>
          <t>Föryngringsavverkning</t>
        </is>
      </c>
      <c r="D1835" s="1" t="n">
        <v>44796</v>
      </c>
      <c r="E1835" s="1" t="n">
        <v>46326</v>
      </c>
      <c r="F1835" t="inlineStr">
        <is>
          <t>STOCKHOLMS LÄN</t>
        </is>
      </c>
      <c r="G1835" t="inlineStr">
        <is>
          <t>VAXHOLM</t>
        </is>
      </c>
      <c r="H1835" t="inlineStr">
        <is>
          <t>Övriga statliga verk och myndigheter</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18092-2022</t>
        </is>
      </c>
      <c r="B1836" t="inlineStr">
        <is>
          <t>avverkningsanmälan</t>
        </is>
      </c>
      <c r="C1836" t="inlineStr">
        <is>
          <t>Föryngringsavverkning</t>
        </is>
      </c>
      <c r="D1836" s="1" t="n">
        <v>44684</v>
      </c>
      <c r="E1836" s="1" t="n">
        <v>46326</v>
      </c>
      <c r="F1836" t="inlineStr">
        <is>
          <t>STOCKHOLMS LÄN</t>
        </is>
      </c>
      <c r="G1836" t="inlineStr">
        <is>
          <t>NORRTÄLJE</t>
        </is>
      </c>
      <c r="I1836" t="n">
        <v>9.199999999999999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59310-2023</t>
        </is>
      </c>
      <c r="B1837" t="inlineStr">
        <is>
          <t>avverkningsanmälan</t>
        </is>
      </c>
      <c r="C1837" t="inlineStr">
        <is>
          <t>Föryngringsavverkning</t>
        </is>
      </c>
      <c r="D1837" s="1" t="n">
        <v>45253</v>
      </c>
      <c r="E1837" s="1" t="n">
        <v>46326</v>
      </c>
      <c r="F1837" t="inlineStr">
        <is>
          <t>STOCKHOLMS LÄN</t>
        </is>
      </c>
      <c r="G1837" t="inlineStr">
        <is>
          <t>NORRTÄLJE</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9329-2023</t>
        </is>
      </c>
      <c r="B1838" t="inlineStr">
        <is>
          <t>avverkningsanmälan</t>
        </is>
      </c>
      <c r="C1838" t="inlineStr">
        <is>
          <t>Föryngringsavverkning</t>
        </is>
      </c>
      <c r="D1838" s="1" t="n">
        <v>44980</v>
      </c>
      <c r="E1838" s="1" t="n">
        <v>46326</v>
      </c>
      <c r="F1838" t="inlineStr">
        <is>
          <t>STOCKHOLMS LÄN</t>
        </is>
      </c>
      <c r="G1838" t="inlineStr">
        <is>
          <t>NORRTÄLJE</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41335-2023</t>
        </is>
      </c>
      <c r="B1839" t="inlineStr">
        <is>
          <t>avverkningsanmälan</t>
        </is>
      </c>
      <c r="C1839" t="inlineStr">
        <is>
          <t>Föryngringsavverkning</t>
        </is>
      </c>
      <c r="D1839" s="1" t="n">
        <v>45174</v>
      </c>
      <c r="E1839" s="1" t="n">
        <v>46326</v>
      </c>
      <c r="F1839" t="inlineStr">
        <is>
          <t>STOCKHOLMS LÄN</t>
        </is>
      </c>
      <c r="G1839" t="inlineStr">
        <is>
          <t>NORRTÄLJE</t>
        </is>
      </c>
      <c r="H1839" t="inlineStr">
        <is>
          <t>Holmen skog AB</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17196-2022</t>
        </is>
      </c>
      <c r="B1840" t="inlineStr">
        <is>
          <t>avverkningsanmälan</t>
        </is>
      </c>
      <c r="C1840" t="inlineStr">
        <is>
          <t>Föryngringsavverkning</t>
        </is>
      </c>
      <c r="D1840" s="1" t="n">
        <v>44677</v>
      </c>
      <c r="E1840" s="1" t="n">
        <v>46326</v>
      </c>
      <c r="F1840" t="inlineStr">
        <is>
          <t>STOCKHOLMS LÄN</t>
        </is>
      </c>
      <c r="G1840" t="inlineStr">
        <is>
          <t>ÖSTERÅKER</t>
        </is>
      </c>
      <c r="I1840" t="n">
        <v>5.9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17411-2023</t>
        </is>
      </c>
      <c r="B1841" t="inlineStr">
        <is>
          <t>avverkningsanmälan</t>
        </is>
      </c>
      <c r="C1841" t="inlineStr">
        <is>
          <t>Föryngringsavverkning</t>
        </is>
      </c>
      <c r="D1841" s="1" t="n">
        <v>45035</v>
      </c>
      <c r="E1841" s="1" t="n">
        <v>46326</v>
      </c>
      <c r="F1841" t="inlineStr">
        <is>
          <t>STOCKHOLMS LÄN</t>
        </is>
      </c>
      <c r="G1841" t="inlineStr">
        <is>
          <t>VALLENTUNA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30325-2026</t>
        </is>
      </c>
      <c r="B1842" t="inlineStr">
        <is>
          <t>avverkningsanmälan</t>
        </is>
      </c>
      <c r="C1842" t="inlineStr">
        <is>
          <t>Föryngringsavverkning</t>
        </is>
      </c>
      <c r="D1842" s="1" t="n">
        <v>46207</v>
      </c>
      <c r="E1842" s="1" t="n">
        <v>46326</v>
      </c>
      <c r="F1842" t="inlineStr">
        <is>
          <t>STOCKHOLMS LÄN</t>
        </is>
      </c>
      <c r="G1842" t="inlineStr">
        <is>
          <t>NORRTÄLJE</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54259-2023</t>
        </is>
      </c>
      <c r="B1843" t="inlineStr">
        <is>
          <t>avverkningsanmälan</t>
        </is>
      </c>
      <c r="C1843" t="inlineStr">
        <is>
          <t>Föryngringsavverkning</t>
        </is>
      </c>
      <c r="D1843" s="1" t="n">
        <v>45232</v>
      </c>
      <c r="E1843" s="1" t="n">
        <v>46326</v>
      </c>
      <c r="F1843" t="inlineStr">
        <is>
          <t>STOCKHOLMS LÄN</t>
        </is>
      </c>
      <c r="G1843" t="inlineStr">
        <is>
          <t>NORRTÄLJE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17634-2022</t>
        </is>
      </c>
      <c r="B1844" t="inlineStr">
        <is>
          <t>avverkningsanmälan</t>
        </is>
      </c>
      <c r="C1844" t="inlineStr">
        <is>
          <t>Föryngringsavverkning</t>
        </is>
      </c>
      <c r="D1844" s="1" t="n">
        <v>44680</v>
      </c>
      <c r="E1844" s="1" t="n">
        <v>46326</v>
      </c>
      <c r="F1844" t="inlineStr">
        <is>
          <t>STOCKHOLMS LÄN</t>
        </is>
      </c>
      <c r="G1844" t="inlineStr">
        <is>
          <t>NYNÄSHAMN</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30476-2026</t>
        </is>
      </c>
      <c r="B1845" t="inlineStr">
        <is>
          <t>avverkningsanmälan</t>
        </is>
      </c>
      <c r="C1845" t="inlineStr">
        <is>
          <t>Föryngringsavverkning</t>
        </is>
      </c>
      <c r="D1845" s="1" t="n">
        <v>46210</v>
      </c>
      <c r="E1845" s="1" t="n">
        <v>46326</v>
      </c>
      <c r="F1845" t="inlineStr">
        <is>
          <t>STOCKHOLMS LÄN</t>
        </is>
      </c>
      <c r="G1845" t="inlineStr">
        <is>
          <t>NYNÄSHAMN</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60922-2023</t>
        </is>
      </c>
      <c r="B1846" t="inlineStr">
        <is>
          <t>avverkningsanmälan</t>
        </is>
      </c>
      <c r="C1846" t="inlineStr">
        <is>
          <t>Föryngringsavverkning</t>
        </is>
      </c>
      <c r="D1846" s="1" t="n">
        <v>45261</v>
      </c>
      <c r="E1846" s="1" t="n">
        <v>46326</v>
      </c>
      <c r="F1846" t="inlineStr">
        <is>
          <t>STOCKHOLMS LÄN</t>
        </is>
      </c>
      <c r="G1846" t="inlineStr">
        <is>
          <t>SIGTUNA</t>
        </is>
      </c>
      <c r="I1846" t="n">
        <v>7.6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30599-2026</t>
        </is>
      </c>
      <c r="B1847" t="inlineStr">
        <is>
          <t>avverkningsanmälan</t>
        </is>
      </c>
      <c r="C1847" t="inlineStr">
        <is>
          <t>Föryngringsavverkning</t>
        </is>
      </c>
      <c r="D1847" s="1" t="n">
        <v>46210</v>
      </c>
      <c r="E1847" s="1" t="n">
        <v>46326</v>
      </c>
      <c r="F1847" t="inlineStr">
        <is>
          <t>STOCKHOLMS LÄN</t>
        </is>
      </c>
      <c r="G1847" t="inlineStr">
        <is>
          <t>ÖSTERÅKER</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30410-2026</t>
        </is>
      </c>
      <c r="B1848" t="inlineStr">
        <is>
          <t>avverkningsanmälan</t>
        </is>
      </c>
      <c r="C1848" t="inlineStr">
        <is>
          <t>Föryngringsavverkning</t>
        </is>
      </c>
      <c r="D1848" s="1" t="n">
        <v>46209</v>
      </c>
      <c r="E1848" s="1" t="n">
        <v>46326</v>
      </c>
      <c r="F1848" t="inlineStr">
        <is>
          <t>STOCKHOLMS LÄN</t>
        </is>
      </c>
      <c r="G1848" t="inlineStr">
        <is>
          <t>NORRTÄLJE</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273-2025</t>
        </is>
      </c>
      <c r="B1849" t="inlineStr">
        <is>
          <t>avverkningsanmälan</t>
        </is>
      </c>
      <c r="C1849" t="inlineStr">
        <is>
          <t>Avverkning för annat ändamål</t>
        </is>
      </c>
      <c r="D1849" s="1" t="n">
        <v>45653</v>
      </c>
      <c r="E1849" s="1" t="n">
        <v>46326</v>
      </c>
      <c r="F1849" t="inlineStr">
        <is>
          <t>STOCKHOLMS LÄN</t>
        </is>
      </c>
      <c r="G1849" t="inlineStr">
        <is>
          <t>SIGTUNA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33787-2024</t>
        </is>
      </c>
      <c r="B1850" t="inlineStr">
        <is>
          <t>avverkningsanmälan</t>
        </is>
      </c>
      <c r="C1850" t="inlineStr">
        <is>
          <t>Föryngringsavverkning</t>
        </is>
      </c>
      <c r="D1850" s="1" t="n">
        <v>45520</v>
      </c>
      <c r="E1850" s="1" t="n">
        <v>46326</v>
      </c>
      <c r="F1850" t="inlineStr">
        <is>
          <t>STOCKHOLMS LÄN</t>
        </is>
      </c>
      <c r="G1850" t="inlineStr">
        <is>
          <t>NYNÄSHAMN</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63592-2023</t>
        </is>
      </c>
      <c r="B1851" t="inlineStr">
        <is>
          <t>avverkningsanmälan</t>
        </is>
      </c>
      <c r="C1851" t="inlineStr">
        <is>
          <t>Avverkning för att bevara och utveckla /försöksver</t>
        </is>
      </c>
      <c r="D1851" s="1" t="n">
        <v>45275</v>
      </c>
      <c r="E1851" s="1" t="n">
        <v>46326</v>
      </c>
      <c r="F1851" t="inlineStr">
        <is>
          <t>STOCKHOLMS LÄN</t>
        </is>
      </c>
      <c r="G1851" t="inlineStr">
        <is>
          <t>NYKVARN</t>
        </is>
      </c>
      <c r="H1851" t="inlineStr">
        <is>
          <t>Kommuner</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45184-2022</t>
        </is>
      </c>
      <c r="B1852" t="inlineStr">
        <is>
          <t>avverkningsanmälan</t>
        </is>
      </c>
      <c r="C1852" t="inlineStr">
        <is>
          <t>Föryngringsavverkning</t>
        </is>
      </c>
      <c r="D1852" s="1" t="n">
        <v>44844</v>
      </c>
      <c r="E1852" s="1" t="n">
        <v>46326</v>
      </c>
      <c r="F1852" t="inlineStr">
        <is>
          <t>STOCKHOLMS LÄN</t>
        </is>
      </c>
      <c r="G1852" t="inlineStr">
        <is>
          <t>SÖDERTÄLJE</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68894-2021</t>
        </is>
      </c>
      <c r="B1853" t="inlineStr">
        <is>
          <t>avverkningsanmälan</t>
        </is>
      </c>
      <c r="C1853" t="inlineStr">
        <is>
          <t>Föryngringsavverkning</t>
        </is>
      </c>
      <c r="D1853" s="1" t="n">
        <v>44526</v>
      </c>
      <c r="E1853" s="1" t="n">
        <v>46326</v>
      </c>
      <c r="F1853" t="inlineStr">
        <is>
          <t>STOCKHOLMS LÄN</t>
        </is>
      </c>
      <c r="G1853" t="inlineStr">
        <is>
          <t>HANINGE</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23265-2023</t>
        </is>
      </c>
      <c r="B1854" t="inlineStr">
        <is>
          <t>avverkningsanmälan</t>
        </is>
      </c>
      <c r="C1854" t="inlineStr">
        <is>
          <t>Föryngringsavverkning</t>
        </is>
      </c>
      <c r="D1854" s="1" t="n">
        <v>45075</v>
      </c>
      <c r="E1854" s="1" t="n">
        <v>46326</v>
      </c>
      <c r="F1854" t="inlineStr">
        <is>
          <t>STOCKHOLMS LÄN</t>
        </is>
      </c>
      <c r="G1854" t="inlineStr">
        <is>
          <t>NORRTÄLJE</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26117-2024</t>
        </is>
      </c>
      <c r="B1855" t="inlineStr">
        <is>
          <t>avverkningsanmälan</t>
        </is>
      </c>
      <c r="C1855" t="inlineStr">
        <is>
          <t>Föryngringsavverkning</t>
        </is>
      </c>
      <c r="D1855" s="1" t="n">
        <v>45468</v>
      </c>
      <c r="E1855" s="1" t="n">
        <v>46326</v>
      </c>
      <c r="F1855" t="inlineStr">
        <is>
          <t>STOCKHOLMS LÄN</t>
        </is>
      </c>
      <c r="G1855" t="inlineStr">
        <is>
          <t>NORRTÄLJE</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18491-2025</t>
        </is>
      </c>
      <c r="B1856" t="inlineStr">
        <is>
          <t>avverkningsanmälan</t>
        </is>
      </c>
      <c r="C1856" t="inlineStr">
        <is>
          <t>Föryngringsavverkning</t>
        </is>
      </c>
      <c r="D1856" s="1" t="n">
        <v>45763</v>
      </c>
      <c r="E1856" s="1" t="n">
        <v>46326</v>
      </c>
      <c r="F1856" t="inlineStr">
        <is>
          <t>STOCKHOLMS LÄN</t>
        </is>
      </c>
      <c r="G1856" t="inlineStr">
        <is>
          <t>HANINGE</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31154-2026</t>
        </is>
      </c>
      <c r="B1857" t="inlineStr">
        <is>
          <t>avverkningsanmälan</t>
        </is>
      </c>
      <c r="C1857" t="inlineStr">
        <is>
          <t>Föryngringsavverkning</t>
        </is>
      </c>
      <c r="D1857" s="1" t="n">
        <v>46216</v>
      </c>
      <c r="E1857" s="1" t="n">
        <v>46326</v>
      </c>
      <c r="F1857" t="inlineStr">
        <is>
          <t>STOCKHOLMS LÄN</t>
        </is>
      </c>
      <c r="G1857" t="inlineStr">
        <is>
          <t>ÖSTERÅKER</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31146-2026</t>
        </is>
      </c>
      <c r="B1858" t="inlineStr">
        <is>
          <t>avverkningsanmälan</t>
        </is>
      </c>
      <c r="C1858" t="inlineStr">
        <is>
          <t>Föryngringsavverkning</t>
        </is>
      </c>
      <c r="D1858" s="1" t="n">
        <v>46216</v>
      </c>
      <c r="E1858" s="1" t="n">
        <v>46326</v>
      </c>
      <c r="F1858" t="inlineStr">
        <is>
          <t>STOCKHOLMS LÄN</t>
        </is>
      </c>
      <c r="G1858" t="inlineStr">
        <is>
          <t>ÖSTERÅKER</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31149-2026</t>
        </is>
      </c>
      <c r="B1859" t="inlineStr">
        <is>
          <t>avverkningsanmälan</t>
        </is>
      </c>
      <c r="C1859" t="inlineStr">
        <is>
          <t>Föryngringsavverkning</t>
        </is>
      </c>
      <c r="D1859" s="1" t="n">
        <v>46216</v>
      </c>
      <c r="E1859" s="1" t="n">
        <v>46326</v>
      </c>
      <c r="F1859" t="inlineStr">
        <is>
          <t>STOCKHOLMS LÄN</t>
        </is>
      </c>
      <c r="G1859" t="inlineStr">
        <is>
          <t>ÖSTERÅKER</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3021-2025</t>
        </is>
      </c>
      <c r="B1860" t="inlineStr">
        <is>
          <t>avverkningsanmälan</t>
        </is>
      </c>
      <c r="C1860" t="inlineStr">
        <is>
          <t>Föryngringsavverkning</t>
        </is>
      </c>
      <c r="D1860" s="1" t="n">
        <v>45678</v>
      </c>
      <c r="E1860" s="1" t="n">
        <v>46326</v>
      </c>
      <c r="F1860" t="inlineStr">
        <is>
          <t>STOCKHOLMS LÄN</t>
        </is>
      </c>
      <c r="G1860" t="inlineStr">
        <is>
          <t>BOTKYRKA</t>
        </is>
      </c>
      <c r="H1860" t="inlineStr">
        <is>
          <t>Övriga Aktiebolag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38465-2023</t>
        </is>
      </c>
      <c r="B1861" t="inlineStr">
        <is>
          <t>avverkningsanmälan</t>
        </is>
      </c>
      <c r="C1861" t="inlineStr">
        <is>
          <t>Föryngringsavverkning</t>
        </is>
      </c>
      <c r="D1861" s="1" t="n">
        <v>45162</v>
      </c>
      <c r="E1861" s="1" t="n">
        <v>46326</v>
      </c>
      <c r="F1861" t="inlineStr">
        <is>
          <t>STOCKHOLMS LÄN</t>
        </is>
      </c>
      <c r="G1861" t="inlineStr">
        <is>
          <t>SIGTUNA</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3917-2023</t>
        </is>
      </c>
      <c r="B1862" t="inlineStr">
        <is>
          <t>avverkningsanmälan</t>
        </is>
      </c>
      <c r="C1862" t="inlineStr">
        <is>
          <t>Föryngringsavverkning</t>
        </is>
      </c>
      <c r="D1862" s="1" t="n">
        <v>44952</v>
      </c>
      <c r="E1862" s="1" t="n">
        <v>46326</v>
      </c>
      <c r="F1862" t="inlineStr">
        <is>
          <t>STOCKHOLMS LÄN</t>
        </is>
      </c>
      <c r="G1862" t="inlineStr">
        <is>
          <t>ÖSTERÅKER</t>
        </is>
      </c>
      <c r="H1862" t="inlineStr">
        <is>
          <t>Kommuner</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31085-2026</t>
        </is>
      </c>
      <c r="B1863" t="inlineStr">
        <is>
          <t>avverkningsanmälan</t>
        </is>
      </c>
      <c r="C1863" t="inlineStr">
        <is>
          <t>Föryngringsavverkning</t>
        </is>
      </c>
      <c r="D1863" s="1" t="n">
        <v>46216</v>
      </c>
      <c r="E1863" s="1" t="n">
        <v>46326</v>
      </c>
      <c r="F1863" t="inlineStr">
        <is>
          <t>STOCKHOLMS LÄN</t>
        </is>
      </c>
      <c r="G1863" t="inlineStr">
        <is>
          <t>NORRTÄLJE</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31156-2026</t>
        </is>
      </c>
      <c r="B1864" t="inlineStr">
        <is>
          <t>avverkningsanmälan</t>
        </is>
      </c>
      <c r="C1864" t="inlineStr">
        <is>
          <t>Föryngringsavverkning</t>
        </is>
      </c>
      <c r="D1864" s="1" t="n">
        <v>46216</v>
      </c>
      <c r="E1864" s="1" t="n">
        <v>46326</v>
      </c>
      <c r="F1864" t="inlineStr">
        <is>
          <t>STOCKHOLMS LÄN</t>
        </is>
      </c>
      <c r="G1864" t="inlineStr">
        <is>
          <t>ÖSTERÅKER</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1385-2024</t>
        </is>
      </c>
      <c r="B1865" t="inlineStr">
        <is>
          <t>avverkningsanmälan</t>
        </is>
      </c>
      <c r="C1865" t="inlineStr">
        <is>
          <t>Föryngringsavverkning</t>
        </is>
      </c>
      <c r="D1865" s="1" t="n">
        <v>45303</v>
      </c>
      <c r="E1865" s="1" t="n">
        <v>46326</v>
      </c>
      <c r="F1865" t="inlineStr">
        <is>
          <t>STOCKHOLMS LÄN</t>
        </is>
      </c>
      <c r="G1865" t="inlineStr">
        <is>
          <t>VALLENTUNA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2529-2023</t>
        </is>
      </c>
      <c r="B1866" t="inlineStr">
        <is>
          <t>avverkningsanmälan</t>
        </is>
      </c>
      <c r="C1866" t="inlineStr">
        <is>
          <t>Föryngringsavverkning</t>
        </is>
      </c>
      <c r="D1866" s="1" t="n">
        <v>44943</v>
      </c>
      <c r="E1866" s="1" t="n">
        <v>46326</v>
      </c>
      <c r="F1866" t="inlineStr">
        <is>
          <t>STOCKHOLMS LÄN</t>
        </is>
      </c>
      <c r="G1866" t="inlineStr">
        <is>
          <t>SÖDERTÄLJE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1847-2023</t>
        </is>
      </c>
      <c r="B1867" t="inlineStr">
        <is>
          <t>avverkningsanmälan</t>
        </is>
      </c>
      <c r="C1867" t="inlineStr">
        <is>
          <t>Föryngringsavverkning</t>
        </is>
      </c>
      <c r="D1867" s="1" t="n">
        <v>44938</v>
      </c>
      <c r="E1867" s="1" t="n">
        <v>46326</v>
      </c>
      <c r="F1867" t="inlineStr">
        <is>
          <t>STOCKHOLMS LÄN</t>
        </is>
      </c>
      <c r="G1867" t="inlineStr">
        <is>
          <t>NORRTÄLJE</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7275-2022</t>
        </is>
      </c>
      <c r="B1868" t="inlineStr">
        <is>
          <t>avverkningsanmälan</t>
        </is>
      </c>
      <c r="C1868" t="inlineStr">
        <is>
          <t>Föryngringsavverkning</t>
        </is>
      </c>
      <c r="D1868" s="1" t="n">
        <v>44606</v>
      </c>
      <c r="E1868" s="1" t="n">
        <v>46326</v>
      </c>
      <c r="F1868" t="inlineStr">
        <is>
          <t>STOCKHOLMS LÄN</t>
        </is>
      </c>
      <c r="G1868" t="inlineStr">
        <is>
          <t>UPPLANDS-BRO</t>
        </is>
      </c>
      <c r="H1868" t="inlineStr">
        <is>
          <t>Övriga statliga verk och myndigheter</t>
        </is>
      </c>
      <c r="I1868" t="n">
        <v>9.6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7214-2022</t>
        </is>
      </c>
      <c r="B1869" t="inlineStr">
        <is>
          <t>avverkningsanmälan</t>
        </is>
      </c>
      <c r="C1869" t="inlineStr">
        <is>
          <t>Föryngringsavverkning</t>
        </is>
      </c>
      <c r="D1869" s="1" t="n">
        <v>44606</v>
      </c>
      <c r="E1869" s="1" t="n">
        <v>46326</v>
      </c>
      <c r="F1869" t="inlineStr">
        <is>
          <t>STOCKHOLMS LÄN</t>
        </is>
      </c>
      <c r="G1869" t="inlineStr">
        <is>
          <t>SIGTUNA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31272-2026</t>
        </is>
      </c>
      <c r="B1870" t="inlineStr">
        <is>
          <t>avverkningsanmälan</t>
        </is>
      </c>
      <c r="C1870" t="inlineStr">
        <is>
          <t>Föryngringsavverkning</t>
        </is>
      </c>
      <c r="D1870" s="1" t="n">
        <v>46218</v>
      </c>
      <c r="E1870" s="1" t="n">
        <v>46326</v>
      </c>
      <c r="F1870" t="inlineStr">
        <is>
          <t>STOCKHOLMS LÄN</t>
        </is>
      </c>
      <c r="G1870" t="inlineStr">
        <is>
          <t>NORRTÄLJE</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11285-2023</t>
        </is>
      </c>
      <c r="B1871" t="inlineStr">
        <is>
          <t>avverkningsanmälan</t>
        </is>
      </c>
      <c r="C1871" t="inlineStr">
        <is>
          <t>Föryngringsavverkning</t>
        </is>
      </c>
      <c r="D1871" s="1" t="n">
        <v>44992</v>
      </c>
      <c r="E1871" s="1" t="n">
        <v>46326</v>
      </c>
      <c r="F1871" t="inlineStr">
        <is>
          <t>STOCKHOLMS LÄN</t>
        </is>
      </c>
      <c r="G1871" t="inlineStr">
        <is>
          <t>SIGTUNA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25452-2023</t>
        </is>
      </c>
      <c r="B1872" t="inlineStr">
        <is>
          <t>avverkningsanmälan</t>
        </is>
      </c>
      <c r="C1872" t="inlineStr">
        <is>
          <t>Föryngringsavverkning</t>
        </is>
      </c>
      <c r="D1872" s="1" t="n">
        <v>45089</v>
      </c>
      <c r="E1872" s="1" t="n">
        <v>46326</v>
      </c>
      <c r="F1872" t="inlineStr">
        <is>
          <t>STOCKHOLMS LÄN</t>
        </is>
      </c>
      <c r="G1872" t="inlineStr">
        <is>
          <t>SIGTUNA</t>
        </is>
      </c>
      <c r="H1872" t="inlineStr">
        <is>
          <t>Sveaskog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31428-2026</t>
        </is>
      </c>
      <c r="B1873" t="inlineStr">
        <is>
          <t>avverkningsanmälan</t>
        </is>
      </c>
      <c r="C1873" t="inlineStr">
        <is>
          <t>Föryngringsavverkning</t>
        </is>
      </c>
      <c r="D1873" s="1" t="n">
        <v>46220</v>
      </c>
      <c r="E1873" s="1" t="n">
        <v>46326</v>
      </c>
      <c r="F1873" t="inlineStr">
        <is>
          <t>STOCKHOLMS LÄN</t>
        </is>
      </c>
      <c r="G1873" t="inlineStr">
        <is>
          <t>NORRTÄLJE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37010-2022</t>
        </is>
      </c>
      <c r="B1874" t="inlineStr">
        <is>
          <t>avverkningsanmälan</t>
        </is>
      </c>
      <c r="C1874" t="inlineStr">
        <is>
          <t>Föryngringsavverkning</t>
        </is>
      </c>
      <c r="D1874" s="1" t="n">
        <v>44806</v>
      </c>
      <c r="E1874" s="1" t="n">
        <v>46326</v>
      </c>
      <c r="F1874" t="inlineStr">
        <is>
          <t>STOCKHOLMS LÄN</t>
        </is>
      </c>
      <c r="G1874" t="inlineStr">
        <is>
          <t>NORRTÄLJE</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44619-2023</t>
        </is>
      </c>
      <c r="B1875" t="inlineStr">
        <is>
          <t>avverkningsanmälan</t>
        </is>
      </c>
      <c r="C1875" t="inlineStr">
        <is>
          <t>Föryngringsavverkning</t>
        </is>
      </c>
      <c r="D1875" s="1" t="n">
        <v>45189</v>
      </c>
      <c r="E1875" s="1" t="n">
        <v>46326</v>
      </c>
      <c r="F1875" t="inlineStr">
        <is>
          <t>STOCKHOLMS LÄN</t>
        </is>
      </c>
      <c r="G1875" t="inlineStr">
        <is>
          <t>NYNÄSHAMN</t>
        </is>
      </c>
      <c r="I1875" t="n">
        <v>7.6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636-2025</t>
        </is>
      </c>
      <c r="B1876" t="inlineStr">
        <is>
          <t>avverkningsanmälan</t>
        </is>
      </c>
      <c r="C1876" t="inlineStr">
        <is>
          <t>Föryngringsavverkning</t>
        </is>
      </c>
      <c r="D1876" s="1" t="n">
        <v>45664</v>
      </c>
      <c r="E1876" s="1" t="n">
        <v>46326</v>
      </c>
      <c r="F1876" t="inlineStr">
        <is>
          <t>STOCKHOLMS LÄN</t>
        </is>
      </c>
      <c r="G1876" t="inlineStr">
        <is>
          <t>NYNÄSHAMN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951-2023</t>
        </is>
      </c>
      <c r="B1877" t="inlineStr">
        <is>
          <t>avverkningsanmälan</t>
        </is>
      </c>
      <c r="C1877" t="inlineStr">
        <is>
          <t>Föryngringsavverkning</t>
        </is>
      </c>
      <c r="D1877" s="1" t="n">
        <v>44934</v>
      </c>
      <c r="E1877" s="1" t="n">
        <v>46326</v>
      </c>
      <c r="F1877" t="inlineStr">
        <is>
          <t>STOCKHOLMS LÄN</t>
        </is>
      </c>
      <c r="G1877" t="inlineStr">
        <is>
          <t>NORRTÄLJE</t>
        </is>
      </c>
      <c r="I1877" t="n">
        <v>3.7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36112-2022</t>
        </is>
      </c>
      <c r="B1878" t="inlineStr">
        <is>
          <t>avverkningsanmälan</t>
        </is>
      </c>
      <c r="C1878" t="inlineStr">
        <is>
          <t>Avverkning för annat ändamål</t>
        </is>
      </c>
      <c r="D1878" s="1" t="n">
        <v>44802</v>
      </c>
      <c r="E1878" s="1" t="n">
        <v>46326</v>
      </c>
      <c r="F1878" t="inlineStr">
        <is>
          <t>STOCKHOLMS LÄN</t>
        </is>
      </c>
      <c r="G1878" t="inlineStr">
        <is>
          <t>SÖDERTÄLJE</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60818-2023</t>
        </is>
      </c>
      <c r="B1879" t="inlineStr">
        <is>
          <t>avverkningsanmälan</t>
        </is>
      </c>
      <c r="C1879" t="inlineStr">
        <is>
          <t>Föryngringsavverkning</t>
        </is>
      </c>
      <c r="D1879" s="1" t="n">
        <v>45259</v>
      </c>
      <c r="E1879" s="1" t="n">
        <v>46326</v>
      </c>
      <c r="F1879" t="inlineStr">
        <is>
          <t>STOCKHOLMS LÄN</t>
        </is>
      </c>
      <c r="G1879" t="inlineStr">
        <is>
          <t>VALLENTUNA</t>
        </is>
      </c>
      <c r="I1879" t="n">
        <v>9.4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6059-2022</t>
        </is>
      </c>
      <c r="B1880" t="inlineStr">
        <is>
          <t>avverkningsanmälan</t>
        </is>
      </c>
      <c r="C1880" t="inlineStr">
        <is>
          <t>Avverkning för annat ändamål</t>
        </is>
      </c>
      <c r="D1880" s="1" t="n">
        <v>44599</v>
      </c>
      <c r="E1880" s="1" t="n">
        <v>46326</v>
      </c>
      <c r="F1880" t="inlineStr">
        <is>
          <t>STOCKHOLMS LÄN</t>
        </is>
      </c>
      <c r="G1880" t="inlineStr">
        <is>
          <t>BOTKYRKA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31645-2026</t>
        </is>
      </c>
      <c r="B1881" t="inlineStr">
        <is>
          <t>avverkningsanmälan</t>
        </is>
      </c>
      <c r="C1881" t="inlineStr">
        <is>
          <t>Avverkning för annat ändamål</t>
        </is>
      </c>
      <c r="D1881" s="1" t="n">
        <v>46225</v>
      </c>
      <c r="E1881" s="1" t="n">
        <v>46326</v>
      </c>
      <c r="F1881" t="inlineStr">
        <is>
          <t>STOCKHOLMS LÄN</t>
        </is>
      </c>
      <c r="G1881" t="inlineStr">
        <is>
          <t>HUDDINGE</t>
        </is>
      </c>
      <c r="H1881" t="inlineStr">
        <is>
          <t>Kommuner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60865-2024</t>
        </is>
      </c>
      <c r="B1882" t="inlineStr">
        <is>
          <t>avverkningsanmälan</t>
        </is>
      </c>
      <c r="C1882" t="inlineStr">
        <is>
          <t>Föryngringsavverkning</t>
        </is>
      </c>
      <c r="D1882" s="1" t="n">
        <v>45644</v>
      </c>
      <c r="E1882" s="1" t="n">
        <v>46326</v>
      </c>
      <c r="F1882" t="inlineStr">
        <is>
          <t>STOCKHOLMS LÄN</t>
        </is>
      </c>
      <c r="G1882" t="inlineStr">
        <is>
          <t>SIGTUNA</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37536-2024</t>
        </is>
      </c>
      <c r="B1883" t="inlineStr">
        <is>
          <t>avverkningsanmälan</t>
        </is>
      </c>
      <c r="C1883" t="inlineStr">
        <is>
          <t>Föryngringsavverkning</t>
        </is>
      </c>
      <c r="D1883" s="1" t="n">
        <v>45541</v>
      </c>
      <c r="E1883" s="1" t="n">
        <v>46326</v>
      </c>
      <c r="F1883" t="inlineStr">
        <is>
          <t>STOCKHOLMS LÄN</t>
        </is>
      </c>
      <c r="G1883" t="inlineStr">
        <is>
          <t>SÖDERTÄLJE</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62108-2022</t>
        </is>
      </c>
      <c r="B1884" t="inlineStr">
        <is>
          <t>avverkningsanmälan</t>
        </is>
      </c>
      <c r="C1884" t="inlineStr">
        <is>
          <t>Föryngringsavverkning</t>
        </is>
      </c>
      <c r="D1884" s="1" t="n">
        <v>44920</v>
      </c>
      <c r="E1884" s="1" t="n">
        <v>46326</v>
      </c>
      <c r="F1884" t="inlineStr">
        <is>
          <t>STOCKHOLMS LÄN</t>
        </is>
      </c>
      <c r="G1884" t="inlineStr">
        <is>
          <t>ÖSTERÅKER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31650-2026</t>
        </is>
      </c>
      <c r="B1885" t="inlineStr">
        <is>
          <t>avverkningsanmälan</t>
        </is>
      </c>
      <c r="C1885" t="inlineStr">
        <is>
          <t>Avverkning för annat ändamål</t>
        </is>
      </c>
      <c r="D1885" s="1" t="n">
        <v>46225</v>
      </c>
      <c r="E1885" s="1" t="n">
        <v>46326</v>
      </c>
      <c r="F1885" t="inlineStr">
        <is>
          <t>STOCKHOLMS LÄN</t>
        </is>
      </c>
      <c r="G1885" t="inlineStr">
        <is>
          <t>HUDDINGE</t>
        </is>
      </c>
      <c r="H1885" t="inlineStr">
        <is>
          <t>Kommuner</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31626-2026</t>
        </is>
      </c>
      <c r="B1886" t="inlineStr">
        <is>
          <t>avverkningsanmälan</t>
        </is>
      </c>
      <c r="C1886" t="inlineStr">
        <is>
          <t>Föryngringsavverkning</t>
        </is>
      </c>
      <c r="D1886" s="1" t="n">
        <v>46225</v>
      </c>
      <c r="E1886" s="1" t="n">
        <v>46326</v>
      </c>
      <c r="F1886" t="inlineStr">
        <is>
          <t>STOCKHOLMS LÄN</t>
        </is>
      </c>
      <c r="G1886" t="inlineStr">
        <is>
          <t>NORRTÄLJE</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31714-2026</t>
        </is>
      </c>
      <c r="B1887" t="inlineStr">
        <is>
          <t>avverkningsanmälan</t>
        </is>
      </c>
      <c r="C1887" t="inlineStr">
        <is>
          <t>Föryngringsavverkning</t>
        </is>
      </c>
      <c r="D1887" s="1" t="n">
        <v>46226</v>
      </c>
      <c r="E1887" s="1" t="n">
        <v>46326</v>
      </c>
      <c r="F1887" t="inlineStr">
        <is>
          <t>STOCKHOLMS LÄN</t>
        </is>
      </c>
      <c r="G1887" t="inlineStr">
        <is>
          <t>UPPLANDS-BRO</t>
        </is>
      </c>
      <c r="I1887" t="n">
        <v>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114-2023</t>
        </is>
      </c>
      <c r="B1888" t="inlineStr">
        <is>
          <t>avverkningsanmälan</t>
        </is>
      </c>
      <c r="C1888" t="inlineStr">
        <is>
          <t>Avverkning för annat ändamål</t>
        </is>
      </c>
      <c r="D1888" s="1" t="n">
        <v>44918</v>
      </c>
      <c r="E1888" s="1" t="n">
        <v>46326</v>
      </c>
      <c r="F1888" t="inlineStr">
        <is>
          <t>STOCKHOLMS LÄN</t>
        </is>
      </c>
      <c r="G1888" t="inlineStr">
        <is>
          <t>VÄRMDÖ</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35708-2022</t>
        </is>
      </c>
      <c r="B1889" t="inlineStr">
        <is>
          <t>avverkningsanmälan</t>
        </is>
      </c>
      <c r="C1889" t="inlineStr">
        <is>
          <t>Föryngringsavverkning</t>
        </is>
      </c>
      <c r="D1889" s="1" t="n">
        <v>44799</v>
      </c>
      <c r="E1889" s="1" t="n">
        <v>46326</v>
      </c>
      <c r="F1889" t="inlineStr">
        <is>
          <t>STOCKHOLMS LÄN</t>
        </is>
      </c>
      <c r="G1889" t="inlineStr">
        <is>
          <t>NORRTÄLJE</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31740-2026</t>
        </is>
      </c>
      <c r="B1890" t="inlineStr">
        <is>
          <t>avverkningsanmälan</t>
        </is>
      </c>
      <c r="C1890" t="inlineStr">
        <is>
          <t>Föryngringsavverkning</t>
        </is>
      </c>
      <c r="D1890" s="1" t="n">
        <v>46227</v>
      </c>
      <c r="E1890" s="1" t="n">
        <v>46326</v>
      </c>
      <c r="F1890" t="inlineStr">
        <is>
          <t>STOCKHOLMS LÄN</t>
        </is>
      </c>
      <c r="G1890" t="inlineStr">
        <is>
          <t>NYKVARN</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31741-2026</t>
        </is>
      </c>
      <c r="B1891" t="inlineStr">
        <is>
          <t>avverkningsanmälan</t>
        </is>
      </c>
      <c r="C1891" t="inlineStr">
        <is>
          <t>Föryngringsavverkning</t>
        </is>
      </c>
      <c r="D1891" s="1" t="n">
        <v>46227</v>
      </c>
      <c r="E1891" s="1" t="n">
        <v>46326</v>
      </c>
      <c r="F1891" t="inlineStr">
        <is>
          <t>STOCKHOLMS LÄN</t>
        </is>
      </c>
      <c r="G1891" t="inlineStr">
        <is>
          <t>NYKVARN</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31731-2026</t>
        </is>
      </c>
      <c r="B1892" t="inlineStr">
        <is>
          <t>avverkningsanmälan</t>
        </is>
      </c>
      <c r="C1892" t="inlineStr">
        <is>
          <t>Föryngringsavverkning</t>
        </is>
      </c>
      <c r="D1892" s="1" t="n">
        <v>46227</v>
      </c>
      <c r="E1892" s="1" t="n">
        <v>46326</v>
      </c>
      <c r="F1892" t="inlineStr">
        <is>
          <t>STOCKHOLMS LÄN</t>
        </is>
      </c>
      <c r="G1892" t="inlineStr">
        <is>
          <t>NYKVARN</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21731-2023</t>
        </is>
      </c>
      <c r="B1893" t="inlineStr">
        <is>
          <t>avverkningsanmälan</t>
        </is>
      </c>
      <c r="C1893" t="inlineStr">
        <is>
          <t>Föryngringsavverkning</t>
        </is>
      </c>
      <c r="D1893" s="1" t="n">
        <v>45063</v>
      </c>
      <c r="E1893" s="1" t="n">
        <v>46326</v>
      </c>
      <c r="F1893" t="inlineStr">
        <is>
          <t>STOCKHOLMS LÄN</t>
        </is>
      </c>
      <c r="G1893" t="inlineStr">
        <is>
          <t>NORRTÄLJE</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23266-2023</t>
        </is>
      </c>
      <c r="B1894" t="inlineStr">
        <is>
          <t>avverkningsanmälan</t>
        </is>
      </c>
      <c r="C1894" t="inlineStr">
        <is>
          <t>Föryngringsavverkning</t>
        </is>
      </c>
      <c r="D1894" s="1" t="n">
        <v>45075</v>
      </c>
      <c r="E1894" s="1" t="n">
        <v>46326</v>
      </c>
      <c r="F1894" t="inlineStr">
        <is>
          <t>STOCKHOLMS LÄN</t>
        </is>
      </c>
      <c r="G1894" t="inlineStr">
        <is>
          <t>NORRTÄLJE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58260-2023</t>
        </is>
      </c>
      <c r="B1895" t="inlineStr">
        <is>
          <t>avverkningsanmälan</t>
        </is>
      </c>
      <c r="C1895" t="inlineStr">
        <is>
          <t>Föryngringsavverkning</t>
        </is>
      </c>
      <c r="D1895" s="1" t="n">
        <v>45245</v>
      </c>
      <c r="E1895" s="1" t="n">
        <v>46326</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58261-2023</t>
        </is>
      </c>
      <c r="B1896" t="inlineStr">
        <is>
          <t>avverkningsanmälan</t>
        </is>
      </c>
      <c r="C1896" t="inlineStr">
        <is>
          <t>Avverkning för annat ändamål</t>
        </is>
      </c>
      <c r="D1896" s="1" t="n">
        <v>45245</v>
      </c>
      <c r="E1896" s="1" t="n">
        <v>46326</v>
      </c>
      <c r="F1896" t="inlineStr">
        <is>
          <t>STOCKHOLMS LÄN</t>
        </is>
      </c>
      <c r="G1896" t="inlineStr">
        <is>
          <t>NORRTÄLJE</t>
        </is>
      </c>
      <c r="I1896" t="n">
        <v>53.5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51720-2023</t>
        </is>
      </c>
      <c r="B1897" t="inlineStr">
        <is>
          <t>avverkningsanmälan</t>
        </is>
      </c>
      <c r="C1897" t="inlineStr">
        <is>
          <t>Avverkning för att bevara och utveckla /försöksver</t>
        </is>
      </c>
      <c r="D1897" s="1" t="n">
        <v>45222</v>
      </c>
      <c r="E1897" s="1" t="n">
        <v>46326</v>
      </c>
      <c r="F1897" t="inlineStr">
        <is>
          <t>STOCKHOLMS LÄN</t>
        </is>
      </c>
      <c r="G1897" t="inlineStr">
        <is>
          <t>SALEM</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32127-2026</t>
        </is>
      </c>
      <c r="B1898" t="inlineStr">
        <is>
          <t>avverkningsanmälan</t>
        </is>
      </c>
      <c r="C1898" t="inlineStr">
        <is>
          <t>Föryngringsavverkning</t>
        </is>
      </c>
      <c r="D1898" s="1" t="n">
        <v>46234</v>
      </c>
      <c r="E1898" s="1" t="n">
        <v>46326</v>
      </c>
      <c r="F1898" t="inlineStr">
        <is>
          <t>STOCKHOLMS LÄN</t>
        </is>
      </c>
      <c r="G1898" t="inlineStr">
        <is>
          <t>VAXHOLM</t>
        </is>
      </c>
      <c r="H1898" t="inlineStr">
        <is>
          <t>Övriga statliga verk och myndigheter</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32204-2026</t>
        </is>
      </c>
      <c r="B1899" t="inlineStr">
        <is>
          <t>avverkningsanmälan</t>
        </is>
      </c>
      <c r="C1899" t="inlineStr">
        <is>
          <t>Föryngringsavverkning</t>
        </is>
      </c>
      <c r="D1899" s="1" t="n">
        <v>46234</v>
      </c>
      <c r="E1899" s="1" t="n">
        <v>46326</v>
      </c>
      <c r="F1899" t="inlineStr">
        <is>
          <t>STOCKHOLMS LÄN</t>
        </is>
      </c>
      <c r="G1899" t="inlineStr">
        <is>
          <t>VAXHOLM</t>
        </is>
      </c>
      <c r="H1899" t="inlineStr">
        <is>
          <t>Övriga statliga verk och myndigheter</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52910-2024</t>
        </is>
      </c>
      <c r="B1900" t="inlineStr">
        <is>
          <t>avverkningsanmälan</t>
        </is>
      </c>
      <c r="C1900" t="inlineStr">
        <is>
          <t>Föryngringsavverkning</t>
        </is>
      </c>
      <c r="D1900" s="1" t="n">
        <v>45610</v>
      </c>
      <c r="E1900" s="1" t="n">
        <v>46326</v>
      </c>
      <c r="F1900" t="inlineStr">
        <is>
          <t>STOCKHOLMS LÄN</t>
        </is>
      </c>
      <c r="G1900" t="inlineStr">
        <is>
          <t>NYNÄSHAMN</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29266-2022</t>
        </is>
      </c>
      <c r="B1901" t="inlineStr">
        <is>
          <t>avverkningsanmälan</t>
        </is>
      </c>
      <c r="C1901" t="inlineStr">
        <is>
          <t>Föryngringsavverkning</t>
        </is>
      </c>
      <c r="D1901" s="1" t="n">
        <v>44750</v>
      </c>
      <c r="E1901" s="1" t="n">
        <v>46326</v>
      </c>
      <c r="F1901" t="inlineStr">
        <is>
          <t>STOCKHOLMS LÄN</t>
        </is>
      </c>
      <c r="G1901" t="inlineStr">
        <is>
          <t>NORRTÄLJE</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29278-2022</t>
        </is>
      </c>
      <c r="B1902" t="inlineStr">
        <is>
          <t>avverkningsanmälan</t>
        </is>
      </c>
      <c r="C1902" t="inlineStr">
        <is>
          <t>Avverkning för annat ändamål</t>
        </is>
      </c>
      <c r="D1902" s="1" t="n">
        <v>44750</v>
      </c>
      <c r="E1902" s="1" t="n">
        <v>46326</v>
      </c>
      <c r="F1902" t="inlineStr">
        <is>
          <t>STOCKHOLMS LÄN</t>
        </is>
      </c>
      <c r="G1902" t="inlineStr">
        <is>
          <t>NORRTÄLJE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7264-2022</t>
        </is>
      </c>
      <c r="B1903" t="inlineStr">
        <is>
          <t>avverkningsanmälan</t>
        </is>
      </c>
      <c r="C1903" t="inlineStr">
        <is>
          <t>Föryngringsavverkning</t>
        </is>
      </c>
      <c r="D1903" s="1" t="n">
        <v>44606</v>
      </c>
      <c r="E1903" s="1" t="n">
        <v>46326</v>
      </c>
      <c r="F1903" t="inlineStr">
        <is>
          <t>STOCKHOLMS LÄN</t>
        </is>
      </c>
      <c r="G1903" t="inlineStr">
        <is>
          <t>VALLENTUNA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32308-2026</t>
        </is>
      </c>
      <c r="B1904" t="inlineStr">
        <is>
          <t>avverkningsanmälan</t>
        </is>
      </c>
      <c r="C1904" t="inlineStr">
        <is>
          <t>Föryngringsavverkning</t>
        </is>
      </c>
      <c r="D1904" s="1" t="n">
        <v>46237</v>
      </c>
      <c r="E1904" s="1" t="n">
        <v>46326</v>
      </c>
      <c r="F1904" t="inlineStr">
        <is>
          <t>STOCKHOLMS LÄN</t>
        </is>
      </c>
      <c r="G1904" t="inlineStr">
        <is>
          <t>NORRTÄLJE</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32355-2026</t>
        </is>
      </c>
      <c r="B1905" t="inlineStr">
        <is>
          <t>avverkningsanmälan</t>
        </is>
      </c>
      <c r="C1905" t="inlineStr">
        <is>
          <t>Föryngringsavverkning</t>
        </is>
      </c>
      <c r="D1905" s="1" t="n">
        <v>46238</v>
      </c>
      <c r="E1905" s="1" t="n">
        <v>46326</v>
      </c>
      <c r="F1905" t="inlineStr">
        <is>
          <t>STOCKHOLMS LÄN</t>
        </is>
      </c>
      <c r="G1905" t="inlineStr">
        <is>
          <t>NORRTÄLJE</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32518-2026</t>
        </is>
      </c>
      <c r="B1906" t="inlineStr">
        <is>
          <t>avverkningsanmälan</t>
        </is>
      </c>
      <c r="C1906" t="inlineStr">
        <is>
          <t>Föryngringsavverkning</t>
        </is>
      </c>
      <c r="D1906" s="1" t="n">
        <v>46239</v>
      </c>
      <c r="E1906" s="1" t="n">
        <v>46326</v>
      </c>
      <c r="F1906" t="inlineStr">
        <is>
          <t>STOCKHOLMS LÄN</t>
        </is>
      </c>
      <c r="G1906" t="inlineStr">
        <is>
          <t>SÖDERTÄLJE</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23060-2023</t>
        </is>
      </c>
      <c r="B1907" t="inlineStr">
        <is>
          <t>avverkningsanmälan</t>
        </is>
      </c>
      <c r="C1907" t="inlineStr">
        <is>
          <t>Föryngringsavverkning</t>
        </is>
      </c>
      <c r="D1907" s="1" t="n">
        <v>45075</v>
      </c>
      <c r="E1907" s="1" t="n">
        <v>46326</v>
      </c>
      <c r="F1907" t="inlineStr">
        <is>
          <t>STOCKHOLMS LÄN</t>
        </is>
      </c>
      <c r="G1907" t="inlineStr">
        <is>
          <t>NORRTÄLJE</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32305-2026</t>
        </is>
      </c>
      <c r="B1908" t="inlineStr">
        <is>
          <t>avverkningsanmälan</t>
        </is>
      </c>
      <c r="C1908" t="inlineStr">
        <is>
          <t>Föryngringsavverkning</t>
        </is>
      </c>
      <c r="D1908" s="1" t="n">
        <v>46237</v>
      </c>
      <c r="E1908" s="1" t="n">
        <v>46326</v>
      </c>
      <c r="F1908" t="inlineStr">
        <is>
          <t>STOCKHOLMS LÄN</t>
        </is>
      </c>
      <c r="G1908" t="inlineStr">
        <is>
          <t>NYNÄSHAMN</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32307-2026</t>
        </is>
      </c>
      <c r="B1909" t="inlineStr">
        <is>
          <t>avverkningsanmälan</t>
        </is>
      </c>
      <c r="C1909" t="inlineStr">
        <is>
          <t>Föryngringsavverkning</t>
        </is>
      </c>
      <c r="D1909" s="1" t="n">
        <v>46237</v>
      </c>
      <c r="E1909" s="1" t="n">
        <v>46326</v>
      </c>
      <c r="F1909" t="inlineStr">
        <is>
          <t>STOCKHOLMS LÄN</t>
        </is>
      </c>
      <c r="G1909" t="inlineStr">
        <is>
          <t>NYNÄSHAMN</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32569-2026</t>
        </is>
      </c>
      <c r="B1910" t="inlineStr">
        <is>
          <t>avverkningsanmälan</t>
        </is>
      </c>
      <c r="C1910" t="inlineStr">
        <is>
          <t>Föryngringsavverkning</t>
        </is>
      </c>
      <c r="D1910" s="1" t="n">
        <v>46239</v>
      </c>
      <c r="E1910" s="1" t="n">
        <v>46326</v>
      </c>
      <c r="F1910" t="inlineStr">
        <is>
          <t>STOCKHOLMS LÄN</t>
        </is>
      </c>
      <c r="G1910" t="inlineStr">
        <is>
          <t>NORRTÄLJE</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6401-2024</t>
        </is>
      </c>
      <c r="B1911" t="inlineStr">
        <is>
          <t>avverkningsanmälan</t>
        </is>
      </c>
      <c r="C1911" t="inlineStr">
        <is>
          <t>Föryngringsavverkning</t>
        </is>
      </c>
      <c r="D1911" s="1" t="n">
        <v>45338</v>
      </c>
      <c r="E1911" s="1" t="n">
        <v>46326</v>
      </c>
      <c r="F1911" t="inlineStr">
        <is>
          <t>STOCKHOLMS LÄN</t>
        </is>
      </c>
      <c r="G1911" t="inlineStr">
        <is>
          <t>NORRTÄLJE</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32458-2026</t>
        </is>
      </c>
      <c r="B1912" t="inlineStr">
        <is>
          <t>avverkningsanmälan</t>
        </is>
      </c>
      <c r="C1912" t="inlineStr">
        <is>
          <t>Föryngringsavverkning</t>
        </is>
      </c>
      <c r="D1912" s="1" t="n">
        <v>46239</v>
      </c>
      <c r="E1912" s="1" t="n">
        <v>46326</v>
      </c>
      <c r="F1912" t="inlineStr">
        <is>
          <t>STOCKHOLMS LÄN</t>
        </is>
      </c>
      <c r="G1912" t="inlineStr">
        <is>
          <t>NORRTÄLJE</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59504-2023</t>
        </is>
      </c>
      <c r="B1913" t="inlineStr">
        <is>
          <t>avverkningsanmälan</t>
        </is>
      </c>
      <c r="C1913" t="inlineStr">
        <is>
          <t>Avverkning för annat ändamål</t>
        </is>
      </c>
      <c r="D1913" s="1" t="n">
        <v>45254</v>
      </c>
      <c r="E1913" s="1" t="n">
        <v>46326</v>
      </c>
      <c r="F1913" t="inlineStr">
        <is>
          <t>STOCKHOLMS LÄN</t>
        </is>
      </c>
      <c r="G1913" t="inlineStr">
        <is>
          <t>NORRTÄLJE</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17304-2024</t>
        </is>
      </c>
      <c r="B1914" t="inlineStr">
        <is>
          <t>avverkningsanmälan</t>
        </is>
      </c>
      <c r="C1914" t="inlineStr">
        <is>
          <t>Avverkning för annat ändamål</t>
        </is>
      </c>
      <c r="D1914" s="1" t="n">
        <v>45414</v>
      </c>
      <c r="E1914" s="1" t="n">
        <v>46326</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39163-2026</t>
        </is>
      </c>
      <c r="B1915" t="inlineStr">
        <is>
          <t>avverkningsanmälan</t>
        </is>
      </c>
      <c r="C1915" t="inlineStr">
        <is>
          <t>Föryngringsavverkning</t>
        </is>
      </c>
      <c r="D1915" s="1" t="n">
        <v>46287</v>
      </c>
      <c r="E1915" s="1" t="n">
        <v>46326</v>
      </c>
      <c r="F1915" t="inlineStr">
        <is>
          <t>STOCKHOLMS LÄN</t>
        </is>
      </c>
      <c r="G1915" t="inlineStr">
        <is>
          <t>VALLENTUNA</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3827-2022</t>
        </is>
      </c>
      <c r="B1916" t="inlineStr">
        <is>
          <t>avverkningsanmälan</t>
        </is>
      </c>
      <c r="C1916" t="inlineStr">
        <is>
          <t>Föryngringsavverkning</t>
        </is>
      </c>
      <c r="D1916" s="1" t="n">
        <v>44587</v>
      </c>
      <c r="E1916" s="1" t="n">
        <v>46326</v>
      </c>
      <c r="F1916" t="inlineStr">
        <is>
          <t>STOCKHOLMS LÄN</t>
        </is>
      </c>
      <c r="G1916" t="inlineStr">
        <is>
          <t>VÄRMDÖ</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51770-2023</t>
        </is>
      </c>
      <c r="B1917" t="inlineStr">
        <is>
          <t>avverkningsanmälan</t>
        </is>
      </c>
      <c r="C1917" t="inlineStr">
        <is>
          <t>Föryngringsavverkning</t>
        </is>
      </c>
      <c r="D1917" s="1" t="n">
        <v>45222</v>
      </c>
      <c r="E1917" s="1" t="n">
        <v>46326</v>
      </c>
      <c r="F1917" t="inlineStr">
        <is>
          <t>STOCKHOLMS LÄN</t>
        </is>
      </c>
      <c r="G1917" t="inlineStr">
        <is>
          <t>SIGTUNA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32795-2026</t>
        </is>
      </c>
      <c r="B1918" t="inlineStr">
        <is>
          <t>avverkningsanmälan</t>
        </is>
      </c>
      <c r="C1918" t="inlineStr">
        <is>
          <t>Föryngringsavverkning</t>
        </is>
      </c>
      <c r="D1918" s="1" t="n">
        <v>46241</v>
      </c>
      <c r="E1918" s="1" t="n">
        <v>46326</v>
      </c>
      <c r="F1918" t="inlineStr">
        <is>
          <t>STOCKHOLMS LÄN</t>
        </is>
      </c>
      <c r="G1918" t="inlineStr">
        <is>
          <t>NORRTÄLJE</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52963-2022</t>
        </is>
      </c>
      <c r="B1919" t="inlineStr">
        <is>
          <t>avverkningsanmälan</t>
        </is>
      </c>
      <c r="C1919" t="inlineStr">
        <is>
          <t>Föryngringsavverkning</t>
        </is>
      </c>
      <c r="D1919" s="1" t="n">
        <v>44875</v>
      </c>
      <c r="E1919" s="1" t="n">
        <v>46326</v>
      </c>
      <c r="F1919" t="inlineStr">
        <is>
          <t>STOCKHOLMS LÄN</t>
        </is>
      </c>
      <c r="G1919" t="inlineStr">
        <is>
          <t>NYKVARN</t>
        </is>
      </c>
      <c r="H1919" t="inlineStr">
        <is>
          <t>Allmännings- och besparingsskogar</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20370-2025</t>
        </is>
      </c>
      <c r="B1920" t="inlineStr">
        <is>
          <t>avverkningsanmälan</t>
        </is>
      </c>
      <c r="C1920" t="inlineStr">
        <is>
          <t>Föryngringsavverkning</t>
        </is>
      </c>
      <c r="D1920" s="1" t="n">
        <v>45775</v>
      </c>
      <c r="E1920" s="1" t="n">
        <v>46326</v>
      </c>
      <c r="F1920" t="inlineStr">
        <is>
          <t>STOCKHOLMS LÄN</t>
        </is>
      </c>
      <c r="G1920" t="inlineStr">
        <is>
          <t>NORRTÄLJE</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19580-2022</t>
        </is>
      </c>
      <c r="B1921" t="inlineStr">
        <is>
          <t>avverkningsanmälan</t>
        </is>
      </c>
      <c r="C1921" t="inlineStr">
        <is>
          <t>Föryngringsavverkning</t>
        </is>
      </c>
      <c r="D1921" s="1" t="n">
        <v>44693</v>
      </c>
      <c r="E1921" s="1" t="n">
        <v>46326</v>
      </c>
      <c r="F1921" t="inlineStr">
        <is>
          <t>STOCKHOLMS LÄN</t>
        </is>
      </c>
      <c r="G1921" t="inlineStr">
        <is>
          <t>NORRTÄLJE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35356-2023</t>
        </is>
      </c>
      <c r="B1922" t="inlineStr">
        <is>
          <t>avverkningsanmälan</t>
        </is>
      </c>
      <c r="C1922" t="inlineStr">
        <is>
          <t>Föryngringsavverkning</t>
        </is>
      </c>
      <c r="D1922" s="1" t="n">
        <v>45146</v>
      </c>
      <c r="E1922" s="1" t="n">
        <v>46326</v>
      </c>
      <c r="F1922" t="inlineStr">
        <is>
          <t>STOCKHOLMS LÄN</t>
        </is>
      </c>
      <c r="G1922" t="inlineStr">
        <is>
          <t>NYNÄSHAMN</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19356-2025</t>
        </is>
      </c>
      <c r="B1923" t="inlineStr">
        <is>
          <t>avverkningsanmälan</t>
        </is>
      </c>
      <c r="C1923" t="inlineStr">
        <is>
          <t>Föryngringsavverkning</t>
        </is>
      </c>
      <c r="D1923" s="1" t="n">
        <v>45769</v>
      </c>
      <c r="E1923" s="1" t="n">
        <v>46326</v>
      </c>
      <c r="F1923" t="inlineStr">
        <is>
          <t>STOCKHOLMS LÄN</t>
        </is>
      </c>
      <c r="G1923" t="inlineStr">
        <is>
          <t>VALLENTUNA</t>
        </is>
      </c>
      <c r="H1923" t="inlineStr">
        <is>
          <t>Övriga Aktiebolag</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60755-2024</t>
        </is>
      </c>
      <c r="B1924" t="inlineStr">
        <is>
          <t>avverkningsanmälan</t>
        </is>
      </c>
      <c r="C1924" t="inlineStr">
        <is>
          <t>Föryngringsavverkning</t>
        </is>
      </c>
      <c r="D1924" s="1" t="n">
        <v>45644</v>
      </c>
      <c r="E1924" s="1" t="n">
        <v>46326</v>
      </c>
      <c r="F1924" t="inlineStr">
        <is>
          <t>STOCKHOLMS LÄN</t>
        </is>
      </c>
      <c r="G1924" t="inlineStr">
        <is>
          <t>EKERÖ</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31057-2022</t>
        </is>
      </c>
      <c r="B1925" t="inlineStr">
        <is>
          <t>avverkningsanmälan</t>
        </is>
      </c>
      <c r="C1925" t="inlineStr">
        <is>
          <t>Föryngringsavverkning</t>
        </is>
      </c>
      <c r="D1925" s="1" t="n">
        <v>44769</v>
      </c>
      <c r="E1925" s="1" t="n">
        <v>46326</v>
      </c>
      <c r="F1925" t="inlineStr">
        <is>
          <t>STOCKHOLMS LÄN</t>
        </is>
      </c>
      <c r="G1925" t="inlineStr">
        <is>
          <t>NORRTÄLJE</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64107-2023</t>
        </is>
      </c>
      <c r="B1926" t="inlineStr">
        <is>
          <t>avverkningsanmälan</t>
        </is>
      </c>
      <c r="C1926" t="inlineStr">
        <is>
          <t>Föryngringsavverkning</t>
        </is>
      </c>
      <c r="D1926" s="1" t="n">
        <v>45279</v>
      </c>
      <c r="E1926" s="1" t="n">
        <v>46326</v>
      </c>
      <c r="F1926" t="inlineStr">
        <is>
          <t>STOCKHOLMS LÄN</t>
        </is>
      </c>
      <c r="G1926" t="inlineStr">
        <is>
          <t>UPPLANDS-BRO</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32840-2026</t>
        </is>
      </c>
      <c r="B1927" t="inlineStr">
        <is>
          <t>avverkningsanmälan</t>
        </is>
      </c>
      <c r="C1927" t="inlineStr">
        <is>
          <t>Föryngringsavverkning</t>
        </is>
      </c>
      <c r="D1927" s="1" t="n">
        <v>46244</v>
      </c>
      <c r="E1927" s="1" t="n">
        <v>46326</v>
      </c>
      <c r="F1927" t="inlineStr">
        <is>
          <t>STOCKHOLMS LÄN</t>
        </is>
      </c>
      <c r="G1927" t="inlineStr">
        <is>
          <t>NYNÄSHAMN</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11950-2025</t>
        </is>
      </c>
      <c r="B1928" t="inlineStr">
        <is>
          <t>avverkningsanmälan</t>
        </is>
      </c>
      <c r="C1928" t="inlineStr">
        <is>
          <t>Föryngringsavverkning</t>
        </is>
      </c>
      <c r="D1928" s="1" t="n">
        <v>45728</v>
      </c>
      <c r="E1928" s="1" t="n">
        <v>46326</v>
      </c>
      <c r="F1928" t="inlineStr">
        <is>
          <t>STOCKHOLMS LÄN</t>
        </is>
      </c>
      <c r="G1928" t="inlineStr">
        <is>
          <t>VALLENTUNA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31684-2022</t>
        </is>
      </c>
      <c r="B1929" t="inlineStr">
        <is>
          <t>avverkningsanmälan</t>
        </is>
      </c>
      <c r="C1929" t="inlineStr">
        <is>
          <t>Avverkning för att bevara och utveckla /försöksver</t>
        </is>
      </c>
      <c r="D1929" s="1" t="n">
        <v>44776</v>
      </c>
      <c r="E1929" s="1" t="n">
        <v>46326</v>
      </c>
      <c r="F1929" t="inlineStr">
        <is>
          <t>STOCKHOLMS LÄN</t>
        </is>
      </c>
      <c r="G1929" t="inlineStr">
        <is>
          <t>SIGTUNA</t>
        </is>
      </c>
      <c r="H1929" t="inlineStr">
        <is>
          <t>Kommuner</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31149-2023</t>
        </is>
      </c>
      <c r="B1930" t="inlineStr">
        <is>
          <t>avverkningsanmälan</t>
        </is>
      </c>
      <c r="C1930" t="inlineStr">
        <is>
          <t>Föryngringsavverkning</t>
        </is>
      </c>
      <c r="D1930" s="1" t="n">
        <v>45113</v>
      </c>
      <c r="E1930" s="1" t="n">
        <v>46326</v>
      </c>
      <c r="F1930" t="inlineStr">
        <is>
          <t>STOCKHOLMS LÄN</t>
        </is>
      </c>
      <c r="G1930" t="inlineStr">
        <is>
          <t>NORRTÄLJE</t>
        </is>
      </c>
      <c r="I1930" t="n">
        <v>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32486-2026</t>
        </is>
      </c>
      <c r="B1931" t="inlineStr">
        <is>
          <t>avverkningsanmälan</t>
        </is>
      </c>
      <c r="C1931" t="inlineStr">
        <is>
          <t>Föryngringsavverkning</t>
        </is>
      </c>
      <c r="D1931" s="1" t="n">
        <v>46239</v>
      </c>
      <c r="E1931" s="1" t="n">
        <v>46326</v>
      </c>
      <c r="F1931" t="inlineStr">
        <is>
          <t>STOCKHOLMS LÄN</t>
        </is>
      </c>
      <c r="G1931" t="inlineStr">
        <is>
          <t>HANINGE</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33154-2026</t>
        </is>
      </c>
      <c r="B1932" t="inlineStr">
        <is>
          <t>avverkningsanmälan</t>
        </is>
      </c>
      <c r="C1932" t="inlineStr">
        <is>
          <t>Föryngringsavverkning</t>
        </is>
      </c>
      <c r="D1932" s="1" t="n">
        <v>46244</v>
      </c>
      <c r="E1932" s="1" t="n">
        <v>46326</v>
      </c>
      <c r="F1932" t="inlineStr">
        <is>
          <t>STOCKHOLMS LÄN</t>
        </is>
      </c>
      <c r="G1932" t="inlineStr">
        <is>
          <t>EKERÖ</t>
        </is>
      </c>
      <c r="H1932" t="inlineStr">
        <is>
          <t>Övriga statliga verk och myndigheter</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4658-2024</t>
        </is>
      </c>
      <c r="B1933" t="inlineStr">
        <is>
          <t>avverkningsanmälan</t>
        </is>
      </c>
      <c r="C1933" t="inlineStr">
        <is>
          <t>Föryngringsavverkning</t>
        </is>
      </c>
      <c r="D1933" s="1" t="n">
        <v>45328</v>
      </c>
      <c r="E1933" s="1" t="n">
        <v>46326</v>
      </c>
      <c r="F1933" t="inlineStr">
        <is>
          <t>STOCKHOLMS LÄN</t>
        </is>
      </c>
      <c r="G1933" t="inlineStr">
        <is>
          <t>NORRTÄLJE</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35966-2024</t>
        </is>
      </c>
      <c r="B1934" t="inlineStr">
        <is>
          <t>avverkningsanmälan</t>
        </is>
      </c>
      <c r="C1934" t="inlineStr">
        <is>
          <t>Föryngringsavverkning</t>
        </is>
      </c>
      <c r="D1934" s="1" t="n">
        <v>45533</v>
      </c>
      <c r="E1934" s="1" t="n">
        <v>46326</v>
      </c>
      <c r="F1934" t="inlineStr">
        <is>
          <t>STOCKHOLMS LÄN</t>
        </is>
      </c>
      <c r="G1934" t="inlineStr">
        <is>
          <t>SIGTUNA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39421-2026</t>
        </is>
      </c>
      <c r="B1935" t="inlineStr">
        <is>
          <t>avverkningsanmälan</t>
        </is>
      </c>
      <c r="C1935" t="inlineStr">
        <is>
          <t>Föryngringsavverkning</t>
        </is>
      </c>
      <c r="D1935" s="1" t="n">
        <v>46288</v>
      </c>
      <c r="E1935" s="1" t="n">
        <v>46326</v>
      </c>
      <c r="F1935" t="inlineStr">
        <is>
          <t>STOCKHOLMS LÄN</t>
        </is>
      </c>
      <c r="G1935" t="inlineStr">
        <is>
          <t>NORRTÄLJE</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39423-2026</t>
        </is>
      </c>
      <c r="B1936" t="inlineStr">
        <is>
          <t>avverkningsanmälan</t>
        </is>
      </c>
      <c r="C1936" t="inlineStr">
        <is>
          <t>Föryngringsavverkning</t>
        </is>
      </c>
      <c r="D1936" s="1" t="n">
        <v>46288</v>
      </c>
      <c r="E1936" s="1" t="n">
        <v>46326</v>
      </c>
      <c r="F1936" t="inlineStr">
        <is>
          <t>STOCKHOLMS LÄN</t>
        </is>
      </c>
      <c r="G1936" t="inlineStr">
        <is>
          <t>NORRTÄLJE</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28815-2024</t>
        </is>
      </c>
      <c r="B1937" t="inlineStr">
        <is>
          <t>avverkningsanmälan</t>
        </is>
      </c>
      <c r="C1937" t="inlineStr">
        <is>
          <t>Avverkning för annat ändamål</t>
        </is>
      </c>
      <c r="D1937" s="1" t="n">
        <v>45478</v>
      </c>
      <c r="E1937" s="1" t="n">
        <v>46326</v>
      </c>
      <c r="F1937" t="inlineStr">
        <is>
          <t>STOCKHOLMS LÄN</t>
        </is>
      </c>
      <c r="G1937" t="inlineStr">
        <is>
          <t>VAXHOLM</t>
        </is>
      </c>
      <c r="H1937" t="inlineStr">
        <is>
          <t>Övriga statliga verk och myndigheter</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7112-2025</t>
        </is>
      </c>
      <c r="B1938" t="inlineStr">
        <is>
          <t>avverkningsanmälan</t>
        </is>
      </c>
      <c r="C1938" t="inlineStr">
        <is>
          <t>Föryngringsavverkning</t>
        </is>
      </c>
      <c r="D1938" s="1" t="n">
        <v>45701</v>
      </c>
      <c r="E1938" s="1" t="n">
        <v>46326</v>
      </c>
      <c r="F1938" t="inlineStr">
        <is>
          <t>STOCKHOLMS LÄN</t>
        </is>
      </c>
      <c r="G1938" t="inlineStr">
        <is>
          <t>UPPLANDS-BRO</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33260-2026</t>
        </is>
      </c>
      <c r="B1939" t="inlineStr">
        <is>
          <t>avverkningsanmälan</t>
        </is>
      </c>
      <c r="C1939" t="inlineStr">
        <is>
          <t>Föryngringsavverkning</t>
        </is>
      </c>
      <c r="D1939" s="1" t="n">
        <v>46246</v>
      </c>
      <c r="E1939" s="1" t="n">
        <v>46326</v>
      </c>
      <c r="F1939" t="inlineStr">
        <is>
          <t>STOCKHOLMS LÄN</t>
        </is>
      </c>
      <c r="G1939" t="inlineStr">
        <is>
          <t>NORRTÄLJE</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39692-2026</t>
        </is>
      </c>
      <c r="B1940" t="inlineStr">
        <is>
          <t>avverkningsanmälan</t>
        </is>
      </c>
      <c r="C1940" t="inlineStr">
        <is>
          <t>Föryngringsavverkning</t>
        </is>
      </c>
      <c r="D1940" s="1" t="n">
        <v>46289</v>
      </c>
      <c r="E1940" s="1" t="n">
        <v>46326</v>
      </c>
      <c r="F1940" t="inlineStr">
        <is>
          <t>STOCKHOLMS LÄN</t>
        </is>
      </c>
      <c r="G1940" t="inlineStr">
        <is>
          <t>NORRTÄLJE</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14489-2024</t>
        </is>
      </c>
      <c r="B1941" t="inlineStr">
        <is>
          <t>avverkningsanmälan</t>
        </is>
      </c>
      <c r="C1941" t="inlineStr">
        <is>
          <t>Föryngringsavverkning</t>
        </is>
      </c>
      <c r="D1941" s="1" t="n">
        <v>45394</v>
      </c>
      <c r="E1941" s="1" t="n">
        <v>46326</v>
      </c>
      <c r="F1941" t="inlineStr">
        <is>
          <t>STOCKHOLMS LÄN</t>
        </is>
      </c>
      <c r="G1941" t="inlineStr">
        <is>
          <t>VALLENTUNA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7571-2024</t>
        </is>
      </c>
      <c r="B1942" t="inlineStr">
        <is>
          <t>avverkningsanmälan</t>
        </is>
      </c>
      <c r="C1942" t="inlineStr">
        <is>
          <t>Föryngringsavverkning</t>
        </is>
      </c>
      <c r="D1942" s="1" t="n">
        <v>45348</v>
      </c>
      <c r="E1942" s="1" t="n">
        <v>46326</v>
      </c>
      <c r="F1942" t="inlineStr">
        <is>
          <t>STOCKHOLMS LÄN</t>
        </is>
      </c>
      <c r="G1942" t="inlineStr">
        <is>
          <t>NORRTÄLJE</t>
        </is>
      </c>
      <c r="H1942" t="inlineStr">
        <is>
          <t>Holmen skog AB</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33058-2026</t>
        </is>
      </c>
      <c r="B1943" t="inlineStr">
        <is>
          <t>avverkningsanmälan</t>
        </is>
      </c>
      <c r="C1943" t="inlineStr">
        <is>
          <t>Avverkning för att bevara och utveckla /försöksver</t>
        </is>
      </c>
      <c r="D1943" s="1" t="n">
        <v>46245</v>
      </c>
      <c r="E1943" s="1" t="n">
        <v>46326</v>
      </c>
      <c r="F1943" t="inlineStr">
        <is>
          <t>STOCKHOLMS LÄN</t>
        </is>
      </c>
      <c r="G1943" t="inlineStr">
        <is>
          <t>UPPLANDS-BRO</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33060-2026</t>
        </is>
      </c>
      <c r="B1944" t="inlineStr">
        <is>
          <t>avverkningsanmälan</t>
        </is>
      </c>
      <c r="C1944" t="inlineStr">
        <is>
          <t>Föryngringsavverkning</t>
        </is>
      </c>
      <c r="D1944" s="1" t="n">
        <v>46245</v>
      </c>
      <c r="E1944" s="1" t="n">
        <v>46326</v>
      </c>
      <c r="F1944" t="inlineStr">
        <is>
          <t>STOCKHOLMS LÄN</t>
        </is>
      </c>
      <c r="G1944" t="inlineStr">
        <is>
          <t>NYNÄSHAMN</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39691-2026</t>
        </is>
      </c>
      <c r="B1945" t="inlineStr">
        <is>
          <t>avverkningsanmälan</t>
        </is>
      </c>
      <c r="C1945" t="inlineStr">
        <is>
          <t>Föryngringsavverkning</t>
        </is>
      </c>
      <c r="D1945" s="1" t="n">
        <v>46289</v>
      </c>
      <c r="E1945" s="1" t="n">
        <v>46326</v>
      </c>
      <c r="F1945" t="inlineStr">
        <is>
          <t>STOCKHOLMS LÄN</t>
        </is>
      </c>
      <c r="G1945" t="inlineStr">
        <is>
          <t>NORRTÄLJE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39693-2026</t>
        </is>
      </c>
      <c r="B1946" t="inlineStr">
        <is>
          <t>avverkningsanmälan</t>
        </is>
      </c>
      <c r="C1946" t="inlineStr">
        <is>
          <t>Föryngringsavverkning</t>
        </is>
      </c>
      <c r="D1946" s="1" t="n">
        <v>46289</v>
      </c>
      <c r="E1946" s="1" t="n">
        <v>46326</v>
      </c>
      <c r="F1946" t="inlineStr">
        <is>
          <t>STOCKHOLMS LÄN</t>
        </is>
      </c>
      <c r="G1946" t="inlineStr">
        <is>
          <t>NORRTÄLJE</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39694-2026</t>
        </is>
      </c>
      <c r="B1947" t="inlineStr">
        <is>
          <t>avverkningsanmälan</t>
        </is>
      </c>
      <c r="C1947" t="inlineStr">
        <is>
          <t>Föryngringsavverkning</t>
        </is>
      </c>
      <c r="D1947" s="1" t="n">
        <v>46289</v>
      </c>
      <c r="E1947" s="1" t="n">
        <v>46326</v>
      </c>
      <c r="F1947" t="inlineStr">
        <is>
          <t>STOCKHOLMS LÄN</t>
        </is>
      </c>
      <c r="G1947" t="inlineStr">
        <is>
          <t>NORRTÄLJE</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33067-2026</t>
        </is>
      </c>
      <c r="B1948" t="inlineStr">
        <is>
          <t>avverkningsanmälan</t>
        </is>
      </c>
      <c r="C1948" t="inlineStr">
        <is>
          <t>Föryngringsavverkning</t>
        </is>
      </c>
      <c r="D1948" s="1" t="n">
        <v>46245</v>
      </c>
      <c r="E1948" s="1" t="n">
        <v>46326</v>
      </c>
      <c r="F1948" t="inlineStr">
        <is>
          <t>STOCKHOLMS LÄN</t>
        </is>
      </c>
      <c r="G1948" t="inlineStr">
        <is>
          <t>NYNÄSHAMN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38902-2024</t>
        </is>
      </c>
      <c r="B1949" t="inlineStr">
        <is>
          <t>avverkningsanmälan</t>
        </is>
      </c>
      <c r="C1949" t="inlineStr">
        <is>
          <t>Föryngringsavverkning</t>
        </is>
      </c>
      <c r="D1949" s="1" t="n">
        <v>45547</v>
      </c>
      <c r="E1949" s="1" t="n">
        <v>46326</v>
      </c>
      <c r="F1949" t="inlineStr">
        <is>
          <t>STOCKHOLMS LÄN</t>
        </is>
      </c>
      <c r="G1949" t="inlineStr">
        <is>
          <t>UPPLANDS-BRO</t>
        </is>
      </c>
      <c r="H1949" t="inlineStr">
        <is>
          <t>Övriga statliga verk och myndigheter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45499-2023</t>
        </is>
      </c>
      <c r="B1950" t="inlineStr">
        <is>
          <t>avverkningsanmälan</t>
        </is>
      </c>
      <c r="C1950" t="inlineStr">
        <is>
          <t>Föryngringsavverkning</t>
        </is>
      </c>
      <c r="D1950" s="1" t="n">
        <v>45194</v>
      </c>
      <c r="E1950" s="1" t="n">
        <v>46326</v>
      </c>
      <c r="F1950" t="inlineStr">
        <is>
          <t>STOCKHOLMS LÄN</t>
        </is>
      </c>
      <c r="G1950" t="inlineStr">
        <is>
          <t>VALLENTUNA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23367-2024</t>
        </is>
      </c>
      <c r="B1951" t="inlineStr">
        <is>
          <t>avverkningsanmälan</t>
        </is>
      </c>
      <c r="C1951" t="inlineStr">
        <is>
          <t>Avverkning för annat ändamål</t>
        </is>
      </c>
      <c r="D1951" s="1" t="n">
        <v>45453</v>
      </c>
      <c r="E1951" s="1" t="n">
        <v>46326</v>
      </c>
      <c r="F1951" t="inlineStr">
        <is>
          <t>STOCKHOLMS LÄN</t>
        </is>
      </c>
      <c r="G1951" t="inlineStr">
        <is>
          <t>SÖDERTÄLJE</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3890-2025</t>
        </is>
      </c>
      <c r="B1952" t="inlineStr">
        <is>
          <t>avverkningsanmälan</t>
        </is>
      </c>
      <c r="C1952" t="inlineStr">
        <is>
          <t>Föryngringsavverkning</t>
        </is>
      </c>
      <c r="D1952" s="1" t="n">
        <v>45684</v>
      </c>
      <c r="E1952" s="1" t="n">
        <v>46326</v>
      </c>
      <c r="F1952" t="inlineStr">
        <is>
          <t>STOCKHOLMS LÄN</t>
        </is>
      </c>
      <c r="G1952" t="inlineStr">
        <is>
          <t>SIGTUNA</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9891-2025</t>
        </is>
      </c>
      <c r="B1953" t="inlineStr">
        <is>
          <t>avverkningsanmälan</t>
        </is>
      </c>
      <c r="C1953" t="inlineStr">
        <is>
          <t>Föryngringsavverkning</t>
        </is>
      </c>
      <c r="D1953" s="1" t="n">
        <v>45716</v>
      </c>
      <c r="E1953" s="1" t="n">
        <v>46326</v>
      </c>
      <c r="F1953" t="inlineStr">
        <is>
          <t>STOCKHOLMS LÄN</t>
        </is>
      </c>
      <c r="G1953" t="inlineStr">
        <is>
          <t>SÖDERTÄLJE</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33063-2026</t>
        </is>
      </c>
      <c r="B1954" t="inlineStr">
        <is>
          <t>avverkningsanmälan</t>
        </is>
      </c>
      <c r="C1954" t="inlineStr">
        <is>
          <t>Föryngringsavverkning</t>
        </is>
      </c>
      <c r="D1954" s="1" t="n">
        <v>46245</v>
      </c>
      <c r="E1954" s="1" t="n">
        <v>46326</v>
      </c>
      <c r="F1954" t="inlineStr">
        <is>
          <t>STOCKHOLMS LÄN</t>
        </is>
      </c>
      <c r="G1954" t="inlineStr">
        <is>
          <t>NYNÄSHAMN</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10073-2024</t>
        </is>
      </c>
      <c r="B1955" t="inlineStr">
        <is>
          <t>avverkningsanmälan</t>
        </is>
      </c>
      <c r="C1955" t="inlineStr">
        <is>
          <t>Föryngringsavverkning</t>
        </is>
      </c>
      <c r="D1955" s="1" t="n">
        <v>45364</v>
      </c>
      <c r="E1955" s="1" t="n">
        <v>46326</v>
      </c>
      <c r="F1955" t="inlineStr">
        <is>
          <t>STOCKHOLMS LÄN</t>
        </is>
      </c>
      <c r="G1955" t="inlineStr">
        <is>
          <t>VALLENTUNA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43158-2024</t>
        </is>
      </c>
      <c r="B1956" t="inlineStr">
        <is>
          <t>avverkningsanmälan</t>
        </is>
      </c>
      <c r="C1956" t="inlineStr">
        <is>
          <t>Föryngringsavverkning</t>
        </is>
      </c>
      <c r="D1956" s="1" t="n">
        <v>45567</v>
      </c>
      <c r="E1956" s="1" t="n">
        <v>46326</v>
      </c>
      <c r="F1956" t="inlineStr">
        <is>
          <t>STOCKHOLMS LÄN</t>
        </is>
      </c>
      <c r="G1956" t="inlineStr">
        <is>
          <t>SIGTUNA</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3152-2024</t>
        </is>
      </c>
      <c r="B1957" t="inlineStr">
        <is>
          <t>avverkningsanmälan</t>
        </is>
      </c>
      <c r="C1957" t="inlineStr">
        <is>
          <t>Föryngringsavverkning</t>
        </is>
      </c>
      <c r="D1957" s="1" t="n">
        <v>45316</v>
      </c>
      <c r="E1957" s="1" t="n">
        <v>46326</v>
      </c>
      <c r="F1957" t="inlineStr">
        <is>
          <t>STOCKHOLMS LÄN</t>
        </is>
      </c>
      <c r="G1957" t="inlineStr">
        <is>
          <t>NORRTÄLJE</t>
        </is>
      </c>
      <c r="I1957" t="n">
        <v>7.9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59326-2023</t>
        </is>
      </c>
      <c r="B1958" t="inlineStr">
        <is>
          <t>avverkningsanmälan</t>
        </is>
      </c>
      <c r="C1958" t="inlineStr">
        <is>
          <t>Föryngringsavverkning</t>
        </is>
      </c>
      <c r="D1958" s="1" t="n">
        <v>45253</v>
      </c>
      <c r="E1958" s="1" t="n">
        <v>46326</v>
      </c>
      <c r="F1958" t="inlineStr">
        <is>
          <t>STOCKHOLMS LÄN</t>
        </is>
      </c>
      <c r="G1958" t="inlineStr">
        <is>
          <t>NORRTÄLJE</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44836-2023</t>
        </is>
      </c>
      <c r="B1959" t="inlineStr">
        <is>
          <t>avverkningsanmälan</t>
        </is>
      </c>
      <c r="C1959" t="inlineStr">
        <is>
          <t>Föryngringsavverkning</t>
        </is>
      </c>
      <c r="D1959" s="1" t="n">
        <v>45190</v>
      </c>
      <c r="E1959" s="1" t="n">
        <v>46326</v>
      </c>
      <c r="F1959" t="inlineStr">
        <is>
          <t>STOCKHOLMS LÄN</t>
        </is>
      </c>
      <c r="G1959" t="inlineStr">
        <is>
          <t>NORRTÄLJE</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24946-2024</t>
        </is>
      </c>
      <c r="B1960" t="inlineStr">
        <is>
          <t>avverkningsanmälan</t>
        </is>
      </c>
      <c r="C1960" t="inlineStr">
        <is>
          <t>Föryngringsavverkning</t>
        </is>
      </c>
      <c r="D1960" s="1" t="n">
        <v>45461</v>
      </c>
      <c r="E1960" s="1" t="n">
        <v>46326</v>
      </c>
      <c r="F1960" t="inlineStr">
        <is>
          <t>STOCKHOLMS LÄN</t>
        </is>
      </c>
      <c r="G1960" t="inlineStr">
        <is>
          <t>SIGTUNA</t>
        </is>
      </c>
      <c r="I1960" t="n">
        <v>12.5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12621-2024</t>
        </is>
      </c>
      <c r="B1961" t="inlineStr">
        <is>
          <t>avverkningsanmälan</t>
        </is>
      </c>
      <c r="C1961" t="inlineStr">
        <is>
          <t>Föryngringsavverkning</t>
        </is>
      </c>
      <c r="D1961" s="1" t="n">
        <v>45383</v>
      </c>
      <c r="E1961" s="1" t="n">
        <v>46326</v>
      </c>
      <c r="F1961" t="inlineStr">
        <is>
          <t>STOCKHOLMS LÄN</t>
        </is>
      </c>
      <c r="G1961" t="inlineStr">
        <is>
          <t>VALLENTUNA</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33431-2026</t>
        </is>
      </c>
      <c r="B1962" t="inlineStr">
        <is>
          <t>avverkningsanmälan</t>
        </is>
      </c>
      <c r="C1962" t="inlineStr">
        <is>
          <t>Föryngringsavverkning</t>
        </is>
      </c>
      <c r="D1962" s="1" t="n">
        <v>46247</v>
      </c>
      <c r="E1962" s="1" t="n">
        <v>46326</v>
      </c>
      <c r="F1962" t="inlineStr">
        <is>
          <t>STOCKHOLMS LÄN</t>
        </is>
      </c>
      <c r="G1962" t="inlineStr">
        <is>
          <t>NORRTÄLJE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33433-2026</t>
        </is>
      </c>
      <c r="B1963" t="inlineStr">
        <is>
          <t>avverkningsanmälan</t>
        </is>
      </c>
      <c r="C1963" t="inlineStr">
        <is>
          <t>Föryngringsavverkning</t>
        </is>
      </c>
      <c r="D1963" s="1" t="n">
        <v>46247</v>
      </c>
      <c r="E1963" s="1" t="n">
        <v>46326</v>
      </c>
      <c r="F1963" t="inlineStr">
        <is>
          <t>STOCKHOLMS LÄN</t>
        </is>
      </c>
      <c r="G1963" t="inlineStr">
        <is>
          <t>NORRTÄLJE</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21771-2025</t>
        </is>
      </c>
      <c r="B1964" t="inlineStr">
        <is>
          <t>avverkningsanmälan</t>
        </is>
      </c>
      <c r="C1964" t="inlineStr">
        <is>
          <t>Avverkning för annat ändamål</t>
        </is>
      </c>
      <c r="D1964" s="1" t="n">
        <v>45783</v>
      </c>
      <c r="E1964" s="1" t="n">
        <v>46326</v>
      </c>
      <c r="F1964" t="inlineStr">
        <is>
          <t>STOCKHOLMS LÄN</t>
        </is>
      </c>
      <c r="G1964" t="inlineStr">
        <is>
          <t>NORRTÄLJE</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21726-2025</t>
        </is>
      </c>
      <c r="B1965" t="inlineStr">
        <is>
          <t>avverkningsanmälan</t>
        </is>
      </c>
      <c r="C1965" t="inlineStr">
        <is>
          <t>Föryngringsavverkning</t>
        </is>
      </c>
      <c r="D1965" s="1" t="n">
        <v>45783</v>
      </c>
      <c r="E1965" s="1" t="n">
        <v>46326</v>
      </c>
      <c r="F1965" t="inlineStr">
        <is>
          <t>STOCKHOLMS LÄN</t>
        </is>
      </c>
      <c r="G1965" t="inlineStr">
        <is>
          <t>SÖDERTÄLJE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38720-2026</t>
        </is>
      </c>
      <c r="B1966" t="inlineStr">
        <is>
          <t>avverkningsanmälan</t>
        </is>
      </c>
      <c r="C1966" t="inlineStr">
        <is>
          <t>Föryngringsavverkning</t>
        </is>
      </c>
      <c r="D1966" s="1" t="n">
        <v>46284</v>
      </c>
      <c r="E1966" s="1" t="n">
        <v>46326</v>
      </c>
      <c r="F1966" t="inlineStr">
        <is>
          <t>STOCKHOLMS LÄN</t>
        </is>
      </c>
      <c r="G1966" t="inlineStr">
        <is>
          <t>NORRTÄLJE</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21778-2025</t>
        </is>
      </c>
      <c r="B1967" t="inlineStr">
        <is>
          <t>avverkningsanmälan</t>
        </is>
      </c>
      <c r="C1967" t="inlineStr">
        <is>
          <t>Föryngringsavverkning</t>
        </is>
      </c>
      <c r="D1967" s="1" t="n">
        <v>45783</v>
      </c>
      <c r="E1967" s="1" t="n">
        <v>46326</v>
      </c>
      <c r="F1967" t="inlineStr">
        <is>
          <t>STOCKHOLMS LÄN</t>
        </is>
      </c>
      <c r="G1967" t="inlineStr">
        <is>
          <t>NORRTÄLJE</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21513-2025</t>
        </is>
      </c>
      <c r="B1968" t="inlineStr">
        <is>
          <t>avverkningsanmälan</t>
        </is>
      </c>
      <c r="C1968" t="inlineStr">
        <is>
          <t>Föryngringsavverkning</t>
        </is>
      </c>
      <c r="D1968" s="1" t="n">
        <v>45782</v>
      </c>
      <c r="E1968" s="1" t="n">
        <v>46326</v>
      </c>
      <c r="F1968" t="inlineStr">
        <is>
          <t>STOCKHOLMS LÄN</t>
        </is>
      </c>
      <c r="G1968" t="inlineStr">
        <is>
          <t>SIGTUNA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33421-2026</t>
        </is>
      </c>
      <c r="B1969" t="inlineStr">
        <is>
          <t>avverkningsanmälan</t>
        </is>
      </c>
      <c r="C1969" t="inlineStr">
        <is>
          <t>Föryngringsavverkning</t>
        </is>
      </c>
      <c r="D1969" s="1" t="n">
        <v>46247</v>
      </c>
      <c r="E1969" s="1" t="n">
        <v>46326</v>
      </c>
      <c r="F1969" t="inlineStr">
        <is>
          <t>STOCKHOLMS LÄN</t>
        </is>
      </c>
      <c r="G1969" t="inlineStr">
        <is>
          <t>NORRTÄLJE</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38718-2026</t>
        </is>
      </c>
      <c r="B1970" t="inlineStr">
        <is>
          <t>avverkningsanmälan</t>
        </is>
      </c>
      <c r="C1970" t="inlineStr">
        <is>
          <t>Föryngringsavverkning</t>
        </is>
      </c>
      <c r="D1970" s="1" t="n">
        <v>46284</v>
      </c>
      <c r="E1970" s="1" t="n">
        <v>46326</v>
      </c>
      <c r="F1970" t="inlineStr">
        <is>
          <t>STOCKHOLMS LÄN</t>
        </is>
      </c>
      <c r="G1970" t="inlineStr">
        <is>
          <t>NORRTÄLJE</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16620-2024</t>
        </is>
      </c>
      <c r="B1971" t="inlineStr">
        <is>
          <t>avverkningsanmälan</t>
        </is>
      </c>
      <c r="C1971" t="inlineStr">
        <is>
          <t>Föryngringsavverkning</t>
        </is>
      </c>
      <c r="D1971" s="1" t="n">
        <v>45408</v>
      </c>
      <c r="E1971" s="1" t="n">
        <v>46326</v>
      </c>
      <c r="F1971" t="inlineStr">
        <is>
          <t>STOCKHOLMS LÄN</t>
        </is>
      </c>
      <c r="G1971" t="inlineStr">
        <is>
          <t>NORRTÄLJE</t>
        </is>
      </c>
      <c r="I1971" t="n">
        <v>2.7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19031-2024</t>
        </is>
      </c>
      <c r="B1972" t="inlineStr">
        <is>
          <t>avverkningsanmälan</t>
        </is>
      </c>
      <c r="C1972" t="inlineStr">
        <is>
          <t>Avverkning för annat ändamål</t>
        </is>
      </c>
      <c r="D1972" s="1" t="n">
        <v>45427</v>
      </c>
      <c r="E1972" s="1" t="n">
        <v>46326</v>
      </c>
      <c r="F1972" t="inlineStr">
        <is>
          <t>STOCKHOLMS LÄN</t>
        </is>
      </c>
      <c r="G1972" t="inlineStr">
        <is>
          <t>SIGTUNA</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35961-2024</t>
        </is>
      </c>
      <c r="B1973" t="inlineStr">
        <is>
          <t>avverkningsanmälan</t>
        </is>
      </c>
      <c r="C1973" t="inlineStr">
        <is>
          <t>Föryngringsavverkning</t>
        </is>
      </c>
      <c r="D1973" s="1" t="n">
        <v>45533</v>
      </c>
      <c r="E1973" s="1" t="n">
        <v>46326</v>
      </c>
      <c r="F1973" t="inlineStr">
        <is>
          <t>STOCKHOLMS LÄN</t>
        </is>
      </c>
      <c r="G1973" t="inlineStr">
        <is>
          <t>SIGTUNA</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16142-2024</t>
        </is>
      </c>
      <c r="B1974" t="inlineStr">
        <is>
          <t>avverkningsanmälan</t>
        </is>
      </c>
      <c r="C1974" t="inlineStr">
        <is>
          <t>Föryngringsavverkning</t>
        </is>
      </c>
      <c r="D1974" s="1" t="n">
        <v>45406</v>
      </c>
      <c r="E1974" s="1" t="n">
        <v>46326</v>
      </c>
      <c r="F1974" t="inlineStr">
        <is>
          <t>STOCKHOLMS LÄN</t>
        </is>
      </c>
      <c r="G1974" t="inlineStr">
        <is>
          <t>BOTKYRKA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40039-2026</t>
        </is>
      </c>
      <c r="B1975" t="inlineStr">
        <is>
          <t>avverkningsanmälan</t>
        </is>
      </c>
      <c r="C1975" t="inlineStr">
        <is>
          <t>Föryngringsavverkning</t>
        </is>
      </c>
      <c r="D1975" s="1" t="n">
        <v>46293</v>
      </c>
      <c r="E1975" s="1" t="n">
        <v>46326</v>
      </c>
      <c r="F1975" t="inlineStr">
        <is>
          <t>STOCKHOLMS LÄN</t>
        </is>
      </c>
      <c r="G1975" t="inlineStr">
        <is>
          <t>NORRTÄLJE</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47977-2022</t>
        </is>
      </c>
      <c r="B1976" t="inlineStr">
        <is>
          <t>avverkningsanmälan</t>
        </is>
      </c>
      <c r="C1976" t="inlineStr">
        <is>
          <t>Föryngringsavverkning</t>
        </is>
      </c>
      <c r="D1976" s="1" t="n">
        <v>44855</v>
      </c>
      <c r="E1976" s="1" t="n">
        <v>46326</v>
      </c>
      <c r="F1976" t="inlineStr">
        <is>
          <t>STOCKHOLMS LÄN</t>
        </is>
      </c>
      <c r="G1976" t="inlineStr">
        <is>
          <t>SÖDERTÄLJE</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26210-2026</t>
        </is>
      </c>
      <c r="B1977" t="inlineStr">
        <is>
          <t>avverkningsanmälan</t>
        </is>
      </c>
      <c r="C1977" t="inlineStr">
        <is>
          <t>Föryngringsavverkning</t>
        </is>
      </c>
      <c r="D1977" s="1" t="n">
        <v>46182</v>
      </c>
      <c r="E1977" s="1" t="n">
        <v>46326</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19464-2023</t>
        </is>
      </c>
      <c r="B1978" t="inlineStr">
        <is>
          <t>avverkningsanmälan</t>
        </is>
      </c>
      <c r="C1978" t="inlineStr">
        <is>
          <t>Föryngringsavverkning</t>
        </is>
      </c>
      <c r="D1978" s="1" t="n">
        <v>45050</v>
      </c>
      <c r="E1978" s="1" t="n">
        <v>46326</v>
      </c>
      <c r="F1978" t="inlineStr">
        <is>
          <t>STOCKHOLMS LÄN</t>
        </is>
      </c>
      <c r="G1978" t="inlineStr">
        <is>
          <t>TÄBY</t>
        </is>
      </c>
      <c r="I1978" t="n">
        <v>4.1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58785-2024</t>
        </is>
      </c>
      <c r="B1979" t="inlineStr">
        <is>
          <t>avverkningsanmälan</t>
        </is>
      </c>
      <c r="C1979" t="inlineStr">
        <is>
          <t>Föryngringsavverkning</t>
        </is>
      </c>
      <c r="D1979" s="1" t="n">
        <v>45635</v>
      </c>
      <c r="E1979" s="1" t="n">
        <v>46326</v>
      </c>
      <c r="F1979" t="inlineStr">
        <is>
          <t>STOCKHOLMS LÄN</t>
        </is>
      </c>
      <c r="G1979" t="inlineStr">
        <is>
          <t>NORRTÄLJE</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22730-2025</t>
        </is>
      </c>
      <c r="B1980" t="inlineStr">
        <is>
          <t>avverkningsanmälan</t>
        </is>
      </c>
      <c r="C1980" t="inlineStr">
        <is>
          <t>Föryngringsavverkning</t>
        </is>
      </c>
      <c r="D1980" s="1" t="n">
        <v>45789</v>
      </c>
      <c r="E1980" s="1" t="n">
        <v>46326</v>
      </c>
      <c r="F1980" t="inlineStr">
        <is>
          <t>STOCKHOLMS LÄN</t>
        </is>
      </c>
      <c r="G1980" t="inlineStr">
        <is>
          <t>NYNÄSHAMN</t>
        </is>
      </c>
      <c r="H1980" t="inlineStr">
        <is>
          <t>Kommuner</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2182-2022</t>
        </is>
      </c>
      <c r="B1981" t="inlineStr">
        <is>
          <t>avverkningsanmälan</t>
        </is>
      </c>
      <c r="C1981" t="inlineStr">
        <is>
          <t>Föryngringsavverkning</t>
        </is>
      </c>
      <c r="D1981" s="1" t="n">
        <v>44578</v>
      </c>
      <c r="E1981" s="1" t="n">
        <v>46326</v>
      </c>
      <c r="F1981" t="inlineStr">
        <is>
          <t>STOCKHOLMS LÄN</t>
        </is>
      </c>
      <c r="G1981" t="inlineStr">
        <is>
          <t>NORRTÄLJE</t>
        </is>
      </c>
      <c r="I1981" t="n">
        <v>7.2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13268-2025</t>
        </is>
      </c>
      <c r="B1982" t="inlineStr">
        <is>
          <t>avverkningsanmälan</t>
        </is>
      </c>
      <c r="C1982" t="inlineStr">
        <is>
          <t>Föryngringsavverkning</t>
        </is>
      </c>
      <c r="D1982" s="1" t="n">
        <v>45735</v>
      </c>
      <c r="E1982" s="1" t="n">
        <v>46326</v>
      </c>
      <c r="F1982" t="inlineStr">
        <is>
          <t>STOCKHOLMS LÄN</t>
        </is>
      </c>
      <c r="G1982" t="inlineStr">
        <is>
          <t>NORRTÄLJE</t>
        </is>
      </c>
      <c r="I1982" t="n">
        <v>11.4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33437-2026</t>
        </is>
      </c>
      <c r="B1983" t="inlineStr">
        <is>
          <t>avverkningsanmälan</t>
        </is>
      </c>
      <c r="C1983" t="inlineStr">
        <is>
          <t>Avverkning för att bevara och utveckla /försöksver</t>
        </is>
      </c>
      <c r="D1983" s="1" t="n">
        <v>46247</v>
      </c>
      <c r="E1983" s="1" t="n">
        <v>46326</v>
      </c>
      <c r="F1983" t="inlineStr">
        <is>
          <t>STOCKHOLMS LÄN</t>
        </is>
      </c>
      <c r="G1983" t="inlineStr">
        <is>
          <t>NORRTÄLJE</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8414-2025</t>
        </is>
      </c>
      <c r="B1984" t="inlineStr">
        <is>
          <t>avverkningsanmälan</t>
        </is>
      </c>
      <c r="C1984" t="inlineStr">
        <is>
          <t>Föryngringsavverkning</t>
        </is>
      </c>
      <c r="D1984" s="1" t="n">
        <v>45709</v>
      </c>
      <c r="E1984" s="1" t="n">
        <v>46326</v>
      </c>
      <c r="F1984" t="inlineStr">
        <is>
          <t>STOCKHOLMS LÄN</t>
        </is>
      </c>
      <c r="G1984" t="inlineStr">
        <is>
          <t>NORRTÄLJE</t>
        </is>
      </c>
      <c r="H1984" t="inlineStr">
        <is>
          <t>Holmen skog AB</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22402-2025</t>
        </is>
      </c>
      <c r="B1985" t="inlineStr">
        <is>
          <t>avverkningsanmälan</t>
        </is>
      </c>
      <c r="C1985" t="inlineStr">
        <is>
          <t>Föryngringsavverkning</t>
        </is>
      </c>
      <c r="D1985" s="1" t="n">
        <v>45786</v>
      </c>
      <c r="E1985" s="1" t="n">
        <v>46326</v>
      </c>
      <c r="F1985" t="inlineStr">
        <is>
          <t>STOCKHOLMS LÄN</t>
        </is>
      </c>
      <c r="G1985" t="inlineStr">
        <is>
          <t>SIGTUNA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36625-2024</t>
        </is>
      </c>
      <c r="B1986" t="inlineStr">
        <is>
          <t>avverkningsanmälan</t>
        </is>
      </c>
      <c r="C1986" t="inlineStr">
        <is>
          <t>Föryngringsavverkning</t>
        </is>
      </c>
      <c r="D1986" s="1" t="n">
        <v>45537</v>
      </c>
      <c r="E1986" s="1" t="n">
        <v>46326</v>
      </c>
      <c r="F1986" t="inlineStr">
        <is>
          <t>STOCKHOLMS LÄN</t>
        </is>
      </c>
      <c r="G1986" t="inlineStr">
        <is>
          <t>NORRTÄLJE</t>
        </is>
      </c>
      <c r="I1986" t="n">
        <v>3.8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46381-2023</t>
        </is>
      </c>
      <c r="B1987" t="inlineStr">
        <is>
          <t>avverkningsanmälan</t>
        </is>
      </c>
      <c r="C1987" t="inlineStr">
        <is>
          <t>Föryngringsavverkning</t>
        </is>
      </c>
      <c r="D1987" s="1" t="n">
        <v>45193</v>
      </c>
      <c r="E1987" s="1" t="n">
        <v>46326</v>
      </c>
      <c r="F1987" t="inlineStr">
        <is>
          <t>STOCKHOLMS LÄN</t>
        </is>
      </c>
      <c r="G1987" t="inlineStr">
        <is>
          <t>VALLENTUNA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61027-2023</t>
        </is>
      </c>
      <c r="B1988" t="inlineStr">
        <is>
          <t>avverkningsanmälan</t>
        </is>
      </c>
      <c r="C1988" t="inlineStr">
        <is>
          <t>Föryngringsavverkning</t>
        </is>
      </c>
      <c r="D1988" s="1" t="n">
        <v>45261</v>
      </c>
      <c r="E1988" s="1" t="n">
        <v>46326</v>
      </c>
      <c r="F1988" t="inlineStr">
        <is>
          <t>STOCKHOLMS LÄN</t>
        </is>
      </c>
      <c r="G1988" t="inlineStr">
        <is>
          <t>VALLENTUNA</t>
        </is>
      </c>
      <c r="I1988" t="n">
        <v>7.1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11876-2024</t>
        </is>
      </c>
      <c r="B1989" t="inlineStr">
        <is>
          <t>avverkningsanmälan</t>
        </is>
      </c>
      <c r="C1989" t="inlineStr">
        <is>
          <t>Föryngringsavverkning</t>
        </is>
      </c>
      <c r="D1989" s="1" t="n">
        <v>45376</v>
      </c>
      <c r="E1989" s="1" t="n">
        <v>46326</v>
      </c>
      <c r="F1989" t="inlineStr">
        <is>
          <t>STOCKHOLMS LÄN</t>
        </is>
      </c>
      <c r="G1989" t="inlineStr">
        <is>
          <t>BOTKYRKA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40142-2026</t>
        </is>
      </c>
      <c r="B1990" t="inlineStr">
        <is>
          <t>avverkningsanmälan</t>
        </is>
      </c>
      <c r="C1990" t="inlineStr">
        <is>
          <t>Föryngringsavverkning</t>
        </is>
      </c>
      <c r="D1990" s="1" t="n">
        <v>46293</v>
      </c>
      <c r="E1990" s="1" t="n">
        <v>46326</v>
      </c>
      <c r="F1990" t="inlineStr">
        <is>
          <t>STOCKHOLMS LÄN</t>
        </is>
      </c>
      <c r="G1990" t="inlineStr">
        <is>
          <t>ÖSTERÅKER</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44891-2023</t>
        </is>
      </c>
      <c r="B1991" t="inlineStr">
        <is>
          <t>avverkningsanmälan</t>
        </is>
      </c>
      <c r="C1991" t="inlineStr">
        <is>
          <t>Föryngringsavverkning</t>
        </is>
      </c>
      <c r="D1991" s="1" t="n">
        <v>45187</v>
      </c>
      <c r="E1991" s="1" t="n">
        <v>46326</v>
      </c>
      <c r="F1991" t="inlineStr">
        <is>
          <t>STOCKHOLMS LÄN</t>
        </is>
      </c>
      <c r="G1991" t="inlineStr">
        <is>
          <t>NORRTÄLJE</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12902-2024</t>
        </is>
      </c>
      <c r="B1992" t="inlineStr">
        <is>
          <t>avverkningsanmälan</t>
        </is>
      </c>
      <c r="C1992" t="inlineStr">
        <is>
          <t>Föryngringsavverkning</t>
        </is>
      </c>
      <c r="D1992" s="1" t="n">
        <v>45385</v>
      </c>
      <c r="E1992" s="1" t="n">
        <v>46326</v>
      </c>
      <c r="F1992" t="inlineStr">
        <is>
          <t>STOCKHOLMS LÄN</t>
        </is>
      </c>
      <c r="G1992" t="inlineStr">
        <is>
          <t>NORRTÄLJE</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44032-2024</t>
        </is>
      </c>
      <c r="B1993" t="inlineStr">
        <is>
          <t>avverkningsanmälan</t>
        </is>
      </c>
      <c r="C1993" t="inlineStr">
        <is>
          <t>Föryngringsavverkning</t>
        </is>
      </c>
      <c r="D1993" s="1" t="n">
        <v>45572</v>
      </c>
      <c r="E1993" s="1" t="n">
        <v>46326</v>
      </c>
      <c r="F1993" t="inlineStr">
        <is>
          <t>STOCKHOLMS LÄN</t>
        </is>
      </c>
      <c r="G1993" t="inlineStr">
        <is>
          <t>NORRTÄLJE</t>
        </is>
      </c>
      <c r="I1993" t="n">
        <v>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39237-2024</t>
        </is>
      </c>
      <c r="B1994" t="inlineStr">
        <is>
          <t>avverkningsanmälan</t>
        </is>
      </c>
      <c r="C1994" t="inlineStr">
        <is>
          <t>Föryngringsavverkning</t>
        </is>
      </c>
      <c r="D1994" s="1" t="n">
        <v>45549</v>
      </c>
      <c r="E1994" s="1" t="n">
        <v>46326</v>
      </c>
      <c r="F1994" t="inlineStr">
        <is>
          <t>STOCKHOLMS LÄN</t>
        </is>
      </c>
      <c r="G1994" t="inlineStr">
        <is>
          <t>NORRTÄLJE</t>
        </is>
      </c>
      <c r="I1994" t="n">
        <v>13.3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45746-2024</t>
        </is>
      </c>
      <c r="B1995" t="inlineStr">
        <is>
          <t>avverkningsanmälan</t>
        </is>
      </c>
      <c r="C1995" t="inlineStr">
        <is>
          <t>Föryngringsavverkning</t>
        </is>
      </c>
      <c r="D1995" s="1" t="n">
        <v>45579</v>
      </c>
      <c r="E1995" s="1" t="n">
        <v>46326</v>
      </c>
      <c r="F1995" t="inlineStr">
        <is>
          <t>STOCKHOLMS LÄN</t>
        </is>
      </c>
      <c r="G1995" t="inlineStr">
        <is>
          <t>NORRTÄLJE</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2177-2024</t>
        </is>
      </c>
      <c r="B1996" t="inlineStr">
        <is>
          <t>avverkningsanmälan</t>
        </is>
      </c>
      <c r="C1996" t="inlineStr">
        <is>
          <t>Föryngringsavverkning</t>
        </is>
      </c>
      <c r="D1996" s="1" t="n">
        <v>45309</v>
      </c>
      <c r="E1996" s="1" t="n">
        <v>46326</v>
      </c>
      <c r="F1996" t="inlineStr">
        <is>
          <t>STOCKHOLMS LÄN</t>
        </is>
      </c>
      <c r="G1996" t="inlineStr">
        <is>
          <t>NYKVARN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8400-2024</t>
        </is>
      </c>
      <c r="B1997" t="inlineStr">
        <is>
          <t>avverkningsanmälan</t>
        </is>
      </c>
      <c r="C1997" t="inlineStr">
        <is>
          <t>Föryngringsavverkning</t>
        </is>
      </c>
      <c r="D1997" s="1" t="n">
        <v>45352</v>
      </c>
      <c r="E1997" s="1" t="n">
        <v>46326</v>
      </c>
      <c r="F1997" t="inlineStr">
        <is>
          <t>STOCKHOLMS LÄN</t>
        </is>
      </c>
      <c r="G1997" t="inlineStr">
        <is>
          <t>NORRTÄLJE</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17979-2024</t>
        </is>
      </c>
      <c r="B1998" t="inlineStr">
        <is>
          <t>avverkningsanmälan</t>
        </is>
      </c>
      <c r="C1998" t="inlineStr">
        <is>
          <t>Föryngringsavverkning</t>
        </is>
      </c>
      <c r="D1998" s="1" t="n">
        <v>45419</v>
      </c>
      <c r="E1998" s="1" t="n">
        <v>46326</v>
      </c>
      <c r="F1998" t="inlineStr">
        <is>
          <t>STOCKHOLMS LÄN</t>
        </is>
      </c>
      <c r="G1998" t="inlineStr">
        <is>
          <t>SÖDERTÄLJE</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19210-2024</t>
        </is>
      </c>
      <c r="B1999" t="inlineStr">
        <is>
          <t>avverkningsanmälan</t>
        </is>
      </c>
      <c r="C1999" t="inlineStr">
        <is>
          <t>Avverkning för att bevara och utveckla /försöksver</t>
        </is>
      </c>
      <c r="D1999" s="1" t="n">
        <v>45428</v>
      </c>
      <c r="E1999" s="1" t="n">
        <v>46326</v>
      </c>
      <c r="F1999" t="inlineStr">
        <is>
          <t>STOCKHOLMS LÄN</t>
        </is>
      </c>
      <c r="G1999" t="inlineStr">
        <is>
          <t>SÖDERTÄLJE</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48375-2024</t>
        </is>
      </c>
      <c r="B2000" t="inlineStr">
        <is>
          <t>avverkningsanmälan</t>
        </is>
      </c>
      <c r="C2000" t="inlineStr">
        <is>
          <t>Föryngringsavverkning</t>
        </is>
      </c>
      <c r="D2000" s="1" t="n">
        <v>45590</v>
      </c>
      <c r="E2000" s="1" t="n">
        <v>46326</v>
      </c>
      <c r="F2000" t="inlineStr">
        <is>
          <t>STOCKHOLMS LÄN</t>
        </is>
      </c>
      <c r="G2000" t="inlineStr">
        <is>
          <t>SIGTUNA</t>
        </is>
      </c>
      <c r="H2000" t="inlineStr">
        <is>
          <t>Allmännings- och besparingsskogar</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40566-2026</t>
        </is>
      </c>
      <c r="B2001" t="inlineStr">
        <is>
          <t>avverkningsanmälan</t>
        </is>
      </c>
      <c r="C2001" t="inlineStr">
        <is>
          <t>Föryngringsavverkning</t>
        </is>
      </c>
      <c r="D2001" s="1" t="n">
        <v>46295</v>
      </c>
      <c r="E2001" s="1" t="n">
        <v>46326</v>
      </c>
      <c r="F2001" t="inlineStr">
        <is>
          <t>STOCKHOLMS LÄN</t>
        </is>
      </c>
      <c r="G2001" t="inlineStr">
        <is>
          <t>VALLENTUNA</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23615-2025</t>
        </is>
      </c>
      <c r="B2002" t="inlineStr">
        <is>
          <t>avverkningsanmälan</t>
        </is>
      </c>
      <c r="C2002" t="inlineStr">
        <is>
          <t>Föryngringsavverkning</t>
        </is>
      </c>
      <c r="D2002" s="1" t="n">
        <v>45792</v>
      </c>
      <c r="E2002" s="1" t="n">
        <v>46326</v>
      </c>
      <c r="F2002" t="inlineStr">
        <is>
          <t>STOCKHOLMS LÄN</t>
        </is>
      </c>
      <c r="G2002" t="inlineStr">
        <is>
          <t>UPPLANDS-BRO</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23655-2025</t>
        </is>
      </c>
      <c r="B2003" t="inlineStr">
        <is>
          <t>avverkningsanmälan</t>
        </is>
      </c>
      <c r="C2003" t="inlineStr">
        <is>
          <t>Föryngringsavverkning</t>
        </is>
      </c>
      <c r="D2003" s="1" t="n">
        <v>45792</v>
      </c>
      <c r="E2003" s="1" t="n">
        <v>46326</v>
      </c>
      <c r="F2003" t="inlineStr">
        <is>
          <t>STOCKHOLMS LÄN</t>
        </is>
      </c>
      <c r="G2003" t="inlineStr">
        <is>
          <t>NYKVARN</t>
        </is>
      </c>
      <c r="H2003" t="inlineStr">
        <is>
          <t>Sveaskog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23627-2025</t>
        </is>
      </c>
      <c r="B2004" t="inlineStr">
        <is>
          <t>avverkningsanmälan</t>
        </is>
      </c>
      <c r="C2004" t="inlineStr">
        <is>
          <t>Föryngringsavverkning</t>
        </is>
      </c>
      <c r="D2004" s="1" t="n">
        <v>45792</v>
      </c>
      <c r="E2004" s="1" t="n">
        <v>46326</v>
      </c>
      <c r="F2004" t="inlineStr">
        <is>
          <t>STOCKHOLMS LÄN</t>
        </is>
      </c>
      <c r="G2004" t="inlineStr">
        <is>
          <t>UPPLANDS-BRO</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62998-2023</t>
        </is>
      </c>
      <c r="B2005" t="inlineStr">
        <is>
          <t>avverkningsanmälan</t>
        </is>
      </c>
      <c r="C2005" t="inlineStr">
        <is>
          <t>Föryngringsavverkning</t>
        </is>
      </c>
      <c r="D2005" s="1" t="n">
        <v>45272</v>
      </c>
      <c r="E2005" s="1" t="n">
        <v>46326</v>
      </c>
      <c r="F2005" t="inlineStr">
        <is>
          <t>STOCKHOLMS LÄN</t>
        </is>
      </c>
      <c r="G2005" t="inlineStr">
        <is>
          <t>NORRTÄLJE</t>
        </is>
      </c>
      <c r="I2005" t="n">
        <v>16.3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63015-2023</t>
        </is>
      </c>
      <c r="B2006" t="inlineStr">
        <is>
          <t>avverkningsanmälan</t>
        </is>
      </c>
      <c r="C2006" t="inlineStr">
        <is>
          <t>Föryngringsavverkning</t>
        </is>
      </c>
      <c r="D2006" s="1" t="n">
        <v>45272</v>
      </c>
      <c r="E2006" s="1" t="n">
        <v>46326</v>
      </c>
      <c r="F2006" t="inlineStr">
        <is>
          <t>STOCKHOLMS LÄN</t>
        </is>
      </c>
      <c r="G2006" t="inlineStr">
        <is>
          <t>NORRTÄLJE</t>
        </is>
      </c>
      <c r="I2006" t="n">
        <v>13.1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27831-2024</t>
        </is>
      </c>
      <c r="B2007" t="inlineStr">
        <is>
          <t>avverkningsanmälan</t>
        </is>
      </c>
      <c r="C2007" t="inlineStr">
        <is>
          <t>Föryngringsavverkning</t>
        </is>
      </c>
      <c r="D2007" s="1" t="n">
        <v>45475</v>
      </c>
      <c r="E2007" s="1" t="n">
        <v>46326</v>
      </c>
      <c r="F2007" t="inlineStr">
        <is>
          <t>STOCKHOLMS LÄN</t>
        </is>
      </c>
      <c r="G2007" t="inlineStr">
        <is>
          <t>NORRTÄLJE</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33175-2024</t>
        </is>
      </c>
      <c r="B2008" t="inlineStr">
        <is>
          <t>avverkningsanmälan</t>
        </is>
      </c>
      <c r="C2008" t="inlineStr">
        <is>
          <t>Föryngringsavverkning</t>
        </is>
      </c>
      <c r="D2008" s="1" t="n">
        <v>45518</v>
      </c>
      <c r="E2008" s="1" t="n">
        <v>46326</v>
      </c>
      <c r="F2008" t="inlineStr">
        <is>
          <t>STOCKHOLMS LÄN</t>
        </is>
      </c>
      <c r="G2008" t="inlineStr">
        <is>
          <t>NORRTÄLJE</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51353-2024</t>
        </is>
      </c>
      <c r="B2009" t="inlineStr">
        <is>
          <t>avverkningsanmälan</t>
        </is>
      </c>
      <c r="C2009" t="inlineStr">
        <is>
          <t>Föryngringsavverkning</t>
        </is>
      </c>
      <c r="D2009" s="1" t="n">
        <v>45604</v>
      </c>
      <c r="E2009" s="1" t="n">
        <v>46326</v>
      </c>
      <c r="F2009" t="inlineStr">
        <is>
          <t>STOCKHOLMS LÄN</t>
        </is>
      </c>
      <c r="G2009" t="inlineStr">
        <is>
          <t>SÖDERTÄLJE</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21803-2022</t>
        </is>
      </c>
      <c r="B2010" t="inlineStr">
        <is>
          <t>avverkningsanmälan</t>
        </is>
      </c>
      <c r="C2010" t="inlineStr">
        <is>
          <t>Föryngringsavverkning</t>
        </is>
      </c>
      <c r="D2010" s="1" t="n">
        <v>44708</v>
      </c>
      <c r="E2010" s="1" t="n">
        <v>46326</v>
      </c>
      <c r="F2010" t="inlineStr">
        <is>
          <t>STOCKHOLMS LÄN</t>
        </is>
      </c>
      <c r="G2010" t="inlineStr">
        <is>
          <t>NORRTÄLJE</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20730-2024</t>
        </is>
      </c>
      <c r="B2011" t="inlineStr">
        <is>
          <t>avverkningsanmälan</t>
        </is>
      </c>
      <c r="C2011" t="inlineStr">
        <is>
          <t>Föryngringsavverkning</t>
        </is>
      </c>
      <c r="D2011" s="1" t="n">
        <v>45436</v>
      </c>
      <c r="E2011" s="1" t="n">
        <v>46326</v>
      </c>
      <c r="F2011" t="inlineStr">
        <is>
          <t>STOCKHOLMS LÄN</t>
        </is>
      </c>
      <c r="G2011" t="inlineStr">
        <is>
          <t>NORRTÄLJE</t>
        </is>
      </c>
      <c r="I2011" t="n">
        <v>7.3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24105-2025</t>
        </is>
      </c>
      <c r="B2012" t="inlineStr">
        <is>
          <t>avverkningsanmälan</t>
        </is>
      </c>
      <c r="C2012" t="inlineStr">
        <is>
          <t>Föryngringsavverkning</t>
        </is>
      </c>
      <c r="D2012" s="1" t="n">
        <v>45796</v>
      </c>
      <c r="E2012" s="1" t="n">
        <v>46326</v>
      </c>
      <c r="F2012" t="inlineStr">
        <is>
          <t>STOCKHOLMS LÄN</t>
        </is>
      </c>
      <c r="G2012" t="inlineStr">
        <is>
          <t>SIGTUNA</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12901-2024</t>
        </is>
      </c>
      <c r="B2013" t="inlineStr">
        <is>
          <t>avverkningsanmälan</t>
        </is>
      </c>
      <c r="C2013" t="inlineStr">
        <is>
          <t>Föryngringsavverkning</t>
        </is>
      </c>
      <c r="D2013" s="1" t="n">
        <v>45385</v>
      </c>
      <c r="E2013" s="1" t="n">
        <v>46326</v>
      </c>
      <c r="F2013" t="inlineStr">
        <is>
          <t>STOCKHOLMS LÄN</t>
        </is>
      </c>
      <c r="G2013" t="inlineStr">
        <is>
          <t>NORRTÄLJE</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8950-2025</t>
        </is>
      </c>
      <c r="B2014" t="inlineStr">
        <is>
          <t>avverkningsanmälan</t>
        </is>
      </c>
      <c r="C2014" t="inlineStr">
        <is>
          <t>Föryngringsavverkning</t>
        </is>
      </c>
      <c r="D2014" s="1" t="n">
        <v>45713</v>
      </c>
      <c r="E2014" s="1" t="n">
        <v>46326</v>
      </c>
      <c r="F2014" t="inlineStr">
        <is>
          <t>STOCKHOLMS LÄN</t>
        </is>
      </c>
      <c r="G2014" t="inlineStr">
        <is>
          <t>NORRTÄLJE</t>
        </is>
      </c>
      <c r="H2014" t="inlineStr">
        <is>
          <t>Övriga Aktiebolag</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24193-2025</t>
        </is>
      </c>
      <c r="B2015" t="inlineStr">
        <is>
          <t>avverkningsanmälan</t>
        </is>
      </c>
      <c r="C2015" t="inlineStr">
        <is>
          <t>Föryngringsavverkning</t>
        </is>
      </c>
      <c r="D2015" s="1" t="n">
        <v>45796</v>
      </c>
      <c r="E2015" s="1" t="n">
        <v>46326</v>
      </c>
      <c r="F2015" t="inlineStr">
        <is>
          <t>STOCKHOLMS LÄN</t>
        </is>
      </c>
      <c r="G2015" t="inlineStr">
        <is>
          <t>HANINGE</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12301-2025</t>
        </is>
      </c>
      <c r="B2016" t="inlineStr">
        <is>
          <t>avverkningsanmälan</t>
        </is>
      </c>
      <c r="C2016" t="inlineStr">
        <is>
          <t>Avverkning för att bevara och utveckla /försöksver</t>
        </is>
      </c>
      <c r="D2016" s="1" t="n">
        <v>45729</v>
      </c>
      <c r="E2016" s="1" t="n">
        <v>46326</v>
      </c>
      <c r="F2016" t="inlineStr">
        <is>
          <t>STOCKHOLMS LÄN</t>
        </is>
      </c>
      <c r="G2016" t="inlineStr">
        <is>
          <t>NORRTÄLJE</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24687-2025</t>
        </is>
      </c>
      <c r="B2017" t="inlineStr">
        <is>
          <t>avverkningsanmälan</t>
        </is>
      </c>
      <c r="C2017" t="inlineStr">
        <is>
          <t>Föryngringsavverkning</t>
        </is>
      </c>
      <c r="D2017" s="1" t="n">
        <v>45798</v>
      </c>
      <c r="E2017" s="1" t="n">
        <v>46326</v>
      </c>
      <c r="F2017" t="inlineStr">
        <is>
          <t>STOCKHOLMS LÄN</t>
        </is>
      </c>
      <c r="G2017" t="inlineStr">
        <is>
          <t>NORRTÄLJE</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64075-2023</t>
        </is>
      </c>
      <c r="B2018" t="inlineStr">
        <is>
          <t>avverkningsanmälan</t>
        </is>
      </c>
      <c r="C2018" t="inlineStr">
        <is>
          <t>Föryngringsavverkning</t>
        </is>
      </c>
      <c r="D2018" s="1" t="n">
        <v>45279</v>
      </c>
      <c r="E2018" s="1" t="n">
        <v>46326</v>
      </c>
      <c r="F2018" t="inlineStr">
        <is>
          <t>STOCKHOLMS LÄN</t>
        </is>
      </c>
      <c r="G2018" t="inlineStr">
        <is>
          <t>HANINGE</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34429-2026</t>
        </is>
      </c>
      <c r="B2019" t="inlineStr">
        <is>
          <t>avverkningsanmälan</t>
        </is>
      </c>
      <c r="C2019" t="inlineStr">
        <is>
          <t>Föryngringsavverkning</t>
        </is>
      </c>
      <c r="D2019" s="1" t="n">
        <v>46254</v>
      </c>
      <c r="E2019" s="1" t="n">
        <v>46326</v>
      </c>
      <c r="F2019" t="inlineStr">
        <is>
          <t>STOCKHOLMS LÄN</t>
        </is>
      </c>
      <c r="G2019" t="inlineStr">
        <is>
          <t>NORRTÄLJE</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24638-2025</t>
        </is>
      </c>
      <c r="B2020" t="inlineStr">
        <is>
          <t>avverkningsanmälan</t>
        </is>
      </c>
      <c r="C2020" t="inlineStr">
        <is>
          <t>Avverkning för annat ändamål</t>
        </is>
      </c>
      <c r="D2020" s="1" t="n">
        <v>45798</v>
      </c>
      <c r="E2020" s="1" t="n">
        <v>46326</v>
      </c>
      <c r="F2020" t="inlineStr">
        <is>
          <t>STOCKHOLMS LÄN</t>
        </is>
      </c>
      <c r="G2020" t="inlineStr">
        <is>
          <t>NORRTÄLJE</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34474-2026</t>
        </is>
      </c>
      <c r="B2021" t="inlineStr">
        <is>
          <t>avverkningsanmälan</t>
        </is>
      </c>
      <c r="C2021" t="inlineStr">
        <is>
          <t>Föryngringsavverkning</t>
        </is>
      </c>
      <c r="D2021" s="1" t="n">
        <v>46254</v>
      </c>
      <c r="E2021" s="1" t="n">
        <v>46326</v>
      </c>
      <c r="F2021" t="inlineStr">
        <is>
          <t>STOCKHOLMS LÄN</t>
        </is>
      </c>
      <c r="G2021" t="inlineStr">
        <is>
          <t>NORRTÄLJE</t>
        </is>
      </c>
      <c r="H2021" t="inlineStr">
        <is>
          <t>Holmen skog AB</t>
        </is>
      </c>
      <c r="I2021" t="n">
        <v>7.3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60934-2023</t>
        </is>
      </c>
      <c r="B2022" t="inlineStr">
        <is>
          <t>avverkningsanmälan</t>
        </is>
      </c>
      <c r="C2022" t="inlineStr">
        <is>
          <t>Föryngringsavverkning</t>
        </is>
      </c>
      <c r="D2022" s="1" t="n">
        <v>45261</v>
      </c>
      <c r="E2022" s="1" t="n">
        <v>46326</v>
      </c>
      <c r="F2022" t="inlineStr">
        <is>
          <t>STOCKHOLMS LÄN</t>
        </is>
      </c>
      <c r="G2022" t="inlineStr">
        <is>
          <t>SIGTUNA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34466-2026</t>
        </is>
      </c>
      <c r="B2023" t="inlineStr">
        <is>
          <t>avverkningsanmälan</t>
        </is>
      </c>
      <c r="C2023" t="inlineStr">
        <is>
          <t>Föryngringsavverkning</t>
        </is>
      </c>
      <c r="D2023" s="1" t="n">
        <v>46254</v>
      </c>
      <c r="E2023" s="1" t="n">
        <v>46326</v>
      </c>
      <c r="F2023" t="inlineStr">
        <is>
          <t>STOCKHOLMS LÄN</t>
        </is>
      </c>
      <c r="G2023" t="inlineStr">
        <is>
          <t>NORRTÄLJE</t>
        </is>
      </c>
      <c r="H2023" t="inlineStr">
        <is>
          <t>Holmen skog AB</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11849-2025</t>
        </is>
      </c>
      <c r="B2024" t="inlineStr">
        <is>
          <t>avverkningsanmälan</t>
        </is>
      </c>
      <c r="C2024" t="inlineStr">
        <is>
          <t>Föryngringsavverkning</t>
        </is>
      </c>
      <c r="D2024" s="1" t="n">
        <v>45728</v>
      </c>
      <c r="E2024" s="1" t="n">
        <v>46326</v>
      </c>
      <c r="F2024" t="inlineStr">
        <is>
          <t>STOCKHOLMS LÄN</t>
        </is>
      </c>
      <c r="G2024" t="inlineStr">
        <is>
          <t>NORRTÄLJE</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34328-2026</t>
        </is>
      </c>
      <c r="B2025" t="inlineStr">
        <is>
          <t>avverkningsanmälan</t>
        </is>
      </c>
      <c r="C2025" t="inlineStr">
        <is>
          <t>Föryngringsavverkning</t>
        </is>
      </c>
      <c r="D2025" s="1" t="n">
        <v>46254</v>
      </c>
      <c r="E2025" s="1" t="n">
        <v>46326</v>
      </c>
      <c r="F2025" t="inlineStr">
        <is>
          <t>STOCKHOLMS LÄN</t>
        </is>
      </c>
      <c r="G2025" t="inlineStr">
        <is>
          <t>NYKVARN</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34644-2026</t>
        </is>
      </c>
      <c r="B2026" t="inlineStr">
        <is>
          <t>avverkningsanmälan</t>
        </is>
      </c>
      <c r="C2026" t="inlineStr">
        <is>
          <t>Föryngringsavverkning</t>
        </is>
      </c>
      <c r="D2026" s="1" t="n">
        <v>46255</v>
      </c>
      <c r="E2026" s="1" t="n">
        <v>46326</v>
      </c>
      <c r="F2026" t="inlineStr">
        <is>
          <t>STOCKHOLMS LÄN</t>
        </is>
      </c>
      <c r="G2026" t="inlineStr">
        <is>
          <t>NORRTÄLJE</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35108-2026</t>
        </is>
      </c>
      <c r="B2027" t="inlineStr">
        <is>
          <t>avverkningsanmälan</t>
        </is>
      </c>
      <c r="C2027" t="inlineStr">
        <is>
          <t>Föryngringsavverkning</t>
        </is>
      </c>
      <c r="D2027" s="1" t="n">
        <v>46258</v>
      </c>
      <c r="E2027" s="1" t="n">
        <v>46326</v>
      </c>
      <c r="F2027" t="inlineStr">
        <is>
          <t>STOCKHOLMS LÄN</t>
        </is>
      </c>
      <c r="G2027" t="inlineStr">
        <is>
          <t>BOTKYRKA</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34750-2026</t>
        </is>
      </c>
      <c r="B2028" t="inlineStr">
        <is>
          <t>avverkningsanmälan</t>
        </is>
      </c>
      <c r="C2028" t="inlineStr">
        <is>
          <t>Föryngringsavverkning</t>
        </is>
      </c>
      <c r="D2028" s="1" t="n">
        <v>46258</v>
      </c>
      <c r="E2028" s="1" t="n">
        <v>46326</v>
      </c>
      <c r="F2028" t="inlineStr">
        <is>
          <t>STOCKHOLMS LÄN</t>
        </is>
      </c>
      <c r="G2028" t="inlineStr">
        <is>
          <t>VALLENTUNA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41306-2026</t>
        </is>
      </c>
      <c r="B2029" t="inlineStr">
        <is>
          <t>avverkningsanmälan</t>
        </is>
      </c>
      <c r="C2029" t="inlineStr">
        <is>
          <t>Föryngringsavverkning</t>
        </is>
      </c>
      <c r="D2029" s="1" t="n">
        <v>46300</v>
      </c>
      <c r="E2029" s="1" t="n">
        <v>46326</v>
      </c>
      <c r="F2029" t="inlineStr">
        <is>
          <t>STOCKHOLMS LÄN</t>
        </is>
      </c>
      <c r="G2029" t="inlineStr">
        <is>
          <t>NORRTÄLJE</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34736-2026</t>
        </is>
      </c>
      <c r="B2030" t="inlineStr">
        <is>
          <t>avverkningsanmälan</t>
        </is>
      </c>
      <c r="C2030" t="inlineStr">
        <is>
          <t>Föryngringsavverkning</t>
        </is>
      </c>
      <c r="D2030" s="1" t="n">
        <v>46258</v>
      </c>
      <c r="E2030" s="1" t="n">
        <v>46326</v>
      </c>
      <c r="F2030" t="inlineStr">
        <is>
          <t>STOCKHOLMS LÄN</t>
        </is>
      </c>
      <c r="G2030" t="inlineStr">
        <is>
          <t>VALLENTUNA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41265-2026</t>
        </is>
      </c>
      <c r="B2031" t="inlineStr">
        <is>
          <t>avverkningsanmälan</t>
        </is>
      </c>
      <c r="C2031" t="inlineStr">
        <is>
          <t>Föryngringsavverkning</t>
        </is>
      </c>
      <c r="D2031" s="1" t="n">
        <v>46300</v>
      </c>
      <c r="E2031" s="1" t="n">
        <v>46326</v>
      </c>
      <c r="F2031" t="inlineStr">
        <is>
          <t>STOCKHOLMS LÄN</t>
        </is>
      </c>
      <c r="G2031" t="inlineStr">
        <is>
          <t>SÖDERTÄLJE</t>
        </is>
      </c>
      <c r="H2031" t="inlineStr">
        <is>
          <t>Sveaskog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34734-2026</t>
        </is>
      </c>
      <c r="B2032" t="inlineStr">
        <is>
          <t>avverkningsanmälan</t>
        </is>
      </c>
      <c r="C2032" t="inlineStr">
        <is>
          <t>Föryngringsavverkning</t>
        </is>
      </c>
      <c r="D2032" s="1" t="n">
        <v>46258</v>
      </c>
      <c r="E2032" s="1" t="n">
        <v>46326</v>
      </c>
      <c r="F2032" t="inlineStr">
        <is>
          <t>STOCKHOLMS LÄN</t>
        </is>
      </c>
      <c r="G2032" t="inlineStr">
        <is>
          <t>NORRTÄLJE</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34745-2026</t>
        </is>
      </c>
      <c r="B2033" t="inlineStr">
        <is>
          <t>avverkningsanmälan</t>
        </is>
      </c>
      <c r="C2033" t="inlineStr">
        <is>
          <t>Föryngringsavverkning</t>
        </is>
      </c>
      <c r="D2033" s="1" t="n">
        <v>46258</v>
      </c>
      <c r="E2033" s="1" t="n">
        <v>46326</v>
      </c>
      <c r="F2033" t="inlineStr">
        <is>
          <t>STOCKHOLMS LÄN</t>
        </is>
      </c>
      <c r="G2033" t="inlineStr">
        <is>
          <t>NORRTÄLJE</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34764-2026</t>
        </is>
      </c>
      <c r="B2034" t="inlineStr">
        <is>
          <t>avverkningsanmälan</t>
        </is>
      </c>
      <c r="C2034" t="inlineStr">
        <is>
          <t>Föryngringsavverkning</t>
        </is>
      </c>
      <c r="D2034" s="1" t="n">
        <v>46258</v>
      </c>
      <c r="E2034" s="1" t="n">
        <v>46326</v>
      </c>
      <c r="F2034" t="inlineStr">
        <is>
          <t>STOCKHOLMS LÄN</t>
        </is>
      </c>
      <c r="G2034" t="inlineStr">
        <is>
          <t>NORRTÄLJE</t>
        </is>
      </c>
      <c r="I2034" t="n">
        <v>8.199999999999999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34720-2026</t>
        </is>
      </c>
      <c r="B2035" t="inlineStr">
        <is>
          <t>avverkningsanmälan</t>
        </is>
      </c>
      <c r="C2035" t="inlineStr">
        <is>
          <t>Föryngringsavverkning</t>
        </is>
      </c>
      <c r="D2035" s="1" t="n">
        <v>46258</v>
      </c>
      <c r="E2035" s="1" t="n">
        <v>46326</v>
      </c>
      <c r="F2035" t="inlineStr">
        <is>
          <t>STOCKHOLMS LÄN</t>
        </is>
      </c>
      <c r="G2035" t="inlineStr">
        <is>
          <t>VALLENTUNA</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41582-2026</t>
        </is>
      </c>
      <c r="B2036" t="inlineStr">
        <is>
          <t>avverkningsanmälan</t>
        </is>
      </c>
      <c r="C2036" t="inlineStr">
        <is>
          <t>Föryngringsavverkning</t>
        </is>
      </c>
      <c r="D2036" s="1" t="n">
        <v>46301</v>
      </c>
      <c r="E2036" s="1" t="n">
        <v>46326</v>
      </c>
      <c r="F2036" t="inlineStr">
        <is>
          <t>STOCKHOLMS LÄN</t>
        </is>
      </c>
      <c r="G2036" t="inlineStr">
        <is>
          <t>VALLENTUNA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52061-2025</t>
        </is>
      </c>
      <c r="B2037" t="inlineStr">
        <is>
          <t>avverkningsanmälan</t>
        </is>
      </c>
      <c r="C2037" t="inlineStr">
        <is>
          <t>Föryngringsavverkning</t>
        </is>
      </c>
      <c r="D2037" s="1" t="n">
        <v>45952</v>
      </c>
      <c r="E2037" s="1" t="n">
        <v>46326</v>
      </c>
      <c r="F2037" t="inlineStr">
        <is>
          <t>STOCKHOLMS LÄN</t>
        </is>
      </c>
      <c r="G2037" t="inlineStr">
        <is>
          <t>NORRTÄLJE</t>
        </is>
      </c>
      <c r="I2037" t="n">
        <v>9.5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26625-2026</t>
        </is>
      </c>
      <c r="B2038" t="inlineStr">
        <is>
          <t>avverkningsanmälan</t>
        </is>
      </c>
      <c r="C2038" t="inlineStr">
        <is>
          <t>Föryngringsavverkning</t>
        </is>
      </c>
      <c r="D2038" s="1" t="n">
        <v>46184</v>
      </c>
      <c r="E2038" s="1" t="n">
        <v>46326</v>
      </c>
      <c r="F2038" t="inlineStr">
        <is>
          <t>STOCKHOLMS LÄN</t>
        </is>
      </c>
      <c r="G2038" t="inlineStr">
        <is>
          <t>UPPLANDS-BRO</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39692-2025</t>
        </is>
      </c>
      <c r="B2039" t="inlineStr">
        <is>
          <t>avverkningsanmälan</t>
        </is>
      </c>
      <c r="C2039" t="inlineStr">
        <is>
          <t>Föryngringsavverkning</t>
        </is>
      </c>
      <c r="D2039" s="1" t="n">
        <v>45890</v>
      </c>
      <c r="E2039" s="1" t="n">
        <v>46326</v>
      </c>
      <c r="F2039" t="inlineStr">
        <is>
          <t>STOCKHOLMS LÄN</t>
        </is>
      </c>
      <c r="G2039" t="inlineStr">
        <is>
          <t>NORRTÄLJE</t>
        </is>
      </c>
      <c r="I2039" t="n">
        <v>10.5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35144-2026</t>
        </is>
      </c>
      <c r="B2040" t="inlineStr">
        <is>
          <t>avverkningsanmälan</t>
        </is>
      </c>
      <c r="C2040" t="inlineStr">
        <is>
          <t>Föryngringsavverkning</t>
        </is>
      </c>
      <c r="D2040" s="1" t="n">
        <v>46260</v>
      </c>
      <c r="E2040" s="1" t="n">
        <v>46326</v>
      </c>
      <c r="F2040" t="inlineStr">
        <is>
          <t>STOCKHOLMS LÄN</t>
        </is>
      </c>
      <c r="G2040" t="inlineStr">
        <is>
          <t>NORRTÄLJE</t>
        </is>
      </c>
      <c r="H2040" t="inlineStr">
        <is>
          <t>Kommuner</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41699-2026</t>
        </is>
      </c>
      <c r="B2041" t="inlineStr">
        <is>
          <t>avverkningsanmälan</t>
        </is>
      </c>
      <c r="C2041" t="inlineStr">
        <is>
          <t>Föryngringsavverkning</t>
        </is>
      </c>
      <c r="D2041" s="1" t="n">
        <v>46301</v>
      </c>
      <c r="E2041" s="1" t="n">
        <v>46326</v>
      </c>
      <c r="F2041" t="inlineStr">
        <is>
          <t>STOCKHOLMS LÄN</t>
        </is>
      </c>
      <c r="G2041" t="inlineStr">
        <is>
          <t>EKERÖ</t>
        </is>
      </c>
      <c r="H2041" t="inlineStr">
        <is>
          <t>Övriga statliga verk och myndigheter</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35033-2026</t>
        </is>
      </c>
      <c r="B2042" t="inlineStr">
        <is>
          <t>avverkningsanmälan</t>
        </is>
      </c>
      <c r="C2042" t="inlineStr">
        <is>
          <t>Föryngringsavverkning</t>
        </is>
      </c>
      <c r="D2042" s="1" t="n">
        <v>46259</v>
      </c>
      <c r="E2042" s="1" t="n">
        <v>46326</v>
      </c>
      <c r="F2042" t="inlineStr">
        <is>
          <t>STOCKHOLMS LÄN</t>
        </is>
      </c>
      <c r="G2042" t="inlineStr">
        <is>
          <t>NORRTÄLJE</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34922-2026</t>
        </is>
      </c>
      <c r="B2043" t="inlineStr">
        <is>
          <t>avverkningsanmälan</t>
        </is>
      </c>
      <c r="C2043" t="inlineStr">
        <is>
          <t>Föryngringsavverkning</t>
        </is>
      </c>
      <c r="D2043" s="1" t="n">
        <v>46259</v>
      </c>
      <c r="E2043" s="1" t="n">
        <v>46326</v>
      </c>
      <c r="F2043" t="inlineStr">
        <is>
          <t>STOCKHOLMS LÄN</t>
        </is>
      </c>
      <c r="G2043" t="inlineStr">
        <is>
          <t>NORRTÄLJE</t>
        </is>
      </c>
      <c r="I2043" t="n">
        <v>15.3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30323-2026</t>
        </is>
      </c>
      <c r="B2044" t="inlineStr">
        <is>
          <t>avverkningsanmälan</t>
        </is>
      </c>
      <c r="C2044" t="inlineStr">
        <is>
          <t>Föryngringsavverkning</t>
        </is>
      </c>
      <c r="D2044" s="1" t="n">
        <v>46207</v>
      </c>
      <c r="E2044" s="1" t="n">
        <v>46326</v>
      </c>
      <c r="F2044" t="inlineStr">
        <is>
          <t>STOCKHOLMS LÄN</t>
        </is>
      </c>
      <c r="G2044" t="inlineStr">
        <is>
          <t>NORRTÄLJE</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35340-2026</t>
        </is>
      </c>
      <c r="B2045" t="inlineStr">
        <is>
          <t>avverkningsanmälan</t>
        </is>
      </c>
      <c r="C2045" t="inlineStr">
        <is>
          <t>Föryngringsavverkning</t>
        </is>
      </c>
      <c r="D2045" s="1" t="n">
        <v>46261</v>
      </c>
      <c r="E2045" s="1" t="n">
        <v>46326</v>
      </c>
      <c r="F2045" t="inlineStr">
        <is>
          <t>STOCKHOLMS LÄN</t>
        </is>
      </c>
      <c r="G2045" t="inlineStr">
        <is>
          <t>NORRTÄLJE</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42194-2026</t>
        </is>
      </c>
      <c r="B2046" t="inlineStr">
        <is>
          <t>avverkningsanmälan</t>
        </is>
      </c>
      <c r="C2046" t="inlineStr">
        <is>
          <t>Avverkning för att bevara och utveckla /försöksver</t>
        </is>
      </c>
      <c r="D2046" s="1" t="n">
        <v>46304</v>
      </c>
      <c r="E2046" s="1" t="n">
        <v>46326</v>
      </c>
      <c r="F2046" t="inlineStr">
        <is>
          <t>STOCKHOLMS LÄN</t>
        </is>
      </c>
      <c r="G2046" t="inlineStr">
        <is>
          <t>NORRTÄLJE</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35357-2026</t>
        </is>
      </c>
      <c r="B2047" t="inlineStr">
        <is>
          <t>avverkningsanmälan</t>
        </is>
      </c>
      <c r="C2047" t="inlineStr">
        <is>
          <t>Föryngringsavverkning</t>
        </is>
      </c>
      <c r="D2047" s="1" t="n">
        <v>46261</v>
      </c>
      <c r="E2047" s="1" t="n">
        <v>46326</v>
      </c>
      <c r="F2047" t="inlineStr">
        <is>
          <t>STOCKHOLMS LÄN</t>
        </is>
      </c>
      <c r="G2047" t="inlineStr">
        <is>
          <t>NORRTÄLJE</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42392-2026</t>
        </is>
      </c>
      <c r="B2048" t="inlineStr">
        <is>
          <t>avverkningsanmälan</t>
        </is>
      </c>
      <c r="C2048" t="inlineStr">
        <is>
          <t>Föryngringsavverkning</t>
        </is>
      </c>
      <c r="D2048" s="1" t="n">
        <v>46307</v>
      </c>
      <c r="E2048" s="1" t="n">
        <v>46326</v>
      </c>
      <c r="F2048" t="inlineStr">
        <is>
          <t>STOCKHOLMS LÄN</t>
        </is>
      </c>
      <c r="G2048" t="inlineStr">
        <is>
          <t>HANINGE</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35323-2026</t>
        </is>
      </c>
      <c r="B2049" t="inlineStr">
        <is>
          <t>avverkningsanmälan</t>
        </is>
      </c>
      <c r="C2049" t="inlineStr">
        <is>
          <t>Föryngringsavverkning</t>
        </is>
      </c>
      <c r="D2049" s="1" t="n">
        <v>46261</v>
      </c>
      <c r="E2049" s="1" t="n">
        <v>46326</v>
      </c>
      <c r="F2049" t="inlineStr">
        <is>
          <t>STOCKHOLMS LÄN</t>
        </is>
      </c>
      <c r="G2049" t="inlineStr">
        <is>
          <t>NORRTÄLJE</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24740-2026</t>
        </is>
      </c>
      <c r="B2050" t="inlineStr">
        <is>
          <t>avverkningsanmälan</t>
        </is>
      </c>
      <c r="C2050" t="inlineStr">
        <is>
          <t>Föryngringsavverkning</t>
        </is>
      </c>
      <c r="D2050" s="1" t="n">
        <v>46171</v>
      </c>
      <c r="E2050" s="1" t="n">
        <v>46326</v>
      </c>
      <c r="F2050" t="inlineStr">
        <is>
          <t>STOCKHOLMS LÄN</t>
        </is>
      </c>
      <c r="G2050" t="inlineStr">
        <is>
          <t>VALLENTUNA</t>
        </is>
      </c>
      <c r="H2050" t="inlineStr">
        <is>
          <t>Övriga Aktiebolag</t>
        </is>
      </c>
      <c r="I2050" t="n">
        <v>5.7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36025-2026</t>
        </is>
      </c>
      <c r="B2051" t="inlineStr">
        <is>
          <t>avverkningsanmälan</t>
        </is>
      </c>
      <c r="C2051" t="inlineStr">
        <is>
          <t>Föryngringsavverkning</t>
        </is>
      </c>
      <c r="D2051" s="1" t="n">
        <v>46266</v>
      </c>
      <c r="E2051" s="1" t="n">
        <v>46326</v>
      </c>
      <c r="F2051" t="inlineStr">
        <is>
          <t>STOCKHOLMS LÄN</t>
        </is>
      </c>
      <c r="G2051" t="inlineStr">
        <is>
          <t>NORRTÄLJE</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42193-2026</t>
        </is>
      </c>
      <c r="B2052" t="inlineStr">
        <is>
          <t>avverkningsanmälan</t>
        </is>
      </c>
      <c r="C2052" t="inlineStr">
        <is>
          <t>Avverkning för att bevara och utveckla /försöksver</t>
        </is>
      </c>
      <c r="D2052" s="1" t="n">
        <v>46304</v>
      </c>
      <c r="E2052" s="1" t="n">
        <v>46326</v>
      </c>
      <c r="F2052" t="inlineStr">
        <is>
          <t>STOCKHOLMS LÄN</t>
        </is>
      </c>
      <c r="G2052" t="inlineStr">
        <is>
          <t>NORRTÄLJE</t>
        </is>
      </c>
      <c r="I2052" t="n">
        <v>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42813-2026</t>
        </is>
      </c>
      <c r="B2053" t="inlineStr">
        <is>
          <t>avverkningsanmälan</t>
        </is>
      </c>
      <c r="C2053" t="inlineStr">
        <is>
          <t>Föryngringsavverkning</t>
        </is>
      </c>
      <c r="D2053" s="1" t="n">
        <v>46309</v>
      </c>
      <c r="E2053" s="1" t="n">
        <v>46326</v>
      </c>
      <c r="F2053" t="inlineStr">
        <is>
          <t>STOCKHOLMS LÄN</t>
        </is>
      </c>
      <c r="G2053" t="inlineStr">
        <is>
          <t>SÖDERTÄLJE</t>
        </is>
      </c>
      <c r="H2053" t="inlineStr">
        <is>
          <t>Sveaskog</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41772-2026</t>
        </is>
      </c>
      <c r="B2054" t="inlineStr">
        <is>
          <t>avverkningsanmälan</t>
        </is>
      </c>
      <c r="C2054" t="inlineStr">
        <is>
          <t>Föryngringsavverkning</t>
        </is>
      </c>
      <c r="D2054" s="1" t="n">
        <v>46302</v>
      </c>
      <c r="E2054" s="1" t="n">
        <v>46326</v>
      </c>
      <c r="F2054" t="inlineStr">
        <is>
          <t>STOCKHOLMS LÄN</t>
        </is>
      </c>
      <c r="G2054" t="inlineStr">
        <is>
          <t>ÖSTERÅKER</t>
        </is>
      </c>
      <c r="H2054" t="inlineStr">
        <is>
          <t>Övriga Aktiebolag</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36024-2026</t>
        </is>
      </c>
      <c r="B2055" t="inlineStr">
        <is>
          <t>avverkningsanmälan</t>
        </is>
      </c>
      <c r="C2055" t="inlineStr">
        <is>
          <t>Föryngringsavverkning</t>
        </is>
      </c>
      <c r="D2055" s="1" t="n">
        <v>46266</v>
      </c>
      <c r="E2055" s="1" t="n">
        <v>46326</v>
      </c>
      <c r="F2055" t="inlineStr">
        <is>
          <t>STOCKHOLMS LÄN</t>
        </is>
      </c>
      <c r="G2055" t="inlineStr">
        <is>
          <t>NORRTÄLJE</t>
        </is>
      </c>
      <c r="I2055" t="n">
        <v>4.2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35850-2026</t>
        </is>
      </c>
      <c r="B2056" t="inlineStr">
        <is>
          <t>avverkningsanmälan</t>
        </is>
      </c>
      <c r="C2056" t="inlineStr">
        <is>
          <t>Föryngringsavverkning</t>
        </is>
      </c>
      <c r="D2056" s="1" t="n">
        <v>46265</v>
      </c>
      <c r="E2056" s="1" t="n">
        <v>46326</v>
      </c>
      <c r="F2056" t="inlineStr">
        <is>
          <t>STOCKHOLMS LÄN</t>
        </is>
      </c>
      <c r="G2056" t="inlineStr">
        <is>
          <t>NORRTÄLJE</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42812-2026</t>
        </is>
      </c>
      <c r="B2057" t="inlineStr">
        <is>
          <t>avverkningsanmälan</t>
        </is>
      </c>
      <c r="C2057" t="inlineStr">
        <is>
          <t>Föryngringsavverkning</t>
        </is>
      </c>
      <c r="D2057" s="1" t="n">
        <v>46309</v>
      </c>
      <c r="E2057" s="1" t="n">
        <v>46326</v>
      </c>
      <c r="F2057" t="inlineStr">
        <is>
          <t>STOCKHOLMS LÄN</t>
        </is>
      </c>
      <c r="G2057" t="inlineStr">
        <is>
          <t>NORRTÄLJE</t>
        </is>
      </c>
      <c r="H2057" t="inlineStr">
        <is>
          <t>Sveaskog</t>
        </is>
      </c>
      <c r="I2057" t="n">
        <v>10.7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36026-2026</t>
        </is>
      </c>
      <c r="B2058" t="inlineStr">
        <is>
          <t>avverkningsanmälan</t>
        </is>
      </c>
      <c r="C2058" t="inlineStr">
        <is>
          <t>Föryngringsavverkning</t>
        </is>
      </c>
      <c r="D2058" s="1" t="n">
        <v>46266</v>
      </c>
      <c r="E2058" s="1" t="n">
        <v>46326</v>
      </c>
      <c r="F2058" t="inlineStr">
        <is>
          <t>STOCKHOLMS LÄN</t>
        </is>
      </c>
      <c r="G2058" t="inlineStr">
        <is>
          <t>NORRTÄLJE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36027-2026</t>
        </is>
      </c>
      <c r="B2059" t="inlineStr">
        <is>
          <t>avverkningsanmälan</t>
        </is>
      </c>
      <c r="C2059" t="inlineStr">
        <is>
          <t>Föryngringsavverkning</t>
        </is>
      </c>
      <c r="D2059" s="1" t="n">
        <v>46266</v>
      </c>
      <c r="E2059" s="1" t="n">
        <v>46326</v>
      </c>
      <c r="F2059" t="inlineStr">
        <is>
          <t>STOCKHOLMS LÄN</t>
        </is>
      </c>
      <c r="G2059" t="inlineStr">
        <is>
          <t>NORRTÄLJE</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43118-2026</t>
        </is>
      </c>
      <c r="B2060" t="inlineStr">
        <is>
          <t>avverkningsanmälan</t>
        </is>
      </c>
      <c r="C2060" t="inlineStr">
        <is>
          <t>Föryngringsavverkning</t>
        </is>
      </c>
      <c r="D2060" s="1" t="n">
        <v>46311</v>
      </c>
      <c r="E2060" s="1" t="n">
        <v>46326</v>
      </c>
      <c r="F2060" t="inlineStr">
        <is>
          <t>STOCKHOLMS LÄN</t>
        </is>
      </c>
      <c r="G2060" t="inlineStr">
        <is>
          <t>NORRTÄLJE</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36360-2026</t>
        </is>
      </c>
      <c r="B2061" t="inlineStr">
        <is>
          <t>avverkningsanmälan</t>
        </is>
      </c>
      <c r="C2061" t="inlineStr">
        <is>
          <t>Föryngringsavverkning</t>
        </is>
      </c>
      <c r="D2061" s="1" t="n">
        <v>46268</v>
      </c>
      <c r="E2061" s="1" t="n">
        <v>46326</v>
      </c>
      <c r="F2061" t="inlineStr">
        <is>
          <t>STOCKHOLMS LÄN</t>
        </is>
      </c>
      <c r="G2061" t="inlineStr">
        <is>
          <t>NORRTÄLJE</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36362-2026</t>
        </is>
      </c>
      <c r="B2062" t="inlineStr">
        <is>
          <t>avverkningsanmälan</t>
        </is>
      </c>
      <c r="C2062" t="inlineStr">
        <is>
          <t>Föryngringsavverkning</t>
        </is>
      </c>
      <c r="D2062" s="1" t="n">
        <v>46268</v>
      </c>
      <c r="E2062" s="1" t="n">
        <v>46326</v>
      </c>
      <c r="F2062" t="inlineStr">
        <is>
          <t>STOCKHOLMS LÄN</t>
        </is>
      </c>
      <c r="G2062" t="inlineStr">
        <is>
          <t>NORRTÄLJE</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42952-2026</t>
        </is>
      </c>
      <c r="B2063" t="inlineStr">
        <is>
          <t>avverkningsanmälan</t>
        </is>
      </c>
      <c r="C2063" t="inlineStr">
        <is>
          <t>Föryngringsavverkning</t>
        </is>
      </c>
      <c r="D2063" s="1" t="n">
        <v>46310</v>
      </c>
      <c r="E2063" s="1" t="n">
        <v>46326</v>
      </c>
      <c r="F2063" t="inlineStr">
        <is>
          <t>STOCKHOLMS LÄN</t>
        </is>
      </c>
      <c r="G2063" t="inlineStr">
        <is>
          <t>HANINGE</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42975-2026</t>
        </is>
      </c>
      <c r="B2064" t="inlineStr">
        <is>
          <t>avverkningsanmälan</t>
        </is>
      </c>
      <c r="C2064" t="inlineStr">
        <is>
          <t>Föryngringsavverkning</t>
        </is>
      </c>
      <c r="D2064" s="1" t="n">
        <v>46310</v>
      </c>
      <c r="E2064" s="1" t="n">
        <v>46326</v>
      </c>
      <c r="F2064" t="inlineStr">
        <is>
          <t>STOCKHOLMS LÄN</t>
        </is>
      </c>
      <c r="G2064" t="inlineStr">
        <is>
          <t>HANINGE</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35365-2026</t>
        </is>
      </c>
      <c r="B2065" t="inlineStr">
        <is>
          <t>avverkningsanmälan</t>
        </is>
      </c>
      <c r="C2065" t="inlineStr">
        <is>
          <t>Föryngringsavverkning</t>
        </is>
      </c>
      <c r="D2065" s="1" t="n">
        <v>46261</v>
      </c>
      <c r="E2065" s="1" t="n">
        <v>46326</v>
      </c>
      <c r="F2065" t="inlineStr">
        <is>
          <t>STOCKHOLMS LÄN</t>
        </is>
      </c>
      <c r="G2065" t="inlineStr">
        <is>
          <t>NORRTÄLJE</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43301-2026</t>
        </is>
      </c>
      <c r="B2066" t="inlineStr">
        <is>
          <t>avverkningsanmälan</t>
        </is>
      </c>
      <c r="C2066" t="inlineStr">
        <is>
          <t>Föryngringsavverkning</t>
        </is>
      </c>
      <c r="D2066" s="1" t="n">
        <v>46314</v>
      </c>
      <c r="E2066" s="1" t="n">
        <v>46326</v>
      </c>
      <c r="F2066" t="inlineStr">
        <is>
          <t>STOCKHOLMS LÄN</t>
        </is>
      </c>
      <c r="G2066" t="inlineStr">
        <is>
          <t>VÄRMDÖ</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43314-2026</t>
        </is>
      </c>
      <c r="B2067" t="inlineStr">
        <is>
          <t>avverkningsanmälan</t>
        </is>
      </c>
      <c r="C2067" t="inlineStr">
        <is>
          <t>Föryngringsavverkning</t>
        </is>
      </c>
      <c r="D2067" s="1" t="n">
        <v>46314</v>
      </c>
      <c r="E2067" s="1" t="n">
        <v>46326</v>
      </c>
      <c r="F2067" t="inlineStr">
        <is>
          <t>STOCKHOLMS LÄN</t>
        </is>
      </c>
      <c r="G2067" t="inlineStr">
        <is>
          <t>VÄRMDÖ</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43308-2026</t>
        </is>
      </c>
      <c r="B2068" t="inlineStr">
        <is>
          <t>avverkningsanmälan</t>
        </is>
      </c>
      <c r="C2068" t="inlineStr">
        <is>
          <t>Föryngringsavverkning</t>
        </is>
      </c>
      <c r="D2068" s="1" t="n">
        <v>46314</v>
      </c>
      <c r="E2068" s="1" t="n">
        <v>46326</v>
      </c>
      <c r="F2068" t="inlineStr">
        <is>
          <t>STOCKHOLMS LÄN</t>
        </is>
      </c>
      <c r="G2068" t="inlineStr">
        <is>
          <t>VÄRMDÖ</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43353-2026</t>
        </is>
      </c>
      <c r="B2069" t="inlineStr">
        <is>
          <t>avverkningsanmälan</t>
        </is>
      </c>
      <c r="C2069" t="inlineStr">
        <is>
          <t>Föryngringsavverkning</t>
        </is>
      </c>
      <c r="D2069" s="1" t="n">
        <v>46314</v>
      </c>
      <c r="E2069" s="1" t="n">
        <v>46326</v>
      </c>
      <c r="F2069" t="inlineStr">
        <is>
          <t>STOCKHOLMS LÄN</t>
        </is>
      </c>
      <c r="G2069" t="inlineStr">
        <is>
          <t>NORRTÄLJE</t>
        </is>
      </c>
      <c r="I2069" t="n">
        <v>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43287-2026</t>
        </is>
      </c>
      <c r="B2070" t="inlineStr">
        <is>
          <t>avverkningsanmälan</t>
        </is>
      </c>
      <c r="C2070" t="inlineStr">
        <is>
          <t>Föryngringsavverkning</t>
        </is>
      </c>
      <c r="D2070" s="1" t="n">
        <v>46314</v>
      </c>
      <c r="E2070" s="1" t="n">
        <v>46326</v>
      </c>
      <c r="F2070" t="inlineStr">
        <is>
          <t>STOCKHOLMS LÄN</t>
        </is>
      </c>
      <c r="G2070" t="inlineStr">
        <is>
          <t>VÄRMDÖ</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34553-2026</t>
        </is>
      </c>
      <c r="B2071" t="inlineStr">
        <is>
          <t>avverkningsanmälan</t>
        </is>
      </c>
      <c r="C2071" t="inlineStr">
        <is>
          <t>Föryngringsavverkning</t>
        </is>
      </c>
      <c r="D2071" s="1" t="n">
        <v>46254</v>
      </c>
      <c r="E2071" s="1" t="n">
        <v>46326</v>
      </c>
      <c r="F2071" t="inlineStr">
        <is>
          <t>STOCKHOLMS LÄN</t>
        </is>
      </c>
      <c r="G2071" t="inlineStr">
        <is>
          <t>NORRTÄLJE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36849-2026</t>
        </is>
      </c>
      <c r="B2072" t="inlineStr">
        <is>
          <t>avverkningsanmälan</t>
        </is>
      </c>
      <c r="C2072" t="inlineStr">
        <is>
          <t>Föryngringsavverkning</t>
        </is>
      </c>
      <c r="D2072" s="1" t="n">
        <v>46272</v>
      </c>
      <c r="E2072" s="1" t="n">
        <v>46326</v>
      </c>
      <c r="F2072" t="inlineStr">
        <is>
          <t>STOCKHOLMS LÄN</t>
        </is>
      </c>
      <c r="G2072" t="inlineStr">
        <is>
          <t>NORRTÄLJE</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35360-2026</t>
        </is>
      </c>
      <c r="B2073" t="inlineStr">
        <is>
          <t>avverkningsanmälan</t>
        </is>
      </c>
      <c r="C2073" t="inlineStr">
        <is>
          <t>Föryngringsavverkning</t>
        </is>
      </c>
      <c r="D2073" s="1" t="n">
        <v>46261</v>
      </c>
      <c r="E2073" s="1" t="n">
        <v>46326</v>
      </c>
      <c r="F2073" t="inlineStr">
        <is>
          <t>STOCKHOLMS LÄN</t>
        </is>
      </c>
      <c r="G2073" t="inlineStr">
        <is>
          <t>NORRTÄLJE</t>
        </is>
      </c>
      <c r="I2073" t="n">
        <v>7.8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43047-2026</t>
        </is>
      </c>
      <c r="B2074" t="inlineStr">
        <is>
          <t>avverkningsanmälan</t>
        </is>
      </c>
      <c r="C2074" t="inlineStr">
        <is>
          <t>Föryngringsavverkning</t>
        </is>
      </c>
      <c r="D2074" s="1" t="n">
        <v>46311</v>
      </c>
      <c r="E2074" s="1" t="n">
        <v>46326</v>
      </c>
      <c r="F2074" t="inlineStr">
        <is>
          <t>STOCKHOLMS LÄN</t>
        </is>
      </c>
      <c r="G2074" t="inlineStr">
        <is>
          <t>NORRTÄLJE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37306-2026</t>
        </is>
      </c>
      <c r="B2075" t="inlineStr">
        <is>
          <t>avverkningsanmälan</t>
        </is>
      </c>
      <c r="C2075" t="inlineStr">
        <is>
          <t>Föryngringsavverkning</t>
        </is>
      </c>
      <c r="D2075" s="1" t="n">
        <v>46274</v>
      </c>
      <c r="E2075" s="1" t="n">
        <v>46326</v>
      </c>
      <c r="F2075" t="inlineStr">
        <is>
          <t>STOCKHOLMS LÄN</t>
        </is>
      </c>
      <c r="G2075" t="inlineStr">
        <is>
          <t>NYKVARN</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37345-2026</t>
        </is>
      </c>
      <c r="B2076" t="inlineStr">
        <is>
          <t>avverkningsanmälan</t>
        </is>
      </c>
      <c r="C2076" t="inlineStr">
        <is>
          <t>Föryngringsavverkning</t>
        </is>
      </c>
      <c r="D2076" s="1" t="n">
        <v>46275</v>
      </c>
      <c r="E2076" s="1" t="n">
        <v>46326</v>
      </c>
      <c r="F2076" t="inlineStr">
        <is>
          <t>STOCKHOLMS LÄN</t>
        </is>
      </c>
      <c r="G2076" t="inlineStr">
        <is>
          <t>SIGTUNA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36919-2026</t>
        </is>
      </c>
      <c r="B2077" t="inlineStr">
        <is>
          <t>avverkningsanmälan</t>
        </is>
      </c>
      <c r="C2077" t="inlineStr">
        <is>
          <t>Föryngringsavverkning</t>
        </is>
      </c>
      <c r="D2077" s="1" t="n">
        <v>46273</v>
      </c>
      <c r="E2077" s="1" t="n">
        <v>46326</v>
      </c>
      <c r="F2077" t="inlineStr">
        <is>
          <t>STOCKHOLMS LÄN</t>
        </is>
      </c>
      <c r="G2077" t="inlineStr">
        <is>
          <t>NYKVARN</t>
        </is>
      </c>
      <c r="I2077" t="n">
        <v>8.5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37305-2026</t>
        </is>
      </c>
      <c r="B2078" t="inlineStr">
        <is>
          <t>avverkningsanmälan</t>
        </is>
      </c>
      <c r="C2078" t="inlineStr">
        <is>
          <t>Föryngringsavverkning</t>
        </is>
      </c>
      <c r="D2078" s="1" t="n">
        <v>46274</v>
      </c>
      <c r="E2078" s="1" t="n">
        <v>46326</v>
      </c>
      <c r="F2078" t="inlineStr">
        <is>
          <t>STOCKHOLMS LÄN</t>
        </is>
      </c>
      <c r="G2078" t="inlineStr">
        <is>
          <t>NYKVARN</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36938-2026</t>
        </is>
      </c>
      <c r="B2079" t="inlineStr">
        <is>
          <t>avverkningsanmälan</t>
        </is>
      </c>
      <c r="C2079" t="inlineStr">
        <is>
          <t>Föryngringsavverkning</t>
        </is>
      </c>
      <c r="D2079" s="1" t="n">
        <v>46273</v>
      </c>
      <c r="E2079" s="1" t="n">
        <v>46326</v>
      </c>
      <c r="F2079" t="inlineStr">
        <is>
          <t>STOCKHOLMS LÄN</t>
        </is>
      </c>
      <c r="G2079" t="inlineStr">
        <is>
          <t>SÖDERTÄLJE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37266-2026</t>
        </is>
      </c>
      <c r="B2080" t="inlineStr">
        <is>
          <t>avverkningsanmälan</t>
        </is>
      </c>
      <c r="C2080" t="inlineStr">
        <is>
          <t>Avverkning för att bevara och utveckla /försöksver</t>
        </is>
      </c>
      <c r="D2080" s="1" t="n">
        <v>46274</v>
      </c>
      <c r="E2080" s="1" t="n">
        <v>46326</v>
      </c>
      <c r="F2080" t="inlineStr">
        <is>
          <t>STOCKHOLMS LÄN</t>
        </is>
      </c>
      <c r="G2080" t="inlineStr">
        <is>
          <t>NYKVARN</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37244-2026</t>
        </is>
      </c>
      <c r="B2081" t="inlineStr">
        <is>
          <t>avverkningsanmälan</t>
        </is>
      </c>
      <c r="C2081" t="inlineStr">
        <is>
          <t>Avverkning för att bevara och utveckla /försöksver</t>
        </is>
      </c>
      <c r="D2081" s="1" t="n">
        <v>46274</v>
      </c>
      <c r="E2081" s="1" t="n">
        <v>46326</v>
      </c>
      <c r="F2081" t="inlineStr">
        <is>
          <t>STOCKHOLMS LÄN</t>
        </is>
      </c>
      <c r="G2081" t="inlineStr">
        <is>
          <t>NYKVARN</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37309-2026</t>
        </is>
      </c>
      <c r="B2082" t="inlineStr">
        <is>
          <t>avverkningsanmälan</t>
        </is>
      </c>
      <c r="C2082" t="inlineStr">
        <is>
          <t>Föryngringsavverkning</t>
        </is>
      </c>
      <c r="D2082" s="1" t="n">
        <v>46274</v>
      </c>
      <c r="E2082" s="1" t="n">
        <v>46326</v>
      </c>
      <c r="F2082" t="inlineStr">
        <is>
          <t>STOCKHOLMS LÄN</t>
        </is>
      </c>
      <c r="G2082" t="inlineStr">
        <is>
          <t>NYKVARN</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37307-2026</t>
        </is>
      </c>
      <c r="B2083" t="inlineStr">
        <is>
          <t>avverkningsanmälan</t>
        </is>
      </c>
      <c r="C2083" t="inlineStr">
        <is>
          <t>Föryngringsavverkning</t>
        </is>
      </c>
      <c r="D2083" s="1" t="n">
        <v>46274</v>
      </c>
      <c r="E2083" s="1" t="n">
        <v>46326</v>
      </c>
      <c r="F2083" t="inlineStr">
        <is>
          <t>STOCKHOLMS LÄN</t>
        </is>
      </c>
      <c r="G2083" t="inlineStr">
        <is>
          <t>NYKVARN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37209-2026</t>
        </is>
      </c>
      <c r="B2084" t="inlineStr">
        <is>
          <t>avverkningsanmälan</t>
        </is>
      </c>
      <c r="C2084" t="inlineStr">
        <is>
          <t>Föryngringsavverkning</t>
        </is>
      </c>
      <c r="D2084" s="1" t="n">
        <v>46274</v>
      </c>
      <c r="E2084" s="1" t="n">
        <v>46326</v>
      </c>
      <c r="F2084" t="inlineStr">
        <is>
          <t>STOCKHOLMS LÄN</t>
        </is>
      </c>
      <c r="G2084" t="inlineStr">
        <is>
          <t>NORRTÄLJE</t>
        </is>
      </c>
      <c r="H2084" t="inlineStr">
        <is>
          <t>Sveaskog</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58403-2025</t>
        </is>
      </c>
      <c r="B2085" t="inlineStr">
        <is>
          <t>avverkningsanmälan</t>
        </is>
      </c>
      <c r="C2085" t="inlineStr">
        <is>
          <t>Föryngringsavverkning</t>
        </is>
      </c>
      <c r="D2085" s="1" t="n">
        <v>45985</v>
      </c>
      <c r="E2085" s="1" t="n">
        <v>46326</v>
      </c>
      <c r="F2085" t="inlineStr">
        <is>
          <t>STOCKHOLMS LÄN</t>
        </is>
      </c>
      <c r="G2085" t="inlineStr">
        <is>
          <t>NORRTÄLJE</t>
        </is>
      </c>
      <c r="H2085" t="inlineStr">
        <is>
          <t>Naturvårdsverket</t>
        </is>
      </c>
      <c r="I2085" t="n">
        <v>13.5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51789-2025</t>
        </is>
      </c>
      <c r="B2086" t="inlineStr">
        <is>
          <t>avverkningsanmälan</t>
        </is>
      </c>
      <c r="C2086" t="inlineStr">
        <is>
          <t>Föryngringsavverkning</t>
        </is>
      </c>
      <c r="D2086" s="1" t="n">
        <v>45951</v>
      </c>
      <c r="E2086" s="1" t="n">
        <v>46326</v>
      </c>
      <c r="F2086" t="inlineStr">
        <is>
          <t>STOCKHOLMS LÄN</t>
        </is>
      </c>
      <c r="G2086" t="inlineStr">
        <is>
          <t>NORRTÄLJE</t>
        </is>
      </c>
      <c r="H2086" t="inlineStr">
        <is>
          <t>Naturvårdsverket</t>
        </is>
      </c>
      <c r="I2086" t="n">
        <v>8.9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31868-2025</t>
        </is>
      </c>
      <c r="B2087" t="inlineStr">
        <is>
          <t>avverkningsanmälan</t>
        </is>
      </c>
      <c r="C2087" t="inlineStr">
        <is>
          <t>Föryngringsavverkning</t>
        </is>
      </c>
      <c r="D2087" s="1" t="n">
        <v>45834</v>
      </c>
      <c r="E2087" s="1" t="n">
        <v>46326</v>
      </c>
      <c r="F2087" t="inlineStr">
        <is>
          <t>STOCKHOLMS LÄN</t>
        </is>
      </c>
      <c r="G2087" t="inlineStr">
        <is>
          <t>NORRTÄLJE</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40228-2025</t>
        </is>
      </c>
      <c r="B2088" t="inlineStr">
        <is>
          <t>avverkningsanmälan</t>
        </is>
      </c>
      <c r="C2088" t="inlineStr">
        <is>
          <t>Föryngringsavverkning</t>
        </is>
      </c>
      <c r="D2088" s="1" t="n">
        <v>45894</v>
      </c>
      <c r="E2088" s="1" t="n">
        <v>46326</v>
      </c>
      <c r="F2088" t="inlineStr">
        <is>
          <t>STOCKHOLMS LÄN</t>
        </is>
      </c>
      <c r="G2088" t="inlineStr">
        <is>
          <t>NORRTÄLJE</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29250-2025</t>
        </is>
      </c>
      <c r="B2089" t="inlineStr">
        <is>
          <t>avverkningsanmälan</t>
        </is>
      </c>
      <c r="C2089" t="inlineStr">
        <is>
          <t>Föryngringsavverkning</t>
        </is>
      </c>
      <c r="D2089" s="1" t="n">
        <v>45824</v>
      </c>
      <c r="E2089" s="1" t="n">
        <v>46326</v>
      </c>
      <c r="F2089" t="inlineStr">
        <is>
          <t>STOCKHOLMS LÄN</t>
        </is>
      </c>
      <c r="G2089" t="inlineStr">
        <is>
          <t>NORRTÄLJE</t>
        </is>
      </c>
      <c r="H2089" t="inlineStr">
        <is>
          <t>Sveaskog</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31874-2025</t>
        </is>
      </c>
      <c r="B2090" t="inlineStr">
        <is>
          <t>avverkningsanmälan</t>
        </is>
      </c>
      <c r="C2090" t="inlineStr">
        <is>
          <t>Föryngringsavverkning</t>
        </is>
      </c>
      <c r="D2090" s="1" t="n">
        <v>45834</v>
      </c>
      <c r="E2090" s="1" t="n">
        <v>46326</v>
      </c>
      <c r="F2090" t="inlineStr">
        <is>
          <t>STOCKHOLMS LÄN</t>
        </is>
      </c>
      <c r="G2090" t="inlineStr">
        <is>
          <t>NORRTÄLJE</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44732-2026</t>
        </is>
      </c>
      <c r="B2091" t="inlineStr">
        <is>
          <t>avverkningsanmälan</t>
        </is>
      </c>
      <c r="C2091" t="inlineStr">
        <is>
          <t>Föryngringsavverkning</t>
        </is>
      </c>
      <c r="D2091" s="1" t="n">
        <v>46318</v>
      </c>
      <c r="E2091" s="1" t="n">
        <v>46326</v>
      </c>
      <c r="F2091" t="inlineStr">
        <is>
          <t>STOCKHOLMS LÄN</t>
        </is>
      </c>
      <c r="G2091" t="inlineStr">
        <is>
          <t>NORRTÄLJE</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24835-2025</t>
        </is>
      </c>
      <c r="B2092" t="inlineStr">
        <is>
          <t>avverkningsanmälan</t>
        </is>
      </c>
      <c r="C2092" t="inlineStr">
        <is>
          <t>Avverkning för annat ändamål</t>
        </is>
      </c>
      <c r="D2092" s="1" t="n">
        <v>45799</v>
      </c>
      <c r="E2092" s="1" t="n">
        <v>46326</v>
      </c>
      <c r="F2092" t="inlineStr">
        <is>
          <t>STOCKHOLMS LÄN</t>
        </is>
      </c>
      <c r="G2092" t="inlineStr">
        <is>
          <t>NORRTÄLJE</t>
        </is>
      </c>
      <c r="I2092" t="n">
        <v>2.5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43049-2026</t>
        </is>
      </c>
      <c r="B2093" t="inlineStr">
        <is>
          <t>avverkningsanmälan</t>
        </is>
      </c>
      <c r="C2093" t="inlineStr">
        <is>
          <t>Föryngringsavverkning</t>
        </is>
      </c>
      <c r="D2093" s="1" t="n">
        <v>46311</v>
      </c>
      <c r="E2093" s="1" t="n">
        <v>46326</v>
      </c>
      <c r="F2093" t="inlineStr">
        <is>
          <t>STOCKHOLMS LÄN</t>
        </is>
      </c>
      <c r="G2093" t="inlineStr">
        <is>
          <t>NORRTÄLJE</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44634-2026</t>
        </is>
      </c>
      <c r="B2094" t="inlineStr">
        <is>
          <t>avverkningsanmälan</t>
        </is>
      </c>
      <c r="C2094" t="inlineStr">
        <is>
          <t>Föryngringsavverkning</t>
        </is>
      </c>
      <c r="D2094" s="1" t="n">
        <v>46322</v>
      </c>
      <c r="E2094" s="1" t="n">
        <v>46326</v>
      </c>
      <c r="F2094" t="inlineStr">
        <is>
          <t>STOCKHOLMS LÄN</t>
        </is>
      </c>
      <c r="G2094" t="inlineStr">
        <is>
          <t>VALLENTUNA</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40247-2026</t>
        </is>
      </c>
      <c r="B2095" t="inlineStr">
        <is>
          <t>avverkningsanmälan</t>
        </is>
      </c>
      <c r="C2095" t="inlineStr">
        <is>
          <t>Föryngringsavverkning</t>
        </is>
      </c>
      <c r="D2095" s="1" t="n">
        <v>46294</v>
      </c>
      <c r="E2095" s="1" t="n">
        <v>46326</v>
      </c>
      <c r="F2095" t="inlineStr">
        <is>
          <t>STOCKHOLMS LÄN</t>
        </is>
      </c>
      <c r="G2095" t="inlineStr">
        <is>
          <t>NORRTÄLJE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44962-2026</t>
        </is>
      </c>
      <c r="B2096" t="inlineStr">
        <is>
          <t>avverkningsanmälan</t>
        </is>
      </c>
      <c r="C2096" t="inlineStr">
        <is>
          <t>Föryngringsavverkning</t>
        </is>
      </c>
      <c r="D2096" s="1" t="n">
        <v>46323</v>
      </c>
      <c r="E2096" s="1" t="n">
        <v>46326</v>
      </c>
      <c r="F2096" t="inlineStr">
        <is>
          <t>STOCKHOLMS LÄN</t>
        </is>
      </c>
      <c r="G2096" t="inlineStr">
        <is>
          <t>SÖDERTÄLJE</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44630-2026</t>
        </is>
      </c>
      <c r="B2097" t="inlineStr">
        <is>
          <t>avverkningsanmälan</t>
        </is>
      </c>
      <c r="C2097" t="inlineStr">
        <is>
          <t>Föryngringsavverkning</t>
        </is>
      </c>
      <c r="D2097" s="1" t="n">
        <v>46322</v>
      </c>
      <c r="E2097" s="1" t="n">
        <v>46326</v>
      </c>
      <c r="F2097" t="inlineStr">
        <is>
          <t>STOCKHOLMS LÄN</t>
        </is>
      </c>
      <c r="G2097" t="inlineStr">
        <is>
          <t>VALLENTUNA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44628-2026</t>
        </is>
      </c>
      <c r="B2098" t="inlineStr">
        <is>
          <t>avverkningsanmälan</t>
        </is>
      </c>
      <c r="C2098" t="inlineStr">
        <is>
          <t>Föryngringsavverkning</t>
        </is>
      </c>
      <c r="D2098" s="1" t="n">
        <v>46322</v>
      </c>
      <c r="E2098" s="1" t="n">
        <v>46326</v>
      </c>
      <c r="F2098" t="inlineStr">
        <is>
          <t>STOCKHOLMS LÄN</t>
        </is>
      </c>
      <c r="G2098" t="inlineStr">
        <is>
          <t>VALLENTUNA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38695-2026</t>
        </is>
      </c>
      <c r="B2099" t="inlineStr">
        <is>
          <t>avverkningsanmälan</t>
        </is>
      </c>
      <c r="C2099" t="inlineStr">
        <is>
          <t>Föryngringsavverkning</t>
        </is>
      </c>
      <c r="D2099" s="1" t="n">
        <v>46283</v>
      </c>
      <c r="E2099" s="1" t="n">
        <v>46326</v>
      </c>
      <c r="F2099" t="inlineStr">
        <is>
          <t>STOCKHOLMS LÄN</t>
        </is>
      </c>
      <c r="G2099" t="inlineStr">
        <is>
          <t>SIGTUNA</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38650-2026</t>
        </is>
      </c>
      <c r="B2100" t="inlineStr">
        <is>
          <t>avverkningsanmälan</t>
        </is>
      </c>
      <c r="C2100" t="inlineStr">
        <is>
          <t>Föryngringsavverkning</t>
        </is>
      </c>
      <c r="D2100" s="1" t="n">
        <v>46283</v>
      </c>
      <c r="E2100" s="1" t="n">
        <v>46326</v>
      </c>
      <c r="F2100" t="inlineStr">
        <is>
          <t>STOCKHOLMS LÄN</t>
        </is>
      </c>
      <c r="G2100" t="inlineStr">
        <is>
          <t>NORRTÄLJE</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62311-2023</t>
        </is>
      </c>
      <c r="B2101" t="inlineStr">
        <is>
          <t>avverkningsanmälan</t>
        </is>
      </c>
      <c r="C2101" t="inlineStr">
        <is>
          <t>Föryngringsavverkning</t>
        </is>
      </c>
      <c r="D2101" s="1" t="n">
        <v>45266</v>
      </c>
      <c r="E2101" s="1" t="n">
        <v>46326</v>
      </c>
      <c r="F2101" t="inlineStr">
        <is>
          <t>STOCKHOLMS LÄN</t>
        </is>
      </c>
      <c r="G2101" t="inlineStr">
        <is>
          <t>SÖDERTÄLJE</t>
        </is>
      </c>
      <c r="I2101" t="n">
        <v>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8932-2023</t>
        </is>
      </c>
      <c r="B2102" t="inlineStr">
        <is>
          <t>avverkningsanmälan</t>
        </is>
      </c>
      <c r="C2102" t="inlineStr">
        <is>
          <t>Föryngringsavverkning</t>
        </is>
      </c>
      <c r="D2102" s="1" t="n">
        <v>44979</v>
      </c>
      <c r="E2102" s="1" t="n">
        <v>46326</v>
      </c>
      <c r="F2102" t="inlineStr">
        <is>
          <t>STOCKHOLMS LÄN</t>
        </is>
      </c>
      <c r="G2102" t="inlineStr">
        <is>
          <t>NYNÄSHAMN</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1658-2022</t>
        </is>
      </c>
      <c r="B2103" t="inlineStr">
        <is>
          <t>avverkningsanmälan</t>
        </is>
      </c>
      <c r="C2103" t="inlineStr">
        <is>
          <t>Föryngringsavverkning</t>
        </is>
      </c>
      <c r="D2103" s="1" t="n">
        <v>44574</v>
      </c>
      <c r="E2103" s="1" t="n">
        <v>46326</v>
      </c>
      <c r="F2103" t="inlineStr">
        <is>
          <t>STOCKHOLMS LÄN</t>
        </is>
      </c>
      <c r="G2103" t="inlineStr">
        <is>
          <t>NYNÄSHAMN</t>
        </is>
      </c>
      <c r="H2103" t="inlineStr">
        <is>
          <t>Kommuner</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67921-2021</t>
        </is>
      </c>
      <c r="B2104" t="inlineStr">
        <is>
          <t>avverkningsanmälan</t>
        </is>
      </c>
      <c r="C2104" t="inlineStr">
        <is>
          <t>Föryngringsavverkning</t>
        </is>
      </c>
      <c r="D2104" s="1" t="n">
        <v>44525</v>
      </c>
      <c r="E2104" s="1" t="n">
        <v>46326</v>
      </c>
      <c r="F2104" t="inlineStr">
        <is>
          <t>STOCKHOLMS LÄN</t>
        </is>
      </c>
      <c r="G2104" t="inlineStr">
        <is>
          <t>NORRTÄLJE</t>
        </is>
      </c>
      <c r="I2104" t="n">
        <v>6.3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65499-2021</t>
        </is>
      </c>
      <c r="B2105" t="inlineStr">
        <is>
          <t>avverkningsanmälan</t>
        </is>
      </c>
      <c r="C2105" t="inlineStr">
        <is>
          <t>Föryngringsavverkning</t>
        </is>
      </c>
      <c r="D2105" s="1" t="n">
        <v>44516</v>
      </c>
      <c r="E2105" s="1" t="n">
        <v>46326</v>
      </c>
      <c r="F2105" t="inlineStr">
        <is>
          <t>STOCKHOLMS LÄN</t>
        </is>
      </c>
      <c r="G2105" t="inlineStr">
        <is>
          <t>NORRTÄLJE</t>
        </is>
      </c>
      <c r="H2105" t="inlineStr">
        <is>
          <t>Kommuner</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919-2020</t>
        </is>
      </c>
      <c r="B2106" t="inlineStr">
        <is>
          <t>samrådsanmälan</t>
        </is>
      </c>
      <c r="C2106" t="inlineStr">
        <is>
          <t>Åtgärd i nyckelbiotop</t>
        </is>
      </c>
      <c r="D2106" s="1" t="n">
        <v>43943</v>
      </c>
      <c r="E2106" s="1" t="n">
        <v>46326</v>
      </c>
      <c r="F2106" t="inlineStr">
        <is>
          <t>STOCKHOLMS LÄN</t>
        </is>
      </c>
      <c r="G2106" t="inlineStr">
        <is>
          <t>NORRTÄLJE</t>
        </is>
      </c>
      <c r="I2106" t="n">
        <v>9.699999999999999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1151-2020</t>
        </is>
      </c>
      <c r="B2107" t="inlineStr">
        <is>
          <t>samrådsanmälan</t>
        </is>
      </c>
      <c r="C2107" t="inlineStr">
        <is>
          <t>Åtgärd i nyckelbiotop</t>
        </is>
      </c>
      <c r="D2107" s="1" t="n">
        <v>43969</v>
      </c>
      <c r="E2107" s="1" t="n">
        <v>46326</v>
      </c>
      <c r="F2107" t="inlineStr">
        <is>
          <t>STOCKHOLMS LÄN</t>
        </is>
      </c>
      <c r="G2107" t="inlineStr">
        <is>
          <t>NORRTÄLJE</t>
        </is>
      </c>
      <c r="I2107" t="n">
        <v>4.9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2054-2020</t>
        </is>
      </c>
      <c r="B2108" t="inlineStr">
        <is>
          <t>samrådsanmälan</t>
        </is>
      </c>
      <c r="C2108" t="inlineStr">
        <is>
          <t>Åtgärd i nyckelbiotop</t>
        </is>
      </c>
      <c r="D2108" s="1" t="n">
        <v>44099</v>
      </c>
      <c r="E2108" s="1" t="n">
        <v>46326</v>
      </c>
      <c r="F2108" t="inlineStr">
        <is>
          <t>STOCKHOLMS LÄN</t>
        </is>
      </c>
      <c r="G2108" t="inlineStr">
        <is>
          <t>NORRTÄLJE</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5923-2022</t>
        </is>
      </c>
      <c r="B2109" t="inlineStr">
        <is>
          <t>samrådsanmälan</t>
        </is>
      </c>
      <c r="C2109" t="inlineStr">
        <is>
          <t>Annan skogsbruksåtgärd</t>
        </is>
      </c>
      <c r="D2109" s="1" t="n">
        <v>44854</v>
      </c>
      <c r="E2109" s="1" t="n">
        <v>46326</v>
      </c>
      <c r="F2109" t="inlineStr">
        <is>
          <t>STOCKHOLMS LÄN</t>
        </is>
      </c>
      <c r="G2109" t="inlineStr">
        <is>
          <t>NORRTÄLJE</t>
        </is>
      </c>
      <c r="I2109" t="n">
        <v>9.800000000000001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104-2024</t>
        </is>
      </c>
      <c r="B2110" t="inlineStr">
        <is>
          <t>samrådsanmälan</t>
        </is>
      </c>
      <c r="C2110" t="inlineStr">
        <is>
          <t>Annan skogsbruksåtgärd</t>
        </is>
      </c>
      <c r="D2110" s="1" t="n">
        <v>45302</v>
      </c>
      <c r="E2110" s="1" t="n">
        <v>46326</v>
      </c>
      <c r="F2110" t="inlineStr">
        <is>
          <t>STOCKHOLMS LÄN</t>
        </is>
      </c>
      <c r="G2110" t="inlineStr">
        <is>
          <t>ÖSTERÅKER</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821-2022</t>
        </is>
      </c>
      <c r="B2111" t="inlineStr">
        <is>
          <t>samrådsanmälan</t>
        </is>
      </c>
      <c r="C2111" t="inlineStr">
        <is>
          <t>Åtgärd i nyckelbiotop</t>
        </is>
      </c>
      <c r="D2111" s="1" t="n">
        <v>44599</v>
      </c>
      <c r="E2111" s="1" t="n">
        <v>46326</v>
      </c>
      <c r="F2111" t="inlineStr">
        <is>
          <t>STOCKHOLMS LÄN</t>
        </is>
      </c>
      <c r="G2111" t="inlineStr">
        <is>
          <t>NORRTÄLJE</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2392-2024</t>
        </is>
      </c>
      <c r="B2112" t="inlineStr">
        <is>
          <t>samrådsanmälan</t>
        </is>
      </c>
      <c r="C2112" t="inlineStr">
        <is>
          <t>Annan skogsbruksåtgärd</t>
        </is>
      </c>
      <c r="D2112" s="1" t="n">
        <v>45468</v>
      </c>
      <c r="E2112" s="1" t="n">
        <v>46326</v>
      </c>
      <c r="F2112" t="inlineStr">
        <is>
          <t>STOCKHOLMS LÄN</t>
        </is>
      </c>
      <c r="G2112" t="inlineStr">
        <is>
          <t>VÄRMDÖ</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6321-2022</t>
        </is>
      </c>
      <c r="B2113" t="inlineStr">
        <is>
          <t>samrådsanmälan</t>
        </is>
      </c>
      <c r="C2113" t="inlineStr">
        <is>
          <t>Annan skogsbruksåtgärd</t>
        </is>
      </c>
      <c r="D2113" s="1" t="n">
        <v>44872</v>
      </c>
      <c r="E2113" s="1" t="n">
        <v>46326</v>
      </c>
      <c r="F2113" t="inlineStr">
        <is>
          <t>STOCKHOLMS LÄN</t>
        </is>
      </c>
      <c r="G2113" t="inlineStr">
        <is>
          <t>VALLENTUNA</t>
        </is>
      </c>
      <c r="I2113" t="n">
        <v>0.1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136-2023</t>
        </is>
      </c>
      <c r="B2114" t="inlineStr">
        <is>
          <t>samrådsanmälan</t>
        </is>
      </c>
      <c r="C2114" t="inlineStr">
        <is>
          <t>Annan skogsbruksåtgärd</t>
        </is>
      </c>
      <c r="D2114" s="1" t="n">
        <v>44939</v>
      </c>
      <c r="E2114" s="1" t="n">
        <v>46326</v>
      </c>
      <c r="F2114" t="inlineStr">
        <is>
          <t>STOCKHOLMS LÄN</t>
        </is>
      </c>
      <c r="G2114" t="inlineStr">
        <is>
          <t>VAXHOLM</t>
        </is>
      </c>
      <c r="H2114" t="inlineStr">
        <is>
          <t>Övriga statliga verk och myndigheter</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6029-2022</t>
        </is>
      </c>
      <c r="B2115" t="inlineStr">
        <is>
          <t>samrådsanmälan</t>
        </is>
      </c>
      <c r="C2115" t="inlineStr">
        <is>
          <t>Annan skogsbruksåtgärd</t>
        </is>
      </c>
      <c r="D2115" s="1" t="n">
        <v>44859</v>
      </c>
      <c r="E2115" s="1" t="n">
        <v>46326</v>
      </c>
      <c r="F2115" t="inlineStr">
        <is>
          <t>STOCKHOLMS LÄN</t>
        </is>
      </c>
      <c r="G2115" t="inlineStr">
        <is>
          <t>SÖDERTÄLJE</t>
        </is>
      </c>
      <c r="H2115" t="inlineStr">
        <is>
          <t>Sveaskog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4310-2023</t>
        </is>
      </c>
      <c r="B2116" t="inlineStr">
        <is>
          <t>samrådsanmälan</t>
        </is>
      </c>
      <c r="C2116" t="inlineStr">
        <is>
          <t>Annan skogsbruksåtgärd</t>
        </is>
      </c>
      <c r="D2116" s="1" t="n">
        <v>45260</v>
      </c>
      <c r="E2116" s="1" t="n">
        <v>46326</v>
      </c>
      <c r="F2116" t="inlineStr">
        <is>
          <t>STOCKHOLMS LÄN</t>
        </is>
      </c>
      <c r="G2116" t="inlineStr">
        <is>
          <t>NORRTÄLJE</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1511-2022</t>
        </is>
      </c>
      <c r="B2117" t="inlineStr">
        <is>
          <t>samrådsanmälan</t>
        </is>
      </c>
      <c r="C2117" t="inlineStr">
        <is>
          <t>Annan skogsbruksåtgärd</t>
        </is>
      </c>
      <c r="D2117" s="1" t="n">
        <v>44638</v>
      </c>
      <c r="E2117" s="1" t="n">
        <v>46326</v>
      </c>
      <c r="F2117" t="inlineStr">
        <is>
          <t>STOCKHOLMS LÄN</t>
        </is>
      </c>
      <c r="G2117" t="inlineStr">
        <is>
          <t>NORRTÄLJE</t>
        </is>
      </c>
      <c r="H2117" t="inlineStr">
        <is>
          <t>Övriga Aktiebolag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769-2024</t>
        </is>
      </c>
      <c r="B2118" t="inlineStr">
        <is>
          <t>samrådsanmälan</t>
        </is>
      </c>
      <c r="C2118" t="inlineStr">
        <is>
          <t>Annan skogsbruksåtgärd</t>
        </is>
      </c>
      <c r="D2118" s="1" t="n">
        <v>45366</v>
      </c>
      <c r="E2118" s="1" t="n">
        <v>46326</v>
      </c>
      <c r="F2118" t="inlineStr">
        <is>
          <t>STOCKHOLMS LÄN</t>
        </is>
      </c>
      <c r="G2118" t="inlineStr">
        <is>
          <t>NORRTÄLJE</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378-2025</t>
        </is>
      </c>
      <c r="B2119" t="inlineStr">
        <is>
          <t>samrådsanmälan</t>
        </is>
      </c>
      <c r="C2119" t="inlineStr">
        <is>
          <t>Annan skogsbruksåtgärd</t>
        </is>
      </c>
      <c r="D2119" s="1" t="n">
        <v>45695</v>
      </c>
      <c r="E2119" s="1" t="n">
        <v>46326</v>
      </c>
      <c r="F2119" t="inlineStr">
        <is>
          <t>STOCKHOLMS LÄN</t>
        </is>
      </c>
      <c r="G2119" t="inlineStr">
        <is>
          <t>VÄRMDÖ</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1733-2022</t>
        </is>
      </c>
      <c r="B2120" t="inlineStr">
        <is>
          <t>samrådsanmälan</t>
        </is>
      </c>
      <c r="C2120" t="inlineStr">
        <is>
          <t>Åtgärd i nyckelbiotop</t>
        </is>
      </c>
      <c r="D2120" s="1" t="n">
        <v>44652</v>
      </c>
      <c r="E2120" s="1" t="n">
        <v>46326</v>
      </c>
      <c r="F2120" t="inlineStr">
        <is>
          <t>STOCKHOLMS LÄN</t>
        </is>
      </c>
      <c r="G2120" t="inlineStr">
        <is>
          <t>NORRTÄLJE</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10447-2021</t>
        </is>
      </c>
      <c r="B2121" t="inlineStr">
        <is>
          <t>samrådsanmälan</t>
        </is>
      </c>
      <c r="C2121" t="inlineStr">
        <is>
          <t>Annan skogsbruksåtgärd</t>
        </is>
      </c>
      <c r="D2121" s="1" t="n">
        <v>44558</v>
      </c>
      <c r="E2121" s="1" t="n">
        <v>46326</v>
      </c>
      <c r="F2121" t="inlineStr">
        <is>
          <t>STOCKHOLMS LÄN</t>
        </is>
      </c>
      <c r="G2121" t="inlineStr">
        <is>
          <t>UPPLANDS-BRO</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3425-2024</t>
        </is>
      </c>
      <c r="B2122" t="inlineStr">
        <is>
          <t>samrådsanmälan</t>
        </is>
      </c>
      <c r="C2122" t="inlineStr">
        <is>
          <t>Annan skogsbruksåtgärd</t>
        </is>
      </c>
      <c r="D2122" s="1" t="n">
        <v>45537</v>
      </c>
      <c r="E2122" s="1" t="n">
        <v>46326</v>
      </c>
      <c r="F2122" t="inlineStr">
        <is>
          <t>STOCKHOLMS LÄN</t>
        </is>
      </c>
      <c r="G2122" t="inlineStr">
        <is>
          <t>NORRTÄLJE</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1291-2022</t>
        </is>
      </c>
      <c r="B2123" t="inlineStr">
        <is>
          <t>samrådsanmälan</t>
        </is>
      </c>
      <c r="C2123" t="inlineStr">
        <is>
          <t>Åtgärd i nyckelbiotop</t>
        </is>
      </c>
      <c r="D2123" s="1" t="n">
        <v>44627</v>
      </c>
      <c r="E2123" s="1" t="n">
        <v>46326</v>
      </c>
      <c r="F2123" t="inlineStr">
        <is>
          <t>STOCKHOLMS LÄN</t>
        </is>
      </c>
      <c r="G2123" t="inlineStr">
        <is>
          <t>NORRTÄLJE</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156-2024</t>
        </is>
      </c>
      <c r="B2124" t="inlineStr">
        <is>
          <t>samrådsanmälan</t>
        </is>
      </c>
      <c r="C2124" t="inlineStr">
        <is>
          <t>Annan skogsbruksåtgärd</t>
        </is>
      </c>
      <c r="D2124" s="1" t="n">
        <v>45309</v>
      </c>
      <c r="E2124" s="1" t="n">
        <v>46326</v>
      </c>
      <c r="F2124" t="inlineStr">
        <is>
          <t>STOCKHOLMS LÄN</t>
        </is>
      </c>
      <c r="G2124" t="inlineStr">
        <is>
          <t>ÖSTERÅKER</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1081-2024</t>
        </is>
      </c>
      <c r="B2125" t="inlineStr">
        <is>
          <t>samrådsanmälan</t>
        </is>
      </c>
      <c r="C2125" t="inlineStr">
        <is>
          <t>Annan skogsbruksåtgärd</t>
        </is>
      </c>
      <c r="D2125" s="1" t="n">
        <v>45390</v>
      </c>
      <c r="E2125" s="1" t="n">
        <v>46326</v>
      </c>
      <c r="F2125" t="inlineStr">
        <is>
          <t>STOCKHOLMS LÄN</t>
        </is>
      </c>
      <c r="G2125" t="inlineStr">
        <is>
          <t>SÖDERTÄLJE</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10462-2021</t>
        </is>
      </c>
      <c r="B2126" t="inlineStr">
        <is>
          <t>samrådsanmälan</t>
        </is>
      </c>
      <c r="C2126" t="inlineStr">
        <is>
          <t>Åtgärd i nyckelbiotop</t>
        </is>
      </c>
      <c r="D2126" s="1" t="n">
        <v>44558</v>
      </c>
      <c r="E2126" s="1" t="n">
        <v>46326</v>
      </c>
      <c r="F2126" t="inlineStr">
        <is>
          <t>STOCKHOLMS LÄN</t>
        </is>
      </c>
      <c r="G2126" t="inlineStr">
        <is>
          <t>NORRTÄLJE</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2391-2024</t>
        </is>
      </c>
      <c r="B2127" t="inlineStr">
        <is>
          <t>samrådsanmälan</t>
        </is>
      </c>
      <c r="C2127" t="inlineStr">
        <is>
          <t>Annan skogsbruksåtgärd</t>
        </is>
      </c>
      <c r="D2127" s="1" t="n">
        <v>45468</v>
      </c>
      <c r="E2127" s="1" t="n">
        <v>46326</v>
      </c>
      <c r="F2127" t="inlineStr">
        <is>
          <t>STOCKHOLMS LÄN</t>
        </is>
      </c>
      <c r="G2127" t="inlineStr">
        <is>
          <t>VÄRMDÖ</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2699-2024</t>
        </is>
      </c>
      <c r="B2128" t="inlineStr">
        <is>
          <t>samrådsanmälan</t>
        </is>
      </c>
      <c r="C2128" t="inlineStr">
        <is>
          <t>Annan skogsbruksåtgärd</t>
        </is>
      </c>
      <c r="D2128" s="1" t="n">
        <v>45482</v>
      </c>
      <c r="E2128" s="1" t="n">
        <v>46326</v>
      </c>
      <c r="F2128" t="inlineStr">
        <is>
          <t>STOCKHOLMS LÄN</t>
        </is>
      </c>
      <c r="G2128" t="inlineStr">
        <is>
          <t>VÄRMDÖ</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377-2025</t>
        </is>
      </c>
      <c r="B2129" t="inlineStr">
        <is>
          <t>samrådsanmälan</t>
        </is>
      </c>
      <c r="C2129" t="inlineStr">
        <is>
          <t>Annan skogsbruksåtgärd</t>
        </is>
      </c>
      <c r="D2129" s="1" t="n">
        <v>45695</v>
      </c>
      <c r="E2129" s="1" t="n">
        <v>46326</v>
      </c>
      <c r="F2129" t="inlineStr">
        <is>
          <t>STOCKHOLMS LÄN</t>
        </is>
      </c>
      <c r="G2129" t="inlineStr">
        <is>
          <t>VÄRMDÖ</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1582-2024</t>
        </is>
      </c>
      <c r="B2130" t="inlineStr">
        <is>
          <t>samrådsanmälan</t>
        </is>
      </c>
      <c r="C2130" t="inlineStr">
        <is>
          <t>Annan skogsbruksåtgärd</t>
        </is>
      </c>
      <c r="D2130" s="1" t="n">
        <v>45427</v>
      </c>
      <c r="E2130" s="1" t="n">
        <v>46326</v>
      </c>
      <c r="F2130" t="inlineStr">
        <is>
          <t>STOCKHOLMS LÄN</t>
        </is>
      </c>
      <c r="G2130" t="inlineStr">
        <is>
          <t>NYKVARN</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373-2025</t>
        </is>
      </c>
      <c r="B2131" t="inlineStr">
        <is>
          <t>samrådsanmälan</t>
        </is>
      </c>
      <c r="C2131" t="inlineStr">
        <is>
          <t>Annan skogsbruksåtgärd</t>
        </is>
      </c>
      <c r="D2131" s="1" t="n">
        <v>45695</v>
      </c>
      <c r="E2131" s="1" t="n">
        <v>46326</v>
      </c>
      <c r="F2131" t="inlineStr">
        <is>
          <t>STOCKHOLMS LÄN</t>
        </is>
      </c>
      <c r="G2131" t="inlineStr">
        <is>
          <t>VÄRMDÖ</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599-2023</t>
        </is>
      </c>
      <c r="B2132" t="inlineStr">
        <is>
          <t>samrådsanmälan</t>
        </is>
      </c>
      <c r="C2132" t="inlineStr">
        <is>
          <t>Annan skogsbruksåtgärd</t>
        </is>
      </c>
      <c r="D2132" s="1" t="n">
        <v>44971</v>
      </c>
      <c r="E2132" s="1" t="n">
        <v>46326</v>
      </c>
      <c r="F2132" t="inlineStr">
        <is>
          <t>STOCKHOLMS LÄN</t>
        </is>
      </c>
      <c r="G2132" t="inlineStr">
        <is>
          <t>NORRTÄLJE</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1920-2022</t>
        </is>
      </c>
      <c r="B2133" t="inlineStr">
        <is>
          <t>samrådsanmälan</t>
        </is>
      </c>
      <c r="C2133" t="inlineStr">
        <is>
          <t>Åtgärd i nyckelbiotop</t>
        </is>
      </c>
      <c r="D2133" s="1" t="n">
        <v>44663</v>
      </c>
      <c r="E2133" s="1" t="n">
        <v>46326</v>
      </c>
      <c r="F2133" t="inlineStr">
        <is>
          <t>STOCKHOLMS LÄN</t>
        </is>
      </c>
      <c r="G2133" t="inlineStr">
        <is>
          <t>SÖDERTÄLJE</t>
        </is>
      </c>
      <c r="H2133" t="inlineStr">
        <is>
          <t>Kommuner</t>
        </is>
      </c>
      <c r="I2133" t="n">
        <v>8.9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230-2022</t>
        </is>
      </c>
      <c r="B2134" t="inlineStr">
        <is>
          <t>samrådsanmälan</t>
        </is>
      </c>
      <c r="C2134" t="inlineStr">
        <is>
          <t>Annan skogsbruksåtgärd</t>
        </is>
      </c>
      <c r="D2134" s="1" t="n">
        <v>44574</v>
      </c>
      <c r="E2134" s="1" t="n">
        <v>46326</v>
      </c>
      <c r="F2134" t="inlineStr">
        <is>
          <t>STOCKHOLMS LÄN</t>
        </is>
      </c>
      <c r="G2134" t="inlineStr">
        <is>
          <t>NORRTÄLJE</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1560-2023</t>
        </is>
      </c>
      <c r="B2135" t="inlineStr">
        <is>
          <t>samrådsanmälan</t>
        </is>
      </c>
      <c r="C2135" t="inlineStr">
        <is>
          <t>Annan skogsbruksåtgärd</t>
        </is>
      </c>
      <c r="D2135" s="1" t="n">
        <v>45055</v>
      </c>
      <c r="E2135" s="1" t="n">
        <v>46326</v>
      </c>
      <c r="F2135" t="inlineStr">
        <is>
          <t>STOCKHOLMS LÄN</t>
        </is>
      </c>
      <c r="G2135" t="inlineStr">
        <is>
          <t>SALEM</t>
        </is>
      </c>
      <c r="I2135" t="n">
        <v>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3931-2024</t>
        </is>
      </c>
      <c r="B2136" t="inlineStr">
        <is>
          <t>samrådsanmälan</t>
        </is>
      </c>
      <c r="C2136" t="inlineStr">
        <is>
          <t>Annan skogsbruksåtgärd</t>
        </is>
      </c>
      <c r="D2136" s="1" t="n">
        <v>45565</v>
      </c>
      <c r="E2136" s="1" t="n">
        <v>46326</v>
      </c>
      <c r="F2136" t="inlineStr">
        <is>
          <t>STOCKHOLMS LÄN</t>
        </is>
      </c>
      <c r="G2136" t="inlineStr">
        <is>
          <t>SÖDERTÄLJE</t>
        </is>
      </c>
      <c r="I2136" t="n">
        <v>0</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2402-2022</t>
        </is>
      </c>
      <c r="B2137" t="inlineStr">
        <is>
          <t>samrådsanmälan</t>
        </is>
      </c>
      <c r="C2137" t="inlineStr">
        <is>
          <t>Åtgärd i nyckelbiotop</t>
        </is>
      </c>
      <c r="D2137" s="1" t="n">
        <v>44690</v>
      </c>
      <c r="E2137" s="1" t="n">
        <v>46326</v>
      </c>
      <c r="F2137" t="inlineStr">
        <is>
          <t>STOCKHOLMS LÄN</t>
        </is>
      </c>
      <c r="G2137" t="inlineStr">
        <is>
          <t>NORRTÄLJE</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2770-2024</t>
        </is>
      </c>
      <c r="B2138" t="inlineStr">
        <is>
          <t>samrådsanmälan</t>
        </is>
      </c>
      <c r="C2138" t="inlineStr">
        <is>
          <t>Annan skogsbruksåtgärd</t>
        </is>
      </c>
      <c r="D2138" s="1" t="n">
        <v>45485</v>
      </c>
      <c r="E2138" s="1" t="n">
        <v>46326</v>
      </c>
      <c r="F2138" t="inlineStr">
        <is>
          <t>STOCKHOLMS LÄN</t>
        </is>
      </c>
      <c r="G2138" t="inlineStr">
        <is>
          <t>SÖDERTÄLJE</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2697-2024</t>
        </is>
      </c>
      <c r="B2139" t="inlineStr">
        <is>
          <t>samrådsanmälan</t>
        </is>
      </c>
      <c r="C2139" t="inlineStr">
        <is>
          <t>Annan skogsbruksåtgärd</t>
        </is>
      </c>
      <c r="D2139" s="1" t="n">
        <v>45482</v>
      </c>
      <c r="E2139" s="1" t="n">
        <v>46326</v>
      </c>
      <c r="F2139" t="inlineStr">
        <is>
          <t>STOCKHOLMS LÄN</t>
        </is>
      </c>
      <c r="G2139" t="inlineStr">
        <is>
          <t>NYNÄSHAMN</t>
        </is>
      </c>
      <c r="I2139" t="n">
        <v>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4005-2024</t>
        </is>
      </c>
      <c r="B2140" t="inlineStr">
        <is>
          <t>samrådsanmälan</t>
        </is>
      </c>
      <c r="C2140" t="inlineStr">
        <is>
          <t>Annan skogsbruksåtgärd</t>
        </is>
      </c>
      <c r="D2140" s="1" t="n">
        <v>45569</v>
      </c>
      <c r="E2140" s="1" t="n">
        <v>46326</v>
      </c>
      <c r="F2140" t="inlineStr">
        <is>
          <t>STOCKHOLMS LÄN</t>
        </is>
      </c>
      <c r="G2140" t="inlineStr">
        <is>
          <t>NORRTÄLJE</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3205-2023</t>
        </is>
      </c>
      <c r="B2141" t="inlineStr">
        <is>
          <t>samrådsanmälan</t>
        </is>
      </c>
      <c r="C2141" t="inlineStr">
        <is>
          <t>Annan skogsbruksåtgärd</t>
        </is>
      </c>
      <c r="D2141" s="1" t="n">
        <v>45188</v>
      </c>
      <c r="E2141" s="1" t="n">
        <v>46326</v>
      </c>
      <c r="F2141" t="inlineStr">
        <is>
          <t>STOCKHOLMS LÄN</t>
        </is>
      </c>
      <c r="G2141" t="inlineStr">
        <is>
          <t>NORRTÄLJE</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543-2023</t>
        </is>
      </c>
      <c r="B2142" t="inlineStr">
        <is>
          <t>samrådsanmälan</t>
        </is>
      </c>
      <c r="C2142" t="inlineStr">
        <is>
          <t>Annan skogsbruksåtgärd</t>
        </is>
      </c>
      <c r="D2142" s="1" t="n">
        <v>44973</v>
      </c>
      <c r="E2142" s="1" t="n">
        <v>46326</v>
      </c>
      <c r="F2142" t="inlineStr">
        <is>
          <t>STOCKHOLMS LÄN</t>
        </is>
      </c>
      <c r="G2142" t="inlineStr">
        <is>
          <t>NORRTÄLJE</t>
        </is>
      </c>
      <c r="I2142" t="n">
        <v>10.5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4009-2024</t>
        </is>
      </c>
      <c r="B2143" t="inlineStr">
        <is>
          <t>samrådsanmälan</t>
        </is>
      </c>
      <c r="C2143" t="inlineStr">
        <is>
          <t>Annan skogsbruksåtgärd</t>
        </is>
      </c>
      <c r="D2143" s="1" t="n">
        <v>45571</v>
      </c>
      <c r="E2143" s="1" t="n">
        <v>46326</v>
      </c>
      <c r="F2143" t="inlineStr">
        <is>
          <t>STOCKHOLMS LÄN</t>
        </is>
      </c>
      <c r="G2143" t="inlineStr">
        <is>
          <t>SÖDERTÄLJE</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6039-2022</t>
        </is>
      </c>
      <c r="B2144" t="inlineStr">
        <is>
          <t>samrådsanmälan</t>
        </is>
      </c>
      <c r="C2144" t="inlineStr">
        <is>
          <t>Annan skogsbruksåtgärd</t>
        </is>
      </c>
      <c r="D2144" s="1" t="n">
        <v>44859</v>
      </c>
      <c r="E2144" s="1" t="n">
        <v>46326</v>
      </c>
      <c r="F2144" t="inlineStr">
        <is>
          <t>STOCKHOLMS LÄN</t>
        </is>
      </c>
      <c r="G2144" t="inlineStr">
        <is>
          <t>SÖDERTÄLJE</t>
        </is>
      </c>
      <c r="H2144" t="inlineStr">
        <is>
          <t>Sveaskog</t>
        </is>
      </c>
      <c r="I2144" t="n">
        <v>6.8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370-2025</t>
        </is>
      </c>
      <c r="B2145" t="inlineStr">
        <is>
          <t>samrådsanmälan</t>
        </is>
      </c>
      <c r="C2145" t="inlineStr">
        <is>
          <t>Annan skogsbruksåtgärd</t>
        </is>
      </c>
      <c r="D2145" s="1" t="n">
        <v>45695</v>
      </c>
      <c r="E2145" s="1" t="n">
        <v>46326</v>
      </c>
      <c r="F2145" t="inlineStr">
        <is>
          <t>STOCKHOLMS LÄN</t>
        </is>
      </c>
      <c r="G2145" t="inlineStr">
        <is>
          <t>VÄRMDÖ</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2698-2024</t>
        </is>
      </c>
      <c r="B2146" t="inlineStr">
        <is>
          <t>samrådsanmälan</t>
        </is>
      </c>
      <c r="C2146" t="inlineStr">
        <is>
          <t>Annan skogsbruksåtgärd</t>
        </is>
      </c>
      <c r="D2146" s="1" t="n">
        <v>45482</v>
      </c>
      <c r="E2146" s="1" t="n">
        <v>46326</v>
      </c>
      <c r="F2146" t="inlineStr">
        <is>
          <t>STOCKHOLMS LÄN</t>
        </is>
      </c>
      <c r="G2146" t="inlineStr">
        <is>
          <t>VÄRMDÖ</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4477-2022</t>
        </is>
      </c>
      <c r="B2147" t="inlineStr">
        <is>
          <t>samrådsanmälan</t>
        </is>
      </c>
      <c r="C2147" t="inlineStr">
        <is>
          <t>Skogsbilväg</t>
        </is>
      </c>
      <c r="D2147" s="1" t="n">
        <v>44787</v>
      </c>
      <c r="E2147" s="1" t="n">
        <v>46326</v>
      </c>
      <c r="F2147" t="inlineStr">
        <is>
          <t>STOCKHOLMS LÄN</t>
        </is>
      </c>
      <c r="G2147" t="inlineStr">
        <is>
          <t>NYNÄSHAMN</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3068-2023</t>
        </is>
      </c>
      <c r="B2148" t="inlineStr">
        <is>
          <t>samrådsanmälan</t>
        </is>
      </c>
      <c r="C2148" t="inlineStr">
        <is>
          <t>Annan skogsbruksåtgärd</t>
        </is>
      </c>
      <c r="D2148" s="1" t="n">
        <v>45183</v>
      </c>
      <c r="E2148" s="1" t="n">
        <v>46326</v>
      </c>
      <c r="F2148" t="inlineStr">
        <is>
          <t>STOCKHOLMS LÄN</t>
        </is>
      </c>
      <c r="G2148" t="inlineStr">
        <is>
          <t>NORRTÄLJE</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644-2023</t>
        </is>
      </c>
      <c r="B2149" t="inlineStr">
        <is>
          <t>samrådsanmälan</t>
        </is>
      </c>
      <c r="C2149" t="inlineStr">
        <is>
          <t>Annan skogsbruksåtgärd</t>
        </is>
      </c>
      <c r="D2149" s="1" t="n">
        <v>44973</v>
      </c>
      <c r="E2149" s="1" t="n">
        <v>46326</v>
      </c>
      <c r="F2149" t="inlineStr">
        <is>
          <t>STOCKHOLMS LÄN</t>
        </is>
      </c>
      <c r="G2149" t="inlineStr">
        <is>
          <t>NORRTÄLJE</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1807-2025</t>
        </is>
      </c>
      <c r="B2150" t="inlineStr">
        <is>
          <t>samrådsanmälan</t>
        </is>
      </c>
      <c r="C2150" t="inlineStr">
        <is>
          <t>Annan skogsbruksåtgärd</t>
        </is>
      </c>
      <c r="D2150" s="1" t="n">
        <v>45817</v>
      </c>
      <c r="E2150" s="1" t="n">
        <v>46326</v>
      </c>
      <c r="F2150" t="inlineStr">
        <is>
          <t>STOCKHOLMS LÄN</t>
        </is>
      </c>
      <c r="G2150" t="inlineStr">
        <is>
          <t>NORRTÄLJE</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710-2025</t>
        </is>
      </c>
      <c r="B2151" t="inlineStr">
        <is>
          <t>samrådsanmälan</t>
        </is>
      </c>
      <c r="C2151" t="inlineStr">
        <is>
          <t>Annan skogsbruksåtgärd</t>
        </is>
      </c>
      <c r="D2151" s="1" t="n">
        <v>45720</v>
      </c>
      <c r="E2151" s="1" t="n">
        <v>46326</v>
      </c>
      <c r="F2151" t="inlineStr">
        <is>
          <t>STOCKHOLMS LÄN</t>
        </is>
      </c>
      <c r="G2151" t="inlineStr">
        <is>
          <t>NYKVARN</t>
        </is>
      </c>
      <c r="H2151" t="inlineStr">
        <is>
          <t>Sveaskog</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2547-2025</t>
        </is>
      </c>
      <c r="B2152" t="inlineStr">
        <is>
          <t>samrådsanmälan</t>
        </is>
      </c>
      <c r="C2152" t="inlineStr">
        <is>
          <t>Annan skogsbruksåtgärd</t>
        </is>
      </c>
      <c r="D2152" s="1" t="n">
        <v>45911</v>
      </c>
      <c r="E2152" s="1" t="n">
        <v>46326</v>
      </c>
      <c r="F2152" t="inlineStr">
        <is>
          <t>STOCKHOLMS LÄN</t>
        </is>
      </c>
      <c r="G2152" t="inlineStr">
        <is>
          <t>VALLENTUNA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1726-2025</t>
        </is>
      </c>
      <c r="B2153" t="inlineStr">
        <is>
          <t>samrådsanmälan</t>
        </is>
      </c>
      <c r="C2153" t="inlineStr">
        <is>
          <t>Annan skogsbruksåtgärd</t>
        </is>
      </c>
      <c r="D2153" s="1" t="n">
        <v>45807</v>
      </c>
      <c r="E2153" s="1" t="n">
        <v>46326</v>
      </c>
      <c r="F2153" t="inlineStr">
        <is>
          <t>STOCKHOLMS LÄN</t>
        </is>
      </c>
      <c r="G2153" t="inlineStr">
        <is>
          <t>NORRTÄLJE</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380-2026</t>
        </is>
      </c>
      <c r="B2154" t="inlineStr">
        <is>
          <t>samrådsanmälan</t>
        </is>
      </c>
      <c r="C2154" t="inlineStr">
        <is>
          <t>Annan skogsbruksåtgärd</t>
        </is>
      </c>
      <c r="D2154" s="1" t="n">
        <v>46065</v>
      </c>
      <c r="E2154" s="1" t="n">
        <v>46326</v>
      </c>
      <c r="F2154" t="inlineStr">
        <is>
          <t>STOCKHOLMS LÄN</t>
        </is>
      </c>
      <c r="G2154" t="inlineStr">
        <is>
          <t>BOTKYRKA</t>
        </is>
      </c>
      <c r="H2154" t="inlineStr">
        <is>
          <t>Kommuner</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347-2026</t>
        </is>
      </c>
      <c r="B2155" t="inlineStr">
        <is>
          <t>samrådsanmälan</t>
        </is>
      </c>
      <c r="C2155" t="inlineStr">
        <is>
          <t>Annan skogsbruksåtgärd</t>
        </is>
      </c>
      <c r="D2155" s="1" t="n">
        <v>46062</v>
      </c>
      <c r="E2155" s="1" t="n">
        <v>46326</v>
      </c>
      <c r="F2155" t="inlineStr">
        <is>
          <t>STOCKHOLMS LÄN</t>
        </is>
      </c>
      <c r="G2155" t="inlineStr">
        <is>
          <t>NORRTÄLJE</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371-2026</t>
        </is>
      </c>
      <c r="B2156" t="inlineStr">
        <is>
          <t>samrådsanmälan</t>
        </is>
      </c>
      <c r="C2156" t="inlineStr">
        <is>
          <t>Annan skogsbruksåtgärd</t>
        </is>
      </c>
      <c r="D2156" s="1" t="n">
        <v>46062</v>
      </c>
      <c r="E2156" s="1" t="n">
        <v>46326</v>
      </c>
      <c r="F2156" t="inlineStr">
        <is>
          <t>STOCKHOLMS LÄN</t>
        </is>
      </c>
      <c r="G2156" t="inlineStr">
        <is>
          <t>NORRTÄLJE</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374-2025</t>
        </is>
      </c>
      <c r="B2157" t="inlineStr">
        <is>
          <t>samrådsanmälan</t>
        </is>
      </c>
      <c r="C2157" t="inlineStr">
        <is>
          <t>Annan skogsbruksåtgärd</t>
        </is>
      </c>
      <c r="D2157" s="1" t="n">
        <v>45695</v>
      </c>
      <c r="E2157" s="1" t="n">
        <v>46326</v>
      </c>
      <c r="F2157" t="inlineStr">
        <is>
          <t>STOCKHOLMS LÄN</t>
        </is>
      </c>
      <c r="G2157" t="inlineStr">
        <is>
          <t>VÄRMDÖ</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1718-2026</t>
        </is>
      </c>
      <c r="B2158" t="inlineStr">
        <is>
          <t>samrådsanmälan</t>
        </is>
      </c>
      <c r="C2158" t="inlineStr">
        <is>
          <t>Annan skogsbruksåtgärd</t>
        </is>
      </c>
      <c r="D2158" s="1" t="n">
        <v>46188</v>
      </c>
      <c r="E2158" s="1" t="n">
        <v>46326</v>
      </c>
      <c r="F2158" t="inlineStr">
        <is>
          <t>STOCKHOLMS LÄN</t>
        </is>
      </c>
      <c r="G2158" t="inlineStr">
        <is>
          <t>HANINGE</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1733-2026</t>
        </is>
      </c>
      <c r="B2159" t="inlineStr">
        <is>
          <t>samrådsanmälan</t>
        </is>
      </c>
      <c r="C2159" t="inlineStr">
        <is>
          <t>Annan skogsbruksåtgärd</t>
        </is>
      </c>
      <c r="D2159" s="1" t="n">
        <v>46188</v>
      </c>
      <c r="E2159" s="1" t="n">
        <v>46326</v>
      </c>
      <c r="F2159" t="inlineStr">
        <is>
          <t>STOCKHOLMS LÄN</t>
        </is>
      </c>
      <c r="G2159" t="inlineStr">
        <is>
          <t>NORRTÄLJE</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1845-2026</t>
        </is>
      </c>
      <c r="B2160" t="inlineStr">
        <is>
          <t>samrådsanmälan</t>
        </is>
      </c>
      <c r="C2160" t="inlineStr">
        <is>
          <t>Annan skogsbruksåtgärd</t>
        </is>
      </c>
      <c r="D2160" s="1" t="n">
        <v>46198</v>
      </c>
      <c r="E2160" s="1" t="n">
        <v>46326</v>
      </c>
      <c r="F2160" t="inlineStr">
        <is>
          <t>STOCKHOLMS LÄN</t>
        </is>
      </c>
      <c r="G2160" t="inlineStr">
        <is>
          <t>NYNÄSHAMN</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2021-2026</t>
        </is>
      </c>
      <c r="B2161" t="inlineStr">
        <is>
          <t>samrådsanmälan</t>
        </is>
      </c>
      <c r="C2161" t="inlineStr">
        <is>
          <t>Annan skogsbruksåtgärd</t>
        </is>
      </c>
      <c r="D2161" s="1" t="n">
        <v>46210</v>
      </c>
      <c r="E2161" s="1" t="n">
        <v>46326</v>
      </c>
      <c r="F2161" t="inlineStr">
        <is>
          <t>STOCKHOLMS LÄN</t>
        </is>
      </c>
      <c r="G2161" t="inlineStr">
        <is>
          <t>ÖSTERÅKER</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2043-2026</t>
        </is>
      </c>
      <c r="B2162" t="inlineStr">
        <is>
          <t>samrådsanmälan</t>
        </is>
      </c>
      <c r="C2162" t="inlineStr">
        <is>
          <t>Annan skogsbruksåtgärd</t>
        </is>
      </c>
      <c r="D2162" s="1" t="n">
        <v>46219</v>
      </c>
      <c r="E2162" s="1" t="n">
        <v>46326</v>
      </c>
      <c r="F2162" t="inlineStr">
        <is>
          <t>STOCKHOLMS LÄN</t>
        </is>
      </c>
      <c r="G2162" t="inlineStr">
        <is>
          <t>VÄRMDÖ</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1093-2022</t>
        </is>
      </c>
      <c r="B2163" t="inlineStr">
        <is>
          <t>samrådsanmälan</t>
        </is>
      </c>
      <c r="C2163" t="inlineStr">
        <is>
          <t>Annan skogsbruksåtgärd</t>
        </is>
      </c>
      <c r="D2163" s="1" t="n">
        <v>44614</v>
      </c>
      <c r="E2163" s="1" t="n">
        <v>46326</v>
      </c>
      <c r="F2163" t="inlineStr">
        <is>
          <t>STOCKHOLMS LÄN</t>
        </is>
      </c>
      <c r="G2163" t="inlineStr">
        <is>
          <t>NORRTÄLJE</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2080-2026</t>
        </is>
      </c>
      <c r="B2164" t="inlineStr">
        <is>
          <t>samrådsanmälan</t>
        </is>
      </c>
      <c r="C2164" t="inlineStr">
        <is>
          <t>Annan skogsbruksåtgärd</t>
        </is>
      </c>
      <c r="D2164" s="1" t="n">
        <v>46231</v>
      </c>
      <c r="E2164" s="1" t="n">
        <v>46326</v>
      </c>
      <c r="F2164" t="inlineStr">
        <is>
          <t>STOCKHOLMS LÄN</t>
        </is>
      </c>
      <c r="G2164" t="inlineStr">
        <is>
          <t>VAXHOLM</t>
        </is>
      </c>
      <c r="H2164" t="inlineStr">
        <is>
          <t>Övriga statliga verk och myndigheter</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1390-2026</t>
        </is>
      </c>
      <c r="B2165" t="inlineStr">
        <is>
          <t>samrådsanmälan</t>
        </is>
      </c>
      <c r="C2165" t="inlineStr">
        <is>
          <t>Annan skogsbruksåtgärd</t>
        </is>
      </c>
      <c r="D2165" s="1" t="n">
        <v>46153</v>
      </c>
      <c r="E2165" s="1" t="n">
        <v>46326</v>
      </c>
      <c r="F2165" t="inlineStr">
        <is>
          <t>STOCKHOLMS LÄN</t>
        </is>
      </c>
      <c r="G2165" t="inlineStr">
        <is>
          <t>EKERÖ</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404-2023</t>
        </is>
      </c>
      <c r="B2166" t="inlineStr">
        <is>
          <t>samrådsanmälan</t>
        </is>
      </c>
      <c r="C2166" t="inlineStr">
        <is>
          <t>Annan skogsbruksåtgärd</t>
        </is>
      </c>
      <c r="D2166" s="1" t="n">
        <v>44959</v>
      </c>
      <c r="E2166" s="1" t="n">
        <v>46326</v>
      </c>
      <c r="F2166" t="inlineStr">
        <is>
          <t>STOCKHOLMS LÄN</t>
        </is>
      </c>
      <c r="G2166" t="inlineStr">
        <is>
          <t>NORRTÄLJE</t>
        </is>
      </c>
      <c r="I2166" t="n">
        <v>1.3</v>
      </c>
      <c r="J2166" t="n">
        <v>0</v>
      </c>
      <c r="K2166" t="n">
        <v>0</v>
      </c>
      <c r="L2166" t="n">
        <v>0</v>
      </c>
      <c r="M2166" t="n">
        <v>0</v>
      </c>
      <c r="N2166" t="n">
        <v>0</v>
      </c>
      <c r="O2166" t="n">
        <v>0</v>
      </c>
      <c r="P2166" t="n">
        <v>0</v>
      </c>
      <c r="Q2166" t="n">
        <v>0</v>
      </c>
      <c r="R2166" t="n">
        <v>0</v>
      </c>
      <c r="S2166" t="n">
        <v>0</v>
      </c>
      <c r="T2166" t="n">
        <v>0</v>
      </c>
      <c r="U2166" t="n">
        <v>0</v>
      </c>
      <c r="V2166" s="2" t="inlineStr"/>
    </row>
    <row r="2167">
      <c r="A2167" t="inlineStr">
        <is>
          <t>S 2586-2026</t>
        </is>
      </c>
      <c r="B2167" t="inlineStr">
        <is>
          <t>samrådsanmälan</t>
        </is>
      </c>
      <c r="C2167" t="inlineStr">
        <is>
          <t>Annan skogsbruksåtgärd</t>
        </is>
      </c>
      <c r="D2167" s="1" t="n">
        <v>46296</v>
      </c>
      <c r="E2167" s="1" t="n">
        <v>46326</v>
      </c>
      <c r="F2167" t="inlineStr">
        <is>
          <t>STOCKHOLMS LÄN</t>
        </is>
      </c>
      <c r="G2167" t="inlineStr">
        <is>
          <t>VAXHOLM</t>
        </is>
      </c>
      <c r="H2167" t="inlineStr">
        <is>
          <t>Kommuner</t>
        </is>
      </c>
      <c r="I2167" t="n">
        <v>0.7</v>
      </c>
      <c r="J2167" t="n">
        <v>0</v>
      </c>
      <c r="K2167" t="n">
        <v>0</v>
      </c>
      <c r="L2167" t="n">
        <v>0</v>
      </c>
      <c r="M2167" t="n">
        <v>0</v>
      </c>
      <c r="N2167" t="n">
        <v>0</v>
      </c>
      <c r="O2167" t="n">
        <v>0</v>
      </c>
      <c r="P2167" t="n">
        <v>0</v>
      </c>
      <c r="Q2167" t="n">
        <v>0</v>
      </c>
      <c r="R2167" t="n">
        <v>0</v>
      </c>
      <c r="S2167" t="n">
        <v>0</v>
      </c>
      <c r="T2167" t="n">
        <v>0</v>
      </c>
      <c r="U2167" t="n">
        <v>0</v>
      </c>
      <c r="V2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2026-10-31T03:25:18Z</dcterms:created>
  <dcterms:modified xmlns:dcterms="http://purl.org/dc/terms/" xmlns:xsi="http://www.w3.org/2001/XMLSchema-instance" xsi:type="dcterms:W3CDTF">2026-10-31T03:25:20Z</dcterms:modified>
</cp:coreProperties>
</file>
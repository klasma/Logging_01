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45571</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45571</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45571</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45571</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45571</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45571</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45571</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45571</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45571</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45571</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45571</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45571</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45571</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45571</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45571</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45571</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45571</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45571</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45571</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45571</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45571</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45571</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45571</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45571</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45571</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45571</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45571</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45571</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45571</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45571</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45571</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45571</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45571</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45571</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45571</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45571</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45571</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45571</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45571</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45571</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45571</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45571</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45571</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45571</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45571</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45571</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45571</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45571</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45571</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45571</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45571</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45571</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45571</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45571</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45571</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45571</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45571</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45571</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45571</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45571</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45571</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45571</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45571</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45571</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45571</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45571</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21482-2024</t>
        </is>
      </c>
      <c r="B74" s="1" t="n">
        <v>45441</v>
      </c>
      <c r="C74" s="1" t="n">
        <v>45571</v>
      </c>
      <c r="D74" t="inlineStr">
        <is>
          <t>STOCKHOLMS LÄN</t>
        </is>
      </c>
      <c r="E74" t="inlineStr">
        <is>
          <t>HANINGE</t>
        </is>
      </c>
      <c r="G74" t="n">
        <v>3.9</v>
      </c>
      <c r="H74" t="n">
        <v>7</v>
      </c>
      <c r="I74" t="n">
        <v>4</v>
      </c>
      <c r="J74" t="n">
        <v>3</v>
      </c>
      <c r="K74" t="n">
        <v>0</v>
      </c>
      <c r="L74" t="n">
        <v>0</v>
      </c>
      <c r="M74" t="n">
        <v>0</v>
      </c>
      <c r="N74" t="n">
        <v>0</v>
      </c>
      <c r="O74" t="n">
        <v>3</v>
      </c>
      <c r="P74" t="n">
        <v>0</v>
      </c>
      <c r="Q74" t="n">
        <v>10</v>
      </c>
      <c r="R74" s="2" t="inlineStr">
        <is>
          <t>Gulsparv
Spillkråka
Tallticka
Blåmossa
Skogsknipprot
Sårläka
Tvåblad
Nattviol
Blåsippa
Gullviva</t>
        </is>
      </c>
      <c r="S74">
        <f>HYPERLINK("https://klasma.github.io/Logging_0136/artfynd/A 21482-2024 artfynd.xlsx", "A 21482-2024")</f>
        <v/>
      </c>
      <c r="T74">
        <f>HYPERLINK("https://klasma.github.io/Logging_0136/kartor/A 21482-2024 karta.png", "A 21482-2024")</f>
        <v/>
      </c>
      <c r="V74">
        <f>HYPERLINK("https://klasma.github.io/Logging_0136/klagomål/A 21482-2024 FSC-klagomål.docx", "A 21482-2024")</f>
        <v/>
      </c>
      <c r="W74">
        <f>HYPERLINK("https://klasma.github.io/Logging_0136/klagomålsmail/A 21482-2024 FSC-klagomål mail.docx", "A 21482-2024")</f>
        <v/>
      </c>
      <c r="X74">
        <f>HYPERLINK("https://klasma.github.io/Logging_0136/tillsyn/A 21482-2024 tillsynsbegäran.docx", "A 21482-2024")</f>
        <v/>
      </c>
      <c r="Y74">
        <f>HYPERLINK("https://klasma.github.io/Logging_0136/tillsynsmail/A 21482-2024 tillsynsbegäran mail.docx", "A 21482-2024")</f>
        <v/>
      </c>
      <c r="Z74">
        <f>HYPERLINK("https://klasma.github.io/Logging_0136/fåglar/A 21482-2024 prioriterade fågelarter.docx", "A 21482-2024")</f>
        <v/>
      </c>
    </row>
    <row r="75" ht="15" customHeight="1">
      <c r="A75" t="inlineStr">
        <is>
          <t>A 6703-2020</t>
        </is>
      </c>
      <c r="B75" s="1" t="n">
        <v>43865</v>
      </c>
      <c r="C75" s="1" t="n">
        <v>45571</v>
      </c>
      <c r="D75" t="inlineStr">
        <is>
          <t>STOCKHOLMS LÄN</t>
        </is>
      </c>
      <c r="E75" t="inlineStr">
        <is>
          <t>HANINGE</t>
        </is>
      </c>
      <c r="G75" t="n">
        <v>2.3</v>
      </c>
      <c r="H75" t="n">
        <v>4</v>
      </c>
      <c r="I75" t="n">
        <v>4</v>
      </c>
      <c r="J75" t="n">
        <v>3</v>
      </c>
      <c r="K75" t="n">
        <v>0</v>
      </c>
      <c r="L75" t="n">
        <v>1</v>
      </c>
      <c r="M75" t="n">
        <v>0</v>
      </c>
      <c r="N75" t="n">
        <v>0</v>
      </c>
      <c r="O75" t="n">
        <v>4</v>
      </c>
      <c r="P75" t="n">
        <v>1</v>
      </c>
      <c r="Q75" t="n">
        <v>9</v>
      </c>
      <c r="R75" s="2" t="inlineStr">
        <is>
          <t>Ask
Gulsparv
Spillkråka
Tallticka
Grön sköldmossa
Scharlakansvårskål agg.
Skogshakmossa
Västlig hakmossa
Blåsippa</t>
        </is>
      </c>
      <c r="S75">
        <f>HYPERLINK("https://klasma.github.io/Logging_0136/artfynd/A 6703-2020 artfynd.xlsx", "A 6703-2020")</f>
        <v/>
      </c>
      <c r="T75">
        <f>HYPERLINK("https://klasma.github.io/Logging_0136/kartor/A 6703-2020 karta.png", "A 6703-2020")</f>
        <v/>
      </c>
      <c r="V75">
        <f>HYPERLINK("https://klasma.github.io/Logging_0136/klagomål/A 6703-2020 FSC-klagomål.docx", "A 6703-2020")</f>
        <v/>
      </c>
      <c r="W75">
        <f>HYPERLINK("https://klasma.github.io/Logging_0136/klagomålsmail/A 6703-2020 FSC-klagomål mail.docx", "A 6703-2020")</f>
        <v/>
      </c>
      <c r="X75">
        <f>HYPERLINK("https://klasma.github.io/Logging_0136/tillsyn/A 6703-2020 tillsynsbegäran.docx", "A 6703-2020")</f>
        <v/>
      </c>
      <c r="Y75">
        <f>HYPERLINK("https://klasma.github.io/Logging_0136/tillsynsmail/A 6703-2020 tillsynsbegäran mail.docx", "A 6703-2020")</f>
        <v/>
      </c>
      <c r="Z75">
        <f>HYPERLINK("https://klasma.github.io/Logging_0136/fåglar/A 6703-2020 prioriterade fågelarter.docx", "A 6703-2020")</f>
        <v/>
      </c>
    </row>
    <row r="76" ht="15" customHeight="1">
      <c r="A76" t="inlineStr">
        <is>
          <t>A 7430-2020</t>
        </is>
      </c>
      <c r="B76" s="1" t="n">
        <v>43871</v>
      </c>
      <c r="C76" s="1" t="n">
        <v>45571</v>
      </c>
      <c r="D76" t="inlineStr">
        <is>
          <t>STOCKHOLMS LÄN</t>
        </is>
      </c>
      <c r="E76" t="inlineStr">
        <is>
          <t>NYNÄSHAMN</t>
        </is>
      </c>
      <c r="F76" t="inlineStr">
        <is>
          <t>Kommuner</t>
        </is>
      </c>
      <c r="G76" t="n">
        <v>1.5</v>
      </c>
      <c r="H76" t="n">
        <v>6</v>
      </c>
      <c r="I76" t="n">
        <v>2</v>
      </c>
      <c r="J76" t="n">
        <v>3</v>
      </c>
      <c r="K76" t="n">
        <v>0</v>
      </c>
      <c r="L76" t="n">
        <v>0</v>
      </c>
      <c r="M76" t="n">
        <v>0</v>
      </c>
      <c r="N76" t="n">
        <v>0</v>
      </c>
      <c r="O76" t="n">
        <v>3</v>
      </c>
      <c r="P76" t="n">
        <v>0</v>
      </c>
      <c r="Q76" t="n">
        <v>9</v>
      </c>
      <c r="R76" s="2" t="inlineStr">
        <is>
          <t>Nordfladdermus
Sydfladdermus
Ullticka
Stubbspretmossa
Vågbandad barkbock
Dvärgpipistrell
Gråskimlig fladdermus
Större brunfladdermus
Vattenfladdermus</t>
        </is>
      </c>
      <c r="S76">
        <f>HYPERLINK("https://klasma.github.io/Logging_0192/artfynd/A 7430-2020 artfynd.xlsx", "A 7430-2020")</f>
        <v/>
      </c>
      <c r="T76">
        <f>HYPERLINK("https://klasma.github.io/Logging_0192/kartor/A 7430-2020 karta.png", "A 7430-2020")</f>
        <v/>
      </c>
      <c r="V76">
        <f>HYPERLINK("https://klasma.github.io/Logging_0192/klagomål/A 7430-2020 FSC-klagomål.docx", "A 7430-2020")</f>
        <v/>
      </c>
      <c r="W76">
        <f>HYPERLINK("https://klasma.github.io/Logging_0192/klagomålsmail/A 7430-2020 FSC-klagomål mail.docx", "A 7430-2020")</f>
        <v/>
      </c>
      <c r="X76">
        <f>HYPERLINK("https://klasma.github.io/Logging_0192/tillsyn/A 7430-2020 tillsynsbegäran.docx", "A 7430-2020")</f>
        <v/>
      </c>
      <c r="Y76">
        <f>HYPERLINK("https://klasma.github.io/Logging_0192/tillsynsmail/A 7430-2020 tillsynsbegäran mail.docx", "A 7430-2020")</f>
        <v/>
      </c>
    </row>
    <row r="77" ht="15" customHeight="1">
      <c r="A77" t="inlineStr">
        <is>
          <t>A 9148-2020</t>
        </is>
      </c>
      <c r="B77" s="1" t="n">
        <v>43879</v>
      </c>
      <c r="C77" s="1" t="n">
        <v>45571</v>
      </c>
      <c r="D77" t="inlineStr">
        <is>
          <t>STOCKHOLMS LÄN</t>
        </is>
      </c>
      <c r="E77" t="inlineStr">
        <is>
          <t>SALEM</t>
        </is>
      </c>
      <c r="F77" t="inlineStr">
        <is>
          <t>Kommuner</t>
        </is>
      </c>
      <c r="G77" t="n">
        <v>2.1</v>
      </c>
      <c r="H77" t="n">
        <v>2</v>
      </c>
      <c r="I77" t="n">
        <v>6</v>
      </c>
      <c r="J77" t="n">
        <v>3</v>
      </c>
      <c r="K77" t="n">
        <v>0</v>
      </c>
      <c r="L77" t="n">
        <v>0</v>
      </c>
      <c r="M77" t="n">
        <v>0</v>
      </c>
      <c r="N77" t="n">
        <v>0</v>
      </c>
      <c r="O77" t="n">
        <v>3</v>
      </c>
      <c r="P77" t="n">
        <v>0</v>
      </c>
      <c r="Q77" t="n">
        <v>9</v>
      </c>
      <c r="R77" s="2" t="inlineStr">
        <is>
          <t>Granticka
Kandelabersvamp
Mindre hackspett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c r="Z77">
        <f>HYPERLINK("https://klasma.github.io/Logging_0128/fåglar/A 9148-2020 prioriterade fågelarter.docx", "A 9148-2020")</f>
        <v/>
      </c>
    </row>
    <row r="78" ht="15" customHeight="1">
      <c r="A78" t="inlineStr">
        <is>
          <t>A 31366-2021</t>
        </is>
      </c>
      <c r="B78" s="1" t="n">
        <v>44368</v>
      </c>
      <c r="C78" s="1" t="n">
        <v>45571</v>
      </c>
      <c r="D78" t="inlineStr">
        <is>
          <t>STOCKHOLMS LÄN</t>
        </is>
      </c>
      <c r="E78" t="inlineStr">
        <is>
          <t>UPPLANDS-BRO</t>
        </is>
      </c>
      <c r="G78" t="n">
        <v>8.5</v>
      </c>
      <c r="H78" t="n">
        <v>2</v>
      </c>
      <c r="I78" t="n">
        <v>5</v>
      </c>
      <c r="J78" t="n">
        <v>2</v>
      </c>
      <c r="K78" t="n">
        <v>1</v>
      </c>
      <c r="L78" t="n">
        <v>0</v>
      </c>
      <c r="M78" t="n">
        <v>0</v>
      </c>
      <c r="N78" t="n">
        <v>0</v>
      </c>
      <c r="O78" t="n">
        <v>3</v>
      </c>
      <c r="P78" t="n">
        <v>1</v>
      </c>
      <c r="Q78" t="n">
        <v>9</v>
      </c>
      <c r="R78" s="2" t="inlineStr">
        <is>
          <t>Klotsporig murkla
Motaggsvamp
Spillkråka
Blåmossa
Rödbrun jordstjärna
Stubbspretmossa
Svavelriska
Thomsons trägnagare
Blåsippa</t>
        </is>
      </c>
      <c r="S78">
        <f>HYPERLINK("https://klasma.github.io/Logging_0139/artfynd/A 31366-2021 artfynd.xlsx", "A 31366-2021")</f>
        <v/>
      </c>
      <c r="T78">
        <f>HYPERLINK("https://klasma.github.io/Logging_0139/kartor/A 31366-2021 karta.png", "A 31366-2021")</f>
        <v/>
      </c>
      <c r="V78">
        <f>HYPERLINK("https://klasma.github.io/Logging_0139/klagomål/A 31366-2021 FSC-klagomål.docx", "A 31366-2021")</f>
        <v/>
      </c>
      <c r="W78">
        <f>HYPERLINK("https://klasma.github.io/Logging_0139/klagomålsmail/A 31366-2021 FSC-klagomål mail.docx", "A 31366-2021")</f>
        <v/>
      </c>
      <c r="X78">
        <f>HYPERLINK("https://klasma.github.io/Logging_0139/tillsyn/A 31366-2021 tillsynsbegäran.docx", "A 31366-2021")</f>
        <v/>
      </c>
      <c r="Y78">
        <f>HYPERLINK("https://klasma.github.io/Logging_0139/tillsynsmail/A 31366-2021 tillsynsbegäran mail.docx", "A 31366-2021")</f>
        <v/>
      </c>
      <c r="Z78">
        <f>HYPERLINK("https://klasma.github.io/Logging_0139/fåglar/A 31366-2021 prioriterade fågelarter.docx", "A 31366-2021")</f>
        <v/>
      </c>
    </row>
    <row r="79" ht="15" customHeight="1">
      <c r="A79" t="inlineStr">
        <is>
          <t>A 52815-2021</t>
        </is>
      </c>
      <c r="B79" s="1" t="n">
        <v>44467</v>
      </c>
      <c r="C79" s="1" t="n">
        <v>45571</v>
      </c>
      <c r="D79" t="inlineStr">
        <is>
          <t>STOCKHOLMS LÄN</t>
        </is>
      </c>
      <c r="E79" t="inlineStr">
        <is>
          <t>NORRTÄLJE</t>
        </is>
      </c>
      <c r="G79" t="n">
        <v>2.8</v>
      </c>
      <c r="H79" t="n">
        <v>0</v>
      </c>
      <c r="I79" t="n">
        <v>2</v>
      </c>
      <c r="J79" t="n">
        <v>2</v>
      </c>
      <c r="K79" t="n">
        <v>4</v>
      </c>
      <c r="L79" t="n">
        <v>1</v>
      </c>
      <c r="M79" t="n">
        <v>0</v>
      </c>
      <c r="N79" t="n">
        <v>0</v>
      </c>
      <c r="O79" t="n">
        <v>7</v>
      </c>
      <c r="P79" t="n">
        <v>5</v>
      </c>
      <c r="Q79" t="n">
        <v>9</v>
      </c>
      <c r="R79" s="2" t="inlineStr">
        <is>
          <t>Raggtaggsvamp
Gul lammticka
Koppartaggsvamp
Spricktaggsvamp
Svartfjällig musseron
Bittermusseron
Flattoppad klubbsvamp
Diskvaxskivling
Fjällig taggsvamp s.str.</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13137-2022</t>
        </is>
      </c>
      <c r="B80" s="1" t="n">
        <v>44643</v>
      </c>
      <c r="C80" s="1" t="n">
        <v>45571</v>
      </c>
      <c r="D80" t="inlineStr">
        <is>
          <t>STOCKHOLMS LÄN</t>
        </is>
      </c>
      <c r="E80" t="inlineStr">
        <is>
          <t>HANINGE</t>
        </is>
      </c>
      <c r="G80" t="n">
        <v>5.6</v>
      </c>
      <c r="H80" t="n">
        <v>4</v>
      </c>
      <c r="I80" t="n">
        <v>5</v>
      </c>
      <c r="J80" t="n">
        <v>2</v>
      </c>
      <c r="K80" t="n">
        <v>1</v>
      </c>
      <c r="L80" t="n">
        <v>0</v>
      </c>
      <c r="M80" t="n">
        <v>0</v>
      </c>
      <c r="N80" t="n">
        <v>0</v>
      </c>
      <c r="O80" t="n">
        <v>3</v>
      </c>
      <c r="P80" t="n">
        <v>1</v>
      </c>
      <c r="Q80" t="n">
        <v>9</v>
      </c>
      <c r="R80" s="2" t="inlineStr">
        <is>
          <t>Knärot
Spillkråka
Vedskivlav
Blodticka
Granbarkgnagare
Grön sköldmossa
Mindre märgborre
Stubbspretmossa
Revlummer</t>
        </is>
      </c>
      <c r="S80">
        <f>HYPERLINK("https://klasma.github.io/Logging_0136/artfynd/A 13137-2022 artfynd.xlsx", "A 13137-2022")</f>
        <v/>
      </c>
      <c r="T80">
        <f>HYPERLINK("https://klasma.github.io/Logging_0136/kartor/A 13137-2022 karta.png", "A 13137-2022")</f>
        <v/>
      </c>
      <c r="U80">
        <f>HYPERLINK("https://klasma.github.io/Logging_0136/knärot/A 13137-2022 karta knärot.png", "A 13137-2022")</f>
        <v/>
      </c>
      <c r="V80">
        <f>HYPERLINK("https://klasma.github.io/Logging_0136/klagomål/A 13137-2022 FSC-klagomål.docx", "A 13137-2022")</f>
        <v/>
      </c>
      <c r="W80">
        <f>HYPERLINK("https://klasma.github.io/Logging_0136/klagomålsmail/A 13137-2022 FSC-klagomål mail.docx", "A 13137-2022")</f>
        <v/>
      </c>
      <c r="X80">
        <f>HYPERLINK("https://klasma.github.io/Logging_0136/tillsyn/A 13137-2022 tillsynsbegäran.docx", "A 13137-2022")</f>
        <v/>
      </c>
      <c r="Y80">
        <f>HYPERLINK("https://klasma.github.io/Logging_0136/tillsynsmail/A 13137-2022 tillsynsbegäran mail.docx", "A 13137-2022")</f>
        <v/>
      </c>
      <c r="Z80">
        <f>HYPERLINK("https://klasma.github.io/Logging_0136/fåglar/A 13137-2022 prioriterade fågelarter.docx", "A 13137-2022")</f>
        <v/>
      </c>
    </row>
    <row r="81" ht="15" customHeight="1">
      <c r="A81" t="inlineStr">
        <is>
          <t>A 22064-2022</t>
        </is>
      </c>
      <c r="B81" s="1" t="n">
        <v>44711</v>
      </c>
      <c r="C81" s="1" t="n">
        <v>45571</v>
      </c>
      <c r="D81" t="inlineStr">
        <is>
          <t>STOCKHOLMS LÄN</t>
        </is>
      </c>
      <c r="E81" t="inlineStr">
        <is>
          <t>VALLENTUNA</t>
        </is>
      </c>
      <c r="G81" t="n">
        <v>4.3</v>
      </c>
      <c r="H81" t="n">
        <v>2</v>
      </c>
      <c r="I81" t="n">
        <v>7</v>
      </c>
      <c r="J81" t="n">
        <v>1</v>
      </c>
      <c r="K81" t="n">
        <v>0</v>
      </c>
      <c r="L81" t="n">
        <v>0</v>
      </c>
      <c r="M81" t="n">
        <v>0</v>
      </c>
      <c r="N81" t="n">
        <v>0</v>
      </c>
      <c r="O81" t="n">
        <v>1</v>
      </c>
      <c r="P81" t="n">
        <v>0</v>
      </c>
      <c r="Q81" t="n">
        <v>9</v>
      </c>
      <c r="R81" s="2" t="inlineStr">
        <is>
          <t>Spillkråka
Björksplintborre
Blåmossa
Bronshjon
Fjällig taggsvamp s.str.
Granbarkgnagare
Stubbspretmossa
Vågbandad barkbock
Blåsippa</t>
        </is>
      </c>
      <c r="S81">
        <f>HYPERLINK("https://klasma.github.io/Logging_0115/artfynd/A 22064-2022 artfynd.xlsx", "A 22064-2022")</f>
        <v/>
      </c>
      <c r="T81">
        <f>HYPERLINK("https://klasma.github.io/Logging_0115/kartor/A 22064-2022 karta.png", "A 22064-2022")</f>
        <v/>
      </c>
      <c r="V81">
        <f>HYPERLINK("https://klasma.github.io/Logging_0115/klagomål/A 22064-2022 FSC-klagomål.docx", "A 22064-2022")</f>
        <v/>
      </c>
      <c r="W81">
        <f>HYPERLINK("https://klasma.github.io/Logging_0115/klagomålsmail/A 22064-2022 FSC-klagomål mail.docx", "A 22064-2022")</f>
        <v/>
      </c>
      <c r="X81">
        <f>HYPERLINK("https://klasma.github.io/Logging_0115/tillsyn/A 22064-2022 tillsynsbegäran.docx", "A 22064-2022")</f>
        <v/>
      </c>
      <c r="Y81">
        <f>HYPERLINK("https://klasma.github.io/Logging_0115/tillsynsmail/A 22064-2022 tillsynsbegäran mail.docx", "A 22064-2022")</f>
        <v/>
      </c>
      <c r="Z81">
        <f>HYPERLINK("https://klasma.github.io/Logging_0115/fåglar/A 22064-2022 prioriterade fågelarter.docx", "A 22064-2022")</f>
        <v/>
      </c>
    </row>
    <row r="82" ht="15" customHeight="1">
      <c r="A82" t="inlineStr">
        <is>
          <t>A 58658-2023</t>
        </is>
      </c>
      <c r="B82" s="1" t="n">
        <v>45251</v>
      </c>
      <c r="C82" s="1" t="n">
        <v>45571</v>
      </c>
      <c r="D82" t="inlineStr">
        <is>
          <t>STOCKHOLMS LÄN</t>
        </is>
      </c>
      <c r="E82" t="inlineStr">
        <is>
          <t>SIGTUNA</t>
        </is>
      </c>
      <c r="F82" t="inlineStr">
        <is>
          <t>Kommuner</t>
        </is>
      </c>
      <c r="G82" t="n">
        <v>4.8</v>
      </c>
      <c r="H82" t="n">
        <v>5</v>
      </c>
      <c r="I82" t="n">
        <v>2</v>
      </c>
      <c r="J82" t="n">
        <v>4</v>
      </c>
      <c r="K82" t="n">
        <v>0</v>
      </c>
      <c r="L82" t="n">
        <v>0</v>
      </c>
      <c r="M82" t="n">
        <v>0</v>
      </c>
      <c r="N82" t="n">
        <v>0</v>
      </c>
      <c r="O82" t="n">
        <v>4</v>
      </c>
      <c r="P82" t="n">
        <v>0</v>
      </c>
      <c r="Q82" t="n">
        <v>9</v>
      </c>
      <c r="R82" s="2" t="inlineStr">
        <is>
          <t>Aspborre
Entita
Grön aspvedbock
Spillkråka
Granbarkgnagare
Myskbock
Skogsödla
Blåsippa
Gullviva</t>
        </is>
      </c>
      <c r="S82">
        <f>HYPERLINK("https://klasma.github.io/Logging_0191/artfynd/A 58658-2023 artfynd.xlsx", "A 58658-2023")</f>
        <v/>
      </c>
      <c r="T82">
        <f>HYPERLINK("https://klasma.github.io/Logging_0191/kartor/A 58658-2023 karta.png", "A 58658-2023")</f>
        <v/>
      </c>
      <c r="V82">
        <f>HYPERLINK("https://klasma.github.io/Logging_0191/klagomål/A 58658-2023 FSC-klagomål.docx", "A 58658-2023")</f>
        <v/>
      </c>
      <c r="W82">
        <f>HYPERLINK("https://klasma.github.io/Logging_0191/klagomålsmail/A 58658-2023 FSC-klagomål mail.docx", "A 58658-2023")</f>
        <v/>
      </c>
      <c r="X82">
        <f>HYPERLINK("https://klasma.github.io/Logging_0191/tillsyn/A 58658-2023 tillsynsbegäran.docx", "A 58658-2023")</f>
        <v/>
      </c>
      <c r="Y82">
        <f>HYPERLINK("https://klasma.github.io/Logging_0191/tillsynsmail/A 58658-2023 tillsynsbegäran mail.docx", "A 58658-2023")</f>
        <v/>
      </c>
      <c r="Z82">
        <f>HYPERLINK("https://klasma.github.io/Logging_0191/fåglar/A 58658-2023 prioriterade fågelarter.docx", "A 58658-2023")</f>
        <v/>
      </c>
    </row>
    <row r="83" ht="15" customHeight="1">
      <c r="A83" t="inlineStr">
        <is>
          <t>A 14469-2024</t>
        </is>
      </c>
      <c r="B83" s="1" t="n">
        <v>45394</v>
      </c>
      <c r="C83" s="1" t="n">
        <v>45571</v>
      </c>
      <c r="D83" t="inlineStr">
        <is>
          <t>STOCKHOLMS LÄN</t>
        </is>
      </c>
      <c r="E83" t="inlineStr">
        <is>
          <t>VALLENTUNA</t>
        </is>
      </c>
      <c r="G83" t="n">
        <v>17.6</v>
      </c>
      <c r="H83" t="n">
        <v>1</v>
      </c>
      <c r="I83" t="n">
        <v>6</v>
      </c>
      <c r="J83" t="n">
        <v>3</v>
      </c>
      <c r="K83" t="n">
        <v>0</v>
      </c>
      <c r="L83" t="n">
        <v>0</v>
      </c>
      <c r="M83" t="n">
        <v>0</v>
      </c>
      <c r="N83" t="n">
        <v>0</v>
      </c>
      <c r="O83" t="n">
        <v>3</v>
      </c>
      <c r="P83" t="n">
        <v>0</v>
      </c>
      <c r="Q83" t="n">
        <v>9</v>
      </c>
      <c r="R83" s="2" t="inlineStr">
        <is>
          <t>Spillkråka
Ullticka
Vedskivlav
Björksplintborre
Bronshjon
Grönpyrola
Mindre märgborre
Vedticka
Vågbandad barkbock</t>
        </is>
      </c>
      <c r="S83">
        <f>HYPERLINK("https://klasma.github.io/Logging_0115/artfynd/A 14469-2024 artfynd.xlsx", "A 14469-2024")</f>
        <v/>
      </c>
      <c r="T83">
        <f>HYPERLINK("https://klasma.github.io/Logging_0115/kartor/A 14469-2024 karta.png", "A 14469-2024")</f>
        <v/>
      </c>
      <c r="V83">
        <f>HYPERLINK("https://klasma.github.io/Logging_0115/klagomål/A 14469-2024 FSC-klagomål.docx", "A 14469-2024")</f>
        <v/>
      </c>
      <c r="W83">
        <f>HYPERLINK("https://klasma.github.io/Logging_0115/klagomålsmail/A 14469-2024 FSC-klagomål mail.docx", "A 14469-2024")</f>
        <v/>
      </c>
      <c r="X83">
        <f>HYPERLINK("https://klasma.github.io/Logging_0115/tillsyn/A 14469-2024 tillsynsbegäran.docx", "A 14469-2024")</f>
        <v/>
      </c>
      <c r="Y83">
        <f>HYPERLINK("https://klasma.github.io/Logging_0115/tillsynsmail/A 14469-2024 tillsynsbegäran mail.docx", "A 14469-2024")</f>
        <v/>
      </c>
      <c r="Z83">
        <f>HYPERLINK("https://klasma.github.io/Logging_0115/fåglar/A 14469-2024 prioriterade fågelarter.docx", "A 14469-2024")</f>
        <v/>
      </c>
    </row>
    <row r="84" ht="15" customHeight="1">
      <c r="A84" t="inlineStr">
        <is>
          <t>A 36440-2024</t>
        </is>
      </c>
      <c r="B84" s="1" t="n">
        <v>45535</v>
      </c>
      <c r="C84" s="1" t="n">
        <v>45571</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45571</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45571</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45571</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45571</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45571</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45571</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45571</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45571</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45571</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45571</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45571</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45571</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45571</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45571</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45571</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45571</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45571</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45571</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45571</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45571</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45571</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45571</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45571</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45571</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45571</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45571</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45571</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45571</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45571</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45571</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45571</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45571</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45571</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45571</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45571</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45571</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45571</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45571</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45571</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45571</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45571</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45571</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45571</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45571</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45571</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45571</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45571</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45571</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45571</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45571</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45571</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45571</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45571</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45571</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45571</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45571</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45571</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45571</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45571</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45571</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45571</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45571</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45571</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45571</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45571</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45571</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45571</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45571</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45571</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45571</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14771-2022</t>
        </is>
      </c>
      <c r="B155" s="1" t="n">
        <v>44656</v>
      </c>
      <c r="C155" s="1" t="n">
        <v>45571</v>
      </c>
      <c r="D155" t="inlineStr">
        <is>
          <t>STOCKHOLMS LÄN</t>
        </is>
      </c>
      <c r="E155" t="inlineStr">
        <is>
          <t>SÖDERTÄLJE</t>
        </is>
      </c>
      <c r="G155" t="n">
        <v>3.8</v>
      </c>
      <c r="H155" t="n">
        <v>3</v>
      </c>
      <c r="I155" t="n">
        <v>1</v>
      </c>
      <c r="J155" t="n">
        <v>0</v>
      </c>
      <c r="K155" t="n">
        <v>0</v>
      </c>
      <c r="L155" t="n">
        <v>0</v>
      </c>
      <c r="M155" t="n">
        <v>0</v>
      </c>
      <c r="N155" t="n">
        <v>0</v>
      </c>
      <c r="O155" t="n">
        <v>0</v>
      </c>
      <c r="P155" t="n">
        <v>0</v>
      </c>
      <c r="Q155" t="n">
        <v>4</v>
      </c>
      <c r="R155" s="2" t="inlineStr">
        <is>
          <t>Grönpyrola
Vanlig groda
Vanlig padda
Revlummer</t>
        </is>
      </c>
      <c r="S155">
        <f>HYPERLINK("https://klasma.github.io/Logging_0181/artfynd/A 14771-2022 artfynd.xlsx", "A 14771-2022")</f>
        <v/>
      </c>
      <c r="T155">
        <f>HYPERLINK("https://klasma.github.io/Logging_0181/kartor/A 14771-2022 karta.png", "A 14771-2022")</f>
        <v/>
      </c>
      <c r="V155">
        <f>HYPERLINK("https://klasma.github.io/Logging_0181/klagomål/A 14771-2022 FSC-klagomål.docx", "A 14771-2022")</f>
        <v/>
      </c>
      <c r="W155">
        <f>HYPERLINK("https://klasma.github.io/Logging_0181/klagomålsmail/A 14771-2022 FSC-klagomål mail.docx", "A 14771-2022")</f>
        <v/>
      </c>
      <c r="X155">
        <f>HYPERLINK("https://klasma.github.io/Logging_0181/tillsyn/A 14771-2022 tillsynsbegäran.docx", "A 14771-2022")</f>
        <v/>
      </c>
      <c r="Y155">
        <f>HYPERLINK("https://klasma.github.io/Logging_0181/tillsynsmail/A 14771-2022 tillsynsbegäran mail.docx", "A 14771-2022")</f>
        <v/>
      </c>
    </row>
    <row r="156" ht="15" customHeight="1">
      <c r="A156" t="inlineStr">
        <is>
          <t>A 52261-2022</t>
        </is>
      </c>
      <c r="B156" s="1" t="n">
        <v>44873</v>
      </c>
      <c r="C156" s="1" t="n">
        <v>45571</v>
      </c>
      <c r="D156" t="inlineStr">
        <is>
          <t>STOCKHOLMS LÄN</t>
        </is>
      </c>
      <c r="E156" t="inlineStr">
        <is>
          <t>NYNÄSHAMN</t>
        </is>
      </c>
      <c r="G156" t="n">
        <v>3.8</v>
      </c>
      <c r="H156" t="n">
        <v>1</v>
      </c>
      <c r="I156" t="n">
        <v>1</v>
      </c>
      <c r="J156" t="n">
        <v>2</v>
      </c>
      <c r="K156" t="n">
        <v>0</v>
      </c>
      <c r="L156" t="n">
        <v>0</v>
      </c>
      <c r="M156" t="n">
        <v>0</v>
      </c>
      <c r="N156" t="n">
        <v>0</v>
      </c>
      <c r="O156" t="n">
        <v>2</v>
      </c>
      <c r="P156" t="n">
        <v>0</v>
      </c>
      <c r="Q156" t="n">
        <v>4</v>
      </c>
      <c r="R156" s="2" t="inlineStr">
        <is>
          <t>Tallticka
Vedskivlav
Hasselticka
Blåsippa</t>
        </is>
      </c>
      <c r="S156">
        <f>HYPERLINK("https://klasma.github.io/Logging_0192/artfynd/A 52261-2022 artfynd.xlsx", "A 52261-2022")</f>
        <v/>
      </c>
      <c r="T156">
        <f>HYPERLINK("https://klasma.github.io/Logging_0192/kartor/A 52261-2022 karta.png", "A 52261-2022")</f>
        <v/>
      </c>
      <c r="V156">
        <f>HYPERLINK("https://klasma.github.io/Logging_0192/klagomål/A 52261-2022 FSC-klagomål.docx", "A 52261-2022")</f>
        <v/>
      </c>
      <c r="W156">
        <f>HYPERLINK("https://klasma.github.io/Logging_0192/klagomålsmail/A 52261-2022 FSC-klagomål mail.docx", "A 52261-2022")</f>
        <v/>
      </c>
      <c r="X156">
        <f>HYPERLINK("https://klasma.github.io/Logging_0192/tillsyn/A 52261-2022 tillsynsbegäran.docx", "A 52261-2022")</f>
        <v/>
      </c>
      <c r="Y156">
        <f>HYPERLINK("https://klasma.github.io/Logging_0192/tillsynsmail/A 52261-2022 tillsynsbegäran mail.docx", "A 52261-2022")</f>
        <v/>
      </c>
    </row>
    <row r="157" ht="15" customHeight="1">
      <c r="A157" t="inlineStr">
        <is>
          <t>A 5558-2023</t>
        </is>
      </c>
      <c r="B157" s="1" t="n">
        <v>44960</v>
      </c>
      <c r="C157" s="1" t="n">
        <v>45571</v>
      </c>
      <c r="D157" t="inlineStr">
        <is>
          <t>STOCKHOLMS LÄN</t>
        </is>
      </c>
      <c r="E157" t="inlineStr">
        <is>
          <t>NYNÄSHAMN</t>
        </is>
      </c>
      <c r="G157" t="n">
        <v>8.5</v>
      </c>
      <c r="H157" t="n">
        <v>0</v>
      </c>
      <c r="I157" t="n">
        <v>3</v>
      </c>
      <c r="J157" t="n">
        <v>1</v>
      </c>
      <c r="K157" t="n">
        <v>0</v>
      </c>
      <c r="L157" t="n">
        <v>0</v>
      </c>
      <c r="M157" t="n">
        <v>0</v>
      </c>
      <c r="N157" t="n">
        <v>0</v>
      </c>
      <c r="O157" t="n">
        <v>1</v>
      </c>
      <c r="P157" t="n">
        <v>0</v>
      </c>
      <c r="Q157" t="n">
        <v>4</v>
      </c>
      <c r="R157" s="2" t="inlineStr">
        <is>
          <t>Tallticka
Blåmossa
Granbarkgnagare
Slät lönnlav</t>
        </is>
      </c>
      <c r="S157">
        <f>HYPERLINK("https://klasma.github.io/Logging_0192/artfynd/A 5558-2023 artfynd.xlsx", "A 5558-2023")</f>
        <v/>
      </c>
      <c r="T157">
        <f>HYPERLINK("https://klasma.github.io/Logging_0192/kartor/A 5558-2023 karta.png", "A 5558-2023")</f>
        <v/>
      </c>
      <c r="V157">
        <f>HYPERLINK("https://klasma.github.io/Logging_0192/klagomål/A 5558-2023 FSC-klagomål.docx", "A 5558-2023")</f>
        <v/>
      </c>
      <c r="W157">
        <f>HYPERLINK("https://klasma.github.io/Logging_0192/klagomålsmail/A 5558-2023 FSC-klagomål mail.docx", "A 5558-2023")</f>
        <v/>
      </c>
      <c r="X157">
        <f>HYPERLINK("https://klasma.github.io/Logging_0192/tillsyn/A 5558-2023 tillsynsbegäran.docx", "A 5558-2023")</f>
        <v/>
      </c>
      <c r="Y157">
        <f>HYPERLINK("https://klasma.github.io/Logging_0192/tillsynsmail/A 5558-2023 tillsynsbegäran mail.docx", "A 5558-2023")</f>
        <v/>
      </c>
    </row>
    <row r="158" ht="15" customHeight="1">
      <c r="A158" t="inlineStr">
        <is>
          <t>A 12577-2023</t>
        </is>
      </c>
      <c r="B158" s="1" t="n">
        <v>45000</v>
      </c>
      <c r="C158" s="1" t="n">
        <v>45571</v>
      </c>
      <c r="D158" t="inlineStr">
        <is>
          <t>STOCKHOLMS LÄN</t>
        </is>
      </c>
      <c r="E158" t="inlineStr">
        <is>
          <t>VALLENTUNA</t>
        </is>
      </c>
      <c r="G158" t="n">
        <v>3</v>
      </c>
      <c r="H158" t="n">
        <v>2</v>
      </c>
      <c r="I158" t="n">
        <v>3</v>
      </c>
      <c r="J158" t="n">
        <v>0</v>
      </c>
      <c r="K158" t="n">
        <v>0</v>
      </c>
      <c r="L158" t="n">
        <v>0</v>
      </c>
      <c r="M158" t="n">
        <v>0</v>
      </c>
      <c r="N158" t="n">
        <v>0</v>
      </c>
      <c r="O158" t="n">
        <v>0</v>
      </c>
      <c r="P158" t="n">
        <v>0</v>
      </c>
      <c r="Q158" t="n">
        <v>4</v>
      </c>
      <c r="R158" s="2" t="inlineStr">
        <is>
          <t>Grön sköldmossa
Jättesvampmal
Rävticka
Blåsippa</t>
        </is>
      </c>
      <c r="S158">
        <f>HYPERLINK("https://klasma.github.io/Logging_0115/artfynd/A 12577-2023 artfynd.xlsx", "A 12577-2023")</f>
        <v/>
      </c>
      <c r="T158">
        <f>HYPERLINK("https://klasma.github.io/Logging_0115/kartor/A 12577-2023 karta.png", "A 12577-2023")</f>
        <v/>
      </c>
      <c r="V158">
        <f>HYPERLINK("https://klasma.github.io/Logging_0115/klagomål/A 12577-2023 FSC-klagomål.docx", "A 12577-2023")</f>
        <v/>
      </c>
      <c r="W158">
        <f>HYPERLINK("https://klasma.github.io/Logging_0115/klagomålsmail/A 12577-2023 FSC-klagomål mail.docx", "A 12577-2023")</f>
        <v/>
      </c>
      <c r="X158">
        <f>HYPERLINK("https://klasma.github.io/Logging_0115/tillsyn/A 12577-2023 tillsynsbegäran.docx", "A 12577-2023")</f>
        <v/>
      </c>
      <c r="Y158">
        <f>HYPERLINK("https://klasma.github.io/Logging_0115/tillsynsmail/A 12577-2023 tillsynsbegäran mail.docx", "A 12577-2023")</f>
        <v/>
      </c>
    </row>
    <row r="159" ht="15" customHeight="1">
      <c r="A159" t="inlineStr">
        <is>
          <t>A 35421-2023</t>
        </is>
      </c>
      <c r="B159" s="1" t="n">
        <v>45146</v>
      </c>
      <c r="C159" s="1" t="n">
        <v>45571</v>
      </c>
      <c r="D159" t="inlineStr">
        <is>
          <t>STOCKHOLMS LÄN</t>
        </is>
      </c>
      <c r="E159" t="inlineStr">
        <is>
          <t>SALEM</t>
        </is>
      </c>
      <c r="F159" t="inlineStr">
        <is>
          <t>Kommuner</t>
        </is>
      </c>
      <c r="G159" t="n">
        <v>5.8</v>
      </c>
      <c r="H159" t="n">
        <v>0</v>
      </c>
      <c r="I159" t="n">
        <v>3</v>
      </c>
      <c r="J159" t="n">
        <v>1</v>
      </c>
      <c r="K159" t="n">
        <v>0</v>
      </c>
      <c r="L159" t="n">
        <v>0</v>
      </c>
      <c r="M159" t="n">
        <v>0</v>
      </c>
      <c r="N159" t="n">
        <v>0</v>
      </c>
      <c r="O159" t="n">
        <v>1</v>
      </c>
      <c r="P159" t="n">
        <v>0</v>
      </c>
      <c r="Q159" t="n">
        <v>4</v>
      </c>
      <c r="R159" s="2" t="inlineStr">
        <is>
          <t>Mindre timmerman
Dropptaggsvamp
Granbarkgnagare
Grovticka</t>
        </is>
      </c>
      <c r="S159">
        <f>HYPERLINK("https://klasma.github.io/Logging_0128/artfynd/A 35421-2023 artfynd.xlsx", "A 35421-2023")</f>
        <v/>
      </c>
      <c r="T159">
        <f>HYPERLINK("https://klasma.github.io/Logging_0128/kartor/A 35421-2023 karta.png", "A 35421-2023")</f>
        <v/>
      </c>
      <c r="V159">
        <f>HYPERLINK("https://klasma.github.io/Logging_0128/klagomål/A 35421-2023 FSC-klagomål.docx", "A 35421-2023")</f>
        <v/>
      </c>
      <c r="W159">
        <f>HYPERLINK("https://klasma.github.io/Logging_0128/klagomålsmail/A 35421-2023 FSC-klagomål mail.docx", "A 35421-2023")</f>
        <v/>
      </c>
      <c r="X159">
        <f>HYPERLINK("https://klasma.github.io/Logging_0128/tillsyn/A 35421-2023 tillsynsbegäran.docx", "A 35421-2023")</f>
        <v/>
      </c>
      <c r="Y159">
        <f>HYPERLINK("https://klasma.github.io/Logging_0128/tillsynsmail/A 35421-2023 tillsynsbegäran mail.docx", "A 35421-2023")</f>
        <v/>
      </c>
    </row>
    <row r="160" ht="15" customHeight="1">
      <c r="A160" t="inlineStr">
        <is>
          <t>A 49418-2023</t>
        </is>
      </c>
      <c r="B160" s="1" t="n">
        <v>45211</v>
      </c>
      <c r="C160" s="1" t="n">
        <v>45571</v>
      </c>
      <c r="D160" t="inlineStr">
        <is>
          <t>STOCKHOLMS LÄN</t>
        </is>
      </c>
      <c r="E160" t="inlineStr">
        <is>
          <t>HUDDINGE</t>
        </is>
      </c>
      <c r="F160" t="inlineStr">
        <is>
          <t>Kommuner</t>
        </is>
      </c>
      <c r="G160" t="n">
        <v>3.5</v>
      </c>
      <c r="H160" t="n">
        <v>0</v>
      </c>
      <c r="I160" t="n">
        <v>4</v>
      </c>
      <c r="J160" t="n">
        <v>0</v>
      </c>
      <c r="K160" t="n">
        <v>0</v>
      </c>
      <c r="L160" t="n">
        <v>0</v>
      </c>
      <c r="M160" t="n">
        <v>0</v>
      </c>
      <c r="N160" t="n">
        <v>0</v>
      </c>
      <c r="O160" t="n">
        <v>0</v>
      </c>
      <c r="P160" t="n">
        <v>0</v>
      </c>
      <c r="Q160" t="n">
        <v>4</v>
      </c>
      <c r="R160" s="2" t="inlineStr">
        <is>
          <t>Bronshjon
Grovticka
Vedticka
Vågbandad barkbock</t>
        </is>
      </c>
      <c r="S160">
        <f>HYPERLINK("https://klasma.github.io/Logging_0126/artfynd/A 49418-2023 artfynd.xlsx", "A 49418-2023")</f>
        <v/>
      </c>
      <c r="T160">
        <f>HYPERLINK("https://klasma.github.io/Logging_0126/kartor/A 49418-2023 karta.png", "A 49418-2023")</f>
        <v/>
      </c>
      <c r="V160">
        <f>HYPERLINK("https://klasma.github.io/Logging_0126/klagomål/A 49418-2023 FSC-klagomål.docx", "A 49418-2023")</f>
        <v/>
      </c>
      <c r="W160">
        <f>HYPERLINK("https://klasma.github.io/Logging_0126/klagomålsmail/A 49418-2023 FSC-klagomål mail.docx", "A 49418-2023")</f>
        <v/>
      </c>
      <c r="X160">
        <f>HYPERLINK("https://klasma.github.io/Logging_0126/tillsyn/A 49418-2023 tillsynsbegäran.docx", "A 49418-2023")</f>
        <v/>
      </c>
      <c r="Y160">
        <f>HYPERLINK("https://klasma.github.io/Logging_0126/tillsynsmail/A 49418-2023 tillsynsbegäran mail.docx", "A 49418-2023")</f>
        <v/>
      </c>
    </row>
    <row r="161" ht="15" customHeight="1">
      <c r="A161" t="inlineStr">
        <is>
          <t>A 56785-2023</t>
        </is>
      </c>
      <c r="B161" s="1" t="n">
        <v>45244</v>
      </c>
      <c r="C161" s="1" t="n">
        <v>45571</v>
      </c>
      <c r="D161" t="inlineStr">
        <is>
          <t>STOCKHOLMS LÄN</t>
        </is>
      </c>
      <c r="E161" t="inlineStr">
        <is>
          <t>NORRTÄLJE</t>
        </is>
      </c>
      <c r="G161" t="n">
        <v>7.7</v>
      </c>
      <c r="H161" t="n">
        <v>0</v>
      </c>
      <c r="I161" t="n">
        <v>1</v>
      </c>
      <c r="J161" t="n">
        <v>3</v>
      </c>
      <c r="K161" t="n">
        <v>0</v>
      </c>
      <c r="L161" t="n">
        <v>0</v>
      </c>
      <c r="M161" t="n">
        <v>0</v>
      </c>
      <c r="N161" t="n">
        <v>0</v>
      </c>
      <c r="O161" t="n">
        <v>3</v>
      </c>
      <c r="P161" t="n">
        <v>0</v>
      </c>
      <c r="Q161" t="n">
        <v>4</v>
      </c>
      <c r="R161" s="2" t="inlineStr">
        <is>
          <t>Plattad lövvedborre
Skeppsvarvsfluga
Triplax rufipes
Dorcatoma chrysomelina</t>
        </is>
      </c>
      <c r="S161">
        <f>HYPERLINK("https://klasma.github.io/Logging_0188/artfynd/A 56785-2023 artfynd.xlsx", "A 56785-2023")</f>
        <v/>
      </c>
      <c r="T161">
        <f>HYPERLINK("https://klasma.github.io/Logging_0188/kartor/A 56785-2023 karta.png", "A 56785-2023")</f>
        <v/>
      </c>
      <c r="V161">
        <f>HYPERLINK("https://klasma.github.io/Logging_0188/klagomål/A 56785-2023 FSC-klagomål.docx", "A 56785-2023")</f>
        <v/>
      </c>
      <c r="W161">
        <f>HYPERLINK("https://klasma.github.io/Logging_0188/klagomålsmail/A 56785-2023 FSC-klagomål mail.docx", "A 56785-2023")</f>
        <v/>
      </c>
      <c r="X161">
        <f>HYPERLINK("https://klasma.github.io/Logging_0188/tillsyn/A 56785-2023 tillsynsbegäran.docx", "A 56785-2023")</f>
        <v/>
      </c>
      <c r="Y161">
        <f>HYPERLINK("https://klasma.github.io/Logging_0188/tillsynsmail/A 56785-2023 tillsynsbegäran mail.docx", "A 56785-2023")</f>
        <v/>
      </c>
    </row>
    <row r="162" ht="15" customHeight="1">
      <c r="A162" t="inlineStr">
        <is>
          <t>A 4996-2024</t>
        </is>
      </c>
      <c r="B162" s="1" t="n">
        <v>45329</v>
      </c>
      <c r="C162" s="1" t="n">
        <v>45571</v>
      </c>
      <c r="D162" t="inlineStr">
        <is>
          <t>STOCKHOLMS LÄN</t>
        </is>
      </c>
      <c r="E162" t="inlineStr">
        <is>
          <t>EKERÖ</t>
        </is>
      </c>
      <c r="G162" t="n">
        <v>136.9</v>
      </c>
      <c r="H162" t="n">
        <v>3</v>
      </c>
      <c r="I162" t="n">
        <v>1</v>
      </c>
      <c r="J162" t="n">
        <v>0</v>
      </c>
      <c r="K162" t="n">
        <v>1</v>
      </c>
      <c r="L162" t="n">
        <v>0</v>
      </c>
      <c r="M162" t="n">
        <v>0</v>
      </c>
      <c r="N162" t="n">
        <v>0</v>
      </c>
      <c r="O162" t="n">
        <v>1</v>
      </c>
      <c r="P162" t="n">
        <v>1</v>
      </c>
      <c r="Q162" t="n">
        <v>4</v>
      </c>
      <c r="R162" s="2" t="inlineStr">
        <is>
          <t>Bombmurkla
Sårläka
Grönvit nattviol
Blåsippa</t>
        </is>
      </c>
      <c r="S162">
        <f>HYPERLINK("https://klasma.github.io/Logging_0125/artfynd/A 4996-2024 artfynd.xlsx", "A 4996-2024")</f>
        <v/>
      </c>
      <c r="T162">
        <f>HYPERLINK("https://klasma.github.io/Logging_0125/kartor/A 4996-2024 karta.png", "A 4996-2024")</f>
        <v/>
      </c>
      <c r="V162">
        <f>HYPERLINK("https://klasma.github.io/Logging_0125/klagomål/A 4996-2024 FSC-klagomål.docx", "A 4996-2024")</f>
        <v/>
      </c>
      <c r="W162">
        <f>HYPERLINK("https://klasma.github.io/Logging_0125/klagomålsmail/A 4996-2024 FSC-klagomål mail.docx", "A 4996-2024")</f>
        <v/>
      </c>
      <c r="X162">
        <f>HYPERLINK("https://klasma.github.io/Logging_0125/tillsyn/A 4996-2024 tillsynsbegäran.docx", "A 4996-2024")</f>
        <v/>
      </c>
      <c r="Y162">
        <f>HYPERLINK("https://klasma.github.io/Logging_0125/tillsynsmail/A 4996-2024 tillsynsbegäran mail.docx", "A 4996-2024")</f>
        <v/>
      </c>
    </row>
    <row r="163" ht="15" customHeight="1">
      <c r="A163" t="inlineStr">
        <is>
          <t>A 26537-2024</t>
        </is>
      </c>
      <c r="B163" s="1" t="n">
        <v>45469</v>
      </c>
      <c r="C163" s="1" t="n">
        <v>45571</v>
      </c>
      <c r="D163" t="inlineStr">
        <is>
          <t>STOCKHOLMS LÄN</t>
        </is>
      </c>
      <c r="E163" t="inlineStr">
        <is>
          <t>SALEM</t>
        </is>
      </c>
      <c r="F163" t="inlineStr">
        <is>
          <t>Kommuner</t>
        </is>
      </c>
      <c r="G163" t="n">
        <v>7.3</v>
      </c>
      <c r="H163" t="n">
        <v>3</v>
      </c>
      <c r="I163" t="n">
        <v>0</v>
      </c>
      <c r="J163" t="n">
        <v>1</v>
      </c>
      <c r="K163" t="n">
        <v>1</v>
      </c>
      <c r="L163" t="n">
        <v>0</v>
      </c>
      <c r="M163" t="n">
        <v>0</v>
      </c>
      <c r="N163" t="n">
        <v>0</v>
      </c>
      <c r="O163" t="n">
        <v>2</v>
      </c>
      <c r="P163" t="n">
        <v>1</v>
      </c>
      <c r="Q163" t="n">
        <v>4</v>
      </c>
      <c r="R163" s="2" t="inlineStr">
        <is>
          <t>Apelticka
Grönsångare
Kungsfågel
Kopparödla</t>
        </is>
      </c>
      <c r="S163">
        <f>HYPERLINK("https://klasma.github.io/Logging_0128/artfynd/A 26537-2024 artfynd.xlsx", "A 26537-2024")</f>
        <v/>
      </c>
      <c r="T163">
        <f>HYPERLINK("https://klasma.github.io/Logging_0128/kartor/A 26537-2024 karta.png", "A 26537-2024")</f>
        <v/>
      </c>
      <c r="V163">
        <f>HYPERLINK("https://klasma.github.io/Logging_0128/klagomål/A 26537-2024 FSC-klagomål.docx", "A 26537-2024")</f>
        <v/>
      </c>
      <c r="W163">
        <f>HYPERLINK("https://klasma.github.io/Logging_0128/klagomålsmail/A 26537-2024 FSC-klagomål mail.docx", "A 26537-2024")</f>
        <v/>
      </c>
      <c r="X163">
        <f>HYPERLINK("https://klasma.github.io/Logging_0128/tillsyn/A 26537-2024 tillsynsbegäran.docx", "A 26537-2024")</f>
        <v/>
      </c>
      <c r="Y163">
        <f>HYPERLINK("https://klasma.github.io/Logging_0128/tillsynsmail/A 26537-2024 tillsynsbegäran mail.docx", "A 26537-2024")</f>
        <v/>
      </c>
      <c r="Z163">
        <f>HYPERLINK("https://klasma.github.io/Logging_0128/fåglar/A 26537-2024 prioriterade fågelarter.docx", "A 26537-2024")</f>
        <v/>
      </c>
    </row>
    <row r="164" ht="15" customHeight="1">
      <c r="A164" t="inlineStr">
        <is>
          <t>A 19617-2019</t>
        </is>
      </c>
      <c r="B164" s="1" t="n">
        <v>43566</v>
      </c>
      <c r="C164" s="1" t="n">
        <v>45571</v>
      </c>
      <c r="D164" t="inlineStr">
        <is>
          <t>STOCKHOLMS LÄN</t>
        </is>
      </c>
      <c r="E164" t="inlineStr">
        <is>
          <t>NORRTÄLJE</t>
        </is>
      </c>
      <c r="G164" t="n">
        <v>16.1</v>
      </c>
      <c r="H164" t="n">
        <v>2</v>
      </c>
      <c r="I164" t="n">
        <v>1</v>
      </c>
      <c r="J164" t="n">
        <v>1</v>
      </c>
      <c r="K164" t="n">
        <v>0</v>
      </c>
      <c r="L164" t="n">
        <v>0</v>
      </c>
      <c r="M164" t="n">
        <v>0</v>
      </c>
      <c r="N164" t="n">
        <v>0</v>
      </c>
      <c r="O164" t="n">
        <v>1</v>
      </c>
      <c r="P164" t="n">
        <v>0</v>
      </c>
      <c r="Q164" t="n">
        <v>3</v>
      </c>
      <c r="R164" s="2" t="inlineStr">
        <is>
          <t>Havsörn
Myskbock
Blåsippa</t>
        </is>
      </c>
      <c r="S164">
        <f>HYPERLINK("https://klasma.github.io/Logging_0188/artfynd/A 19617-2019 artfynd.xlsx", "A 19617-2019")</f>
        <v/>
      </c>
      <c r="T164">
        <f>HYPERLINK("https://klasma.github.io/Logging_0188/kartor/A 19617-2019 karta.png", "A 19617-2019")</f>
        <v/>
      </c>
      <c r="V164">
        <f>HYPERLINK("https://klasma.github.io/Logging_0188/klagomål/A 19617-2019 FSC-klagomål.docx", "A 19617-2019")</f>
        <v/>
      </c>
      <c r="W164">
        <f>HYPERLINK("https://klasma.github.io/Logging_0188/klagomålsmail/A 19617-2019 FSC-klagomål mail.docx", "A 19617-2019")</f>
        <v/>
      </c>
      <c r="X164">
        <f>HYPERLINK("https://klasma.github.io/Logging_0188/tillsyn/A 19617-2019 tillsynsbegäran.docx", "A 19617-2019")</f>
        <v/>
      </c>
      <c r="Y164">
        <f>HYPERLINK("https://klasma.github.io/Logging_0188/tillsynsmail/A 19617-2019 tillsynsbegäran mail.docx", "A 19617-2019")</f>
        <v/>
      </c>
      <c r="Z164">
        <f>HYPERLINK("https://klasma.github.io/Logging_0188/fåglar/A 19617-2019 prioriterade fågelarter.docx", "A 19617-2019")</f>
        <v/>
      </c>
    </row>
    <row r="165" ht="15" customHeight="1">
      <c r="A165" t="inlineStr">
        <is>
          <t>A 59655-2019</t>
        </is>
      </c>
      <c r="B165" s="1" t="n">
        <v>43776</v>
      </c>
      <c r="C165" s="1" t="n">
        <v>45571</v>
      </c>
      <c r="D165" t="inlineStr">
        <is>
          <t>STOCKHOLMS LÄN</t>
        </is>
      </c>
      <c r="E165" t="inlineStr">
        <is>
          <t>SÖDERTÄLJE</t>
        </is>
      </c>
      <c r="G165" t="n">
        <v>2.2</v>
      </c>
      <c r="H165" t="n">
        <v>0</v>
      </c>
      <c r="I165" t="n">
        <v>3</v>
      </c>
      <c r="J165" t="n">
        <v>0</v>
      </c>
      <c r="K165" t="n">
        <v>0</v>
      </c>
      <c r="L165" t="n">
        <v>0</v>
      </c>
      <c r="M165" t="n">
        <v>0</v>
      </c>
      <c r="N165" t="n">
        <v>0</v>
      </c>
      <c r="O165" t="n">
        <v>0</v>
      </c>
      <c r="P165" t="n">
        <v>0</v>
      </c>
      <c r="Q165" t="n">
        <v>3</v>
      </c>
      <c r="R165" s="2" t="inlineStr">
        <is>
          <t>Fjällig taggsvamp s.str.
Guldkremla
Skarp dropptaggsvamp</t>
        </is>
      </c>
      <c r="S165">
        <f>HYPERLINK("https://klasma.github.io/Logging_0181/artfynd/A 59655-2019 artfynd.xlsx", "A 59655-2019")</f>
        <v/>
      </c>
      <c r="T165">
        <f>HYPERLINK("https://klasma.github.io/Logging_0181/kartor/A 59655-2019 karta.png", "A 59655-2019")</f>
        <v/>
      </c>
      <c r="V165">
        <f>HYPERLINK("https://klasma.github.io/Logging_0181/klagomål/A 59655-2019 FSC-klagomål.docx", "A 59655-2019")</f>
        <v/>
      </c>
      <c r="W165">
        <f>HYPERLINK("https://klasma.github.io/Logging_0181/klagomålsmail/A 59655-2019 FSC-klagomål mail.docx", "A 59655-2019")</f>
        <v/>
      </c>
      <c r="X165">
        <f>HYPERLINK("https://klasma.github.io/Logging_0181/tillsyn/A 59655-2019 tillsynsbegäran.docx", "A 59655-2019")</f>
        <v/>
      </c>
      <c r="Y165">
        <f>HYPERLINK("https://klasma.github.io/Logging_0181/tillsynsmail/A 59655-2019 tillsynsbegäran mail.docx", "A 59655-2019")</f>
        <v/>
      </c>
    </row>
    <row r="166" ht="15" customHeight="1">
      <c r="A166" t="inlineStr">
        <is>
          <t>A 13892-2020</t>
        </is>
      </c>
      <c r="B166" s="1" t="n">
        <v>43906</v>
      </c>
      <c r="C166" s="1" t="n">
        <v>45571</v>
      </c>
      <c r="D166" t="inlineStr">
        <is>
          <t>STOCKHOLMS LÄN</t>
        </is>
      </c>
      <c r="E166" t="inlineStr">
        <is>
          <t>HANINGE</t>
        </is>
      </c>
      <c r="G166" t="n">
        <v>2.7</v>
      </c>
      <c r="H166" t="n">
        <v>0</v>
      </c>
      <c r="I166" t="n">
        <v>1</v>
      </c>
      <c r="J166" t="n">
        <v>2</v>
      </c>
      <c r="K166" t="n">
        <v>0</v>
      </c>
      <c r="L166" t="n">
        <v>0</v>
      </c>
      <c r="M166" t="n">
        <v>0</v>
      </c>
      <c r="N166" t="n">
        <v>0</v>
      </c>
      <c r="O166" t="n">
        <v>2</v>
      </c>
      <c r="P166" t="n">
        <v>0</v>
      </c>
      <c r="Q166" t="n">
        <v>3</v>
      </c>
      <c r="R166" s="2" t="inlineStr">
        <is>
          <t>Ekticka
Ullticka
Fjällig taggsvamp s.str.</t>
        </is>
      </c>
      <c r="S166">
        <f>HYPERLINK("https://klasma.github.io/Logging_0136/artfynd/A 13892-2020 artfynd.xlsx", "A 13892-2020")</f>
        <v/>
      </c>
      <c r="T166">
        <f>HYPERLINK("https://klasma.github.io/Logging_0136/kartor/A 13892-2020 karta.png", "A 13892-2020")</f>
        <v/>
      </c>
      <c r="V166">
        <f>HYPERLINK("https://klasma.github.io/Logging_0136/klagomål/A 13892-2020 FSC-klagomål.docx", "A 13892-2020")</f>
        <v/>
      </c>
      <c r="W166">
        <f>HYPERLINK("https://klasma.github.io/Logging_0136/klagomålsmail/A 13892-2020 FSC-klagomål mail.docx", "A 13892-2020")</f>
        <v/>
      </c>
      <c r="X166">
        <f>HYPERLINK("https://klasma.github.io/Logging_0136/tillsyn/A 13892-2020 tillsynsbegäran.docx", "A 13892-2020")</f>
        <v/>
      </c>
      <c r="Y166">
        <f>HYPERLINK("https://klasma.github.io/Logging_0136/tillsynsmail/A 13892-2020 tillsynsbegäran mail.docx", "A 13892-2020")</f>
        <v/>
      </c>
    </row>
    <row r="167" ht="15" customHeight="1">
      <c r="A167" t="inlineStr">
        <is>
          <t>A 20571-2020</t>
        </is>
      </c>
      <c r="B167" s="1" t="n">
        <v>43948</v>
      </c>
      <c r="C167" s="1" t="n">
        <v>45571</v>
      </c>
      <c r="D167" t="inlineStr">
        <is>
          <t>STOCKHOLMS LÄN</t>
        </is>
      </c>
      <c r="E167" t="inlineStr">
        <is>
          <t>SIGTUNA</t>
        </is>
      </c>
      <c r="G167" t="n">
        <v>2.9</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HYPERLINK("https://klasma.github.io/Logging_0191/artfynd/A 20571-2020 artfynd.xlsx", "A 20571-2020")</f>
        <v/>
      </c>
      <c r="T167">
        <f>HYPERLINK("https://klasma.github.io/Logging_0191/kartor/A 20571-2020 karta.png", "A 20571-2020")</f>
        <v/>
      </c>
      <c r="V167">
        <f>HYPERLINK("https://klasma.github.io/Logging_0191/klagomål/A 20571-2020 FSC-klagomål.docx", "A 20571-2020")</f>
        <v/>
      </c>
      <c r="W167">
        <f>HYPERLINK("https://klasma.github.io/Logging_0191/klagomålsmail/A 20571-2020 FSC-klagomål mail.docx", "A 20571-2020")</f>
        <v/>
      </c>
      <c r="X167">
        <f>HYPERLINK("https://klasma.github.io/Logging_0191/tillsyn/A 20571-2020 tillsynsbegäran.docx", "A 20571-2020")</f>
        <v/>
      </c>
      <c r="Y167">
        <f>HYPERLINK("https://klasma.github.io/Logging_0191/tillsynsmail/A 20571-2020 tillsynsbegäran mail.docx", "A 20571-2020")</f>
        <v/>
      </c>
    </row>
    <row r="168" ht="15" customHeight="1">
      <c r="A168" t="inlineStr">
        <is>
          <t>A 24386-2020</t>
        </is>
      </c>
      <c r="B168" s="1" t="n">
        <v>43973</v>
      </c>
      <c r="C168" s="1" t="n">
        <v>45571</v>
      </c>
      <c r="D168" t="inlineStr">
        <is>
          <t>STOCKHOLMS LÄN</t>
        </is>
      </c>
      <c r="E168" t="inlineStr">
        <is>
          <t>SIGTUNA</t>
        </is>
      </c>
      <c r="G168" t="n">
        <v>4.5</v>
      </c>
      <c r="H168" t="n">
        <v>1</v>
      </c>
      <c r="I168" t="n">
        <v>0</v>
      </c>
      <c r="J168" t="n">
        <v>2</v>
      </c>
      <c r="K168" t="n">
        <v>0</v>
      </c>
      <c r="L168" t="n">
        <v>0</v>
      </c>
      <c r="M168" t="n">
        <v>0</v>
      </c>
      <c r="N168" t="n">
        <v>0</v>
      </c>
      <c r="O168" t="n">
        <v>2</v>
      </c>
      <c r="P168" t="n">
        <v>0</v>
      </c>
      <c r="Q168" t="n">
        <v>3</v>
      </c>
      <c r="R168" s="2" t="inlineStr">
        <is>
          <t>Granticka
Ullticka
Blåsippa</t>
        </is>
      </c>
      <c r="S168">
        <f>HYPERLINK("https://klasma.github.io/Logging_0191/artfynd/A 24386-2020 artfynd.xlsx", "A 24386-2020")</f>
        <v/>
      </c>
      <c r="T168">
        <f>HYPERLINK("https://klasma.github.io/Logging_0191/kartor/A 24386-2020 karta.png", "A 24386-2020")</f>
        <v/>
      </c>
      <c r="V168">
        <f>HYPERLINK("https://klasma.github.io/Logging_0191/klagomål/A 24386-2020 FSC-klagomål.docx", "A 24386-2020")</f>
        <v/>
      </c>
      <c r="W168">
        <f>HYPERLINK("https://klasma.github.io/Logging_0191/klagomålsmail/A 24386-2020 FSC-klagomål mail.docx", "A 24386-2020")</f>
        <v/>
      </c>
      <c r="X168">
        <f>HYPERLINK("https://klasma.github.io/Logging_0191/tillsyn/A 24386-2020 tillsynsbegäran.docx", "A 24386-2020")</f>
        <v/>
      </c>
      <c r="Y168">
        <f>HYPERLINK("https://klasma.github.io/Logging_0191/tillsynsmail/A 24386-2020 tillsynsbegäran mail.docx", "A 24386-2020")</f>
        <v/>
      </c>
    </row>
    <row r="169" ht="15" customHeight="1">
      <c r="A169" t="inlineStr">
        <is>
          <t>A 28495-2020</t>
        </is>
      </c>
      <c r="B169" s="1" t="n">
        <v>43999</v>
      </c>
      <c r="C169" s="1" t="n">
        <v>45571</v>
      </c>
      <c r="D169" t="inlineStr">
        <is>
          <t>STOCKHOLMS LÄN</t>
        </is>
      </c>
      <c r="E169" t="inlineStr">
        <is>
          <t>NORRTÄLJE</t>
        </is>
      </c>
      <c r="G169" t="n">
        <v>0.5</v>
      </c>
      <c r="H169" t="n">
        <v>1</v>
      </c>
      <c r="I169" t="n">
        <v>0</v>
      </c>
      <c r="J169" t="n">
        <v>2</v>
      </c>
      <c r="K169" t="n">
        <v>0</v>
      </c>
      <c r="L169" t="n">
        <v>0</v>
      </c>
      <c r="M169" t="n">
        <v>0</v>
      </c>
      <c r="N169" t="n">
        <v>0</v>
      </c>
      <c r="O169" t="n">
        <v>2</v>
      </c>
      <c r="P169" t="n">
        <v>0</v>
      </c>
      <c r="Q169" t="n">
        <v>3</v>
      </c>
      <c r="R169" s="2" t="inlineStr">
        <is>
          <t>Backklöver
Slåtterfibbla
Grönvit nattviol</t>
        </is>
      </c>
      <c r="S169">
        <f>HYPERLINK("https://klasma.github.io/Logging_0188/artfynd/A 28495-2020 artfynd.xlsx", "A 28495-2020")</f>
        <v/>
      </c>
      <c r="T169">
        <f>HYPERLINK("https://klasma.github.io/Logging_0188/kartor/A 28495-2020 karta.png", "A 28495-2020")</f>
        <v/>
      </c>
      <c r="V169">
        <f>HYPERLINK("https://klasma.github.io/Logging_0188/klagomål/A 28495-2020 FSC-klagomål.docx", "A 28495-2020")</f>
        <v/>
      </c>
      <c r="W169">
        <f>HYPERLINK("https://klasma.github.io/Logging_0188/klagomålsmail/A 28495-2020 FSC-klagomål mail.docx", "A 28495-2020")</f>
        <v/>
      </c>
      <c r="X169">
        <f>HYPERLINK("https://klasma.github.io/Logging_0188/tillsyn/A 28495-2020 tillsynsbegäran.docx", "A 28495-2020")</f>
        <v/>
      </c>
      <c r="Y169">
        <f>HYPERLINK("https://klasma.github.io/Logging_0188/tillsynsmail/A 28495-2020 tillsynsbegäran mail.docx", "A 28495-2020")</f>
        <v/>
      </c>
    </row>
    <row r="170" ht="15" customHeight="1">
      <c r="A170" t="inlineStr">
        <is>
          <t>A 45510-2020</t>
        </is>
      </c>
      <c r="B170" s="1" t="n">
        <v>44089</v>
      </c>
      <c r="C170" s="1" t="n">
        <v>45571</v>
      </c>
      <c r="D170" t="inlineStr">
        <is>
          <t>STOCKHOLMS LÄN</t>
        </is>
      </c>
      <c r="E170" t="inlineStr">
        <is>
          <t>NACKA</t>
        </is>
      </c>
      <c r="G170" t="n">
        <v>5.6</v>
      </c>
      <c r="H170" t="n">
        <v>3</v>
      </c>
      <c r="I170" t="n">
        <v>0</v>
      </c>
      <c r="J170" t="n">
        <v>2</v>
      </c>
      <c r="K170" t="n">
        <v>0</v>
      </c>
      <c r="L170" t="n">
        <v>0</v>
      </c>
      <c r="M170" t="n">
        <v>0</v>
      </c>
      <c r="N170" t="n">
        <v>0</v>
      </c>
      <c r="O170" t="n">
        <v>2</v>
      </c>
      <c r="P170" t="n">
        <v>0</v>
      </c>
      <c r="Q170" t="n">
        <v>3</v>
      </c>
      <c r="R170" s="2" t="inlineStr">
        <is>
          <t>Björktrast
Spillkråka
Huggorm</t>
        </is>
      </c>
      <c r="S170">
        <f>HYPERLINK("https://klasma.github.io/Logging_0182/artfynd/A 45510-2020 artfynd.xlsx", "A 45510-2020")</f>
        <v/>
      </c>
      <c r="T170">
        <f>HYPERLINK("https://klasma.github.io/Logging_0182/kartor/A 45510-2020 karta.png", "A 45510-2020")</f>
        <v/>
      </c>
      <c r="V170">
        <f>HYPERLINK("https://klasma.github.io/Logging_0182/klagomål/A 45510-2020 FSC-klagomål.docx", "A 45510-2020")</f>
        <v/>
      </c>
      <c r="W170">
        <f>HYPERLINK("https://klasma.github.io/Logging_0182/klagomålsmail/A 45510-2020 FSC-klagomål mail.docx", "A 45510-2020")</f>
        <v/>
      </c>
      <c r="X170">
        <f>HYPERLINK("https://klasma.github.io/Logging_0182/tillsyn/A 45510-2020 tillsynsbegäran.docx", "A 45510-2020")</f>
        <v/>
      </c>
      <c r="Y170">
        <f>HYPERLINK("https://klasma.github.io/Logging_0182/tillsynsmail/A 45510-2020 tillsynsbegäran mail.docx", "A 45510-2020")</f>
        <v/>
      </c>
      <c r="Z170">
        <f>HYPERLINK("https://klasma.github.io/Logging_0182/fåglar/A 45510-2020 prioriterade fågelarter.docx", "A 45510-2020")</f>
        <v/>
      </c>
    </row>
    <row r="171" ht="15" customHeight="1">
      <c r="A171" t="inlineStr">
        <is>
          <t>A 46303-2020</t>
        </is>
      </c>
      <c r="B171" s="1" t="n">
        <v>44092</v>
      </c>
      <c r="C171" s="1" t="n">
        <v>45571</v>
      </c>
      <c r="D171" t="inlineStr">
        <is>
          <t>STOCKHOLMS LÄN</t>
        </is>
      </c>
      <c r="E171" t="inlineStr">
        <is>
          <t>SÖDERTÄLJE</t>
        </is>
      </c>
      <c r="G171" t="n">
        <v>1.8</v>
      </c>
      <c r="H171" t="n">
        <v>0</v>
      </c>
      <c r="I171" t="n">
        <v>0</v>
      </c>
      <c r="J171" t="n">
        <v>0</v>
      </c>
      <c r="K171" t="n">
        <v>1</v>
      </c>
      <c r="L171" t="n">
        <v>1</v>
      </c>
      <c r="M171" t="n">
        <v>1</v>
      </c>
      <c r="N171" t="n">
        <v>0</v>
      </c>
      <c r="O171" t="n">
        <v>3</v>
      </c>
      <c r="P171" t="n">
        <v>3</v>
      </c>
      <c r="Q171" t="n">
        <v>3</v>
      </c>
      <c r="R171" s="2" t="inlineStr">
        <is>
          <t>Skogsalm
Ask
Grenticka</t>
        </is>
      </c>
      <c r="S171">
        <f>HYPERLINK("https://klasma.github.io/Logging_0181/artfynd/A 46303-2020 artfynd.xlsx", "A 46303-2020")</f>
        <v/>
      </c>
      <c r="T171">
        <f>HYPERLINK("https://klasma.github.io/Logging_0181/kartor/A 46303-2020 karta.png", "A 46303-2020")</f>
        <v/>
      </c>
      <c r="V171">
        <f>HYPERLINK("https://klasma.github.io/Logging_0181/klagomål/A 46303-2020 FSC-klagomål.docx", "A 46303-2020")</f>
        <v/>
      </c>
      <c r="W171">
        <f>HYPERLINK("https://klasma.github.io/Logging_0181/klagomålsmail/A 46303-2020 FSC-klagomål mail.docx", "A 46303-2020")</f>
        <v/>
      </c>
      <c r="X171">
        <f>HYPERLINK("https://klasma.github.io/Logging_0181/tillsyn/A 46303-2020 tillsynsbegäran.docx", "A 46303-2020")</f>
        <v/>
      </c>
      <c r="Y171">
        <f>HYPERLINK("https://klasma.github.io/Logging_0181/tillsynsmail/A 46303-2020 tillsynsbegäran mail.docx", "A 46303-2020")</f>
        <v/>
      </c>
    </row>
    <row r="172" ht="15" customHeight="1">
      <c r="A172" t="inlineStr">
        <is>
          <t>A 53981-2020</t>
        </is>
      </c>
      <c r="B172" s="1" t="n">
        <v>44125</v>
      </c>
      <c r="C172" s="1" t="n">
        <v>45571</v>
      </c>
      <c r="D172" t="inlineStr">
        <is>
          <t>STOCKHOLMS LÄN</t>
        </is>
      </c>
      <c r="E172" t="inlineStr">
        <is>
          <t>BOTKYRKA</t>
        </is>
      </c>
      <c r="F172" t="inlineStr">
        <is>
          <t>Övriga Aktiebolag</t>
        </is>
      </c>
      <c r="G172" t="n">
        <v>6.3</v>
      </c>
      <c r="H172" t="n">
        <v>3</v>
      </c>
      <c r="I172" t="n">
        <v>0</v>
      </c>
      <c r="J172" t="n">
        <v>0</v>
      </c>
      <c r="K172" t="n">
        <v>0</v>
      </c>
      <c r="L172" t="n">
        <v>0</v>
      </c>
      <c r="M172" t="n">
        <v>0</v>
      </c>
      <c r="N172" t="n">
        <v>0</v>
      </c>
      <c r="O172" t="n">
        <v>0</v>
      </c>
      <c r="P172" t="n">
        <v>0</v>
      </c>
      <c r="Q172" t="n">
        <v>3</v>
      </c>
      <c r="R172" s="2" t="inlineStr">
        <is>
          <t>Mindre vattensalamander
Vanlig groda
Vanlig padda</t>
        </is>
      </c>
      <c r="S172">
        <f>HYPERLINK("https://klasma.github.io/Logging_0127/artfynd/A 53981-2020 artfynd.xlsx", "A 53981-2020")</f>
        <v/>
      </c>
      <c r="T172">
        <f>HYPERLINK("https://klasma.github.io/Logging_0127/kartor/A 53981-2020 karta.png", "A 53981-2020")</f>
        <v/>
      </c>
      <c r="V172">
        <f>HYPERLINK("https://klasma.github.io/Logging_0127/klagomål/A 53981-2020 FSC-klagomål.docx", "A 53981-2020")</f>
        <v/>
      </c>
      <c r="W172">
        <f>HYPERLINK("https://klasma.github.io/Logging_0127/klagomålsmail/A 53981-2020 FSC-klagomål mail.docx", "A 53981-2020")</f>
        <v/>
      </c>
      <c r="X172">
        <f>HYPERLINK("https://klasma.github.io/Logging_0127/tillsyn/A 53981-2020 tillsynsbegäran.docx", "A 53981-2020")</f>
        <v/>
      </c>
      <c r="Y172">
        <f>HYPERLINK("https://klasma.github.io/Logging_0127/tillsynsmail/A 53981-2020 tillsynsbegäran mail.docx", "A 53981-2020")</f>
        <v/>
      </c>
    </row>
    <row r="173" ht="15" customHeight="1">
      <c r="A173" t="inlineStr">
        <is>
          <t>A 14560-2021</t>
        </is>
      </c>
      <c r="B173" s="1" t="n">
        <v>44279</v>
      </c>
      <c r="C173" s="1" t="n">
        <v>45571</v>
      </c>
      <c r="D173" t="inlineStr">
        <is>
          <t>STOCKHOLMS LÄN</t>
        </is>
      </c>
      <c r="E173" t="inlineStr">
        <is>
          <t>NORRTÄLJE</t>
        </is>
      </c>
      <c r="G173" t="n">
        <v>1.8</v>
      </c>
      <c r="H173" t="n">
        <v>0</v>
      </c>
      <c r="I173" t="n">
        <v>2</v>
      </c>
      <c r="J173" t="n">
        <v>1</v>
      </c>
      <c r="K173" t="n">
        <v>0</v>
      </c>
      <c r="L173" t="n">
        <v>0</v>
      </c>
      <c r="M173" t="n">
        <v>0</v>
      </c>
      <c r="N173" t="n">
        <v>0</v>
      </c>
      <c r="O173" t="n">
        <v>1</v>
      </c>
      <c r="P173" t="n">
        <v>0</v>
      </c>
      <c r="Q173" t="n">
        <v>3</v>
      </c>
      <c r="R173" s="2" t="inlineStr">
        <is>
          <t>Vit vedfingersvamp
Stor aspticka
Vedticka</t>
        </is>
      </c>
      <c r="S173">
        <f>HYPERLINK("https://klasma.github.io/Logging_0188/artfynd/A 14560-2021 artfynd.xlsx", "A 14560-2021")</f>
        <v/>
      </c>
      <c r="T173">
        <f>HYPERLINK("https://klasma.github.io/Logging_0188/kartor/A 14560-2021 karta.png", "A 14560-2021")</f>
        <v/>
      </c>
      <c r="V173">
        <f>HYPERLINK("https://klasma.github.io/Logging_0188/klagomål/A 14560-2021 FSC-klagomål.docx", "A 14560-2021")</f>
        <v/>
      </c>
      <c r="W173">
        <f>HYPERLINK("https://klasma.github.io/Logging_0188/klagomålsmail/A 14560-2021 FSC-klagomål mail.docx", "A 14560-2021")</f>
        <v/>
      </c>
      <c r="X173">
        <f>HYPERLINK("https://klasma.github.io/Logging_0188/tillsyn/A 14560-2021 tillsynsbegäran.docx", "A 14560-2021")</f>
        <v/>
      </c>
      <c r="Y173">
        <f>HYPERLINK("https://klasma.github.io/Logging_0188/tillsynsmail/A 14560-2021 tillsynsbegäran mail.docx", "A 14560-2021")</f>
        <v/>
      </c>
    </row>
    <row r="174" ht="15" customHeight="1">
      <c r="A174" t="inlineStr">
        <is>
          <t>A 17673-2021</t>
        </is>
      </c>
      <c r="B174" s="1" t="n">
        <v>44300</v>
      </c>
      <c r="C174" s="1" t="n">
        <v>45571</v>
      </c>
      <c r="D174" t="inlineStr">
        <is>
          <t>STOCKHOLMS LÄN</t>
        </is>
      </c>
      <c r="E174" t="inlineStr">
        <is>
          <t>NORRTÄLJE</t>
        </is>
      </c>
      <c r="G174" t="n">
        <v>10.4</v>
      </c>
      <c r="H174" t="n">
        <v>3</v>
      </c>
      <c r="I174" t="n">
        <v>0</v>
      </c>
      <c r="J174" t="n">
        <v>2</v>
      </c>
      <c r="K174" t="n">
        <v>0</v>
      </c>
      <c r="L174" t="n">
        <v>0</v>
      </c>
      <c r="M174" t="n">
        <v>0</v>
      </c>
      <c r="N174" t="n">
        <v>0</v>
      </c>
      <c r="O174" t="n">
        <v>2</v>
      </c>
      <c r="P174" t="n">
        <v>0</v>
      </c>
      <c r="Q174" t="n">
        <v>3</v>
      </c>
      <c r="R174" s="2" t="inlineStr">
        <is>
          <t>Grönsångare
Havsörn
Blåsippa</t>
        </is>
      </c>
      <c r="S174">
        <f>HYPERLINK("https://klasma.github.io/Logging_0188/artfynd/A 17673-2021 artfynd.xlsx", "A 17673-2021")</f>
        <v/>
      </c>
      <c r="T174">
        <f>HYPERLINK("https://klasma.github.io/Logging_0188/kartor/A 17673-2021 karta.png", "A 17673-2021")</f>
        <v/>
      </c>
      <c r="V174">
        <f>HYPERLINK("https://klasma.github.io/Logging_0188/klagomål/A 17673-2021 FSC-klagomål.docx", "A 17673-2021")</f>
        <v/>
      </c>
      <c r="W174">
        <f>HYPERLINK("https://klasma.github.io/Logging_0188/klagomålsmail/A 17673-2021 FSC-klagomål mail.docx", "A 17673-2021")</f>
        <v/>
      </c>
      <c r="X174">
        <f>HYPERLINK("https://klasma.github.io/Logging_0188/tillsyn/A 17673-2021 tillsynsbegäran.docx", "A 17673-2021")</f>
        <v/>
      </c>
      <c r="Y174">
        <f>HYPERLINK("https://klasma.github.io/Logging_0188/tillsynsmail/A 17673-2021 tillsynsbegäran mail.docx", "A 17673-2021")</f>
        <v/>
      </c>
      <c r="Z174">
        <f>HYPERLINK("https://klasma.github.io/Logging_0188/fåglar/A 17673-2021 prioriterade fågelarter.docx", "A 17673-2021")</f>
        <v/>
      </c>
    </row>
    <row r="175" ht="15" customHeight="1">
      <c r="A175" t="inlineStr">
        <is>
          <t>A 29818-2021</t>
        </is>
      </c>
      <c r="B175" s="1" t="n">
        <v>44362</v>
      </c>
      <c r="C175" s="1" t="n">
        <v>45571</v>
      </c>
      <c r="D175" t="inlineStr">
        <is>
          <t>STOCKHOLMS LÄN</t>
        </is>
      </c>
      <c r="E175" t="inlineStr">
        <is>
          <t>VÄRMDÖ</t>
        </is>
      </c>
      <c r="F175" t="inlineStr">
        <is>
          <t>Övriga Aktiebolag</t>
        </is>
      </c>
      <c r="G175" t="n">
        <v>1.7</v>
      </c>
      <c r="H175" t="n">
        <v>0</v>
      </c>
      <c r="I175" t="n">
        <v>2</v>
      </c>
      <c r="J175" t="n">
        <v>1</v>
      </c>
      <c r="K175" t="n">
        <v>0</v>
      </c>
      <c r="L175" t="n">
        <v>0</v>
      </c>
      <c r="M175" t="n">
        <v>0</v>
      </c>
      <c r="N175" t="n">
        <v>0</v>
      </c>
      <c r="O175" t="n">
        <v>1</v>
      </c>
      <c r="P175" t="n">
        <v>0</v>
      </c>
      <c r="Q175" t="n">
        <v>3</v>
      </c>
      <c r="R175" s="2" t="inlineStr">
        <is>
          <t>Mindre träfjäril
Mörk husmossa
Stubbspretmossa</t>
        </is>
      </c>
      <c r="S175">
        <f>HYPERLINK("https://klasma.github.io/Logging_0120/artfynd/A 29818-2021 artfynd.xlsx", "A 29818-2021")</f>
        <v/>
      </c>
      <c r="T175">
        <f>HYPERLINK("https://klasma.github.io/Logging_0120/kartor/A 29818-2021 karta.png", "A 29818-2021")</f>
        <v/>
      </c>
      <c r="V175">
        <f>HYPERLINK("https://klasma.github.io/Logging_0120/klagomål/A 29818-2021 FSC-klagomål.docx", "A 29818-2021")</f>
        <v/>
      </c>
      <c r="W175">
        <f>HYPERLINK("https://klasma.github.io/Logging_0120/klagomålsmail/A 29818-2021 FSC-klagomål mail.docx", "A 29818-2021")</f>
        <v/>
      </c>
      <c r="X175">
        <f>HYPERLINK("https://klasma.github.io/Logging_0120/tillsyn/A 29818-2021 tillsynsbegäran.docx", "A 29818-2021")</f>
        <v/>
      </c>
      <c r="Y175">
        <f>HYPERLINK("https://klasma.github.io/Logging_0120/tillsynsmail/A 29818-2021 tillsynsbegäran mail.docx", "A 29818-2021")</f>
        <v/>
      </c>
    </row>
    <row r="176" ht="15" customHeight="1">
      <c r="A176" t="inlineStr">
        <is>
          <t>A 31335-2021</t>
        </is>
      </c>
      <c r="B176" s="1" t="n">
        <v>44368</v>
      </c>
      <c r="C176" s="1" t="n">
        <v>45571</v>
      </c>
      <c r="D176" t="inlineStr">
        <is>
          <t>STOCKHOLMS LÄN</t>
        </is>
      </c>
      <c r="E176" t="inlineStr">
        <is>
          <t>UPPLANDS-BRO</t>
        </is>
      </c>
      <c r="G176" t="n">
        <v>6.3</v>
      </c>
      <c r="H176" t="n">
        <v>0</v>
      </c>
      <c r="I176" t="n">
        <v>3</v>
      </c>
      <c r="J176" t="n">
        <v>0</v>
      </c>
      <c r="K176" t="n">
        <v>0</v>
      </c>
      <c r="L176" t="n">
        <v>0</v>
      </c>
      <c r="M176" t="n">
        <v>0</v>
      </c>
      <c r="N176" t="n">
        <v>0</v>
      </c>
      <c r="O176" t="n">
        <v>0</v>
      </c>
      <c r="P176" t="n">
        <v>0</v>
      </c>
      <c r="Q176" t="n">
        <v>3</v>
      </c>
      <c r="R176" s="2" t="inlineStr">
        <is>
          <t>Grovticka
Skarp dropptaggsvamp
Svavelriska</t>
        </is>
      </c>
      <c r="S176">
        <f>HYPERLINK("https://klasma.github.io/Logging_0139/artfynd/A 31335-2021 artfynd.xlsx", "A 31335-2021")</f>
        <v/>
      </c>
      <c r="T176">
        <f>HYPERLINK("https://klasma.github.io/Logging_0139/kartor/A 31335-2021 karta.png", "A 31335-2021")</f>
        <v/>
      </c>
      <c r="V176">
        <f>HYPERLINK("https://klasma.github.io/Logging_0139/klagomål/A 31335-2021 FSC-klagomål.docx", "A 31335-2021")</f>
        <v/>
      </c>
      <c r="W176">
        <f>HYPERLINK("https://klasma.github.io/Logging_0139/klagomålsmail/A 31335-2021 FSC-klagomål mail.docx", "A 31335-2021")</f>
        <v/>
      </c>
      <c r="X176">
        <f>HYPERLINK("https://klasma.github.io/Logging_0139/tillsyn/A 31335-2021 tillsynsbegäran.docx", "A 31335-2021")</f>
        <v/>
      </c>
      <c r="Y176">
        <f>HYPERLINK("https://klasma.github.io/Logging_0139/tillsynsmail/A 31335-2021 tillsynsbegäran mail.docx", "A 31335-2021")</f>
        <v/>
      </c>
    </row>
    <row r="177" ht="15" customHeight="1">
      <c r="A177" t="inlineStr">
        <is>
          <t>A 41371-2021</t>
        </is>
      </c>
      <c r="B177" s="1" t="n">
        <v>44424</v>
      </c>
      <c r="C177" s="1" t="n">
        <v>45571</v>
      </c>
      <c r="D177" t="inlineStr">
        <is>
          <t>STOCKHOLMS LÄN</t>
        </is>
      </c>
      <c r="E177" t="inlineStr">
        <is>
          <t>NYNÄSHAMN</t>
        </is>
      </c>
      <c r="G177" t="n">
        <v>7.4</v>
      </c>
      <c r="H177" t="n">
        <v>1</v>
      </c>
      <c r="I177" t="n">
        <v>3</v>
      </c>
      <c r="J177" t="n">
        <v>0</v>
      </c>
      <c r="K177" t="n">
        <v>0</v>
      </c>
      <c r="L177" t="n">
        <v>0</v>
      </c>
      <c r="M177" t="n">
        <v>0</v>
      </c>
      <c r="N177" t="n">
        <v>0</v>
      </c>
      <c r="O177" t="n">
        <v>0</v>
      </c>
      <c r="P177" t="n">
        <v>0</v>
      </c>
      <c r="Q177" t="n">
        <v>3</v>
      </c>
      <c r="R177" s="2" t="inlineStr">
        <is>
          <t>Grov fjädermossa
Grön sköldmossa
Stor revmossa</t>
        </is>
      </c>
      <c r="S177">
        <f>HYPERLINK("https://klasma.github.io/Logging_0192/artfynd/A 41371-2021 artfynd.xlsx", "A 41371-2021")</f>
        <v/>
      </c>
      <c r="T177">
        <f>HYPERLINK("https://klasma.github.io/Logging_0192/kartor/A 41371-2021 karta.png", "A 41371-2021")</f>
        <v/>
      </c>
      <c r="V177">
        <f>HYPERLINK("https://klasma.github.io/Logging_0192/klagomål/A 41371-2021 FSC-klagomål.docx", "A 41371-2021")</f>
        <v/>
      </c>
      <c r="W177">
        <f>HYPERLINK("https://klasma.github.io/Logging_0192/klagomålsmail/A 41371-2021 FSC-klagomål mail.docx", "A 41371-2021")</f>
        <v/>
      </c>
      <c r="X177">
        <f>HYPERLINK("https://klasma.github.io/Logging_0192/tillsyn/A 41371-2021 tillsynsbegäran.docx", "A 41371-2021")</f>
        <v/>
      </c>
      <c r="Y177">
        <f>HYPERLINK("https://klasma.github.io/Logging_0192/tillsynsmail/A 41371-2021 tillsynsbegäran mail.docx", "A 41371-2021")</f>
        <v/>
      </c>
    </row>
    <row r="178" ht="15" customHeight="1">
      <c r="A178" t="inlineStr">
        <is>
          <t>A 43900-2021</t>
        </is>
      </c>
      <c r="B178" s="1" t="n">
        <v>44434</v>
      </c>
      <c r="C178" s="1" t="n">
        <v>45571</v>
      </c>
      <c r="D178" t="inlineStr">
        <is>
          <t>STOCKHOLMS LÄN</t>
        </is>
      </c>
      <c r="E178" t="inlineStr">
        <is>
          <t>BOTKYRKA</t>
        </is>
      </c>
      <c r="F178" t="inlineStr">
        <is>
          <t>Kommuner</t>
        </is>
      </c>
      <c r="G178" t="n">
        <v>3.1</v>
      </c>
      <c r="H178" t="n">
        <v>0</v>
      </c>
      <c r="I178" t="n">
        <v>1</v>
      </c>
      <c r="J178" t="n">
        <v>2</v>
      </c>
      <c r="K178" t="n">
        <v>0</v>
      </c>
      <c r="L178" t="n">
        <v>0</v>
      </c>
      <c r="M178" t="n">
        <v>0</v>
      </c>
      <c r="N178" t="n">
        <v>0</v>
      </c>
      <c r="O178" t="n">
        <v>2</v>
      </c>
      <c r="P178" t="n">
        <v>0</v>
      </c>
      <c r="Q178" t="n">
        <v>3</v>
      </c>
      <c r="R178" s="2" t="inlineStr">
        <is>
          <t>Motaggsvamp
Ullticka
Brandticka</t>
        </is>
      </c>
      <c r="S178">
        <f>HYPERLINK("https://klasma.github.io/Logging_0127/artfynd/A 43900-2021 artfynd.xlsx", "A 43900-2021")</f>
        <v/>
      </c>
      <c r="T178">
        <f>HYPERLINK("https://klasma.github.io/Logging_0127/kartor/A 43900-2021 karta.png", "A 43900-2021")</f>
        <v/>
      </c>
      <c r="V178">
        <f>HYPERLINK("https://klasma.github.io/Logging_0127/klagomål/A 43900-2021 FSC-klagomål.docx", "A 43900-2021")</f>
        <v/>
      </c>
      <c r="W178">
        <f>HYPERLINK("https://klasma.github.io/Logging_0127/klagomålsmail/A 43900-2021 FSC-klagomål mail.docx", "A 43900-2021")</f>
        <v/>
      </c>
      <c r="X178">
        <f>HYPERLINK("https://klasma.github.io/Logging_0127/tillsyn/A 43900-2021 tillsynsbegäran.docx", "A 43900-2021")</f>
        <v/>
      </c>
      <c r="Y178">
        <f>HYPERLINK("https://klasma.github.io/Logging_0127/tillsynsmail/A 43900-2021 tillsynsbegäran mail.docx", "A 43900-2021")</f>
        <v/>
      </c>
    </row>
    <row r="179" ht="15" customHeight="1">
      <c r="A179" t="inlineStr">
        <is>
          <t>A 65629-2021</t>
        </is>
      </c>
      <c r="B179" s="1" t="n">
        <v>44516</v>
      </c>
      <c r="C179" s="1" t="n">
        <v>45571</v>
      </c>
      <c r="D179" t="inlineStr">
        <is>
          <t>STOCKHOLMS LÄN</t>
        </is>
      </c>
      <c r="E179" t="inlineStr">
        <is>
          <t>NORRTÄLJE</t>
        </is>
      </c>
      <c r="G179" t="n">
        <v>3</v>
      </c>
      <c r="H179" t="n">
        <v>0</v>
      </c>
      <c r="I179" t="n">
        <v>1</v>
      </c>
      <c r="J179" t="n">
        <v>2</v>
      </c>
      <c r="K179" t="n">
        <v>0</v>
      </c>
      <c r="L179" t="n">
        <v>0</v>
      </c>
      <c r="M179" t="n">
        <v>0</v>
      </c>
      <c r="N179" t="n">
        <v>0</v>
      </c>
      <c r="O179" t="n">
        <v>2</v>
      </c>
      <c r="P179" t="n">
        <v>0</v>
      </c>
      <c r="Q179" t="n">
        <v>3</v>
      </c>
      <c r="R179" s="2" t="inlineStr">
        <is>
          <t>Granticka
Ullticka
Granbarkgnagare</t>
        </is>
      </c>
      <c r="S179">
        <f>HYPERLINK("https://klasma.github.io/Logging_0188/artfynd/A 65629-2021 artfynd.xlsx", "A 65629-2021")</f>
        <v/>
      </c>
      <c r="T179">
        <f>HYPERLINK("https://klasma.github.io/Logging_0188/kartor/A 65629-2021 karta.png", "A 65629-2021")</f>
        <v/>
      </c>
      <c r="V179">
        <f>HYPERLINK("https://klasma.github.io/Logging_0188/klagomål/A 65629-2021 FSC-klagomål.docx", "A 65629-2021")</f>
        <v/>
      </c>
      <c r="W179">
        <f>HYPERLINK("https://klasma.github.io/Logging_0188/klagomålsmail/A 65629-2021 FSC-klagomål mail.docx", "A 65629-2021")</f>
        <v/>
      </c>
      <c r="X179">
        <f>HYPERLINK("https://klasma.github.io/Logging_0188/tillsyn/A 65629-2021 tillsynsbegäran.docx", "A 65629-2021")</f>
        <v/>
      </c>
      <c r="Y179">
        <f>HYPERLINK("https://klasma.github.io/Logging_0188/tillsynsmail/A 65629-2021 tillsynsbegäran mail.docx", "A 65629-2021")</f>
        <v/>
      </c>
    </row>
    <row r="180" ht="15" customHeight="1">
      <c r="A180" t="inlineStr">
        <is>
          <t>A 1244-2022</t>
        </is>
      </c>
      <c r="B180" s="1" t="n">
        <v>44572</v>
      </c>
      <c r="C180" s="1" t="n">
        <v>45571</v>
      </c>
      <c r="D180" t="inlineStr">
        <is>
          <t>STOCKHOLMS LÄN</t>
        </is>
      </c>
      <c r="E180" t="inlineStr">
        <is>
          <t>VÄRMDÖ</t>
        </is>
      </c>
      <c r="G180" t="n">
        <v>2.5</v>
      </c>
      <c r="H180" t="n">
        <v>2</v>
      </c>
      <c r="I180" t="n">
        <v>2</v>
      </c>
      <c r="J180" t="n">
        <v>1</v>
      </c>
      <c r="K180" t="n">
        <v>0</v>
      </c>
      <c r="L180" t="n">
        <v>0</v>
      </c>
      <c r="M180" t="n">
        <v>0</v>
      </c>
      <c r="N180" t="n">
        <v>0</v>
      </c>
      <c r="O180" t="n">
        <v>1</v>
      </c>
      <c r="P180" t="n">
        <v>0</v>
      </c>
      <c r="Q180" t="n">
        <v>3</v>
      </c>
      <c r="R180" s="2" t="inlineStr">
        <is>
          <t>Spillkråka
Grön sköldmossa
Thomsons trägnagare</t>
        </is>
      </c>
      <c r="S180">
        <f>HYPERLINK("https://klasma.github.io/Logging_0120/artfynd/A 1244-2022 artfynd.xlsx", "A 1244-2022")</f>
        <v/>
      </c>
      <c r="T180">
        <f>HYPERLINK("https://klasma.github.io/Logging_0120/kartor/A 1244-2022 karta.png", "A 1244-2022")</f>
        <v/>
      </c>
      <c r="V180">
        <f>HYPERLINK("https://klasma.github.io/Logging_0120/klagomål/A 1244-2022 FSC-klagomål.docx", "A 1244-2022")</f>
        <v/>
      </c>
      <c r="W180">
        <f>HYPERLINK("https://klasma.github.io/Logging_0120/klagomålsmail/A 1244-2022 FSC-klagomål mail.docx", "A 1244-2022")</f>
        <v/>
      </c>
      <c r="X180">
        <f>HYPERLINK("https://klasma.github.io/Logging_0120/tillsyn/A 1244-2022 tillsynsbegäran.docx", "A 1244-2022")</f>
        <v/>
      </c>
      <c r="Y180">
        <f>HYPERLINK("https://klasma.github.io/Logging_0120/tillsynsmail/A 1244-2022 tillsynsbegäran mail.docx", "A 1244-2022")</f>
        <v/>
      </c>
      <c r="Z180">
        <f>HYPERLINK("https://klasma.github.io/Logging_0120/fåglar/A 1244-2022 prioriterade fågelarter.docx", "A 1244-2022")</f>
        <v/>
      </c>
    </row>
    <row r="181" ht="15" customHeight="1">
      <c r="A181" t="inlineStr">
        <is>
          <t>A 11764-2022</t>
        </is>
      </c>
      <c r="B181" s="1" t="n">
        <v>44634</v>
      </c>
      <c r="C181" s="1" t="n">
        <v>45571</v>
      </c>
      <c r="D181" t="inlineStr">
        <is>
          <t>STOCKHOLMS LÄN</t>
        </is>
      </c>
      <c r="E181" t="inlineStr">
        <is>
          <t>BOTKYRKA</t>
        </is>
      </c>
      <c r="G181" t="n">
        <v>3.7</v>
      </c>
      <c r="H181" t="n">
        <v>1</v>
      </c>
      <c r="I181" t="n">
        <v>0</v>
      </c>
      <c r="J181" t="n">
        <v>2</v>
      </c>
      <c r="K181" t="n">
        <v>0</v>
      </c>
      <c r="L181" t="n">
        <v>0</v>
      </c>
      <c r="M181" t="n">
        <v>0</v>
      </c>
      <c r="N181" t="n">
        <v>0</v>
      </c>
      <c r="O181" t="n">
        <v>2</v>
      </c>
      <c r="P181" t="n">
        <v>0</v>
      </c>
      <c r="Q181" t="n">
        <v>3</v>
      </c>
      <c r="R181" s="2" t="inlineStr">
        <is>
          <t>Dvärgbägarlav
Tallticka
Blåsippa</t>
        </is>
      </c>
      <c r="S181">
        <f>HYPERLINK("https://klasma.github.io/Logging_0127/artfynd/A 11764-2022 artfynd.xlsx", "A 11764-2022")</f>
        <v/>
      </c>
      <c r="T181">
        <f>HYPERLINK("https://klasma.github.io/Logging_0127/kartor/A 11764-2022 karta.png", "A 11764-2022")</f>
        <v/>
      </c>
      <c r="V181">
        <f>HYPERLINK("https://klasma.github.io/Logging_0127/klagomål/A 11764-2022 FSC-klagomål.docx", "A 11764-2022")</f>
        <v/>
      </c>
      <c r="W181">
        <f>HYPERLINK("https://klasma.github.io/Logging_0127/klagomålsmail/A 11764-2022 FSC-klagomål mail.docx", "A 11764-2022")</f>
        <v/>
      </c>
      <c r="X181">
        <f>HYPERLINK("https://klasma.github.io/Logging_0127/tillsyn/A 11764-2022 tillsynsbegäran.docx", "A 11764-2022")</f>
        <v/>
      </c>
      <c r="Y181">
        <f>HYPERLINK("https://klasma.github.io/Logging_0127/tillsynsmail/A 11764-2022 tillsynsbegäran mail.docx", "A 11764-2022")</f>
        <v/>
      </c>
    </row>
    <row r="182" ht="15" customHeight="1">
      <c r="A182" t="inlineStr">
        <is>
          <t>A 11803-2022</t>
        </is>
      </c>
      <c r="B182" s="1" t="n">
        <v>44634</v>
      </c>
      <c r="C182" s="1" t="n">
        <v>45571</v>
      </c>
      <c r="D182" t="inlineStr">
        <is>
          <t>STOCKHOLMS LÄN</t>
        </is>
      </c>
      <c r="E182" t="inlineStr">
        <is>
          <t>EKERÖ</t>
        </is>
      </c>
      <c r="G182" t="n">
        <v>2.7</v>
      </c>
      <c r="H182" t="n">
        <v>1</v>
      </c>
      <c r="I182" t="n">
        <v>0</v>
      </c>
      <c r="J182" t="n">
        <v>2</v>
      </c>
      <c r="K182" t="n">
        <v>0</v>
      </c>
      <c r="L182" t="n">
        <v>0</v>
      </c>
      <c r="M182" t="n">
        <v>0</v>
      </c>
      <c r="N182" t="n">
        <v>0</v>
      </c>
      <c r="O182" t="n">
        <v>2</v>
      </c>
      <c r="P182" t="n">
        <v>0</v>
      </c>
      <c r="Q182" t="n">
        <v>3</v>
      </c>
      <c r="R182" s="2" t="inlineStr">
        <is>
          <t>Backklöver
Solvända
Gullviva</t>
        </is>
      </c>
      <c r="S182">
        <f>HYPERLINK("https://klasma.github.io/Logging_0125/artfynd/A 11803-2022 artfynd.xlsx", "A 11803-2022")</f>
        <v/>
      </c>
      <c r="T182">
        <f>HYPERLINK("https://klasma.github.io/Logging_0125/kartor/A 11803-2022 karta.png", "A 11803-2022")</f>
        <v/>
      </c>
      <c r="V182">
        <f>HYPERLINK("https://klasma.github.io/Logging_0125/klagomål/A 11803-2022 FSC-klagomål.docx", "A 11803-2022")</f>
        <v/>
      </c>
      <c r="W182">
        <f>HYPERLINK("https://klasma.github.io/Logging_0125/klagomålsmail/A 11803-2022 FSC-klagomål mail.docx", "A 11803-2022")</f>
        <v/>
      </c>
      <c r="X182">
        <f>HYPERLINK("https://klasma.github.io/Logging_0125/tillsyn/A 11803-2022 tillsynsbegäran.docx", "A 11803-2022")</f>
        <v/>
      </c>
      <c r="Y182">
        <f>HYPERLINK("https://klasma.github.io/Logging_0125/tillsynsmail/A 11803-2022 tillsynsbegäran mail.docx", "A 11803-2022")</f>
        <v/>
      </c>
    </row>
    <row r="183" ht="15" customHeight="1">
      <c r="A183" t="inlineStr">
        <is>
          <t>A 12215-2022</t>
        </is>
      </c>
      <c r="B183" s="1" t="n">
        <v>44637</v>
      </c>
      <c r="C183" s="1" t="n">
        <v>45571</v>
      </c>
      <c r="D183" t="inlineStr">
        <is>
          <t>STOCKHOLMS LÄN</t>
        </is>
      </c>
      <c r="E183" t="inlineStr">
        <is>
          <t>NORRTÄLJE</t>
        </is>
      </c>
      <c r="G183" t="n">
        <v>3.1</v>
      </c>
      <c r="H183" t="n">
        <v>3</v>
      </c>
      <c r="I183" t="n">
        <v>3</v>
      </c>
      <c r="J183" t="n">
        <v>0</v>
      </c>
      <c r="K183" t="n">
        <v>0</v>
      </c>
      <c r="L183" t="n">
        <v>0</v>
      </c>
      <c r="M183" t="n">
        <v>0</v>
      </c>
      <c r="N183" t="n">
        <v>0</v>
      </c>
      <c r="O183" t="n">
        <v>0</v>
      </c>
      <c r="P183" t="n">
        <v>0</v>
      </c>
      <c r="Q183" t="n">
        <v>3</v>
      </c>
      <c r="R183" s="2" t="inlineStr">
        <is>
          <t>Guckusko
Skogsknipprot
Tvåblad</t>
        </is>
      </c>
      <c r="S183">
        <f>HYPERLINK("https://klasma.github.io/Logging_0188/artfynd/A 12215-2022 artfynd.xlsx", "A 12215-2022")</f>
        <v/>
      </c>
      <c r="T183">
        <f>HYPERLINK("https://klasma.github.io/Logging_0188/kartor/A 12215-2022 karta.png", "A 12215-2022")</f>
        <v/>
      </c>
      <c r="V183">
        <f>HYPERLINK("https://klasma.github.io/Logging_0188/klagomål/A 12215-2022 FSC-klagomål.docx", "A 12215-2022")</f>
        <v/>
      </c>
      <c r="W183">
        <f>HYPERLINK("https://klasma.github.io/Logging_0188/klagomålsmail/A 12215-2022 FSC-klagomål mail.docx", "A 12215-2022")</f>
        <v/>
      </c>
      <c r="X183">
        <f>HYPERLINK("https://klasma.github.io/Logging_0188/tillsyn/A 12215-2022 tillsynsbegäran.docx", "A 12215-2022")</f>
        <v/>
      </c>
      <c r="Y183">
        <f>HYPERLINK("https://klasma.github.io/Logging_0188/tillsynsmail/A 12215-2022 tillsynsbegäran mail.docx", "A 12215-2022")</f>
        <v/>
      </c>
    </row>
    <row r="184" ht="15" customHeight="1">
      <c r="A184" t="inlineStr">
        <is>
          <t>A 12620-2022</t>
        </is>
      </c>
      <c r="B184" s="1" t="n">
        <v>44638</v>
      </c>
      <c r="C184" s="1" t="n">
        <v>45571</v>
      </c>
      <c r="D184" t="inlineStr">
        <is>
          <t>STOCKHOLMS LÄN</t>
        </is>
      </c>
      <c r="E184" t="inlineStr">
        <is>
          <t>ÖSTERÅKER</t>
        </is>
      </c>
      <c r="G184" t="n">
        <v>9.4</v>
      </c>
      <c r="H184" t="n">
        <v>1</v>
      </c>
      <c r="I184" t="n">
        <v>1</v>
      </c>
      <c r="J184" t="n">
        <v>0</v>
      </c>
      <c r="K184" t="n">
        <v>1</v>
      </c>
      <c r="L184" t="n">
        <v>0</v>
      </c>
      <c r="M184" t="n">
        <v>0</v>
      </c>
      <c r="N184" t="n">
        <v>0</v>
      </c>
      <c r="O184" t="n">
        <v>1</v>
      </c>
      <c r="P184" t="n">
        <v>1</v>
      </c>
      <c r="Q184" t="n">
        <v>3</v>
      </c>
      <c r="R184" s="2" t="inlineStr">
        <is>
          <t>Taggfingersvamp
Fällmossa
Blåsippa</t>
        </is>
      </c>
      <c r="S184">
        <f>HYPERLINK("https://klasma.github.io/Logging_0117/artfynd/A 12620-2022 artfynd.xlsx", "A 12620-2022")</f>
        <v/>
      </c>
      <c r="T184">
        <f>HYPERLINK("https://klasma.github.io/Logging_0117/kartor/A 12620-2022 karta.png", "A 12620-2022")</f>
        <v/>
      </c>
      <c r="V184">
        <f>HYPERLINK("https://klasma.github.io/Logging_0117/klagomål/A 12620-2022 FSC-klagomål.docx", "A 12620-2022")</f>
        <v/>
      </c>
      <c r="W184">
        <f>HYPERLINK("https://klasma.github.io/Logging_0117/klagomålsmail/A 12620-2022 FSC-klagomål mail.docx", "A 12620-2022")</f>
        <v/>
      </c>
      <c r="X184">
        <f>HYPERLINK("https://klasma.github.io/Logging_0117/tillsyn/A 12620-2022 tillsynsbegäran.docx", "A 12620-2022")</f>
        <v/>
      </c>
      <c r="Y184">
        <f>HYPERLINK("https://klasma.github.io/Logging_0117/tillsynsmail/A 12620-2022 tillsynsbegäran mail.docx", "A 12620-2022")</f>
        <v/>
      </c>
    </row>
    <row r="185" ht="15" customHeight="1">
      <c r="A185" t="inlineStr">
        <is>
          <t>A 17244-2022</t>
        </is>
      </c>
      <c r="B185" s="1" t="n">
        <v>44678</v>
      </c>
      <c r="C185" s="1" t="n">
        <v>45571</v>
      </c>
      <c r="D185" t="inlineStr">
        <is>
          <t>STOCKHOLMS LÄN</t>
        </is>
      </c>
      <c r="E185" t="inlineStr">
        <is>
          <t>ÖSTERÅKER</t>
        </is>
      </c>
      <c r="G185" t="n">
        <v>1.4</v>
      </c>
      <c r="H185" t="n">
        <v>2</v>
      </c>
      <c r="I185" t="n">
        <v>2</v>
      </c>
      <c r="J185" t="n">
        <v>0</v>
      </c>
      <c r="K185" t="n">
        <v>0</v>
      </c>
      <c r="L185" t="n">
        <v>0</v>
      </c>
      <c r="M185" t="n">
        <v>0</v>
      </c>
      <c r="N185" t="n">
        <v>0</v>
      </c>
      <c r="O185" t="n">
        <v>0</v>
      </c>
      <c r="P185" t="n">
        <v>0</v>
      </c>
      <c r="Q185" t="n">
        <v>3</v>
      </c>
      <c r="R185" s="2" t="inlineStr">
        <is>
          <t>Bronshjon
Grön sköldmossa
Lopplummer</t>
        </is>
      </c>
      <c r="S185">
        <f>HYPERLINK("https://klasma.github.io/Logging_0117/artfynd/A 17244-2022 artfynd.xlsx", "A 17244-2022")</f>
        <v/>
      </c>
      <c r="T185">
        <f>HYPERLINK("https://klasma.github.io/Logging_0117/kartor/A 17244-2022 karta.png", "A 17244-2022")</f>
        <v/>
      </c>
      <c r="V185">
        <f>HYPERLINK("https://klasma.github.io/Logging_0117/klagomål/A 17244-2022 FSC-klagomål.docx", "A 17244-2022")</f>
        <v/>
      </c>
      <c r="W185">
        <f>HYPERLINK("https://klasma.github.io/Logging_0117/klagomålsmail/A 17244-2022 FSC-klagomål mail.docx", "A 17244-2022")</f>
        <v/>
      </c>
      <c r="X185">
        <f>HYPERLINK("https://klasma.github.io/Logging_0117/tillsyn/A 17244-2022 tillsynsbegäran.docx", "A 17244-2022")</f>
        <v/>
      </c>
      <c r="Y185">
        <f>HYPERLINK("https://klasma.github.io/Logging_0117/tillsynsmail/A 17244-2022 tillsynsbegäran mail.docx", "A 17244-2022")</f>
        <v/>
      </c>
    </row>
    <row r="186" ht="15" customHeight="1">
      <c r="A186" t="inlineStr">
        <is>
          <t>A 20185-2022</t>
        </is>
      </c>
      <c r="B186" s="1" t="n">
        <v>44698</v>
      </c>
      <c r="C186" s="1" t="n">
        <v>45571</v>
      </c>
      <c r="D186" t="inlineStr">
        <is>
          <t>STOCKHOLMS LÄN</t>
        </is>
      </c>
      <c r="E186" t="inlineStr">
        <is>
          <t>NORRTÄLJE</t>
        </is>
      </c>
      <c r="G186" t="n">
        <v>8.4</v>
      </c>
      <c r="H186" t="n">
        <v>1</v>
      </c>
      <c r="I186" t="n">
        <v>2</v>
      </c>
      <c r="J186" t="n">
        <v>0</v>
      </c>
      <c r="K186" t="n">
        <v>1</v>
      </c>
      <c r="L186" t="n">
        <v>0</v>
      </c>
      <c r="M186" t="n">
        <v>0</v>
      </c>
      <c r="N186" t="n">
        <v>0</v>
      </c>
      <c r="O186" t="n">
        <v>1</v>
      </c>
      <c r="P186" t="n">
        <v>1</v>
      </c>
      <c r="Q186" t="n">
        <v>3</v>
      </c>
      <c r="R186" s="2" t="inlineStr">
        <is>
          <t>Tallbit
Gullgröppa
Vedticka</t>
        </is>
      </c>
      <c r="S186">
        <f>HYPERLINK("https://klasma.github.io/Logging_0188/artfynd/A 20185-2022 artfynd.xlsx", "A 20185-2022")</f>
        <v/>
      </c>
      <c r="T186">
        <f>HYPERLINK("https://klasma.github.io/Logging_0188/kartor/A 20185-2022 karta.png", "A 20185-2022")</f>
        <v/>
      </c>
      <c r="V186">
        <f>HYPERLINK("https://klasma.github.io/Logging_0188/klagomål/A 20185-2022 FSC-klagomål.docx", "A 20185-2022")</f>
        <v/>
      </c>
      <c r="W186">
        <f>HYPERLINK("https://klasma.github.io/Logging_0188/klagomålsmail/A 20185-2022 FSC-klagomål mail.docx", "A 20185-2022")</f>
        <v/>
      </c>
      <c r="X186">
        <f>HYPERLINK("https://klasma.github.io/Logging_0188/tillsyn/A 20185-2022 tillsynsbegäran.docx", "A 20185-2022")</f>
        <v/>
      </c>
      <c r="Y186">
        <f>HYPERLINK("https://klasma.github.io/Logging_0188/tillsynsmail/A 20185-2022 tillsynsbegäran mail.docx", "A 20185-2022")</f>
        <v/>
      </c>
      <c r="Z186">
        <f>HYPERLINK("https://klasma.github.io/Logging_0188/fåglar/A 20185-2022 prioriterade fågelarter.docx", "A 20185-2022")</f>
        <v/>
      </c>
    </row>
    <row r="187" ht="15" customHeight="1">
      <c r="A187" t="inlineStr">
        <is>
          <t>A 28836-2022</t>
        </is>
      </c>
      <c r="B187" s="1" t="n">
        <v>44749</v>
      </c>
      <c r="C187" s="1" t="n">
        <v>45571</v>
      </c>
      <c r="D187" t="inlineStr">
        <is>
          <t>STOCKHOLMS LÄN</t>
        </is>
      </c>
      <c r="E187" t="inlineStr">
        <is>
          <t>NORRTÄLJE</t>
        </is>
      </c>
      <c r="G187" t="n">
        <v>25</v>
      </c>
      <c r="H187" t="n">
        <v>2</v>
      </c>
      <c r="I187" t="n">
        <v>0</v>
      </c>
      <c r="J187" t="n">
        <v>2</v>
      </c>
      <c r="K187" t="n">
        <v>0</v>
      </c>
      <c r="L187" t="n">
        <v>0</v>
      </c>
      <c r="M187" t="n">
        <v>0</v>
      </c>
      <c r="N187" t="n">
        <v>0</v>
      </c>
      <c r="O187" t="n">
        <v>2</v>
      </c>
      <c r="P187" t="n">
        <v>0</v>
      </c>
      <c r="Q187" t="n">
        <v>3</v>
      </c>
      <c r="R187" s="2" t="inlineStr">
        <is>
          <t>Backklöver
Svartvit flugsnappare
Skogsödla</t>
        </is>
      </c>
      <c r="S187">
        <f>HYPERLINK("https://klasma.github.io/Logging_0188/artfynd/A 28836-2022 artfynd.xlsx", "A 28836-2022")</f>
        <v/>
      </c>
      <c r="T187">
        <f>HYPERLINK("https://klasma.github.io/Logging_0188/kartor/A 28836-2022 karta.png", "A 28836-2022")</f>
        <v/>
      </c>
      <c r="V187">
        <f>HYPERLINK("https://klasma.github.io/Logging_0188/klagomål/A 28836-2022 FSC-klagomål.docx", "A 28836-2022")</f>
        <v/>
      </c>
      <c r="W187">
        <f>HYPERLINK("https://klasma.github.io/Logging_0188/klagomålsmail/A 28836-2022 FSC-klagomål mail.docx", "A 28836-2022")</f>
        <v/>
      </c>
      <c r="X187">
        <f>HYPERLINK("https://klasma.github.io/Logging_0188/tillsyn/A 28836-2022 tillsynsbegäran.docx", "A 28836-2022")</f>
        <v/>
      </c>
      <c r="Y187">
        <f>HYPERLINK("https://klasma.github.io/Logging_0188/tillsynsmail/A 28836-2022 tillsynsbegäran mail.docx", "A 28836-2022")</f>
        <v/>
      </c>
      <c r="Z187">
        <f>HYPERLINK("https://klasma.github.io/Logging_0188/fåglar/A 28836-2022 prioriterade fågelarter.docx", "A 28836-2022")</f>
        <v/>
      </c>
    </row>
    <row r="188" ht="15" customHeight="1">
      <c r="A188" t="inlineStr">
        <is>
          <t>A 45113-2022</t>
        </is>
      </c>
      <c r="B188" s="1" t="n">
        <v>44843</v>
      </c>
      <c r="C188" s="1" t="n">
        <v>45571</v>
      </c>
      <c r="D188" t="inlineStr">
        <is>
          <t>STOCKHOLMS LÄN</t>
        </is>
      </c>
      <c r="E188" t="inlineStr">
        <is>
          <t>NORRTÄLJE</t>
        </is>
      </c>
      <c r="G188" t="n">
        <v>1.7</v>
      </c>
      <c r="H188" t="n">
        <v>0</v>
      </c>
      <c r="I188" t="n">
        <v>1</v>
      </c>
      <c r="J188" t="n">
        <v>1</v>
      </c>
      <c r="K188" t="n">
        <v>1</v>
      </c>
      <c r="L188" t="n">
        <v>0</v>
      </c>
      <c r="M188" t="n">
        <v>0</v>
      </c>
      <c r="N188" t="n">
        <v>0</v>
      </c>
      <c r="O188" t="n">
        <v>2</v>
      </c>
      <c r="P188" t="n">
        <v>1</v>
      </c>
      <c r="Q188" t="n">
        <v>3</v>
      </c>
      <c r="R188" s="2" t="inlineStr">
        <is>
          <t>Violett fingersvamp
Kandelabersvamp
Slät lönnlav</t>
        </is>
      </c>
      <c r="S188">
        <f>HYPERLINK("https://klasma.github.io/Logging_0188/artfynd/A 45113-2022 artfynd.xlsx", "A 45113-2022")</f>
        <v/>
      </c>
      <c r="T188">
        <f>HYPERLINK("https://klasma.github.io/Logging_0188/kartor/A 45113-2022 karta.png", "A 45113-2022")</f>
        <v/>
      </c>
      <c r="V188">
        <f>HYPERLINK("https://klasma.github.io/Logging_0188/klagomål/A 45113-2022 FSC-klagomål.docx", "A 45113-2022")</f>
        <v/>
      </c>
      <c r="W188">
        <f>HYPERLINK("https://klasma.github.io/Logging_0188/klagomålsmail/A 45113-2022 FSC-klagomål mail.docx", "A 45113-2022")</f>
        <v/>
      </c>
      <c r="X188">
        <f>HYPERLINK("https://klasma.github.io/Logging_0188/tillsyn/A 45113-2022 tillsynsbegäran.docx", "A 45113-2022")</f>
        <v/>
      </c>
      <c r="Y188">
        <f>HYPERLINK("https://klasma.github.io/Logging_0188/tillsynsmail/A 45113-2022 tillsynsbegäran mail.docx", "A 45113-2022")</f>
        <v/>
      </c>
    </row>
    <row r="189" ht="15" customHeight="1">
      <c r="A189" t="inlineStr">
        <is>
          <t>A 48691-2022</t>
        </is>
      </c>
      <c r="B189" s="1" t="n">
        <v>44859</v>
      </c>
      <c r="C189" s="1" t="n">
        <v>45571</v>
      </c>
      <c r="D189" t="inlineStr">
        <is>
          <t>STOCKHOLMS LÄN</t>
        </is>
      </c>
      <c r="E189" t="inlineStr">
        <is>
          <t>VÄRMDÖ</t>
        </is>
      </c>
      <c r="G189" t="n">
        <v>3.6</v>
      </c>
      <c r="H189" t="n">
        <v>1</v>
      </c>
      <c r="I189" t="n">
        <v>2</v>
      </c>
      <c r="J189" t="n">
        <v>1</v>
      </c>
      <c r="K189" t="n">
        <v>0</v>
      </c>
      <c r="L189" t="n">
        <v>0</v>
      </c>
      <c r="M189" t="n">
        <v>0</v>
      </c>
      <c r="N189" t="n">
        <v>0</v>
      </c>
      <c r="O189" t="n">
        <v>1</v>
      </c>
      <c r="P189" t="n">
        <v>0</v>
      </c>
      <c r="Q189" t="n">
        <v>3</v>
      </c>
      <c r="R189" s="2" t="inlineStr">
        <is>
          <t>Havsörn
Brandticka
Skarp dropptaggsvamp</t>
        </is>
      </c>
      <c r="S189">
        <f>HYPERLINK("https://klasma.github.io/Logging_0120/artfynd/A 48691-2022 artfynd.xlsx", "A 48691-2022")</f>
        <v/>
      </c>
      <c r="T189">
        <f>HYPERLINK("https://klasma.github.io/Logging_0120/kartor/A 48691-2022 karta.png", "A 48691-2022")</f>
        <v/>
      </c>
      <c r="V189">
        <f>HYPERLINK("https://klasma.github.io/Logging_0120/klagomål/A 48691-2022 FSC-klagomål.docx", "A 48691-2022")</f>
        <v/>
      </c>
      <c r="W189">
        <f>HYPERLINK("https://klasma.github.io/Logging_0120/klagomålsmail/A 48691-2022 FSC-klagomål mail.docx", "A 48691-2022")</f>
        <v/>
      </c>
      <c r="X189">
        <f>HYPERLINK("https://klasma.github.io/Logging_0120/tillsyn/A 48691-2022 tillsynsbegäran.docx", "A 48691-2022")</f>
        <v/>
      </c>
      <c r="Y189">
        <f>HYPERLINK("https://klasma.github.io/Logging_0120/tillsynsmail/A 48691-2022 tillsynsbegäran mail.docx", "A 48691-2022")</f>
        <v/>
      </c>
      <c r="Z189">
        <f>HYPERLINK("https://klasma.github.io/Logging_0120/fåglar/A 48691-2022 prioriterade fågelarter.docx", "A 48691-2022")</f>
        <v/>
      </c>
    </row>
    <row r="190" ht="15" customHeight="1">
      <c r="A190" t="inlineStr">
        <is>
          <t>A 49680-2022</t>
        </is>
      </c>
      <c r="B190" s="1" t="n">
        <v>44862</v>
      </c>
      <c r="C190" s="1" t="n">
        <v>45571</v>
      </c>
      <c r="D190" t="inlineStr">
        <is>
          <t>STOCKHOLMS LÄN</t>
        </is>
      </c>
      <c r="E190" t="inlineStr">
        <is>
          <t>NYKVARN</t>
        </is>
      </c>
      <c r="F190" t="inlineStr">
        <is>
          <t>Allmännings- och besparingsskogar</t>
        </is>
      </c>
      <c r="G190" t="n">
        <v>2.4</v>
      </c>
      <c r="H190" t="n">
        <v>0</v>
      </c>
      <c r="I190" t="n">
        <v>1</v>
      </c>
      <c r="J190" t="n">
        <v>2</v>
      </c>
      <c r="K190" t="n">
        <v>0</v>
      </c>
      <c r="L190" t="n">
        <v>0</v>
      </c>
      <c r="M190" t="n">
        <v>0</v>
      </c>
      <c r="N190" t="n">
        <v>0</v>
      </c>
      <c r="O190" t="n">
        <v>2</v>
      </c>
      <c r="P190" t="n">
        <v>0</v>
      </c>
      <c r="Q190" t="n">
        <v>3</v>
      </c>
      <c r="R190" s="2" t="inlineStr">
        <is>
          <t>Granticka
Ullticka
Granbarkgnagare</t>
        </is>
      </c>
      <c r="S190">
        <f>HYPERLINK("https://klasma.github.io/Logging_0140/artfynd/A 49680-2022 artfynd.xlsx", "A 49680-2022")</f>
        <v/>
      </c>
      <c r="T190">
        <f>HYPERLINK("https://klasma.github.io/Logging_0140/kartor/A 49680-2022 karta.png", "A 49680-2022")</f>
        <v/>
      </c>
      <c r="V190">
        <f>HYPERLINK("https://klasma.github.io/Logging_0140/klagomål/A 49680-2022 FSC-klagomål.docx", "A 49680-2022")</f>
        <v/>
      </c>
      <c r="W190">
        <f>HYPERLINK("https://klasma.github.io/Logging_0140/klagomålsmail/A 49680-2022 FSC-klagomål mail.docx", "A 49680-2022")</f>
        <v/>
      </c>
      <c r="X190">
        <f>HYPERLINK("https://klasma.github.io/Logging_0140/tillsyn/A 49680-2022 tillsynsbegäran.docx", "A 49680-2022")</f>
        <v/>
      </c>
      <c r="Y190">
        <f>HYPERLINK("https://klasma.github.io/Logging_0140/tillsynsmail/A 49680-2022 tillsynsbegäran mail.docx", "A 49680-2022")</f>
        <v/>
      </c>
    </row>
    <row r="191" ht="15" customHeight="1">
      <c r="A191" t="inlineStr">
        <is>
          <t>A 50618-2022</t>
        </is>
      </c>
      <c r="B191" s="1" t="n">
        <v>44866</v>
      </c>
      <c r="C191" s="1" t="n">
        <v>45571</v>
      </c>
      <c r="D191" t="inlineStr">
        <is>
          <t>STOCKHOLMS LÄN</t>
        </is>
      </c>
      <c r="E191" t="inlineStr">
        <is>
          <t>NORRTÄLJE</t>
        </is>
      </c>
      <c r="G191" t="n">
        <v>7.8</v>
      </c>
      <c r="H191" t="n">
        <v>2</v>
      </c>
      <c r="I191" t="n">
        <v>2</v>
      </c>
      <c r="J191" t="n">
        <v>0</v>
      </c>
      <c r="K191" t="n">
        <v>0</v>
      </c>
      <c r="L191" t="n">
        <v>0</v>
      </c>
      <c r="M191" t="n">
        <v>0</v>
      </c>
      <c r="N191" t="n">
        <v>0</v>
      </c>
      <c r="O191" t="n">
        <v>0</v>
      </c>
      <c r="P191" t="n">
        <v>0</v>
      </c>
      <c r="Q191" t="n">
        <v>3</v>
      </c>
      <c r="R191" s="2" t="inlineStr">
        <is>
          <t>Skogsknipprot
Vårärt
Blåsippa</t>
        </is>
      </c>
      <c r="S191">
        <f>HYPERLINK("https://klasma.github.io/Logging_0188/artfynd/A 50618-2022 artfynd.xlsx", "A 50618-2022")</f>
        <v/>
      </c>
      <c r="T191">
        <f>HYPERLINK("https://klasma.github.io/Logging_0188/kartor/A 50618-2022 karta.png", "A 50618-2022")</f>
        <v/>
      </c>
      <c r="V191">
        <f>HYPERLINK("https://klasma.github.io/Logging_0188/klagomål/A 50618-2022 FSC-klagomål.docx", "A 50618-2022")</f>
        <v/>
      </c>
      <c r="W191">
        <f>HYPERLINK("https://klasma.github.io/Logging_0188/klagomålsmail/A 50618-2022 FSC-klagomål mail.docx", "A 50618-2022")</f>
        <v/>
      </c>
      <c r="X191">
        <f>HYPERLINK("https://klasma.github.io/Logging_0188/tillsyn/A 50618-2022 tillsynsbegäran.docx", "A 50618-2022")</f>
        <v/>
      </c>
      <c r="Y191">
        <f>HYPERLINK("https://klasma.github.io/Logging_0188/tillsynsmail/A 50618-2022 tillsynsbegäran mail.docx", "A 50618-2022")</f>
        <v/>
      </c>
    </row>
    <row r="192" ht="15" customHeight="1">
      <c r="A192" t="inlineStr">
        <is>
          <t>A 2851-2023</t>
        </is>
      </c>
      <c r="B192" s="1" t="n">
        <v>44945</v>
      </c>
      <c r="C192" s="1" t="n">
        <v>45571</v>
      </c>
      <c r="D192" t="inlineStr">
        <is>
          <t>STOCKHOLMS LÄN</t>
        </is>
      </c>
      <c r="E192" t="inlineStr">
        <is>
          <t>NORRTÄLJE</t>
        </is>
      </c>
      <c r="G192" t="n">
        <v>5.8</v>
      </c>
      <c r="H192" t="n">
        <v>1</v>
      </c>
      <c r="I192" t="n">
        <v>1</v>
      </c>
      <c r="J192" t="n">
        <v>2</v>
      </c>
      <c r="K192" t="n">
        <v>0</v>
      </c>
      <c r="L192" t="n">
        <v>0</v>
      </c>
      <c r="M192" t="n">
        <v>0</v>
      </c>
      <c r="N192" t="n">
        <v>0</v>
      </c>
      <c r="O192" t="n">
        <v>2</v>
      </c>
      <c r="P192" t="n">
        <v>0</v>
      </c>
      <c r="Q192" t="n">
        <v>3</v>
      </c>
      <c r="R192" s="2" t="inlineStr">
        <is>
          <t>Gulsparv
Vedflikmossa
Terpentinmossa</t>
        </is>
      </c>
      <c r="S192">
        <f>HYPERLINK("https://klasma.github.io/Logging_0188/artfynd/A 2851-2023 artfynd.xlsx", "A 2851-2023")</f>
        <v/>
      </c>
      <c r="T192">
        <f>HYPERLINK("https://klasma.github.io/Logging_0188/kartor/A 2851-2023 karta.png", "A 2851-2023")</f>
        <v/>
      </c>
      <c r="V192">
        <f>HYPERLINK("https://klasma.github.io/Logging_0188/klagomål/A 2851-2023 FSC-klagomål.docx", "A 2851-2023")</f>
        <v/>
      </c>
      <c r="W192">
        <f>HYPERLINK("https://klasma.github.io/Logging_0188/klagomålsmail/A 2851-2023 FSC-klagomål mail.docx", "A 2851-2023")</f>
        <v/>
      </c>
      <c r="X192">
        <f>HYPERLINK("https://klasma.github.io/Logging_0188/tillsyn/A 2851-2023 tillsynsbegäran.docx", "A 2851-2023")</f>
        <v/>
      </c>
      <c r="Y192">
        <f>HYPERLINK("https://klasma.github.io/Logging_0188/tillsynsmail/A 2851-2023 tillsynsbegäran mail.docx", "A 2851-2023")</f>
        <v/>
      </c>
      <c r="Z192">
        <f>HYPERLINK("https://klasma.github.io/Logging_0188/fåglar/A 2851-2023 prioriterade fågelarter.docx", "A 2851-2023")</f>
        <v/>
      </c>
    </row>
    <row r="193" ht="15" customHeight="1">
      <c r="A193" t="inlineStr">
        <is>
          <t>A 3552-2023</t>
        </is>
      </c>
      <c r="B193" s="1" t="n">
        <v>44950</v>
      </c>
      <c r="C193" s="1" t="n">
        <v>45571</v>
      </c>
      <c r="D193" t="inlineStr">
        <is>
          <t>STOCKHOLMS LÄN</t>
        </is>
      </c>
      <c r="E193" t="inlineStr">
        <is>
          <t>VALLENTUNA</t>
        </is>
      </c>
      <c r="G193" t="n">
        <v>8.800000000000001</v>
      </c>
      <c r="H193" t="n">
        <v>2</v>
      </c>
      <c r="I193" t="n">
        <v>1</v>
      </c>
      <c r="J193" t="n">
        <v>1</v>
      </c>
      <c r="K193" t="n">
        <v>0</v>
      </c>
      <c r="L193" t="n">
        <v>0</v>
      </c>
      <c r="M193" t="n">
        <v>0</v>
      </c>
      <c r="N193" t="n">
        <v>0</v>
      </c>
      <c r="O193" t="n">
        <v>1</v>
      </c>
      <c r="P193" t="n">
        <v>0</v>
      </c>
      <c r="Q193" t="n">
        <v>3</v>
      </c>
      <c r="R193" s="2" t="inlineStr">
        <is>
          <t>Kråka
Skogshakmossa
Blåsippa</t>
        </is>
      </c>
      <c r="S193">
        <f>HYPERLINK("https://klasma.github.io/Logging_0115/artfynd/A 3552-2023 artfynd.xlsx", "A 3552-2023")</f>
        <v/>
      </c>
      <c r="T193">
        <f>HYPERLINK("https://klasma.github.io/Logging_0115/kartor/A 3552-2023 karta.png", "A 3552-2023")</f>
        <v/>
      </c>
      <c r="V193">
        <f>HYPERLINK("https://klasma.github.io/Logging_0115/klagomål/A 3552-2023 FSC-klagomål.docx", "A 3552-2023")</f>
        <v/>
      </c>
      <c r="W193">
        <f>HYPERLINK("https://klasma.github.io/Logging_0115/klagomålsmail/A 3552-2023 FSC-klagomål mail.docx", "A 3552-2023")</f>
        <v/>
      </c>
      <c r="X193">
        <f>HYPERLINK("https://klasma.github.io/Logging_0115/tillsyn/A 3552-2023 tillsynsbegäran.docx", "A 3552-2023")</f>
        <v/>
      </c>
      <c r="Y193">
        <f>HYPERLINK("https://klasma.github.io/Logging_0115/tillsynsmail/A 3552-2023 tillsynsbegäran mail.docx", "A 3552-2023")</f>
        <v/>
      </c>
      <c r="Z193">
        <f>HYPERLINK("https://klasma.github.io/Logging_0115/fåglar/A 3552-2023 prioriterade fågelarter.docx", "A 3552-2023")</f>
        <v/>
      </c>
    </row>
    <row r="194" ht="15" customHeight="1">
      <c r="A194" t="inlineStr">
        <is>
          <t>A 6646-2023</t>
        </is>
      </c>
      <c r="B194" s="1" t="n">
        <v>44966</v>
      </c>
      <c r="C194" s="1" t="n">
        <v>45571</v>
      </c>
      <c r="D194" t="inlineStr">
        <is>
          <t>STOCKHOLMS LÄN</t>
        </is>
      </c>
      <c r="E194" t="inlineStr">
        <is>
          <t>HANINGE</t>
        </is>
      </c>
      <c r="G194" t="n">
        <v>6.9</v>
      </c>
      <c r="H194" t="n">
        <v>0</v>
      </c>
      <c r="I194" t="n">
        <v>2</v>
      </c>
      <c r="J194" t="n">
        <v>0</v>
      </c>
      <c r="K194" t="n">
        <v>0</v>
      </c>
      <c r="L194" t="n">
        <v>1</v>
      </c>
      <c r="M194" t="n">
        <v>0</v>
      </c>
      <c r="N194" t="n">
        <v>0</v>
      </c>
      <c r="O194" t="n">
        <v>1</v>
      </c>
      <c r="P194" t="n">
        <v>1</v>
      </c>
      <c r="Q194" t="n">
        <v>3</v>
      </c>
      <c r="R194" s="2" t="inlineStr">
        <is>
          <t>Ask
Stubbspretmossa
Tibast</t>
        </is>
      </c>
      <c r="S194">
        <f>HYPERLINK("https://klasma.github.io/Logging_0136/artfynd/A 6646-2023 artfynd.xlsx", "A 6646-2023")</f>
        <v/>
      </c>
      <c r="T194">
        <f>HYPERLINK("https://klasma.github.io/Logging_0136/kartor/A 6646-2023 karta.png", "A 6646-2023")</f>
        <v/>
      </c>
      <c r="V194">
        <f>HYPERLINK("https://klasma.github.io/Logging_0136/klagomål/A 6646-2023 FSC-klagomål.docx", "A 6646-2023")</f>
        <v/>
      </c>
      <c r="W194">
        <f>HYPERLINK("https://klasma.github.io/Logging_0136/klagomålsmail/A 6646-2023 FSC-klagomål mail.docx", "A 6646-2023")</f>
        <v/>
      </c>
      <c r="X194">
        <f>HYPERLINK("https://klasma.github.io/Logging_0136/tillsyn/A 6646-2023 tillsynsbegäran.docx", "A 6646-2023")</f>
        <v/>
      </c>
      <c r="Y194">
        <f>HYPERLINK("https://klasma.github.io/Logging_0136/tillsynsmail/A 6646-2023 tillsynsbegäran mail.docx", "A 6646-2023")</f>
        <v/>
      </c>
    </row>
    <row r="195" ht="15" customHeight="1">
      <c r="A195" t="inlineStr">
        <is>
          <t>A 13237-2023</t>
        </is>
      </c>
      <c r="B195" s="1" t="n">
        <v>45002</v>
      </c>
      <c r="C195" s="1" t="n">
        <v>45571</v>
      </c>
      <c r="D195" t="inlineStr">
        <is>
          <t>STOCKHOLMS LÄN</t>
        </is>
      </c>
      <c r="E195" t="inlineStr">
        <is>
          <t>EKERÖ</t>
        </is>
      </c>
      <c r="F195" t="inlineStr">
        <is>
          <t>Kommuner</t>
        </is>
      </c>
      <c r="G195" t="n">
        <v>9.300000000000001</v>
      </c>
      <c r="H195" t="n">
        <v>1</v>
      </c>
      <c r="I195" t="n">
        <v>1</v>
      </c>
      <c r="J195" t="n">
        <v>1</v>
      </c>
      <c r="K195" t="n">
        <v>0</v>
      </c>
      <c r="L195" t="n">
        <v>0</v>
      </c>
      <c r="M195" t="n">
        <v>0</v>
      </c>
      <c r="N195" t="n">
        <v>0</v>
      </c>
      <c r="O195" t="n">
        <v>1</v>
      </c>
      <c r="P195" t="n">
        <v>0</v>
      </c>
      <c r="Q195" t="n">
        <v>3</v>
      </c>
      <c r="R195" s="2" t="inlineStr">
        <is>
          <t>Tallticka
Granbarkgnagare
Blåsippa</t>
        </is>
      </c>
      <c r="S195">
        <f>HYPERLINK("https://klasma.github.io/Logging_0125/artfynd/A 13237-2023 artfynd.xlsx", "A 13237-2023")</f>
        <v/>
      </c>
      <c r="T195">
        <f>HYPERLINK("https://klasma.github.io/Logging_0125/kartor/A 13237-2023 karta.png", "A 13237-2023")</f>
        <v/>
      </c>
      <c r="V195">
        <f>HYPERLINK("https://klasma.github.io/Logging_0125/klagomål/A 13237-2023 FSC-klagomål.docx", "A 13237-2023")</f>
        <v/>
      </c>
      <c r="W195">
        <f>HYPERLINK("https://klasma.github.io/Logging_0125/klagomålsmail/A 13237-2023 FSC-klagomål mail.docx", "A 13237-2023")</f>
        <v/>
      </c>
      <c r="X195">
        <f>HYPERLINK("https://klasma.github.io/Logging_0125/tillsyn/A 13237-2023 tillsynsbegäran.docx", "A 13237-2023")</f>
        <v/>
      </c>
      <c r="Y195">
        <f>HYPERLINK("https://klasma.github.io/Logging_0125/tillsynsmail/A 13237-2023 tillsynsbegäran mail.docx", "A 13237-2023")</f>
        <v/>
      </c>
    </row>
    <row r="196" ht="15" customHeight="1">
      <c r="A196" t="inlineStr">
        <is>
          <t>A 15308-2023</t>
        </is>
      </c>
      <c r="B196" s="1" t="n">
        <v>45019</v>
      </c>
      <c r="C196" s="1" t="n">
        <v>45571</v>
      </c>
      <c r="D196" t="inlineStr">
        <is>
          <t>STOCKHOLMS LÄN</t>
        </is>
      </c>
      <c r="E196" t="inlineStr">
        <is>
          <t>VALLENTUNA</t>
        </is>
      </c>
      <c r="G196" t="n">
        <v>6.4</v>
      </c>
      <c r="H196" t="n">
        <v>2</v>
      </c>
      <c r="I196" t="n">
        <v>1</v>
      </c>
      <c r="J196" t="n">
        <v>0</v>
      </c>
      <c r="K196" t="n">
        <v>0</v>
      </c>
      <c r="L196" t="n">
        <v>0</v>
      </c>
      <c r="M196" t="n">
        <v>0</v>
      </c>
      <c r="N196" t="n">
        <v>0</v>
      </c>
      <c r="O196" t="n">
        <v>0</v>
      </c>
      <c r="P196" t="n">
        <v>0</v>
      </c>
      <c r="Q196" t="n">
        <v>3</v>
      </c>
      <c r="R196" s="2" t="inlineStr">
        <is>
          <t>Ögonpyrola
Fläcknycklar
Revlummer</t>
        </is>
      </c>
      <c r="S196">
        <f>HYPERLINK("https://klasma.github.io/Logging_0115/artfynd/A 15308-2023 artfynd.xlsx", "A 15308-2023")</f>
        <v/>
      </c>
      <c r="T196">
        <f>HYPERLINK("https://klasma.github.io/Logging_0115/kartor/A 15308-2023 karta.png", "A 15308-2023")</f>
        <v/>
      </c>
      <c r="V196">
        <f>HYPERLINK("https://klasma.github.io/Logging_0115/klagomål/A 15308-2023 FSC-klagomål.docx", "A 15308-2023")</f>
        <v/>
      </c>
      <c r="W196">
        <f>HYPERLINK("https://klasma.github.io/Logging_0115/klagomålsmail/A 15308-2023 FSC-klagomål mail.docx", "A 15308-2023")</f>
        <v/>
      </c>
      <c r="X196">
        <f>HYPERLINK("https://klasma.github.io/Logging_0115/tillsyn/A 15308-2023 tillsynsbegäran.docx", "A 15308-2023")</f>
        <v/>
      </c>
      <c r="Y196">
        <f>HYPERLINK("https://klasma.github.io/Logging_0115/tillsynsmail/A 15308-2023 tillsynsbegäran mail.docx", "A 15308-2023")</f>
        <v/>
      </c>
    </row>
    <row r="197" ht="15" customHeight="1">
      <c r="A197" t="inlineStr">
        <is>
          <t>A 17916-2023</t>
        </is>
      </c>
      <c r="B197" s="1" t="n">
        <v>45040</v>
      </c>
      <c r="C197" s="1" t="n">
        <v>45571</v>
      </c>
      <c r="D197" t="inlineStr">
        <is>
          <t>STOCKHOLMS LÄN</t>
        </is>
      </c>
      <c r="E197" t="inlineStr">
        <is>
          <t>NORRTÄLJE</t>
        </is>
      </c>
      <c r="G197" t="n">
        <v>9.1</v>
      </c>
      <c r="H197" t="n">
        <v>1</v>
      </c>
      <c r="I197" t="n">
        <v>2</v>
      </c>
      <c r="J197" t="n">
        <v>0</v>
      </c>
      <c r="K197" t="n">
        <v>0</v>
      </c>
      <c r="L197" t="n">
        <v>0</v>
      </c>
      <c r="M197" t="n">
        <v>0</v>
      </c>
      <c r="N197" t="n">
        <v>0</v>
      </c>
      <c r="O197" t="n">
        <v>0</v>
      </c>
      <c r="P197" t="n">
        <v>0</v>
      </c>
      <c r="Q197" t="n">
        <v>3</v>
      </c>
      <c r="R197" s="2" t="inlineStr">
        <is>
          <t>Skarp dropptaggsvamp
Sårläka
Blåsippa</t>
        </is>
      </c>
      <c r="S197">
        <f>HYPERLINK("https://klasma.github.io/Logging_0188/artfynd/A 17916-2023 artfynd.xlsx", "A 17916-2023")</f>
        <v/>
      </c>
      <c r="T197">
        <f>HYPERLINK("https://klasma.github.io/Logging_0188/kartor/A 17916-2023 karta.png", "A 17916-2023")</f>
        <v/>
      </c>
      <c r="V197">
        <f>HYPERLINK("https://klasma.github.io/Logging_0188/klagomål/A 17916-2023 FSC-klagomål.docx", "A 17916-2023")</f>
        <v/>
      </c>
      <c r="W197">
        <f>HYPERLINK("https://klasma.github.io/Logging_0188/klagomålsmail/A 17916-2023 FSC-klagomål mail.docx", "A 17916-2023")</f>
        <v/>
      </c>
      <c r="X197">
        <f>HYPERLINK("https://klasma.github.io/Logging_0188/tillsyn/A 17916-2023 tillsynsbegäran.docx", "A 17916-2023")</f>
        <v/>
      </c>
      <c r="Y197">
        <f>HYPERLINK("https://klasma.github.io/Logging_0188/tillsynsmail/A 17916-2023 tillsynsbegäran mail.docx", "A 17916-2023")</f>
        <v/>
      </c>
    </row>
    <row r="198" ht="15" customHeight="1">
      <c r="A198" t="inlineStr">
        <is>
          <t>A 24365-2023</t>
        </is>
      </c>
      <c r="B198" s="1" t="n">
        <v>45076</v>
      </c>
      <c r="C198" s="1" t="n">
        <v>45571</v>
      </c>
      <c r="D198" t="inlineStr">
        <is>
          <t>STOCKHOLMS LÄN</t>
        </is>
      </c>
      <c r="E198" t="inlineStr">
        <is>
          <t>HUDDINGE</t>
        </is>
      </c>
      <c r="G198" t="n">
        <v>0.7</v>
      </c>
      <c r="H198" t="n">
        <v>0</v>
      </c>
      <c r="I198" t="n">
        <v>3</v>
      </c>
      <c r="J198" t="n">
        <v>0</v>
      </c>
      <c r="K198" t="n">
        <v>0</v>
      </c>
      <c r="L198" t="n">
        <v>0</v>
      </c>
      <c r="M198" t="n">
        <v>0</v>
      </c>
      <c r="N198" t="n">
        <v>0</v>
      </c>
      <c r="O198" t="n">
        <v>0</v>
      </c>
      <c r="P198" t="n">
        <v>0</v>
      </c>
      <c r="Q198" t="n">
        <v>3</v>
      </c>
      <c r="R198" s="2" t="inlineStr">
        <is>
          <t>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32041-2023</t>
        </is>
      </c>
      <c r="B199" s="1" t="n">
        <v>45119</v>
      </c>
      <c r="C199" s="1" t="n">
        <v>45571</v>
      </c>
      <c r="D199" t="inlineStr">
        <is>
          <t>STOCKHOLMS LÄN</t>
        </is>
      </c>
      <c r="E199" t="inlineStr">
        <is>
          <t>SÖDERTÄLJE</t>
        </is>
      </c>
      <c r="F199" t="inlineStr">
        <is>
          <t>Sveaskog</t>
        </is>
      </c>
      <c r="G199" t="n">
        <v>1</v>
      </c>
      <c r="H199" t="n">
        <v>0</v>
      </c>
      <c r="I199" t="n">
        <v>0</v>
      </c>
      <c r="J199" t="n">
        <v>2</v>
      </c>
      <c r="K199" t="n">
        <v>0</v>
      </c>
      <c r="L199" t="n">
        <v>1</v>
      </c>
      <c r="M199" t="n">
        <v>0</v>
      </c>
      <c r="N199" t="n">
        <v>0</v>
      </c>
      <c r="O199" t="n">
        <v>3</v>
      </c>
      <c r="P199" t="n">
        <v>1</v>
      </c>
      <c r="Q199" t="n">
        <v>3</v>
      </c>
      <c r="R199" s="2" t="inlineStr">
        <is>
          <t>Stor bockrot
Krusfrö
Svinrot</t>
        </is>
      </c>
      <c r="S199">
        <f>HYPERLINK("https://klasma.github.io/Logging_0181/artfynd/A 32041-2023 artfynd.xlsx", "A 32041-2023")</f>
        <v/>
      </c>
      <c r="T199">
        <f>HYPERLINK("https://klasma.github.io/Logging_0181/kartor/A 32041-2023 karta.png", "A 32041-2023")</f>
        <v/>
      </c>
      <c r="V199">
        <f>HYPERLINK("https://klasma.github.io/Logging_0181/klagomål/A 32041-2023 FSC-klagomål.docx", "A 32041-2023")</f>
        <v/>
      </c>
      <c r="W199">
        <f>HYPERLINK("https://klasma.github.io/Logging_0181/klagomålsmail/A 32041-2023 FSC-klagomål mail.docx", "A 32041-2023")</f>
        <v/>
      </c>
      <c r="X199">
        <f>HYPERLINK("https://klasma.github.io/Logging_0181/tillsyn/A 32041-2023 tillsynsbegäran.docx", "A 32041-2023")</f>
        <v/>
      </c>
      <c r="Y199">
        <f>HYPERLINK("https://klasma.github.io/Logging_0181/tillsynsmail/A 32041-2023 tillsynsbegäran mail.docx", "A 32041-2023")</f>
        <v/>
      </c>
    </row>
    <row r="200" ht="15" customHeight="1">
      <c r="A200" t="inlineStr">
        <is>
          <t>A 33166-2023</t>
        </is>
      </c>
      <c r="B200" s="1" t="n">
        <v>45126</v>
      </c>
      <c r="C200" s="1" t="n">
        <v>45571</v>
      </c>
      <c r="D200" t="inlineStr">
        <is>
          <t>STOCKHOLMS LÄN</t>
        </is>
      </c>
      <c r="E200" t="inlineStr">
        <is>
          <t>VÄRMDÖ</t>
        </is>
      </c>
      <c r="G200" t="n">
        <v>3.8</v>
      </c>
      <c r="H200" t="n">
        <v>0</v>
      </c>
      <c r="I200" t="n">
        <v>0</v>
      </c>
      <c r="J200" t="n">
        <v>3</v>
      </c>
      <c r="K200" t="n">
        <v>0</v>
      </c>
      <c r="L200" t="n">
        <v>0</v>
      </c>
      <c r="M200" t="n">
        <v>0</v>
      </c>
      <c r="N200" t="n">
        <v>0</v>
      </c>
      <c r="O200" t="n">
        <v>3</v>
      </c>
      <c r="P200" t="n">
        <v>0</v>
      </c>
      <c r="Q200" t="n">
        <v>3</v>
      </c>
      <c r="R200" s="2" t="inlineStr">
        <is>
          <t>Backklöver
Gullklöver
Vippärt</t>
        </is>
      </c>
      <c r="S200">
        <f>HYPERLINK("https://klasma.github.io/Logging_0120/artfynd/A 33166-2023 artfynd.xlsx", "A 33166-2023")</f>
        <v/>
      </c>
      <c r="T200">
        <f>HYPERLINK("https://klasma.github.io/Logging_0120/kartor/A 33166-2023 karta.png", "A 33166-2023")</f>
        <v/>
      </c>
      <c r="V200">
        <f>HYPERLINK("https://klasma.github.io/Logging_0120/klagomål/A 33166-2023 FSC-klagomål.docx", "A 33166-2023")</f>
        <v/>
      </c>
      <c r="W200">
        <f>HYPERLINK("https://klasma.github.io/Logging_0120/klagomålsmail/A 33166-2023 FSC-klagomål mail.docx", "A 33166-2023")</f>
        <v/>
      </c>
      <c r="X200">
        <f>HYPERLINK("https://klasma.github.io/Logging_0120/tillsyn/A 33166-2023 tillsynsbegäran.docx", "A 33166-2023")</f>
        <v/>
      </c>
      <c r="Y200">
        <f>HYPERLINK("https://klasma.github.io/Logging_0120/tillsynsmail/A 33166-2023 tillsynsbegäran mail.docx", "A 33166-2023")</f>
        <v/>
      </c>
    </row>
    <row r="201" ht="15" customHeight="1">
      <c r="A201" t="inlineStr">
        <is>
          <t>A 36662-2023</t>
        </is>
      </c>
      <c r="B201" s="1" t="n">
        <v>45153</v>
      </c>
      <c r="C201" s="1" t="n">
        <v>45571</v>
      </c>
      <c r="D201" t="inlineStr">
        <is>
          <t>STOCKHOLMS LÄN</t>
        </is>
      </c>
      <c r="E201" t="inlineStr">
        <is>
          <t>NORRTÄLJE</t>
        </is>
      </c>
      <c r="G201" t="n">
        <v>3.1</v>
      </c>
      <c r="H201" t="n">
        <v>1</v>
      </c>
      <c r="I201" t="n">
        <v>2</v>
      </c>
      <c r="J201" t="n">
        <v>1</v>
      </c>
      <c r="K201" t="n">
        <v>0</v>
      </c>
      <c r="L201" t="n">
        <v>0</v>
      </c>
      <c r="M201" t="n">
        <v>0</v>
      </c>
      <c r="N201" t="n">
        <v>0</v>
      </c>
      <c r="O201" t="n">
        <v>1</v>
      </c>
      <c r="P201" t="n">
        <v>0</v>
      </c>
      <c r="Q201" t="n">
        <v>3</v>
      </c>
      <c r="R201" s="2" t="inlineStr">
        <is>
          <t>Svartvit taggsvamp
Skogsknipprot
Svavelriska</t>
        </is>
      </c>
      <c r="S201">
        <f>HYPERLINK("https://klasma.github.io/Logging_0188/artfynd/A 36662-2023 artfynd.xlsx", "A 36662-2023")</f>
        <v/>
      </c>
      <c r="T201">
        <f>HYPERLINK("https://klasma.github.io/Logging_0188/kartor/A 36662-2023 karta.png", "A 36662-2023")</f>
        <v/>
      </c>
      <c r="V201">
        <f>HYPERLINK("https://klasma.github.io/Logging_0188/klagomål/A 36662-2023 FSC-klagomål.docx", "A 36662-2023")</f>
        <v/>
      </c>
      <c r="W201">
        <f>HYPERLINK("https://klasma.github.io/Logging_0188/klagomålsmail/A 36662-2023 FSC-klagomål mail.docx", "A 36662-2023")</f>
        <v/>
      </c>
      <c r="X201">
        <f>HYPERLINK("https://klasma.github.io/Logging_0188/tillsyn/A 36662-2023 tillsynsbegäran.docx", "A 36662-2023")</f>
        <v/>
      </c>
      <c r="Y201">
        <f>HYPERLINK("https://klasma.github.io/Logging_0188/tillsynsmail/A 36662-2023 tillsynsbegäran mail.docx", "A 36662-2023")</f>
        <v/>
      </c>
    </row>
    <row r="202" ht="15" customHeight="1">
      <c r="A202" t="inlineStr">
        <is>
          <t>A 37456-2023</t>
        </is>
      </c>
      <c r="B202" s="1" t="n">
        <v>45156</v>
      </c>
      <c r="C202" s="1" t="n">
        <v>45571</v>
      </c>
      <c r="D202" t="inlineStr">
        <is>
          <t>STOCKHOLMS LÄN</t>
        </is>
      </c>
      <c r="E202" t="inlineStr">
        <is>
          <t>VALLENTUNA</t>
        </is>
      </c>
      <c r="F202" t="inlineStr">
        <is>
          <t>Övriga Aktiebolag</t>
        </is>
      </c>
      <c r="G202" t="n">
        <v>3.3</v>
      </c>
      <c r="H202" t="n">
        <v>1</v>
      </c>
      <c r="I202" t="n">
        <v>2</v>
      </c>
      <c r="J202" t="n">
        <v>0</v>
      </c>
      <c r="K202" t="n">
        <v>0</v>
      </c>
      <c r="L202" t="n">
        <v>0</v>
      </c>
      <c r="M202" t="n">
        <v>0</v>
      </c>
      <c r="N202" t="n">
        <v>0</v>
      </c>
      <c r="O202" t="n">
        <v>0</v>
      </c>
      <c r="P202" t="n">
        <v>0</v>
      </c>
      <c r="Q202" t="n">
        <v>3</v>
      </c>
      <c r="R202" s="2" t="inlineStr">
        <is>
          <t>Skarp dropptaggsvamp
Tjockfotad fingersvamp
Blåsippa</t>
        </is>
      </c>
      <c r="S202">
        <f>HYPERLINK("https://klasma.github.io/Logging_0115/artfynd/A 37456-2023 artfynd.xlsx", "A 37456-2023")</f>
        <v/>
      </c>
      <c r="T202">
        <f>HYPERLINK("https://klasma.github.io/Logging_0115/kartor/A 37456-2023 karta.png", "A 37456-2023")</f>
        <v/>
      </c>
      <c r="V202">
        <f>HYPERLINK("https://klasma.github.io/Logging_0115/klagomål/A 37456-2023 FSC-klagomål.docx", "A 37456-2023")</f>
        <v/>
      </c>
      <c r="W202">
        <f>HYPERLINK("https://klasma.github.io/Logging_0115/klagomålsmail/A 37456-2023 FSC-klagomål mail.docx", "A 37456-2023")</f>
        <v/>
      </c>
      <c r="X202">
        <f>HYPERLINK("https://klasma.github.io/Logging_0115/tillsyn/A 37456-2023 tillsynsbegäran.docx", "A 37456-2023")</f>
        <v/>
      </c>
      <c r="Y202">
        <f>HYPERLINK("https://klasma.github.io/Logging_0115/tillsynsmail/A 37456-2023 tillsynsbegäran mail.docx", "A 37456-2023")</f>
        <v/>
      </c>
    </row>
    <row r="203" ht="15" customHeight="1">
      <c r="A203" t="inlineStr">
        <is>
          <t>A 43304-2023</t>
        </is>
      </c>
      <c r="B203" s="1" t="n">
        <v>45183</v>
      </c>
      <c r="C203" s="1" t="n">
        <v>45571</v>
      </c>
      <c r="D203" t="inlineStr">
        <is>
          <t>STOCKHOLMS LÄN</t>
        </is>
      </c>
      <c r="E203" t="inlineStr">
        <is>
          <t>NORRTÄLJE</t>
        </is>
      </c>
      <c r="G203" t="n">
        <v>1.5</v>
      </c>
      <c r="H203" t="n">
        <v>0</v>
      </c>
      <c r="I203" t="n">
        <v>0</v>
      </c>
      <c r="J203" t="n">
        <v>2</v>
      </c>
      <c r="K203" t="n">
        <v>1</v>
      </c>
      <c r="L203" t="n">
        <v>0</v>
      </c>
      <c r="M203" t="n">
        <v>0</v>
      </c>
      <c r="N203" t="n">
        <v>0</v>
      </c>
      <c r="O203" t="n">
        <v>3</v>
      </c>
      <c r="P203" t="n">
        <v>1</v>
      </c>
      <c r="Q203" t="n">
        <v>3</v>
      </c>
      <c r="R203" s="2" t="inlineStr">
        <is>
          <t>Spricktaggsvamp
Kungsspindling
Persiljespindling</t>
        </is>
      </c>
      <c r="S203">
        <f>HYPERLINK("https://klasma.github.io/Logging_0188/artfynd/A 43304-2023 artfynd.xlsx", "A 43304-2023")</f>
        <v/>
      </c>
      <c r="T203">
        <f>HYPERLINK("https://klasma.github.io/Logging_0188/kartor/A 43304-2023 karta.png", "A 43304-2023")</f>
        <v/>
      </c>
      <c r="V203">
        <f>HYPERLINK("https://klasma.github.io/Logging_0188/klagomål/A 43304-2023 FSC-klagomål.docx", "A 43304-2023")</f>
        <v/>
      </c>
      <c r="W203">
        <f>HYPERLINK("https://klasma.github.io/Logging_0188/klagomålsmail/A 43304-2023 FSC-klagomål mail.docx", "A 43304-2023")</f>
        <v/>
      </c>
      <c r="X203">
        <f>HYPERLINK("https://klasma.github.io/Logging_0188/tillsyn/A 43304-2023 tillsynsbegäran.docx", "A 43304-2023")</f>
        <v/>
      </c>
      <c r="Y203">
        <f>HYPERLINK("https://klasma.github.io/Logging_0188/tillsynsmail/A 43304-2023 tillsynsbegäran mail.docx", "A 43304-2023")</f>
        <v/>
      </c>
    </row>
    <row r="204" ht="15" customHeight="1">
      <c r="A204" t="inlineStr">
        <is>
          <t>A 47707-2023</t>
        </is>
      </c>
      <c r="B204" s="1" t="n">
        <v>45203</v>
      </c>
      <c r="C204" s="1" t="n">
        <v>45571</v>
      </c>
      <c r="D204" t="inlineStr">
        <is>
          <t>STOCKHOLMS LÄN</t>
        </is>
      </c>
      <c r="E204" t="inlineStr">
        <is>
          <t>HANINGE</t>
        </is>
      </c>
      <c r="G204" t="n">
        <v>1.4</v>
      </c>
      <c r="H204" t="n">
        <v>0</v>
      </c>
      <c r="I204" t="n">
        <v>2</v>
      </c>
      <c r="J204" t="n">
        <v>1</v>
      </c>
      <c r="K204" t="n">
        <v>0</v>
      </c>
      <c r="L204" t="n">
        <v>0</v>
      </c>
      <c r="M204" t="n">
        <v>0</v>
      </c>
      <c r="N204" t="n">
        <v>0</v>
      </c>
      <c r="O204" t="n">
        <v>1</v>
      </c>
      <c r="P204" t="n">
        <v>0</v>
      </c>
      <c r="Q204" t="n">
        <v>3</v>
      </c>
      <c r="R204" s="2" t="inlineStr">
        <is>
          <t>Motaggsvamp
Granbarkgnagare
Stubbspretmossa</t>
        </is>
      </c>
      <c r="S204">
        <f>HYPERLINK("https://klasma.github.io/Logging_0136/artfynd/A 47707-2023 artfynd.xlsx", "A 47707-2023")</f>
        <v/>
      </c>
      <c r="T204">
        <f>HYPERLINK("https://klasma.github.io/Logging_0136/kartor/A 47707-2023 karta.png", "A 47707-2023")</f>
        <v/>
      </c>
      <c r="V204">
        <f>HYPERLINK("https://klasma.github.io/Logging_0136/klagomål/A 47707-2023 FSC-klagomål.docx", "A 47707-2023")</f>
        <v/>
      </c>
      <c r="W204">
        <f>HYPERLINK("https://klasma.github.io/Logging_0136/klagomålsmail/A 47707-2023 FSC-klagomål mail.docx", "A 47707-2023")</f>
        <v/>
      </c>
      <c r="X204">
        <f>HYPERLINK("https://klasma.github.io/Logging_0136/tillsyn/A 47707-2023 tillsynsbegäran.docx", "A 47707-2023")</f>
        <v/>
      </c>
      <c r="Y204">
        <f>HYPERLINK("https://klasma.github.io/Logging_0136/tillsynsmail/A 47707-2023 tillsynsbegäran mail.docx", "A 47707-2023")</f>
        <v/>
      </c>
    </row>
    <row r="205" ht="15" customHeight="1">
      <c r="A205" t="inlineStr">
        <is>
          <t>A 52011-2023</t>
        </is>
      </c>
      <c r="B205" s="1" t="n">
        <v>45223</v>
      </c>
      <c r="C205" s="1" t="n">
        <v>45571</v>
      </c>
      <c r="D205" t="inlineStr">
        <is>
          <t>STOCKHOLMS LÄN</t>
        </is>
      </c>
      <c r="E205" t="inlineStr">
        <is>
          <t>NORRTÄLJE</t>
        </is>
      </c>
      <c r="F205" t="inlineStr">
        <is>
          <t>Övriga Aktiebolag</t>
        </is>
      </c>
      <c r="G205" t="n">
        <v>16.6</v>
      </c>
      <c r="H205" t="n">
        <v>0</v>
      </c>
      <c r="I205" t="n">
        <v>2</v>
      </c>
      <c r="J205" t="n">
        <v>1</v>
      </c>
      <c r="K205" t="n">
        <v>0</v>
      </c>
      <c r="L205" t="n">
        <v>0</v>
      </c>
      <c r="M205" t="n">
        <v>0</v>
      </c>
      <c r="N205" t="n">
        <v>0</v>
      </c>
      <c r="O205" t="n">
        <v>1</v>
      </c>
      <c r="P205" t="n">
        <v>0</v>
      </c>
      <c r="Q205" t="n">
        <v>3</v>
      </c>
      <c r="R205" s="2" t="inlineStr">
        <is>
          <t>Vedtrappmossa
Mörk husmossa
Skogshakmossa</t>
        </is>
      </c>
      <c r="S205">
        <f>HYPERLINK("https://klasma.github.io/Logging_0188/artfynd/A 52011-2023 artfynd.xlsx", "A 52011-2023")</f>
        <v/>
      </c>
      <c r="T205">
        <f>HYPERLINK("https://klasma.github.io/Logging_0188/kartor/A 52011-2023 karta.png", "A 52011-2023")</f>
        <v/>
      </c>
      <c r="V205">
        <f>HYPERLINK("https://klasma.github.io/Logging_0188/klagomål/A 52011-2023 FSC-klagomål.docx", "A 52011-2023")</f>
        <v/>
      </c>
      <c r="W205">
        <f>HYPERLINK("https://klasma.github.io/Logging_0188/klagomålsmail/A 52011-2023 FSC-klagomål mail.docx", "A 52011-2023")</f>
        <v/>
      </c>
      <c r="X205">
        <f>HYPERLINK("https://klasma.github.io/Logging_0188/tillsyn/A 52011-2023 tillsynsbegäran.docx", "A 52011-2023")</f>
        <v/>
      </c>
      <c r="Y205">
        <f>HYPERLINK("https://klasma.github.io/Logging_0188/tillsynsmail/A 52011-2023 tillsynsbegäran mail.docx", "A 52011-2023")</f>
        <v/>
      </c>
    </row>
    <row r="206" ht="15" customHeight="1">
      <c r="A206" t="inlineStr">
        <is>
          <t>A 53714-2023</t>
        </is>
      </c>
      <c r="B206" s="1" t="n">
        <v>45230</v>
      </c>
      <c r="C206" s="1" t="n">
        <v>45571</v>
      </c>
      <c r="D206" t="inlineStr">
        <is>
          <t>STOCKHOLMS LÄN</t>
        </is>
      </c>
      <c r="E206" t="inlineStr">
        <is>
          <t>HANINGE</t>
        </is>
      </c>
      <c r="G206" t="n">
        <v>7.7</v>
      </c>
      <c r="H206" t="n">
        <v>0</v>
      </c>
      <c r="I206" t="n">
        <v>3</v>
      </c>
      <c r="J206" t="n">
        <v>0</v>
      </c>
      <c r="K206" t="n">
        <v>0</v>
      </c>
      <c r="L206" t="n">
        <v>0</v>
      </c>
      <c r="M206" t="n">
        <v>0</v>
      </c>
      <c r="N206" t="n">
        <v>0</v>
      </c>
      <c r="O206" t="n">
        <v>0</v>
      </c>
      <c r="P206" t="n">
        <v>0</v>
      </c>
      <c r="Q206" t="n">
        <v>3</v>
      </c>
      <c r="R206" s="2" t="inlineStr">
        <is>
          <t>Guldlockmossa
Platt fjädermossa
Trubbfjädermossa</t>
        </is>
      </c>
      <c r="S206">
        <f>HYPERLINK("https://klasma.github.io/Logging_0136/artfynd/A 53714-2023 artfynd.xlsx", "A 53714-2023")</f>
        <v/>
      </c>
      <c r="T206">
        <f>HYPERLINK("https://klasma.github.io/Logging_0136/kartor/A 53714-2023 karta.png", "A 53714-2023")</f>
        <v/>
      </c>
      <c r="V206">
        <f>HYPERLINK("https://klasma.github.io/Logging_0136/klagomål/A 53714-2023 FSC-klagomål.docx", "A 53714-2023")</f>
        <v/>
      </c>
      <c r="W206">
        <f>HYPERLINK("https://klasma.github.io/Logging_0136/klagomålsmail/A 53714-2023 FSC-klagomål mail.docx", "A 53714-2023")</f>
        <v/>
      </c>
      <c r="X206">
        <f>HYPERLINK("https://klasma.github.io/Logging_0136/tillsyn/A 53714-2023 tillsynsbegäran.docx", "A 53714-2023")</f>
        <v/>
      </c>
      <c r="Y206">
        <f>HYPERLINK("https://klasma.github.io/Logging_0136/tillsynsmail/A 53714-2023 tillsynsbegäran mail.docx", "A 53714-2023")</f>
        <v/>
      </c>
    </row>
    <row r="207" ht="15" customHeight="1">
      <c r="A207" t="inlineStr">
        <is>
          <t>A 63913-2023</t>
        </is>
      </c>
      <c r="B207" s="1" t="n">
        <v>45278</v>
      </c>
      <c r="C207" s="1" t="n">
        <v>45571</v>
      </c>
      <c r="D207" t="inlineStr">
        <is>
          <t>STOCKHOLMS LÄN</t>
        </is>
      </c>
      <c r="E207" t="inlineStr">
        <is>
          <t>ÖSTERÅKER</t>
        </is>
      </c>
      <c r="G207" t="n">
        <v>16.8</v>
      </c>
      <c r="H207" t="n">
        <v>2</v>
      </c>
      <c r="I207" t="n">
        <v>2</v>
      </c>
      <c r="J207" t="n">
        <v>0</v>
      </c>
      <c r="K207" t="n">
        <v>0</v>
      </c>
      <c r="L207" t="n">
        <v>0</v>
      </c>
      <c r="M207" t="n">
        <v>0</v>
      </c>
      <c r="N207" t="n">
        <v>0</v>
      </c>
      <c r="O207" t="n">
        <v>0</v>
      </c>
      <c r="P207" t="n">
        <v>0</v>
      </c>
      <c r="Q207" t="n">
        <v>3</v>
      </c>
      <c r="R207" s="2" t="inlineStr">
        <is>
          <t>Skogsknipprot
Vårärt
Blåsippa</t>
        </is>
      </c>
      <c r="S207">
        <f>HYPERLINK("https://klasma.github.io/Logging_0117/artfynd/A 63913-2023 artfynd.xlsx", "A 63913-2023")</f>
        <v/>
      </c>
      <c r="T207">
        <f>HYPERLINK("https://klasma.github.io/Logging_0117/kartor/A 63913-2023 karta.png", "A 63913-2023")</f>
        <v/>
      </c>
      <c r="V207">
        <f>HYPERLINK("https://klasma.github.io/Logging_0117/klagomål/A 63913-2023 FSC-klagomål.docx", "A 63913-2023")</f>
        <v/>
      </c>
      <c r="W207">
        <f>HYPERLINK("https://klasma.github.io/Logging_0117/klagomålsmail/A 63913-2023 FSC-klagomål mail.docx", "A 63913-2023")</f>
        <v/>
      </c>
      <c r="X207">
        <f>HYPERLINK("https://klasma.github.io/Logging_0117/tillsyn/A 63913-2023 tillsynsbegäran.docx", "A 63913-2023")</f>
        <v/>
      </c>
      <c r="Y207">
        <f>HYPERLINK("https://klasma.github.io/Logging_0117/tillsynsmail/A 63913-2023 tillsynsbegäran mail.docx", "A 63913-2023")</f>
        <v/>
      </c>
    </row>
    <row r="208" ht="15" customHeight="1">
      <c r="A208" t="inlineStr">
        <is>
          <t>A 13571-2024</t>
        </is>
      </c>
      <c r="B208" s="1" t="n">
        <v>45389</v>
      </c>
      <c r="C208" s="1" t="n">
        <v>45571</v>
      </c>
      <c r="D208" t="inlineStr">
        <is>
          <t>STOCKHOLMS LÄN</t>
        </is>
      </c>
      <c r="E208" t="inlineStr">
        <is>
          <t>VALLENTUNA</t>
        </is>
      </c>
      <c r="G208" t="n">
        <v>21.7</v>
      </c>
      <c r="H208" t="n">
        <v>1</v>
      </c>
      <c r="I208" t="n">
        <v>1</v>
      </c>
      <c r="J208" t="n">
        <v>1</v>
      </c>
      <c r="K208" t="n">
        <v>0</v>
      </c>
      <c r="L208" t="n">
        <v>0</v>
      </c>
      <c r="M208" t="n">
        <v>0</v>
      </c>
      <c r="N208" t="n">
        <v>0</v>
      </c>
      <c r="O208" t="n">
        <v>1</v>
      </c>
      <c r="P208" t="n">
        <v>0</v>
      </c>
      <c r="Q208" t="n">
        <v>3</v>
      </c>
      <c r="R208" s="2" t="inlineStr">
        <is>
          <t>Vedskivlav
Vedticka
Tjäder</t>
        </is>
      </c>
      <c r="S208">
        <f>HYPERLINK("https://klasma.github.io/Logging_0115/artfynd/A 13571-2024 artfynd.xlsx", "A 13571-2024")</f>
        <v/>
      </c>
      <c r="T208">
        <f>HYPERLINK("https://klasma.github.io/Logging_0115/kartor/A 13571-2024 karta.png", "A 13571-2024")</f>
        <v/>
      </c>
      <c r="V208">
        <f>HYPERLINK("https://klasma.github.io/Logging_0115/klagomål/A 13571-2024 FSC-klagomål.docx", "A 13571-2024")</f>
        <v/>
      </c>
      <c r="W208">
        <f>HYPERLINK("https://klasma.github.io/Logging_0115/klagomålsmail/A 13571-2024 FSC-klagomål mail.docx", "A 13571-2024")</f>
        <v/>
      </c>
      <c r="X208">
        <f>HYPERLINK("https://klasma.github.io/Logging_0115/tillsyn/A 13571-2024 tillsynsbegäran.docx", "A 13571-2024")</f>
        <v/>
      </c>
      <c r="Y208">
        <f>HYPERLINK("https://klasma.github.io/Logging_0115/tillsynsmail/A 13571-2024 tillsynsbegäran mail.docx", "A 13571-2024")</f>
        <v/>
      </c>
      <c r="Z208">
        <f>HYPERLINK("https://klasma.github.io/Logging_0115/fåglar/A 13571-2024 prioriterade fågelarter.docx", "A 13571-2024")</f>
        <v/>
      </c>
    </row>
    <row r="209" ht="15" customHeight="1">
      <c r="A209" t="inlineStr">
        <is>
          <t>A 18451-2024</t>
        </is>
      </c>
      <c r="B209" s="1" t="n">
        <v>45425</v>
      </c>
      <c r="C209" s="1" t="n">
        <v>45571</v>
      </c>
      <c r="D209" t="inlineStr">
        <is>
          <t>STOCKHOLMS LÄN</t>
        </is>
      </c>
      <c r="E209" t="inlineStr">
        <is>
          <t>SIGTUNA</t>
        </is>
      </c>
      <c r="G209" t="n">
        <v>6.4</v>
      </c>
      <c r="H209" t="n">
        <v>3</v>
      </c>
      <c r="I209" t="n">
        <v>0</v>
      </c>
      <c r="J209" t="n">
        <v>1</v>
      </c>
      <c r="K209" t="n">
        <v>0</v>
      </c>
      <c r="L209" t="n">
        <v>0</v>
      </c>
      <c r="M209" t="n">
        <v>0</v>
      </c>
      <c r="N209" t="n">
        <v>0</v>
      </c>
      <c r="O209" t="n">
        <v>1</v>
      </c>
      <c r="P209" t="n">
        <v>0</v>
      </c>
      <c r="Q209" t="n">
        <v>3</v>
      </c>
      <c r="R209" s="2" t="inlineStr">
        <is>
          <t>Spillkråka
Kungsfågel
Blåsippa</t>
        </is>
      </c>
      <c r="S209">
        <f>HYPERLINK("https://klasma.github.io/Logging_0191/artfynd/A 18451-2024 artfynd.xlsx", "A 18451-2024")</f>
        <v/>
      </c>
      <c r="T209">
        <f>HYPERLINK("https://klasma.github.io/Logging_0191/kartor/A 18451-2024 karta.png", "A 18451-2024")</f>
        <v/>
      </c>
      <c r="V209">
        <f>HYPERLINK("https://klasma.github.io/Logging_0191/klagomål/A 18451-2024 FSC-klagomål.docx", "A 18451-2024")</f>
        <v/>
      </c>
      <c r="W209">
        <f>HYPERLINK("https://klasma.github.io/Logging_0191/klagomålsmail/A 18451-2024 FSC-klagomål mail.docx", "A 18451-2024")</f>
        <v/>
      </c>
      <c r="X209">
        <f>HYPERLINK("https://klasma.github.io/Logging_0191/tillsyn/A 18451-2024 tillsynsbegäran.docx", "A 18451-2024")</f>
        <v/>
      </c>
      <c r="Y209">
        <f>HYPERLINK("https://klasma.github.io/Logging_0191/tillsynsmail/A 18451-2024 tillsynsbegäran mail.docx", "A 18451-2024")</f>
        <v/>
      </c>
      <c r="Z209">
        <f>HYPERLINK("https://klasma.github.io/Logging_0191/fåglar/A 18451-2024 prioriterade fågelarter.docx", "A 18451-2024")</f>
        <v/>
      </c>
    </row>
    <row r="210" ht="15" customHeight="1">
      <c r="A210" t="inlineStr">
        <is>
          <t>A 21978-2024</t>
        </is>
      </c>
      <c r="B210" s="1" t="n">
        <v>45443</v>
      </c>
      <c r="C210" s="1" t="n">
        <v>45571</v>
      </c>
      <c r="D210" t="inlineStr">
        <is>
          <t>STOCKHOLMS LÄN</t>
        </is>
      </c>
      <c r="E210" t="inlineStr">
        <is>
          <t>HANINGE</t>
        </is>
      </c>
      <c r="G210" t="n">
        <v>12.4</v>
      </c>
      <c r="H210" t="n">
        <v>2</v>
      </c>
      <c r="I210" t="n">
        <v>1</v>
      </c>
      <c r="J210" t="n">
        <v>1</v>
      </c>
      <c r="K210" t="n">
        <v>0</v>
      </c>
      <c r="L210" t="n">
        <v>0</v>
      </c>
      <c r="M210" t="n">
        <v>0</v>
      </c>
      <c r="N210" t="n">
        <v>0</v>
      </c>
      <c r="O210" t="n">
        <v>1</v>
      </c>
      <c r="P210" t="n">
        <v>0</v>
      </c>
      <c r="Q210" t="n">
        <v>3</v>
      </c>
      <c r="R210" s="2" t="inlineStr">
        <is>
          <t>Granticka
Grön sköldmossa
Vanlig snok</t>
        </is>
      </c>
      <c r="S210">
        <f>HYPERLINK("https://klasma.github.io/Logging_0136/artfynd/A 21978-2024 artfynd.xlsx", "A 21978-2024")</f>
        <v/>
      </c>
      <c r="T210">
        <f>HYPERLINK("https://klasma.github.io/Logging_0136/kartor/A 21978-2024 karta.png", "A 21978-2024")</f>
        <v/>
      </c>
      <c r="V210">
        <f>HYPERLINK("https://klasma.github.io/Logging_0136/klagomål/A 21978-2024 FSC-klagomål.docx", "A 21978-2024")</f>
        <v/>
      </c>
      <c r="W210">
        <f>HYPERLINK("https://klasma.github.io/Logging_0136/klagomålsmail/A 21978-2024 FSC-klagomål mail.docx", "A 21978-2024")</f>
        <v/>
      </c>
      <c r="X210">
        <f>HYPERLINK("https://klasma.github.io/Logging_0136/tillsyn/A 21978-2024 tillsynsbegäran.docx", "A 21978-2024")</f>
        <v/>
      </c>
      <c r="Y210">
        <f>HYPERLINK("https://klasma.github.io/Logging_0136/tillsynsmail/A 21978-2024 tillsynsbegäran mail.docx", "A 21978-2024")</f>
        <v/>
      </c>
    </row>
    <row r="211" ht="15" customHeight="1">
      <c r="A211" t="inlineStr">
        <is>
          <t>A 36955-2024</t>
        </is>
      </c>
      <c r="B211" s="1" t="n">
        <v>45538</v>
      </c>
      <c r="C211" s="1" t="n">
        <v>45571</v>
      </c>
      <c r="D211" t="inlineStr">
        <is>
          <t>STOCKHOLMS LÄN</t>
        </is>
      </c>
      <c r="E211" t="inlineStr">
        <is>
          <t>SÖDERTÄLJE</t>
        </is>
      </c>
      <c r="G211" t="n">
        <v>7.2</v>
      </c>
      <c r="H211" t="n">
        <v>1</v>
      </c>
      <c r="I211" t="n">
        <v>1</v>
      </c>
      <c r="J211" t="n">
        <v>1</v>
      </c>
      <c r="K211" t="n">
        <v>1</v>
      </c>
      <c r="L211" t="n">
        <v>0</v>
      </c>
      <c r="M211" t="n">
        <v>0</v>
      </c>
      <c r="N211" t="n">
        <v>0</v>
      </c>
      <c r="O211" t="n">
        <v>2</v>
      </c>
      <c r="P211" t="n">
        <v>1</v>
      </c>
      <c r="Q211" t="n">
        <v>3</v>
      </c>
      <c r="R211" s="2" t="inlineStr">
        <is>
          <t>Knärot
Svart taggsvamp
Dropptaggsvamp</t>
        </is>
      </c>
      <c r="S211">
        <f>HYPERLINK("https://klasma.github.io/Logging_0181/artfynd/A 36955-2024 artfynd.xlsx", "A 36955-2024")</f>
        <v/>
      </c>
      <c r="T211">
        <f>HYPERLINK("https://klasma.github.io/Logging_0181/kartor/A 36955-2024 karta.png", "A 36955-2024")</f>
        <v/>
      </c>
      <c r="U211">
        <f>HYPERLINK("https://klasma.github.io/Logging_0181/knärot/A 36955-2024 karta knärot.png", "A 36955-2024")</f>
        <v/>
      </c>
      <c r="V211">
        <f>HYPERLINK("https://klasma.github.io/Logging_0181/klagomål/A 36955-2024 FSC-klagomål.docx", "A 36955-2024")</f>
        <v/>
      </c>
      <c r="W211">
        <f>HYPERLINK("https://klasma.github.io/Logging_0181/klagomålsmail/A 36955-2024 FSC-klagomål mail.docx", "A 36955-2024")</f>
        <v/>
      </c>
      <c r="X211">
        <f>HYPERLINK("https://klasma.github.io/Logging_0181/tillsyn/A 36955-2024 tillsynsbegäran.docx", "A 36955-2024")</f>
        <v/>
      </c>
      <c r="Y211">
        <f>HYPERLINK("https://klasma.github.io/Logging_0181/tillsynsmail/A 36955-2024 tillsynsbegäran mail.docx", "A 36955-2024")</f>
        <v/>
      </c>
    </row>
    <row r="212" ht="15" customHeight="1">
      <c r="A212" t="inlineStr">
        <is>
          <t>A 23830-2019</t>
        </is>
      </c>
      <c r="B212" s="1" t="n">
        <v>43595</v>
      </c>
      <c r="C212" s="1" t="n">
        <v>45571</v>
      </c>
      <c r="D212" t="inlineStr">
        <is>
          <t>STOCKHOLMS LÄN</t>
        </is>
      </c>
      <c r="E212" t="inlineStr">
        <is>
          <t>NORRTÄLJE</t>
        </is>
      </c>
      <c r="G212" t="n">
        <v>3</v>
      </c>
      <c r="H212" t="n">
        <v>2</v>
      </c>
      <c r="I212" t="n">
        <v>1</v>
      </c>
      <c r="J212" t="n">
        <v>0</v>
      </c>
      <c r="K212" t="n">
        <v>0</v>
      </c>
      <c r="L212" t="n">
        <v>0</v>
      </c>
      <c r="M212" t="n">
        <v>0</v>
      </c>
      <c r="N212" t="n">
        <v>0</v>
      </c>
      <c r="O212" t="n">
        <v>0</v>
      </c>
      <c r="P212" t="n">
        <v>0</v>
      </c>
      <c r="Q212" t="n">
        <v>2</v>
      </c>
      <c r="R212" s="2" t="inlineStr">
        <is>
          <t>Guckusko
Grönvit nattviol</t>
        </is>
      </c>
      <c r="S212">
        <f>HYPERLINK("https://klasma.github.io/Logging_0188/artfynd/A 23830-2019 artfynd.xlsx", "A 23830-2019")</f>
        <v/>
      </c>
      <c r="T212">
        <f>HYPERLINK("https://klasma.github.io/Logging_0188/kartor/A 23830-2019 karta.png", "A 23830-2019")</f>
        <v/>
      </c>
      <c r="V212">
        <f>HYPERLINK("https://klasma.github.io/Logging_0188/klagomål/A 23830-2019 FSC-klagomål.docx", "A 23830-2019")</f>
        <v/>
      </c>
      <c r="W212">
        <f>HYPERLINK("https://klasma.github.io/Logging_0188/klagomålsmail/A 23830-2019 FSC-klagomål mail.docx", "A 23830-2019")</f>
        <v/>
      </c>
      <c r="X212">
        <f>HYPERLINK("https://klasma.github.io/Logging_0188/tillsyn/A 23830-2019 tillsynsbegäran.docx", "A 23830-2019")</f>
        <v/>
      </c>
      <c r="Y212">
        <f>HYPERLINK("https://klasma.github.io/Logging_0188/tillsynsmail/A 23830-2019 tillsynsbegäran mail.docx", "A 23830-2019")</f>
        <v/>
      </c>
    </row>
    <row r="213" ht="15" customHeight="1">
      <c r="A213" t="inlineStr">
        <is>
          <t>A 31893-2019</t>
        </is>
      </c>
      <c r="B213" s="1" t="n">
        <v>43642</v>
      </c>
      <c r="C213" s="1" t="n">
        <v>45571</v>
      </c>
      <c r="D213" t="inlineStr">
        <is>
          <t>STOCKHOLMS LÄN</t>
        </is>
      </c>
      <c r="E213" t="inlineStr">
        <is>
          <t>NYNÄSHAMN</t>
        </is>
      </c>
      <c r="F213" t="inlineStr">
        <is>
          <t>Kommuner</t>
        </is>
      </c>
      <c r="G213" t="n">
        <v>3.4</v>
      </c>
      <c r="H213" t="n">
        <v>1</v>
      </c>
      <c r="I213" t="n">
        <v>1</v>
      </c>
      <c r="J213" t="n">
        <v>0</v>
      </c>
      <c r="K213" t="n">
        <v>0</v>
      </c>
      <c r="L213" t="n">
        <v>0</v>
      </c>
      <c r="M213" t="n">
        <v>0</v>
      </c>
      <c r="N213" t="n">
        <v>0</v>
      </c>
      <c r="O213" t="n">
        <v>0</v>
      </c>
      <c r="P213" t="n">
        <v>0</v>
      </c>
      <c r="Q213" t="n">
        <v>2</v>
      </c>
      <c r="R213" s="2" t="inlineStr">
        <is>
          <t>Stubbspretmossa
Revlummer</t>
        </is>
      </c>
      <c r="S213">
        <f>HYPERLINK("https://klasma.github.io/Logging_0192/artfynd/A 31893-2019 artfynd.xlsx", "A 31893-2019")</f>
        <v/>
      </c>
      <c r="T213">
        <f>HYPERLINK("https://klasma.github.io/Logging_0192/kartor/A 31893-2019 karta.png", "A 31893-2019")</f>
        <v/>
      </c>
      <c r="V213">
        <f>HYPERLINK("https://klasma.github.io/Logging_0192/klagomål/A 31893-2019 FSC-klagomål.docx", "A 31893-2019")</f>
        <v/>
      </c>
      <c r="W213">
        <f>HYPERLINK("https://klasma.github.io/Logging_0192/klagomålsmail/A 31893-2019 FSC-klagomål mail.docx", "A 31893-2019")</f>
        <v/>
      </c>
      <c r="X213">
        <f>HYPERLINK("https://klasma.github.io/Logging_0192/tillsyn/A 31893-2019 tillsynsbegäran.docx", "A 31893-2019")</f>
        <v/>
      </c>
      <c r="Y213">
        <f>HYPERLINK("https://klasma.github.io/Logging_0192/tillsynsmail/A 31893-2019 tillsynsbegäran mail.docx", "A 31893-2019")</f>
        <v/>
      </c>
    </row>
    <row r="214" ht="15" customHeight="1">
      <c r="A214" t="inlineStr">
        <is>
          <t>A 37730-2019</t>
        </is>
      </c>
      <c r="B214" s="1" t="n">
        <v>43682</v>
      </c>
      <c r="C214" s="1" t="n">
        <v>45571</v>
      </c>
      <c r="D214" t="inlineStr">
        <is>
          <t>STOCKHOLMS LÄN</t>
        </is>
      </c>
      <c r="E214" t="inlineStr">
        <is>
          <t>VÄRMDÖ</t>
        </is>
      </c>
      <c r="G214" t="n">
        <v>1.4</v>
      </c>
      <c r="H214" t="n">
        <v>0</v>
      </c>
      <c r="I214" t="n">
        <v>2</v>
      </c>
      <c r="J214" t="n">
        <v>0</v>
      </c>
      <c r="K214" t="n">
        <v>0</v>
      </c>
      <c r="L214" t="n">
        <v>0</v>
      </c>
      <c r="M214" t="n">
        <v>0</v>
      </c>
      <c r="N214" t="n">
        <v>0</v>
      </c>
      <c r="O214" t="n">
        <v>0</v>
      </c>
      <c r="P214" t="n">
        <v>0</v>
      </c>
      <c r="Q214" t="n">
        <v>2</v>
      </c>
      <c r="R214" s="2" t="inlineStr">
        <is>
          <t>Kornknutmossa
Stubbspretmossa</t>
        </is>
      </c>
      <c r="S214">
        <f>HYPERLINK("https://klasma.github.io/Logging_0120/artfynd/A 37730-2019 artfynd.xlsx", "A 37730-2019")</f>
        <v/>
      </c>
      <c r="T214">
        <f>HYPERLINK("https://klasma.github.io/Logging_0120/kartor/A 37730-2019 karta.png", "A 37730-2019")</f>
        <v/>
      </c>
      <c r="V214">
        <f>HYPERLINK("https://klasma.github.io/Logging_0120/klagomål/A 37730-2019 FSC-klagomål.docx", "A 37730-2019")</f>
        <v/>
      </c>
      <c r="W214">
        <f>HYPERLINK("https://klasma.github.io/Logging_0120/klagomålsmail/A 37730-2019 FSC-klagomål mail.docx", "A 37730-2019")</f>
        <v/>
      </c>
      <c r="X214">
        <f>HYPERLINK("https://klasma.github.io/Logging_0120/tillsyn/A 37730-2019 tillsynsbegäran.docx", "A 37730-2019")</f>
        <v/>
      </c>
      <c r="Y214">
        <f>HYPERLINK("https://klasma.github.io/Logging_0120/tillsynsmail/A 37730-2019 tillsynsbegäran mail.docx", "A 37730-2019")</f>
        <v/>
      </c>
    </row>
    <row r="215" ht="15" customHeight="1">
      <c r="A215" t="inlineStr">
        <is>
          <t>A 47875-2019</t>
        </is>
      </c>
      <c r="B215" s="1" t="n">
        <v>43725</v>
      </c>
      <c r="C215" s="1" t="n">
        <v>45571</v>
      </c>
      <c r="D215" t="inlineStr">
        <is>
          <t>STOCKHOLMS LÄN</t>
        </is>
      </c>
      <c r="E215" t="inlineStr">
        <is>
          <t>NORRTÄLJE</t>
        </is>
      </c>
      <c r="G215" t="n">
        <v>10.9</v>
      </c>
      <c r="H215" t="n">
        <v>1</v>
      </c>
      <c r="I215" t="n">
        <v>0</v>
      </c>
      <c r="J215" t="n">
        <v>1</v>
      </c>
      <c r="K215" t="n">
        <v>0</v>
      </c>
      <c r="L215" t="n">
        <v>0</v>
      </c>
      <c r="M215" t="n">
        <v>0</v>
      </c>
      <c r="N215" t="n">
        <v>0</v>
      </c>
      <c r="O215" t="n">
        <v>1</v>
      </c>
      <c r="P215" t="n">
        <v>0</v>
      </c>
      <c r="Q215" t="n">
        <v>2</v>
      </c>
      <c r="R215" s="2" t="inlineStr">
        <is>
          <t>Vippärt
Mattlummer</t>
        </is>
      </c>
      <c r="S215">
        <f>HYPERLINK("https://klasma.github.io/Logging_0188/artfynd/A 47875-2019 artfynd.xlsx", "A 47875-2019")</f>
        <v/>
      </c>
      <c r="T215">
        <f>HYPERLINK("https://klasma.github.io/Logging_0188/kartor/A 47875-2019 karta.png", "A 47875-2019")</f>
        <v/>
      </c>
      <c r="V215">
        <f>HYPERLINK("https://klasma.github.io/Logging_0188/klagomål/A 47875-2019 FSC-klagomål.docx", "A 47875-2019")</f>
        <v/>
      </c>
      <c r="W215">
        <f>HYPERLINK("https://klasma.github.io/Logging_0188/klagomålsmail/A 47875-2019 FSC-klagomål mail.docx", "A 47875-2019")</f>
        <v/>
      </c>
      <c r="X215">
        <f>HYPERLINK("https://klasma.github.io/Logging_0188/tillsyn/A 47875-2019 tillsynsbegäran.docx", "A 47875-2019")</f>
        <v/>
      </c>
      <c r="Y215">
        <f>HYPERLINK("https://klasma.github.io/Logging_0188/tillsynsmail/A 47875-2019 tillsynsbegäran mail.docx", "A 47875-2019")</f>
        <v/>
      </c>
    </row>
    <row r="216" ht="15" customHeight="1">
      <c r="A216" t="inlineStr">
        <is>
          <t>A 1335-2020</t>
        </is>
      </c>
      <c r="B216" s="1" t="n">
        <v>43843</v>
      </c>
      <c r="C216" s="1" t="n">
        <v>45571</v>
      </c>
      <c r="D216" t="inlineStr">
        <is>
          <t>STOCKHOLMS LÄN</t>
        </is>
      </c>
      <c r="E216" t="inlineStr">
        <is>
          <t>BOTKYRKA</t>
        </is>
      </c>
      <c r="G216" t="n">
        <v>13.4</v>
      </c>
      <c r="H216" t="n">
        <v>0</v>
      </c>
      <c r="I216" t="n">
        <v>1</v>
      </c>
      <c r="J216" t="n">
        <v>0</v>
      </c>
      <c r="K216" t="n">
        <v>1</v>
      </c>
      <c r="L216" t="n">
        <v>0</v>
      </c>
      <c r="M216" t="n">
        <v>0</v>
      </c>
      <c r="N216" t="n">
        <v>0</v>
      </c>
      <c r="O216" t="n">
        <v>1</v>
      </c>
      <c r="P216" t="n">
        <v>1</v>
      </c>
      <c r="Q216" t="n">
        <v>2</v>
      </c>
      <c r="R216" s="2" t="inlineStr">
        <is>
          <t>Vedspik
Blodticka</t>
        </is>
      </c>
      <c r="S216">
        <f>HYPERLINK("https://klasma.github.io/Logging_0127/artfynd/A 1335-2020 artfynd.xlsx", "A 1335-2020")</f>
        <v/>
      </c>
      <c r="T216">
        <f>HYPERLINK("https://klasma.github.io/Logging_0127/kartor/A 1335-2020 karta.png", "A 1335-2020")</f>
        <v/>
      </c>
      <c r="V216">
        <f>HYPERLINK("https://klasma.github.io/Logging_0127/klagomål/A 1335-2020 FSC-klagomål.docx", "A 1335-2020")</f>
        <v/>
      </c>
      <c r="W216">
        <f>HYPERLINK("https://klasma.github.io/Logging_0127/klagomålsmail/A 1335-2020 FSC-klagomål mail.docx", "A 1335-2020")</f>
        <v/>
      </c>
      <c r="X216">
        <f>HYPERLINK("https://klasma.github.io/Logging_0127/tillsyn/A 1335-2020 tillsynsbegäran.docx", "A 1335-2020")</f>
        <v/>
      </c>
      <c r="Y216">
        <f>HYPERLINK("https://klasma.github.io/Logging_0127/tillsynsmail/A 1335-2020 tillsynsbegäran mail.docx", "A 1335-2020")</f>
        <v/>
      </c>
    </row>
    <row r="217" ht="15" customHeight="1">
      <c r="A217" t="inlineStr">
        <is>
          <t>A 2810-2020</t>
        </is>
      </c>
      <c r="B217" s="1" t="n">
        <v>43850</v>
      </c>
      <c r="C217" s="1" t="n">
        <v>45571</v>
      </c>
      <c r="D217" t="inlineStr">
        <is>
          <t>STOCKHOLMS LÄN</t>
        </is>
      </c>
      <c r="E217" t="inlineStr">
        <is>
          <t>NORRTÄLJE</t>
        </is>
      </c>
      <c r="G217" t="n">
        <v>0.9</v>
      </c>
      <c r="H217" t="n">
        <v>1</v>
      </c>
      <c r="I217" t="n">
        <v>1</v>
      </c>
      <c r="J217" t="n">
        <v>0</v>
      </c>
      <c r="K217" t="n">
        <v>1</v>
      </c>
      <c r="L217" t="n">
        <v>0</v>
      </c>
      <c r="M217" t="n">
        <v>0</v>
      </c>
      <c r="N217" t="n">
        <v>0</v>
      </c>
      <c r="O217" t="n">
        <v>1</v>
      </c>
      <c r="P217" t="n">
        <v>1</v>
      </c>
      <c r="Q217" t="n">
        <v>2</v>
      </c>
      <c r="R217" s="2" t="inlineStr">
        <is>
          <t>Knärot
Grönpyrola</t>
        </is>
      </c>
      <c r="S217">
        <f>HYPERLINK("https://klasma.github.io/Logging_0188/artfynd/A 2810-2020 artfynd.xlsx", "A 2810-2020")</f>
        <v/>
      </c>
      <c r="T217">
        <f>HYPERLINK("https://klasma.github.io/Logging_0188/kartor/A 2810-2020 karta.png", "A 2810-2020")</f>
        <v/>
      </c>
      <c r="U217">
        <f>HYPERLINK("https://klasma.github.io/Logging_0188/knärot/A 2810-2020 karta knärot.png", "A 2810-2020")</f>
        <v/>
      </c>
      <c r="V217">
        <f>HYPERLINK("https://klasma.github.io/Logging_0188/klagomål/A 2810-2020 FSC-klagomål.docx", "A 2810-2020")</f>
        <v/>
      </c>
      <c r="W217">
        <f>HYPERLINK("https://klasma.github.io/Logging_0188/klagomålsmail/A 2810-2020 FSC-klagomål mail.docx", "A 2810-2020")</f>
        <v/>
      </c>
      <c r="X217">
        <f>HYPERLINK("https://klasma.github.io/Logging_0188/tillsyn/A 2810-2020 tillsynsbegäran.docx", "A 2810-2020")</f>
        <v/>
      </c>
      <c r="Y217">
        <f>HYPERLINK("https://klasma.github.io/Logging_0188/tillsynsmail/A 2810-2020 tillsynsbegäran mail.docx", "A 2810-2020")</f>
        <v/>
      </c>
    </row>
    <row r="218" ht="15" customHeight="1">
      <c r="A218" t="inlineStr">
        <is>
          <t>A 3215-2020</t>
        </is>
      </c>
      <c r="B218" s="1" t="n">
        <v>43851</v>
      </c>
      <c r="C218" s="1" t="n">
        <v>45571</v>
      </c>
      <c r="D218" t="inlineStr">
        <is>
          <t>STOCKHOLMS LÄN</t>
        </is>
      </c>
      <c r="E218" t="inlineStr">
        <is>
          <t>NYNÄSHAMN</t>
        </is>
      </c>
      <c r="G218" t="n">
        <v>2.5</v>
      </c>
      <c r="H218" t="n">
        <v>0</v>
      </c>
      <c r="I218" t="n">
        <v>2</v>
      </c>
      <c r="J218" t="n">
        <v>0</v>
      </c>
      <c r="K218" t="n">
        <v>0</v>
      </c>
      <c r="L218" t="n">
        <v>0</v>
      </c>
      <c r="M218" t="n">
        <v>0</v>
      </c>
      <c r="N218" t="n">
        <v>0</v>
      </c>
      <c r="O218" t="n">
        <v>0</v>
      </c>
      <c r="P218" t="n">
        <v>0</v>
      </c>
      <c r="Q218" t="n">
        <v>2</v>
      </c>
      <c r="R218" s="2" t="inlineStr">
        <is>
          <t>Sårläka
Thomsons trägnagare</t>
        </is>
      </c>
      <c r="S218">
        <f>HYPERLINK("https://klasma.github.io/Logging_0192/artfynd/A 3215-2020 artfynd.xlsx", "A 3215-2020")</f>
        <v/>
      </c>
      <c r="T218">
        <f>HYPERLINK("https://klasma.github.io/Logging_0192/kartor/A 3215-2020 karta.png", "A 3215-2020")</f>
        <v/>
      </c>
      <c r="V218">
        <f>HYPERLINK("https://klasma.github.io/Logging_0192/klagomål/A 3215-2020 FSC-klagomål.docx", "A 3215-2020")</f>
        <v/>
      </c>
      <c r="W218">
        <f>HYPERLINK("https://klasma.github.io/Logging_0192/klagomålsmail/A 3215-2020 FSC-klagomål mail.docx", "A 3215-2020")</f>
        <v/>
      </c>
      <c r="X218">
        <f>HYPERLINK("https://klasma.github.io/Logging_0192/tillsyn/A 3215-2020 tillsynsbegäran.docx", "A 3215-2020")</f>
        <v/>
      </c>
      <c r="Y218">
        <f>HYPERLINK("https://klasma.github.io/Logging_0192/tillsynsmail/A 3215-2020 tillsynsbegäran mail.docx", "A 3215-2020")</f>
        <v/>
      </c>
    </row>
    <row r="219" ht="15" customHeight="1">
      <c r="A219" t="inlineStr">
        <is>
          <t>A 4124-2020</t>
        </is>
      </c>
      <c r="B219" s="1" t="n">
        <v>43857</v>
      </c>
      <c r="C219" s="1" t="n">
        <v>45571</v>
      </c>
      <c r="D219" t="inlineStr">
        <is>
          <t>STOCKHOLMS LÄN</t>
        </is>
      </c>
      <c r="E219" t="inlineStr">
        <is>
          <t>VALLENTUNA</t>
        </is>
      </c>
      <c r="G219" t="n">
        <v>1.2</v>
      </c>
      <c r="H219" t="n">
        <v>0</v>
      </c>
      <c r="I219" t="n">
        <v>1</v>
      </c>
      <c r="J219" t="n">
        <v>1</v>
      </c>
      <c r="K219" t="n">
        <v>0</v>
      </c>
      <c r="L219" t="n">
        <v>0</v>
      </c>
      <c r="M219" t="n">
        <v>0</v>
      </c>
      <c r="N219" t="n">
        <v>0</v>
      </c>
      <c r="O219" t="n">
        <v>1</v>
      </c>
      <c r="P219" t="n">
        <v>0</v>
      </c>
      <c r="Q219" t="n">
        <v>2</v>
      </c>
      <c r="R219" s="2" t="inlineStr">
        <is>
          <t>Barrpraktbagge
Blompraktbagge</t>
        </is>
      </c>
      <c r="S219">
        <f>HYPERLINK("https://klasma.github.io/Logging_0115/artfynd/A 4124-2020 artfynd.xlsx", "A 4124-2020")</f>
        <v/>
      </c>
      <c r="T219">
        <f>HYPERLINK("https://klasma.github.io/Logging_0115/kartor/A 4124-2020 karta.png", "A 4124-2020")</f>
        <v/>
      </c>
      <c r="V219">
        <f>HYPERLINK("https://klasma.github.io/Logging_0115/klagomål/A 4124-2020 FSC-klagomål.docx", "A 4124-2020")</f>
        <v/>
      </c>
      <c r="W219">
        <f>HYPERLINK("https://klasma.github.io/Logging_0115/klagomålsmail/A 4124-2020 FSC-klagomål mail.docx", "A 4124-2020")</f>
        <v/>
      </c>
      <c r="X219">
        <f>HYPERLINK("https://klasma.github.io/Logging_0115/tillsyn/A 4124-2020 tillsynsbegäran.docx", "A 4124-2020")</f>
        <v/>
      </c>
      <c r="Y219">
        <f>HYPERLINK("https://klasma.github.io/Logging_0115/tillsynsmail/A 4124-2020 tillsynsbegäran mail.docx", "A 4124-2020")</f>
        <v/>
      </c>
    </row>
    <row r="220" ht="15" customHeight="1">
      <c r="A220" t="inlineStr">
        <is>
          <t>A 4058-2020</t>
        </is>
      </c>
      <c r="B220" s="1" t="n">
        <v>43857</v>
      </c>
      <c r="C220" s="1" t="n">
        <v>45571</v>
      </c>
      <c r="D220" t="inlineStr">
        <is>
          <t>STOCKHOLMS LÄN</t>
        </is>
      </c>
      <c r="E220" t="inlineStr">
        <is>
          <t>BOTKYRKA</t>
        </is>
      </c>
      <c r="G220" t="n">
        <v>17.9</v>
      </c>
      <c r="H220" t="n">
        <v>0</v>
      </c>
      <c r="I220" t="n">
        <v>1</v>
      </c>
      <c r="J220" t="n">
        <v>1</v>
      </c>
      <c r="K220" t="n">
        <v>0</v>
      </c>
      <c r="L220" t="n">
        <v>0</v>
      </c>
      <c r="M220" t="n">
        <v>0</v>
      </c>
      <c r="N220" t="n">
        <v>0</v>
      </c>
      <c r="O220" t="n">
        <v>1</v>
      </c>
      <c r="P220" t="n">
        <v>0</v>
      </c>
      <c r="Q220" t="n">
        <v>2</v>
      </c>
      <c r="R220" s="2" t="inlineStr">
        <is>
          <t>Ekticka
Springkorn</t>
        </is>
      </c>
      <c r="S220">
        <f>HYPERLINK("https://klasma.github.io/Logging_0127/artfynd/A 4058-2020 artfynd.xlsx", "A 4058-2020")</f>
        <v/>
      </c>
      <c r="T220">
        <f>HYPERLINK("https://klasma.github.io/Logging_0127/kartor/A 4058-2020 karta.png", "A 4058-2020")</f>
        <v/>
      </c>
      <c r="V220">
        <f>HYPERLINK("https://klasma.github.io/Logging_0127/klagomål/A 4058-2020 FSC-klagomål.docx", "A 4058-2020")</f>
        <v/>
      </c>
      <c r="W220">
        <f>HYPERLINK("https://klasma.github.io/Logging_0127/klagomålsmail/A 4058-2020 FSC-klagomål mail.docx", "A 4058-2020")</f>
        <v/>
      </c>
      <c r="X220">
        <f>HYPERLINK("https://klasma.github.io/Logging_0127/tillsyn/A 4058-2020 tillsynsbegäran.docx", "A 4058-2020")</f>
        <v/>
      </c>
      <c r="Y220">
        <f>HYPERLINK("https://klasma.github.io/Logging_0127/tillsynsmail/A 4058-2020 tillsynsbegäran mail.docx", "A 4058-2020")</f>
        <v/>
      </c>
    </row>
    <row r="221" ht="15" customHeight="1">
      <c r="A221" t="inlineStr">
        <is>
          <t>A 4266-2020</t>
        </is>
      </c>
      <c r="B221" s="1" t="n">
        <v>43857</v>
      </c>
      <c r="C221" s="1" t="n">
        <v>45571</v>
      </c>
      <c r="D221" t="inlineStr">
        <is>
          <t>STOCKHOLMS LÄN</t>
        </is>
      </c>
      <c r="E221" t="inlineStr">
        <is>
          <t>VALLENTUNA</t>
        </is>
      </c>
      <c r="G221" t="n">
        <v>4.5</v>
      </c>
      <c r="H221" t="n">
        <v>0</v>
      </c>
      <c r="I221" t="n">
        <v>1</v>
      </c>
      <c r="J221" t="n">
        <v>1</v>
      </c>
      <c r="K221" t="n">
        <v>0</v>
      </c>
      <c r="L221" t="n">
        <v>0</v>
      </c>
      <c r="M221" t="n">
        <v>0</v>
      </c>
      <c r="N221" t="n">
        <v>0</v>
      </c>
      <c r="O221" t="n">
        <v>1</v>
      </c>
      <c r="P221" t="n">
        <v>0</v>
      </c>
      <c r="Q221" t="n">
        <v>2</v>
      </c>
      <c r="R221" s="2" t="inlineStr">
        <is>
          <t>Slåtterfibbla
Korthornad vedstekel</t>
        </is>
      </c>
      <c r="S221">
        <f>HYPERLINK("https://klasma.github.io/Logging_0115/artfynd/A 4266-2020 artfynd.xlsx", "A 4266-2020")</f>
        <v/>
      </c>
      <c r="T221">
        <f>HYPERLINK("https://klasma.github.io/Logging_0115/kartor/A 4266-2020 karta.png", "A 4266-2020")</f>
        <v/>
      </c>
      <c r="V221">
        <f>HYPERLINK("https://klasma.github.io/Logging_0115/klagomål/A 4266-2020 FSC-klagomål.docx", "A 4266-2020")</f>
        <v/>
      </c>
      <c r="W221">
        <f>HYPERLINK("https://klasma.github.io/Logging_0115/klagomålsmail/A 4266-2020 FSC-klagomål mail.docx", "A 4266-2020")</f>
        <v/>
      </c>
      <c r="X221">
        <f>HYPERLINK("https://klasma.github.io/Logging_0115/tillsyn/A 4266-2020 tillsynsbegäran.docx", "A 4266-2020")</f>
        <v/>
      </c>
      <c r="Y221">
        <f>HYPERLINK("https://klasma.github.io/Logging_0115/tillsynsmail/A 4266-2020 tillsynsbegäran mail.docx", "A 4266-2020")</f>
        <v/>
      </c>
    </row>
    <row r="222" ht="15" customHeight="1">
      <c r="A222" t="inlineStr">
        <is>
          <t>A 6272-2020</t>
        </is>
      </c>
      <c r="B222" s="1" t="n">
        <v>43866</v>
      </c>
      <c r="C222" s="1" t="n">
        <v>45571</v>
      </c>
      <c r="D222" t="inlineStr">
        <is>
          <t>STOCKHOLMS LÄN</t>
        </is>
      </c>
      <c r="E222" t="inlineStr">
        <is>
          <t>NORRTÄLJE</t>
        </is>
      </c>
      <c r="F222" t="inlineStr">
        <is>
          <t>Övriga statliga verk och myndigheter</t>
        </is>
      </c>
      <c r="G222" t="n">
        <v>1.9</v>
      </c>
      <c r="H222" t="n">
        <v>1</v>
      </c>
      <c r="I222" t="n">
        <v>1</v>
      </c>
      <c r="J222" t="n">
        <v>1</v>
      </c>
      <c r="K222" t="n">
        <v>0</v>
      </c>
      <c r="L222" t="n">
        <v>0</v>
      </c>
      <c r="M222" t="n">
        <v>0</v>
      </c>
      <c r="N222" t="n">
        <v>0</v>
      </c>
      <c r="O222" t="n">
        <v>1</v>
      </c>
      <c r="P222" t="n">
        <v>0</v>
      </c>
      <c r="Q222" t="n">
        <v>2</v>
      </c>
      <c r="R222" s="2" t="inlineStr">
        <is>
          <t>Silversmygare
Nästrot</t>
        </is>
      </c>
      <c r="S222">
        <f>HYPERLINK("https://klasma.github.io/Logging_0188/artfynd/A 6272-2020 artfynd.xlsx", "A 6272-2020")</f>
        <v/>
      </c>
      <c r="T222">
        <f>HYPERLINK("https://klasma.github.io/Logging_0188/kartor/A 6272-2020 karta.png", "A 6272-2020")</f>
        <v/>
      </c>
      <c r="V222">
        <f>HYPERLINK("https://klasma.github.io/Logging_0188/klagomål/A 6272-2020 FSC-klagomål.docx", "A 6272-2020")</f>
        <v/>
      </c>
      <c r="W222">
        <f>HYPERLINK("https://klasma.github.io/Logging_0188/klagomålsmail/A 6272-2020 FSC-klagomål mail.docx", "A 6272-2020")</f>
        <v/>
      </c>
      <c r="X222">
        <f>HYPERLINK("https://klasma.github.io/Logging_0188/tillsyn/A 6272-2020 tillsynsbegäran.docx", "A 6272-2020")</f>
        <v/>
      </c>
      <c r="Y222">
        <f>HYPERLINK("https://klasma.github.io/Logging_0188/tillsynsmail/A 6272-2020 tillsynsbegäran mail.docx", "A 6272-2020")</f>
        <v/>
      </c>
    </row>
    <row r="223" ht="15" customHeight="1">
      <c r="A223" t="inlineStr">
        <is>
          <t>A 19565-2020</t>
        </is>
      </c>
      <c r="B223" s="1" t="n">
        <v>43936</v>
      </c>
      <c r="C223" s="1" t="n">
        <v>45571</v>
      </c>
      <c r="D223" t="inlineStr">
        <is>
          <t>STOCKHOLMS LÄN</t>
        </is>
      </c>
      <c r="E223" t="inlineStr">
        <is>
          <t>NORRTÄLJE</t>
        </is>
      </c>
      <c r="G223" t="n">
        <v>2.4</v>
      </c>
      <c r="H223" t="n">
        <v>0</v>
      </c>
      <c r="I223" t="n">
        <v>2</v>
      </c>
      <c r="J223" t="n">
        <v>0</v>
      </c>
      <c r="K223" t="n">
        <v>0</v>
      </c>
      <c r="L223" t="n">
        <v>0</v>
      </c>
      <c r="M223" t="n">
        <v>0</v>
      </c>
      <c r="N223" t="n">
        <v>0</v>
      </c>
      <c r="O223" t="n">
        <v>0</v>
      </c>
      <c r="P223" t="n">
        <v>0</v>
      </c>
      <c r="Q223" t="n">
        <v>2</v>
      </c>
      <c r="R223" s="2" t="inlineStr">
        <is>
          <t>Mörk husmossa
Rödgul trumpetsvamp</t>
        </is>
      </c>
      <c r="S223">
        <f>HYPERLINK("https://klasma.github.io/Logging_0188/artfynd/A 19565-2020 artfynd.xlsx", "A 19565-2020")</f>
        <v/>
      </c>
      <c r="T223">
        <f>HYPERLINK("https://klasma.github.io/Logging_0188/kartor/A 19565-2020 karta.png", "A 19565-2020")</f>
        <v/>
      </c>
      <c r="V223">
        <f>HYPERLINK("https://klasma.github.io/Logging_0188/klagomål/A 19565-2020 FSC-klagomål.docx", "A 19565-2020")</f>
        <v/>
      </c>
      <c r="W223">
        <f>HYPERLINK("https://klasma.github.io/Logging_0188/klagomålsmail/A 19565-2020 FSC-klagomål mail.docx", "A 19565-2020")</f>
        <v/>
      </c>
      <c r="X223">
        <f>HYPERLINK("https://klasma.github.io/Logging_0188/tillsyn/A 19565-2020 tillsynsbegäran.docx", "A 19565-2020")</f>
        <v/>
      </c>
      <c r="Y223">
        <f>HYPERLINK("https://klasma.github.io/Logging_0188/tillsynsmail/A 19565-2020 tillsynsbegäran mail.docx", "A 19565-2020")</f>
        <v/>
      </c>
    </row>
    <row r="224" ht="15" customHeight="1">
      <c r="A224" t="inlineStr">
        <is>
          <t>A 21187-2020</t>
        </is>
      </c>
      <c r="B224" s="1" t="n">
        <v>43951</v>
      </c>
      <c r="C224" s="1" t="n">
        <v>45571</v>
      </c>
      <c r="D224" t="inlineStr">
        <is>
          <t>STOCKHOLMS LÄN</t>
        </is>
      </c>
      <c r="E224" t="inlineStr">
        <is>
          <t>HANINGE</t>
        </is>
      </c>
      <c r="G224" t="n">
        <v>1.2</v>
      </c>
      <c r="H224" t="n">
        <v>0</v>
      </c>
      <c r="I224" t="n">
        <v>1</v>
      </c>
      <c r="J224" t="n">
        <v>0</v>
      </c>
      <c r="K224" t="n">
        <v>1</v>
      </c>
      <c r="L224" t="n">
        <v>0</v>
      </c>
      <c r="M224" t="n">
        <v>0</v>
      </c>
      <c r="N224" t="n">
        <v>0</v>
      </c>
      <c r="O224" t="n">
        <v>1</v>
      </c>
      <c r="P224" t="n">
        <v>1</v>
      </c>
      <c r="Q224" t="n">
        <v>2</v>
      </c>
      <c r="R224" s="2" t="inlineStr">
        <is>
          <t>Fläckfingersvamp
Granbarkgnagare</t>
        </is>
      </c>
      <c r="S224">
        <f>HYPERLINK("https://klasma.github.io/Logging_0136/artfynd/A 21187-2020 artfynd.xlsx", "A 21187-2020")</f>
        <v/>
      </c>
      <c r="T224">
        <f>HYPERLINK("https://klasma.github.io/Logging_0136/kartor/A 21187-2020 karta.png", "A 21187-2020")</f>
        <v/>
      </c>
      <c r="V224">
        <f>HYPERLINK("https://klasma.github.io/Logging_0136/klagomål/A 21187-2020 FSC-klagomål.docx", "A 21187-2020")</f>
        <v/>
      </c>
      <c r="W224">
        <f>HYPERLINK("https://klasma.github.io/Logging_0136/klagomålsmail/A 21187-2020 FSC-klagomål mail.docx", "A 21187-2020")</f>
        <v/>
      </c>
      <c r="X224">
        <f>HYPERLINK("https://klasma.github.io/Logging_0136/tillsyn/A 21187-2020 tillsynsbegäran.docx", "A 21187-2020")</f>
        <v/>
      </c>
      <c r="Y224">
        <f>HYPERLINK("https://klasma.github.io/Logging_0136/tillsynsmail/A 21187-2020 tillsynsbegäran mail.docx", "A 21187-2020")</f>
        <v/>
      </c>
    </row>
    <row r="225" ht="15" customHeight="1">
      <c r="A225" t="inlineStr">
        <is>
          <t>A 24751-2020</t>
        </is>
      </c>
      <c r="B225" s="1" t="n">
        <v>43978</v>
      </c>
      <c r="C225" s="1" t="n">
        <v>45571</v>
      </c>
      <c r="D225" t="inlineStr">
        <is>
          <t>STOCKHOLMS LÄN</t>
        </is>
      </c>
      <c r="E225" t="inlineStr">
        <is>
          <t>VALLENTUNA</t>
        </is>
      </c>
      <c r="G225" t="n">
        <v>5.3</v>
      </c>
      <c r="H225" t="n">
        <v>0</v>
      </c>
      <c r="I225" t="n">
        <v>2</v>
      </c>
      <c r="J225" t="n">
        <v>0</v>
      </c>
      <c r="K225" t="n">
        <v>0</v>
      </c>
      <c r="L225" t="n">
        <v>0</v>
      </c>
      <c r="M225" t="n">
        <v>0</v>
      </c>
      <c r="N225" t="n">
        <v>0</v>
      </c>
      <c r="O225" t="n">
        <v>0</v>
      </c>
      <c r="P225" t="n">
        <v>0</v>
      </c>
      <c r="Q225" t="n">
        <v>2</v>
      </c>
      <c r="R225" s="2" t="inlineStr">
        <is>
          <t>Lönnlav
Stor aspticka</t>
        </is>
      </c>
      <c r="S225">
        <f>HYPERLINK("https://klasma.github.io/Logging_0115/artfynd/A 24751-2020 artfynd.xlsx", "A 24751-2020")</f>
        <v/>
      </c>
      <c r="T225">
        <f>HYPERLINK("https://klasma.github.io/Logging_0115/kartor/A 24751-2020 karta.png", "A 24751-2020")</f>
        <v/>
      </c>
      <c r="V225">
        <f>HYPERLINK("https://klasma.github.io/Logging_0115/klagomål/A 24751-2020 FSC-klagomål.docx", "A 24751-2020")</f>
        <v/>
      </c>
      <c r="W225">
        <f>HYPERLINK("https://klasma.github.io/Logging_0115/klagomålsmail/A 24751-2020 FSC-klagomål mail.docx", "A 24751-2020")</f>
        <v/>
      </c>
      <c r="X225">
        <f>HYPERLINK("https://klasma.github.io/Logging_0115/tillsyn/A 24751-2020 tillsynsbegäran.docx", "A 24751-2020")</f>
        <v/>
      </c>
      <c r="Y225">
        <f>HYPERLINK("https://klasma.github.io/Logging_0115/tillsynsmail/A 24751-2020 tillsynsbegäran mail.docx", "A 24751-2020")</f>
        <v/>
      </c>
    </row>
    <row r="226" ht="15" customHeight="1">
      <c r="A226" t="inlineStr">
        <is>
          <t>A 46237-2020</t>
        </is>
      </c>
      <c r="B226" s="1" t="n">
        <v>44092</v>
      </c>
      <c r="C226" s="1" t="n">
        <v>45571</v>
      </c>
      <c r="D226" t="inlineStr">
        <is>
          <t>STOCKHOLMS LÄN</t>
        </is>
      </c>
      <c r="E226" t="inlineStr">
        <is>
          <t>SÖDERTÄLJE</t>
        </is>
      </c>
      <c r="G226" t="n">
        <v>1.1</v>
      </c>
      <c r="H226" t="n">
        <v>1</v>
      </c>
      <c r="I226" t="n">
        <v>1</v>
      </c>
      <c r="J226" t="n">
        <v>0</v>
      </c>
      <c r="K226" t="n">
        <v>1</v>
      </c>
      <c r="L226" t="n">
        <v>0</v>
      </c>
      <c r="M226" t="n">
        <v>0</v>
      </c>
      <c r="N226" t="n">
        <v>0</v>
      </c>
      <c r="O226" t="n">
        <v>1</v>
      </c>
      <c r="P226" t="n">
        <v>1</v>
      </c>
      <c r="Q226" t="n">
        <v>2</v>
      </c>
      <c r="R226" s="2" t="inlineStr">
        <is>
          <t>Knärot
Rödbrun jordstjärna</t>
        </is>
      </c>
      <c r="S226">
        <f>HYPERLINK("https://klasma.github.io/Logging_0181/artfynd/A 46237-2020 artfynd.xlsx", "A 46237-2020")</f>
        <v/>
      </c>
      <c r="T226">
        <f>HYPERLINK("https://klasma.github.io/Logging_0181/kartor/A 46237-2020 karta.png", "A 46237-2020")</f>
        <v/>
      </c>
      <c r="U226">
        <f>HYPERLINK("https://klasma.github.io/Logging_0181/knärot/A 46237-2020 karta knärot.png", "A 46237-2020")</f>
        <v/>
      </c>
      <c r="V226">
        <f>HYPERLINK("https://klasma.github.io/Logging_0181/klagomål/A 46237-2020 FSC-klagomål.docx", "A 46237-2020")</f>
        <v/>
      </c>
      <c r="W226">
        <f>HYPERLINK("https://klasma.github.io/Logging_0181/klagomålsmail/A 46237-2020 FSC-klagomål mail.docx", "A 46237-2020")</f>
        <v/>
      </c>
      <c r="X226">
        <f>HYPERLINK("https://klasma.github.io/Logging_0181/tillsyn/A 46237-2020 tillsynsbegäran.docx", "A 46237-2020")</f>
        <v/>
      </c>
      <c r="Y226">
        <f>HYPERLINK("https://klasma.github.io/Logging_0181/tillsynsmail/A 46237-2020 tillsynsbegäran mail.docx", "A 46237-2020")</f>
        <v/>
      </c>
    </row>
    <row r="227" ht="15" customHeight="1">
      <c r="A227" t="inlineStr">
        <is>
          <t>A 49269-2020</t>
        </is>
      </c>
      <c r="B227" s="1" t="n">
        <v>44105</v>
      </c>
      <c r="C227" s="1" t="n">
        <v>45571</v>
      </c>
      <c r="D227" t="inlineStr">
        <is>
          <t>STOCKHOLMS LÄN</t>
        </is>
      </c>
      <c r="E227" t="inlineStr">
        <is>
          <t>SIGTUNA</t>
        </is>
      </c>
      <c r="G227" t="n">
        <v>12.9</v>
      </c>
      <c r="H227" t="n">
        <v>2</v>
      </c>
      <c r="I227" t="n">
        <v>0</v>
      </c>
      <c r="J227" t="n">
        <v>1</v>
      </c>
      <c r="K227" t="n">
        <v>0</v>
      </c>
      <c r="L227" t="n">
        <v>0</v>
      </c>
      <c r="M227" t="n">
        <v>0</v>
      </c>
      <c r="N227" t="n">
        <v>0</v>
      </c>
      <c r="O227" t="n">
        <v>1</v>
      </c>
      <c r="P227" t="n">
        <v>0</v>
      </c>
      <c r="Q227" t="n">
        <v>2</v>
      </c>
      <c r="R227" s="2" t="inlineStr">
        <is>
          <t>Gulsparv
Gullviva</t>
        </is>
      </c>
      <c r="S227">
        <f>HYPERLINK("https://klasma.github.io/Logging_0191/artfynd/A 49269-2020 artfynd.xlsx", "A 49269-2020")</f>
        <v/>
      </c>
      <c r="T227">
        <f>HYPERLINK("https://klasma.github.io/Logging_0191/kartor/A 49269-2020 karta.png", "A 49269-2020")</f>
        <v/>
      </c>
      <c r="V227">
        <f>HYPERLINK("https://klasma.github.io/Logging_0191/klagomål/A 49269-2020 FSC-klagomål.docx", "A 49269-2020")</f>
        <v/>
      </c>
      <c r="W227">
        <f>HYPERLINK("https://klasma.github.io/Logging_0191/klagomålsmail/A 49269-2020 FSC-klagomål mail.docx", "A 49269-2020")</f>
        <v/>
      </c>
      <c r="X227">
        <f>HYPERLINK("https://klasma.github.io/Logging_0191/tillsyn/A 49269-2020 tillsynsbegäran.docx", "A 49269-2020")</f>
        <v/>
      </c>
      <c r="Y227">
        <f>HYPERLINK("https://klasma.github.io/Logging_0191/tillsynsmail/A 49269-2020 tillsynsbegäran mail.docx", "A 49269-2020")</f>
        <v/>
      </c>
      <c r="Z227">
        <f>HYPERLINK("https://klasma.github.io/Logging_0191/fåglar/A 49269-2020 prioriterade fågelarter.docx", "A 49269-2020")</f>
        <v/>
      </c>
    </row>
    <row r="228" ht="15" customHeight="1">
      <c r="A228" t="inlineStr">
        <is>
          <t>A 53858-2020</t>
        </is>
      </c>
      <c r="B228" s="1" t="n">
        <v>44125</v>
      </c>
      <c r="C228" s="1" t="n">
        <v>45571</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45571</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45571</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45571</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45571</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45571</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45571</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45571</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45571</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45571</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45571</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45571</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45571</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45571</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45571</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45571</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9745-2022</t>
        </is>
      </c>
      <c r="B244" s="1" t="n">
        <v>44618</v>
      </c>
      <c r="C244" s="1" t="n">
        <v>45571</v>
      </c>
      <c r="D244" t="inlineStr">
        <is>
          <t>STOCKHOLMS LÄN</t>
        </is>
      </c>
      <c r="E244" t="inlineStr">
        <is>
          <t>VALLENTUNA</t>
        </is>
      </c>
      <c r="G244" t="n">
        <v>5.9</v>
      </c>
      <c r="H244" t="n">
        <v>1</v>
      </c>
      <c r="I244" t="n">
        <v>1</v>
      </c>
      <c r="J244" t="n">
        <v>1</v>
      </c>
      <c r="K244" t="n">
        <v>0</v>
      </c>
      <c r="L244" t="n">
        <v>0</v>
      </c>
      <c r="M244" t="n">
        <v>0</v>
      </c>
      <c r="N244" t="n">
        <v>0</v>
      </c>
      <c r="O244" t="n">
        <v>1</v>
      </c>
      <c r="P244" t="n">
        <v>0</v>
      </c>
      <c r="Q244" t="n">
        <v>2</v>
      </c>
      <c r="R244" s="2" t="inlineStr">
        <is>
          <t>Spillkråka
Björksplintborre</t>
        </is>
      </c>
      <c r="S244">
        <f>HYPERLINK("https://klasma.github.io/Logging_0115/artfynd/A 9745-2022 artfynd.xlsx", "A 9745-2022")</f>
        <v/>
      </c>
      <c r="T244">
        <f>HYPERLINK("https://klasma.github.io/Logging_0115/kartor/A 9745-2022 karta.png", "A 9745-2022")</f>
        <v/>
      </c>
      <c r="V244">
        <f>HYPERLINK("https://klasma.github.io/Logging_0115/klagomål/A 9745-2022 FSC-klagomål.docx", "A 9745-2022")</f>
        <v/>
      </c>
      <c r="W244">
        <f>HYPERLINK("https://klasma.github.io/Logging_0115/klagomålsmail/A 9745-2022 FSC-klagomål mail.docx", "A 9745-2022")</f>
        <v/>
      </c>
      <c r="X244">
        <f>HYPERLINK("https://klasma.github.io/Logging_0115/tillsyn/A 9745-2022 tillsynsbegäran.docx", "A 9745-2022")</f>
        <v/>
      </c>
      <c r="Y244">
        <f>HYPERLINK("https://klasma.github.io/Logging_0115/tillsynsmail/A 9745-2022 tillsynsbegäran mail.docx", "A 9745-2022")</f>
        <v/>
      </c>
      <c r="Z244">
        <f>HYPERLINK("https://klasma.github.io/Logging_0115/fåglar/A 9745-2022 prioriterade fågelarter.docx", "A 9745-2022")</f>
        <v/>
      </c>
    </row>
    <row r="245" ht="15" customHeight="1">
      <c r="A245" t="inlineStr">
        <is>
          <t>A 16260-2022</t>
        </is>
      </c>
      <c r="B245" s="1" t="n">
        <v>44670</v>
      </c>
      <c r="C245" s="1" t="n">
        <v>45571</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45571</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45571</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45571</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Gullviva</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31523-2022</t>
        </is>
      </c>
      <c r="B249" s="1" t="n">
        <v>44775</v>
      </c>
      <c r="C249" s="1" t="n">
        <v>45571</v>
      </c>
      <c r="D249" t="inlineStr">
        <is>
          <t>STOCKHOLMS LÄN</t>
        </is>
      </c>
      <c r="E249" t="inlineStr">
        <is>
          <t>ÖSTERÅKER</t>
        </is>
      </c>
      <c r="G249" t="n">
        <v>9</v>
      </c>
      <c r="H249" t="n">
        <v>0</v>
      </c>
      <c r="I249" t="n">
        <v>0</v>
      </c>
      <c r="J249" t="n">
        <v>2</v>
      </c>
      <c r="K249" t="n">
        <v>0</v>
      </c>
      <c r="L249" t="n">
        <v>0</v>
      </c>
      <c r="M249" t="n">
        <v>0</v>
      </c>
      <c r="N249" t="n">
        <v>0</v>
      </c>
      <c r="O249" t="n">
        <v>2</v>
      </c>
      <c r="P249" t="n">
        <v>0</v>
      </c>
      <c r="Q249" t="n">
        <v>2</v>
      </c>
      <c r="R249" s="2" t="inlineStr">
        <is>
          <t>Garnlav
Tallticka</t>
        </is>
      </c>
      <c r="S249">
        <f>HYPERLINK("https://klasma.github.io/Logging_0117/artfynd/A 31523-2022 artfynd.xlsx", "A 31523-2022")</f>
        <v/>
      </c>
      <c r="T249">
        <f>HYPERLINK("https://klasma.github.io/Logging_0117/kartor/A 31523-2022 karta.png", "A 31523-2022")</f>
        <v/>
      </c>
      <c r="V249">
        <f>HYPERLINK("https://klasma.github.io/Logging_0117/klagomål/A 31523-2022 FSC-klagomål.docx", "A 31523-2022")</f>
        <v/>
      </c>
      <c r="W249">
        <f>HYPERLINK("https://klasma.github.io/Logging_0117/klagomålsmail/A 31523-2022 FSC-klagomål mail.docx", "A 31523-2022")</f>
        <v/>
      </c>
      <c r="X249">
        <f>HYPERLINK("https://klasma.github.io/Logging_0117/tillsyn/A 31523-2022 tillsynsbegäran.docx", "A 31523-2022")</f>
        <v/>
      </c>
      <c r="Y249">
        <f>HYPERLINK("https://klasma.github.io/Logging_0117/tillsynsmail/A 31523-2022 tillsynsbegäran mail.docx", "A 31523-2022")</f>
        <v/>
      </c>
    </row>
    <row r="250" ht="15" customHeight="1">
      <c r="A250" t="inlineStr">
        <is>
          <t>A 34068-2022</t>
        </is>
      </c>
      <c r="B250" s="1" t="n">
        <v>44791</v>
      </c>
      <c r="C250" s="1" t="n">
        <v>45571</v>
      </c>
      <c r="D250" t="inlineStr">
        <is>
          <t>STOCKHOLMS LÄN</t>
        </is>
      </c>
      <c r="E250" t="inlineStr">
        <is>
          <t>SIGTUNA</t>
        </is>
      </c>
      <c r="G250" t="n">
        <v>5.8</v>
      </c>
      <c r="H250" t="n">
        <v>1</v>
      </c>
      <c r="I250" t="n">
        <v>0</v>
      </c>
      <c r="J250" t="n">
        <v>0</v>
      </c>
      <c r="K250" t="n">
        <v>0</v>
      </c>
      <c r="L250" t="n">
        <v>1</v>
      </c>
      <c r="M250" t="n">
        <v>0</v>
      </c>
      <c r="N250" t="n">
        <v>0</v>
      </c>
      <c r="O250" t="n">
        <v>1</v>
      </c>
      <c r="P250" t="n">
        <v>1</v>
      </c>
      <c r="Q250" t="n">
        <v>2</v>
      </c>
      <c r="R250" s="2" t="inlineStr">
        <is>
          <t>Ask
Gullviva</t>
        </is>
      </c>
      <c r="S250">
        <f>HYPERLINK("https://klasma.github.io/Logging_0191/artfynd/A 34068-2022 artfynd.xlsx", "A 34068-2022")</f>
        <v/>
      </c>
      <c r="T250">
        <f>HYPERLINK("https://klasma.github.io/Logging_0191/kartor/A 34068-2022 karta.png", "A 34068-2022")</f>
        <v/>
      </c>
      <c r="V250">
        <f>HYPERLINK("https://klasma.github.io/Logging_0191/klagomål/A 34068-2022 FSC-klagomål.docx", "A 34068-2022")</f>
        <v/>
      </c>
      <c r="W250">
        <f>HYPERLINK("https://klasma.github.io/Logging_0191/klagomålsmail/A 34068-2022 FSC-klagomål mail.docx", "A 34068-2022")</f>
        <v/>
      </c>
      <c r="X250">
        <f>HYPERLINK("https://klasma.github.io/Logging_0191/tillsyn/A 34068-2022 tillsynsbegäran.docx", "A 34068-2022")</f>
        <v/>
      </c>
      <c r="Y250">
        <f>HYPERLINK("https://klasma.github.io/Logging_0191/tillsynsmail/A 34068-2022 tillsynsbegäran mail.docx", "A 34068-2022")</f>
        <v/>
      </c>
    </row>
    <row r="251" ht="15" customHeight="1">
      <c r="A251" t="inlineStr">
        <is>
          <t>A 38597-2022</t>
        </is>
      </c>
      <c r="B251" s="1" t="n">
        <v>44813</v>
      </c>
      <c r="C251" s="1" t="n">
        <v>45571</v>
      </c>
      <c r="D251" t="inlineStr">
        <is>
          <t>STOCKHOLMS LÄN</t>
        </is>
      </c>
      <c r="E251" t="inlineStr">
        <is>
          <t>NORRTÄLJE</t>
        </is>
      </c>
      <c r="G251" t="n">
        <v>13.2</v>
      </c>
      <c r="H251" t="n">
        <v>1</v>
      </c>
      <c r="I251" t="n">
        <v>1</v>
      </c>
      <c r="J251" t="n">
        <v>0</v>
      </c>
      <c r="K251" t="n">
        <v>0</v>
      </c>
      <c r="L251" t="n">
        <v>1</v>
      </c>
      <c r="M251" t="n">
        <v>0</v>
      </c>
      <c r="N251" t="n">
        <v>0</v>
      </c>
      <c r="O251" t="n">
        <v>1</v>
      </c>
      <c r="P251" t="n">
        <v>1</v>
      </c>
      <c r="Q251" t="n">
        <v>2</v>
      </c>
      <c r="R251" s="2" t="inlineStr">
        <is>
          <t>Asknätfjäril
Scharlakansvårskål agg.</t>
        </is>
      </c>
      <c r="S251">
        <f>HYPERLINK("https://klasma.github.io/Logging_0188/artfynd/A 38597-2022 artfynd.xlsx", "A 38597-2022")</f>
        <v/>
      </c>
      <c r="T251">
        <f>HYPERLINK("https://klasma.github.io/Logging_0188/kartor/A 38597-2022 karta.png", "A 38597-2022")</f>
        <v/>
      </c>
      <c r="V251">
        <f>HYPERLINK("https://klasma.github.io/Logging_0188/klagomål/A 38597-2022 FSC-klagomål.docx", "A 38597-2022")</f>
        <v/>
      </c>
      <c r="W251">
        <f>HYPERLINK("https://klasma.github.io/Logging_0188/klagomålsmail/A 38597-2022 FSC-klagomål mail.docx", "A 38597-2022")</f>
        <v/>
      </c>
      <c r="X251">
        <f>HYPERLINK("https://klasma.github.io/Logging_0188/tillsyn/A 38597-2022 tillsynsbegäran.docx", "A 38597-2022")</f>
        <v/>
      </c>
      <c r="Y251">
        <f>HYPERLINK("https://klasma.github.io/Logging_0188/tillsynsmail/A 38597-2022 tillsynsbegäran mail.docx", "A 38597-2022")</f>
        <v/>
      </c>
    </row>
    <row r="252" ht="15" customHeight="1">
      <c r="A252" t="inlineStr">
        <is>
          <t>A 52046-2022</t>
        </is>
      </c>
      <c r="B252" s="1" t="n">
        <v>44868</v>
      </c>
      <c r="C252" s="1" t="n">
        <v>45571</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45571</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45571</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45571</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45571</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45571</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45571</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45571</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45571</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5567-2023</t>
        </is>
      </c>
      <c r="B261" s="1" t="n">
        <v>44960</v>
      </c>
      <c r="C261" s="1" t="n">
        <v>45571</v>
      </c>
      <c r="D261" t="inlineStr">
        <is>
          <t>STOCKHOLMS LÄN</t>
        </is>
      </c>
      <c r="E261" t="inlineStr">
        <is>
          <t>NYNÄSHAMN</t>
        </is>
      </c>
      <c r="G261" t="n">
        <v>10.1</v>
      </c>
      <c r="H261" t="n">
        <v>1</v>
      </c>
      <c r="I261" t="n">
        <v>1</v>
      </c>
      <c r="J261" t="n">
        <v>0</v>
      </c>
      <c r="K261" t="n">
        <v>0</v>
      </c>
      <c r="L261" t="n">
        <v>0</v>
      </c>
      <c r="M261" t="n">
        <v>0</v>
      </c>
      <c r="N261" t="n">
        <v>0</v>
      </c>
      <c r="O261" t="n">
        <v>0</v>
      </c>
      <c r="P261" t="n">
        <v>0</v>
      </c>
      <c r="Q261" t="n">
        <v>2</v>
      </c>
      <c r="R261" s="2" t="inlineStr">
        <is>
          <t>Sårläka
Blåsippa</t>
        </is>
      </c>
      <c r="S261">
        <f>HYPERLINK("https://klasma.github.io/Logging_0192/artfynd/A 5567-2023 artfynd.xlsx", "A 5567-2023")</f>
        <v/>
      </c>
      <c r="T261">
        <f>HYPERLINK("https://klasma.github.io/Logging_0192/kartor/A 5567-2023 karta.png", "A 5567-2023")</f>
        <v/>
      </c>
      <c r="V261">
        <f>HYPERLINK("https://klasma.github.io/Logging_0192/klagomål/A 5567-2023 FSC-klagomål.docx", "A 5567-2023")</f>
        <v/>
      </c>
      <c r="W261">
        <f>HYPERLINK("https://klasma.github.io/Logging_0192/klagomålsmail/A 5567-2023 FSC-klagomål mail.docx", "A 5567-2023")</f>
        <v/>
      </c>
      <c r="X261">
        <f>HYPERLINK("https://klasma.github.io/Logging_0192/tillsyn/A 5567-2023 tillsynsbegäran.docx", "A 5567-2023")</f>
        <v/>
      </c>
      <c r="Y261">
        <f>HYPERLINK("https://klasma.github.io/Logging_0192/tillsynsmail/A 5567-2023 tillsynsbegäran mail.docx", "A 5567-2023")</f>
        <v/>
      </c>
    </row>
    <row r="262" ht="15" customHeight="1">
      <c r="A262" t="inlineStr">
        <is>
          <t>A 7341-2023</t>
        </is>
      </c>
      <c r="B262" s="1" t="n">
        <v>44971</v>
      </c>
      <c r="C262" s="1" t="n">
        <v>45571</v>
      </c>
      <c r="D262" t="inlineStr">
        <is>
          <t>STOCKHOLMS LÄN</t>
        </is>
      </c>
      <c r="E262" t="inlineStr">
        <is>
          <t>NORRTÄLJE</t>
        </is>
      </c>
      <c r="F262" t="inlineStr">
        <is>
          <t>Holmen skog AB</t>
        </is>
      </c>
      <c r="G262" t="n">
        <v>10.7</v>
      </c>
      <c r="H262" t="n">
        <v>0</v>
      </c>
      <c r="I262" t="n">
        <v>0</v>
      </c>
      <c r="J262" t="n">
        <v>2</v>
      </c>
      <c r="K262" t="n">
        <v>0</v>
      </c>
      <c r="L262" t="n">
        <v>0</v>
      </c>
      <c r="M262" t="n">
        <v>0</v>
      </c>
      <c r="N262" t="n">
        <v>0</v>
      </c>
      <c r="O262" t="n">
        <v>2</v>
      </c>
      <c r="P262" t="n">
        <v>0</v>
      </c>
      <c r="Q262" t="n">
        <v>2</v>
      </c>
      <c r="R262" s="2" t="inlineStr">
        <is>
          <t>Mindre bastardsvärmare
Smalsprötad bastardsvärmare</t>
        </is>
      </c>
      <c r="S262">
        <f>HYPERLINK("https://klasma.github.io/Logging_0188/artfynd/A 7341-2023 artfynd.xlsx", "A 7341-2023")</f>
        <v/>
      </c>
      <c r="T262">
        <f>HYPERLINK("https://klasma.github.io/Logging_0188/kartor/A 7341-2023 karta.png", "A 7341-2023")</f>
        <v/>
      </c>
      <c r="V262">
        <f>HYPERLINK("https://klasma.github.io/Logging_0188/klagomål/A 7341-2023 FSC-klagomål.docx", "A 7341-2023")</f>
        <v/>
      </c>
      <c r="W262">
        <f>HYPERLINK("https://klasma.github.io/Logging_0188/klagomålsmail/A 7341-2023 FSC-klagomål mail.docx", "A 7341-2023")</f>
        <v/>
      </c>
      <c r="X262">
        <f>HYPERLINK("https://klasma.github.io/Logging_0188/tillsyn/A 7341-2023 tillsynsbegäran.docx", "A 7341-2023")</f>
        <v/>
      </c>
      <c r="Y262">
        <f>HYPERLINK("https://klasma.github.io/Logging_0188/tillsynsmail/A 7341-2023 tillsynsbegäran mail.docx", "A 7341-2023")</f>
        <v/>
      </c>
    </row>
    <row r="263" ht="15" customHeight="1">
      <c r="A263" t="inlineStr">
        <is>
          <t>A 10136-2023</t>
        </is>
      </c>
      <c r="B263" s="1" t="n">
        <v>44986</v>
      </c>
      <c r="C263" s="1" t="n">
        <v>45571</v>
      </c>
      <c r="D263" t="inlineStr">
        <is>
          <t>STOCKHOLMS LÄN</t>
        </is>
      </c>
      <c r="E263" t="inlineStr">
        <is>
          <t>NORRTÄLJE</t>
        </is>
      </c>
      <c r="F263" t="inlineStr">
        <is>
          <t>Övriga statliga verk och myndigheter</t>
        </is>
      </c>
      <c r="G263" t="n">
        <v>3.6</v>
      </c>
      <c r="H263" t="n">
        <v>0</v>
      </c>
      <c r="I263" t="n">
        <v>0</v>
      </c>
      <c r="J263" t="n">
        <v>1</v>
      </c>
      <c r="K263" t="n">
        <v>1</v>
      </c>
      <c r="L263" t="n">
        <v>0</v>
      </c>
      <c r="M263" t="n">
        <v>0</v>
      </c>
      <c r="N263" t="n">
        <v>0</v>
      </c>
      <c r="O263" t="n">
        <v>2</v>
      </c>
      <c r="P263" t="n">
        <v>1</v>
      </c>
      <c r="Q263" t="n">
        <v>2</v>
      </c>
      <c r="R263" s="2" t="inlineStr">
        <is>
          <t>Svartfjällig musseron
Persiljespindling</t>
        </is>
      </c>
      <c r="S263">
        <f>HYPERLINK("https://klasma.github.io/Logging_0188/artfynd/A 10136-2023 artfynd.xlsx", "A 10136-2023")</f>
        <v/>
      </c>
      <c r="T263">
        <f>HYPERLINK("https://klasma.github.io/Logging_0188/kartor/A 10136-2023 karta.png", "A 10136-2023")</f>
        <v/>
      </c>
      <c r="V263">
        <f>HYPERLINK("https://klasma.github.io/Logging_0188/klagomål/A 10136-2023 FSC-klagomål.docx", "A 10136-2023")</f>
        <v/>
      </c>
      <c r="W263">
        <f>HYPERLINK("https://klasma.github.io/Logging_0188/klagomålsmail/A 10136-2023 FSC-klagomål mail.docx", "A 10136-2023")</f>
        <v/>
      </c>
      <c r="X263">
        <f>HYPERLINK("https://klasma.github.io/Logging_0188/tillsyn/A 10136-2023 tillsynsbegäran.docx", "A 10136-2023")</f>
        <v/>
      </c>
      <c r="Y263">
        <f>HYPERLINK("https://klasma.github.io/Logging_0188/tillsynsmail/A 10136-2023 tillsynsbegäran mail.docx", "A 10136-2023")</f>
        <v/>
      </c>
    </row>
    <row r="264" ht="15" customHeight="1">
      <c r="A264" t="inlineStr">
        <is>
          <t>A 14729-2023</t>
        </is>
      </c>
      <c r="B264" s="1" t="n">
        <v>45014</v>
      </c>
      <c r="C264" s="1" t="n">
        <v>45571</v>
      </c>
      <c r="D264" t="inlineStr">
        <is>
          <t>STOCKHOLMS LÄN</t>
        </is>
      </c>
      <c r="E264" t="inlineStr">
        <is>
          <t>HANINGE</t>
        </is>
      </c>
      <c r="G264" t="n">
        <v>0.2</v>
      </c>
      <c r="H264" t="n">
        <v>0</v>
      </c>
      <c r="I264" t="n">
        <v>1</v>
      </c>
      <c r="J264" t="n">
        <v>1</v>
      </c>
      <c r="K264" t="n">
        <v>0</v>
      </c>
      <c r="L264" t="n">
        <v>0</v>
      </c>
      <c r="M264" t="n">
        <v>0</v>
      </c>
      <c r="N264" t="n">
        <v>0</v>
      </c>
      <c r="O264" t="n">
        <v>1</v>
      </c>
      <c r="P264" t="n">
        <v>0</v>
      </c>
      <c r="Q264" t="n">
        <v>2</v>
      </c>
      <c r="R264" s="2" t="inlineStr">
        <is>
          <t>Ullticka
Mindre märgborre</t>
        </is>
      </c>
      <c r="S264">
        <f>HYPERLINK("https://klasma.github.io/Logging_0136/artfynd/A 14729-2023 artfynd.xlsx", "A 14729-2023")</f>
        <v/>
      </c>
      <c r="T264">
        <f>HYPERLINK("https://klasma.github.io/Logging_0136/kartor/A 14729-2023 karta.png", "A 14729-2023")</f>
        <v/>
      </c>
      <c r="V264">
        <f>HYPERLINK("https://klasma.github.io/Logging_0136/klagomål/A 14729-2023 FSC-klagomål.docx", "A 14729-2023")</f>
        <v/>
      </c>
      <c r="W264">
        <f>HYPERLINK("https://klasma.github.io/Logging_0136/klagomålsmail/A 14729-2023 FSC-klagomål mail.docx", "A 14729-2023")</f>
        <v/>
      </c>
      <c r="X264">
        <f>HYPERLINK("https://klasma.github.io/Logging_0136/tillsyn/A 14729-2023 tillsynsbegäran.docx", "A 14729-2023")</f>
        <v/>
      </c>
      <c r="Y264">
        <f>HYPERLINK("https://klasma.github.io/Logging_0136/tillsynsmail/A 14729-2023 tillsynsbegäran mail.docx", "A 14729-2023")</f>
        <v/>
      </c>
    </row>
    <row r="265" ht="15" customHeight="1">
      <c r="A265" t="inlineStr">
        <is>
          <t>A 15574-2023</t>
        </is>
      </c>
      <c r="B265" s="1" t="n">
        <v>45020</v>
      </c>
      <c r="C265" s="1" t="n">
        <v>45571</v>
      </c>
      <c r="D265" t="inlineStr">
        <is>
          <t>STOCKHOLMS LÄN</t>
        </is>
      </c>
      <c r="E265" t="inlineStr">
        <is>
          <t>NYKVARN</t>
        </is>
      </c>
      <c r="F265" t="inlineStr">
        <is>
          <t>Sveaskog</t>
        </is>
      </c>
      <c r="G265" t="n">
        <v>17.7</v>
      </c>
      <c r="H265" t="n">
        <v>0</v>
      </c>
      <c r="I265" t="n">
        <v>1</v>
      </c>
      <c r="J265" t="n">
        <v>1</v>
      </c>
      <c r="K265" t="n">
        <v>0</v>
      </c>
      <c r="L265" t="n">
        <v>0</v>
      </c>
      <c r="M265" t="n">
        <v>0</v>
      </c>
      <c r="N265" t="n">
        <v>0</v>
      </c>
      <c r="O265" t="n">
        <v>1</v>
      </c>
      <c r="P265" t="n">
        <v>0</v>
      </c>
      <c r="Q265" t="n">
        <v>2</v>
      </c>
      <c r="R265" s="2" t="inlineStr">
        <is>
          <t>Rödbrun blekspik
Gulpudrad spiklav</t>
        </is>
      </c>
      <c r="S265">
        <f>HYPERLINK("https://klasma.github.io/Logging_0140/artfynd/A 15574-2023 artfynd.xlsx", "A 15574-2023")</f>
        <v/>
      </c>
      <c r="T265">
        <f>HYPERLINK("https://klasma.github.io/Logging_0140/kartor/A 15574-2023 karta.png", "A 15574-2023")</f>
        <v/>
      </c>
      <c r="V265">
        <f>HYPERLINK("https://klasma.github.io/Logging_0140/klagomål/A 15574-2023 FSC-klagomål.docx", "A 15574-2023")</f>
        <v/>
      </c>
      <c r="W265">
        <f>HYPERLINK("https://klasma.github.io/Logging_0140/klagomålsmail/A 15574-2023 FSC-klagomål mail.docx", "A 15574-2023")</f>
        <v/>
      </c>
      <c r="X265">
        <f>HYPERLINK("https://klasma.github.io/Logging_0140/tillsyn/A 15574-2023 tillsynsbegäran.docx", "A 15574-2023")</f>
        <v/>
      </c>
      <c r="Y265">
        <f>HYPERLINK("https://klasma.github.io/Logging_0140/tillsynsmail/A 15574-2023 tillsynsbegäran mail.docx", "A 15574-2023")</f>
        <v/>
      </c>
    </row>
    <row r="266" ht="15" customHeight="1">
      <c r="A266" t="inlineStr">
        <is>
          <t>A 21748-2023</t>
        </is>
      </c>
      <c r="B266" s="1" t="n">
        <v>45065</v>
      </c>
      <c r="C266" s="1" t="n">
        <v>45571</v>
      </c>
      <c r="D266" t="inlineStr">
        <is>
          <t>STOCKHOLMS LÄN</t>
        </is>
      </c>
      <c r="E266" t="inlineStr">
        <is>
          <t>NORRTÄLJE</t>
        </is>
      </c>
      <c r="F266" t="inlineStr">
        <is>
          <t>Holmen skog AB</t>
        </is>
      </c>
      <c r="G266" t="n">
        <v>2.4</v>
      </c>
      <c r="H266" t="n">
        <v>0</v>
      </c>
      <c r="I266" t="n">
        <v>2</v>
      </c>
      <c r="J266" t="n">
        <v>0</v>
      </c>
      <c r="K266" t="n">
        <v>0</v>
      </c>
      <c r="L266" t="n">
        <v>0</v>
      </c>
      <c r="M266" t="n">
        <v>0</v>
      </c>
      <c r="N266" t="n">
        <v>0</v>
      </c>
      <c r="O266" t="n">
        <v>0</v>
      </c>
      <c r="P266" t="n">
        <v>0</v>
      </c>
      <c r="Q266" t="n">
        <v>2</v>
      </c>
      <c r="R266" s="2" t="inlineStr">
        <is>
          <t>Aspvedgnagare
Tibast</t>
        </is>
      </c>
      <c r="S266">
        <f>HYPERLINK("https://klasma.github.io/Logging_0188/artfynd/A 21748-2023 artfynd.xlsx", "A 21748-2023")</f>
        <v/>
      </c>
      <c r="T266">
        <f>HYPERLINK("https://klasma.github.io/Logging_0188/kartor/A 21748-2023 karta.png", "A 21748-2023")</f>
        <v/>
      </c>
      <c r="V266">
        <f>HYPERLINK("https://klasma.github.io/Logging_0188/klagomål/A 21748-2023 FSC-klagomål.docx", "A 21748-2023")</f>
        <v/>
      </c>
      <c r="W266">
        <f>HYPERLINK("https://klasma.github.io/Logging_0188/klagomålsmail/A 21748-2023 FSC-klagomål mail.docx", "A 21748-2023")</f>
        <v/>
      </c>
      <c r="X266">
        <f>HYPERLINK("https://klasma.github.io/Logging_0188/tillsyn/A 21748-2023 tillsynsbegäran.docx", "A 21748-2023")</f>
        <v/>
      </c>
      <c r="Y266">
        <f>HYPERLINK("https://klasma.github.io/Logging_0188/tillsynsmail/A 21748-2023 tillsynsbegäran mail.docx", "A 21748-2023")</f>
        <v/>
      </c>
    </row>
    <row r="267" ht="15" customHeight="1">
      <c r="A267" t="inlineStr">
        <is>
          <t>A 23861-2023</t>
        </is>
      </c>
      <c r="B267" s="1" t="n">
        <v>45078</v>
      </c>
      <c r="C267" s="1" t="n">
        <v>45571</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45571</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45571</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45571</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45571</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45571</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c r="Z272">
        <f>HYPERLINK("https://klasma.github.io/Logging_0127/fåglar/A 40444-2023 prioriterade fågelarter.docx", "A 40444-2023")</f>
        <v/>
      </c>
    </row>
    <row r="273" ht="15" customHeight="1">
      <c r="A273" t="inlineStr">
        <is>
          <t>A 41021-2023</t>
        </is>
      </c>
      <c r="B273" s="1" t="n">
        <v>45173</v>
      </c>
      <c r="C273" s="1" t="n">
        <v>45571</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45571</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45571</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45571</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45571</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45571</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45571</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45571</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45571</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45571</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754-2024</t>
        </is>
      </c>
      <c r="B283" s="1" t="n">
        <v>45300</v>
      </c>
      <c r="C283" s="1" t="n">
        <v>45571</v>
      </c>
      <c r="D283" t="inlineStr">
        <is>
          <t>STOCKHOLMS LÄN</t>
        </is>
      </c>
      <c r="E283" t="inlineStr">
        <is>
          <t>VALLENTUNA</t>
        </is>
      </c>
      <c r="G283" t="n">
        <v>2.5</v>
      </c>
      <c r="H283" t="n">
        <v>1</v>
      </c>
      <c r="I283" t="n">
        <v>1</v>
      </c>
      <c r="J283" t="n">
        <v>0</v>
      </c>
      <c r="K283" t="n">
        <v>0</v>
      </c>
      <c r="L283" t="n">
        <v>0</v>
      </c>
      <c r="M283" t="n">
        <v>0</v>
      </c>
      <c r="N283" t="n">
        <v>0</v>
      </c>
      <c r="O283" t="n">
        <v>0</v>
      </c>
      <c r="P283" t="n">
        <v>0</v>
      </c>
      <c r="Q283" t="n">
        <v>2</v>
      </c>
      <c r="R283" s="2" t="inlineStr">
        <is>
          <t>Vågbandad barkbock
Grönsiska</t>
        </is>
      </c>
      <c r="S283">
        <f>HYPERLINK("https://klasma.github.io/Logging_0115/artfynd/A 754-2024 artfynd.xlsx", "A 754-2024")</f>
        <v/>
      </c>
      <c r="T283">
        <f>HYPERLINK("https://klasma.github.io/Logging_0115/kartor/A 754-2024 karta.png", "A 754-2024")</f>
        <v/>
      </c>
      <c r="V283">
        <f>HYPERLINK("https://klasma.github.io/Logging_0115/klagomål/A 754-2024 FSC-klagomål.docx", "A 754-2024")</f>
        <v/>
      </c>
      <c r="W283">
        <f>HYPERLINK("https://klasma.github.io/Logging_0115/klagomålsmail/A 754-2024 FSC-klagomål mail.docx", "A 754-2024")</f>
        <v/>
      </c>
      <c r="X283">
        <f>HYPERLINK("https://klasma.github.io/Logging_0115/tillsyn/A 754-2024 tillsynsbegäran.docx", "A 754-2024")</f>
        <v/>
      </c>
      <c r="Y283">
        <f>HYPERLINK("https://klasma.github.io/Logging_0115/tillsynsmail/A 754-2024 tillsynsbegäran mail.docx", "A 754-2024")</f>
        <v/>
      </c>
      <c r="Z283">
        <f>HYPERLINK("https://klasma.github.io/Logging_0115/fåglar/A 754-2024 prioriterade fågelarter.docx", "A 754-2024")</f>
        <v/>
      </c>
    </row>
    <row r="284" ht="15" customHeight="1">
      <c r="A284" t="inlineStr">
        <is>
          <t>A 1036-2024</t>
        </is>
      </c>
      <c r="B284" s="1" t="n">
        <v>45301</v>
      </c>
      <c r="C284" s="1" t="n">
        <v>45571</v>
      </c>
      <c r="D284" t="inlineStr">
        <is>
          <t>STOCKHOLMS LÄN</t>
        </is>
      </c>
      <c r="E284" t="inlineStr">
        <is>
          <t>UPPLANDS VÄSBY</t>
        </is>
      </c>
      <c r="G284" t="n">
        <v>5</v>
      </c>
      <c r="H284" t="n">
        <v>1</v>
      </c>
      <c r="I284" t="n">
        <v>1</v>
      </c>
      <c r="J284" t="n">
        <v>0</v>
      </c>
      <c r="K284" t="n">
        <v>0</v>
      </c>
      <c r="L284" t="n">
        <v>0</v>
      </c>
      <c r="M284" t="n">
        <v>0</v>
      </c>
      <c r="N284" t="n">
        <v>0</v>
      </c>
      <c r="O284" t="n">
        <v>0</v>
      </c>
      <c r="P284" t="n">
        <v>0</v>
      </c>
      <c r="Q284" t="n">
        <v>2</v>
      </c>
      <c r="R284" s="2" t="inlineStr">
        <is>
          <t>Vedticka
Revlummer</t>
        </is>
      </c>
      <c r="S284">
        <f>HYPERLINK("https://klasma.github.io/Logging_0114/artfynd/A 1036-2024 artfynd.xlsx", "A 1036-2024")</f>
        <v/>
      </c>
      <c r="T284">
        <f>HYPERLINK("https://klasma.github.io/Logging_0114/kartor/A 1036-2024 karta.png", "A 1036-2024")</f>
        <v/>
      </c>
      <c r="V284">
        <f>HYPERLINK("https://klasma.github.io/Logging_0114/klagomål/A 1036-2024 FSC-klagomål.docx", "A 1036-2024")</f>
        <v/>
      </c>
      <c r="W284">
        <f>HYPERLINK("https://klasma.github.io/Logging_0114/klagomålsmail/A 1036-2024 FSC-klagomål mail.docx", "A 1036-2024")</f>
        <v/>
      </c>
      <c r="X284">
        <f>HYPERLINK("https://klasma.github.io/Logging_0114/tillsyn/A 1036-2024 tillsynsbegäran.docx", "A 1036-2024")</f>
        <v/>
      </c>
      <c r="Y284">
        <f>HYPERLINK("https://klasma.github.io/Logging_0114/tillsynsmail/A 1036-2024 tillsynsbegäran mail.docx", "A 1036-2024")</f>
        <v/>
      </c>
    </row>
    <row r="285" ht="15" customHeight="1">
      <c r="A285" t="inlineStr">
        <is>
          <t>A 4909-2024</t>
        </is>
      </c>
      <c r="B285" s="1" t="n">
        <v>45329</v>
      </c>
      <c r="C285" s="1" t="n">
        <v>45571</v>
      </c>
      <c r="D285" t="inlineStr">
        <is>
          <t>STOCKHOLMS LÄN</t>
        </is>
      </c>
      <c r="E285" t="inlineStr">
        <is>
          <t>NORRTÄLJE</t>
        </is>
      </c>
      <c r="G285" t="n">
        <v>4.1</v>
      </c>
      <c r="H285" t="n">
        <v>0</v>
      </c>
      <c r="I285" t="n">
        <v>2</v>
      </c>
      <c r="J285" t="n">
        <v>0</v>
      </c>
      <c r="K285" t="n">
        <v>0</v>
      </c>
      <c r="L285" t="n">
        <v>0</v>
      </c>
      <c r="M285" t="n">
        <v>0</v>
      </c>
      <c r="N285" t="n">
        <v>0</v>
      </c>
      <c r="O285" t="n">
        <v>0</v>
      </c>
      <c r="P285" t="n">
        <v>0</v>
      </c>
      <c r="Q285" t="n">
        <v>2</v>
      </c>
      <c r="R285" s="2" t="inlineStr">
        <is>
          <t>Fjällig taggsvamp s.str.
Rödgul trumpetsvamp</t>
        </is>
      </c>
      <c r="S285">
        <f>HYPERLINK("https://klasma.github.io/Logging_0188/artfynd/A 4909-2024 artfynd.xlsx", "A 4909-2024")</f>
        <v/>
      </c>
      <c r="T285">
        <f>HYPERLINK("https://klasma.github.io/Logging_0188/kartor/A 4909-2024 karta.png", "A 4909-2024")</f>
        <v/>
      </c>
      <c r="V285">
        <f>HYPERLINK("https://klasma.github.io/Logging_0188/klagomål/A 4909-2024 FSC-klagomål.docx", "A 4909-2024")</f>
        <v/>
      </c>
      <c r="W285">
        <f>HYPERLINK("https://klasma.github.io/Logging_0188/klagomålsmail/A 4909-2024 FSC-klagomål mail.docx", "A 4909-2024")</f>
        <v/>
      </c>
      <c r="X285">
        <f>HYPERLINK("https://klasma.github.io/Logging_0188/tillsyn/A 4909-2024 tillsynsbegäran.docx", "A 4909-2024")</f>
        <v/>
      </c>
      <c r="Y285">
        <f>HYPERLINK("https://klasma.github.io/Logging_0188/tillsynsmail/A 4909-2024 tillsynsbegäran mail.docx", "A 4909-2024")</f>
        <v/>
      </c>
    </row>
    <row r="286" ht="15" customHeight="1">
      <c r="A286" t="inlineStr">
        <is>
          <t>A 8622-2024</t>
        </is>
      </c>
      <c r="B286" s="1" t="n">
        <v>45355</v>
      </c>
      <c r="C286" s="1" t="n">
        <v>45571</v>
      </c>
      <c r="D286" t="inlineStr">
        <is>
          <t>STOCKHOLMS LÄN</t>
        </is>
      </c>
      <c r="E286" t="inlineStr">
        <is>
          <t>ÖSTERÅKER</t>
        </is>
      </c>
      <c r="G286" t="n">
        <v>5.3</v>
      </c>
      <c r="H286" t="n">
        <v>2</v>
      </c>
      <c r="I286" t="n">
        <v>0</v>
      </c>
      <c r="J286" t="n">
        <v>1</v>
      </c>
      <c r="K286" t="n">
        <v>0</v>
      </c>
      <c r="L286" t="n">
        <v>0</v>
      </c>
      <c r="M286" t="n">
        <v>0</v>
      </c>
      <c r="N286" t="n">
        <v>0</v>
      </c>
      <c r="O286" t="n">
        <v>1</v>
      </c>
      <c r="P286" t="n">
        <v>0</v>
      </c>
      <c r="Q286" t="n">
        <v>2</v>
      </c>
      <c r="R286" s="2" t="inlineStr">
        <is>
          <t>Svartvit flugsnappare
Blåsippa</t>
        </is>
      </c>
      <c r="S286">
        <f>HYPERLINK("https://klasma.github.io/Logging_0117/artfynd/A 8622-2024 artfynd.xlsx", "A 8622-2024")</f>
        <v/>
      </c>
      <c r="T286">
        <f>HYPERLINK("https://klasma.github.io/Logging_0117/kartor/A 8622-2024 karta.png", "A 8622-2024")</f>
        <v/>
      </c>
      <c r="V286">
        <f>HYPERLINK("https://klasma.github.io/Logging_0117/klagomål/A 8622-2024 FSC-klagomål.docx", "A 8622-2024")</f>
        <v/>
      </c>
      <c r="W286">
        <f>HYPERLINK("https://klasma.github.io/Logging_0117/klagomålsmail/A 8622-2024 FSC-klagomål mail.docx", "A 8622-2024")</f>
        <v/>
      </c>
      <c r="X286">
        <f>HYPERLINK("https://klasma.github.io/Logging_0117/tillsyn/A 8622-2024 tillsynsbegäran.docx", "A 8622-2024")</f>
        <v/>
      </c>
      <c r="Y286">
        <f>HYPERLINK("https://klasma.github.io/Logging_0117/tillsynsmail/A 8622-2024 tillsynsbegäran mail.docx", "A 8622-2024")</f>
        <v/>
      </c>
      <c r="Z286">
        <f>HYPERLINK("https://klasma.github.io/Logging_0117/fåglar/A 8622-2024 prioriterade fågelarter.docx", "A 8622-2024")</f>
        <v/>
      </c>
    </row>
    <row r="287" ht="15" customHeight="1">
      <c r="A287" t="inlineStr">
        <is>
          <t>A 11995-2024</t>
        </is>
      </c>
      <c r="B287" s="1" t="n">
        <v>45377</v>
      </c>
      <c r="C287" s="1" t="n">
        <v>45571</v>
      </c>
      <c r="D287" t="inlineStr">
        <is>
          <t>STOCKHOLMS LÄN</t>
        </is>
      </c>
      <c r="E287" t="inlineStr">
        <is>
          <t>NORRTÄLJE</t>
        </is>
      </c>
      <c r="G287" t="n">
        <v>4.7</v>
      </c>
      <c r="H287" t="n">
        <v>0</v>
      </c>
      <c r="I287" t="n">
        <v>1</v>
      </c>
      <c r="J287" t="n">
        <v>1</v>
      </c>
      <c r="K287" t="n">
        <v>0</v>
      </c>
      <c r="L287" t="n">
        <v>0</v>
      </c>
      <c r="M287" t="n">
        <v>0</v>
      </c>
      <c r="N287" t="n">
        <v>0</v>
      </c>
      <c r="O287" t="n">
        <v>1</v>
      </c>
      <c r="P287" t="n">
        <v>0</v>
      </c>
      <c r="Q287" t="n">
        <v>2</v>
      </c>
      <c r="R287" s="2" t="inlineStr">
        <is>
          <t>Tallticka
Svavelriska</t>
        </is>
      </c>
      <c r="S287">
        <f>HYPERLINK("https://klasma.github.io/Logging_0188/artfynd/A 11995-2024 artfynd.xlsx", "A 11995-2024")</f>
        <v/>
      </c>
      <c r="T287">
        <f>HYPERLINK("https://klasma.github.io/Logging_0188/kartor/A 11995-2024 karta.png", "A 11995-2024")</f>
        <v/>
      </c>
      <c r="V287">
        <f>HYPERLINK("https://klasma.github.io/Logging_0188/klagomål/A 11995-2024 FSC-klagomål.docx", "A 11995-2024")</f>
        <v/>
      </c>
      <c r="W287">
        <f>HYPERLINK("https://klasma.github.io/Logging_0188/klagomålsmail/A 11995-2024 FSC-klagomål mail.docx", "A 11995-2024")</f>
        <v/>
      </c>
      <c r="X287">
        <f>HYPERLINK("https://klasma.github.io/Logging_0188/tillsyn/A 11995-2024 tillsynsbegäran.docx", "A 11995-2024")</f>
        <v/>
      </c>
      <c r="Y287">
        <f>HYPERLINK("https://klasma.github.io/Logging_0188/tillsynsmail/A 11995-2024 tillsynsbegäran mail.docx", "A 11995-2024")</f>
        <v/>
      </c>
    </row>
    <row r="288" ht="15" customHeight="1">
      <c r="A288" t="inlineStr">
        <is>
          <t>A 12662-2024</t>
        </is>
      </c>
      <c r="B288" s="1" t="n">
        <v>45384</v>
      </c>
      <c r="C288" s="1" t="n">
        <v>45571</v>
      </c>
      <c r="D288" t="inlineStr">
        <is>
          <t>STOCKHOLMS LÄN</t>
        </is>
      </c>
      <c r="E288" t="inlineStr">
        <is>
          <t>HANINGE</t>
        </is>
      </c>
      <c r="G288" t="n">
        <v>1.8</v>
      </c>
      <c r="H288" t="n">
        <v>1</v>
      </c>
      <c r="I288" t="n">
        <v>1</v>
      </c>
      <c r="J288" t="n">
        <v>0</v>
      </c>
      <c r="K288" t="n">
        <v>0</v>
      </c>
      <c r="L288" t="n">
        <v>0</v>
      </c>
      <c r="M288" t="n">
        <v>0</v>
      </c>
      <c r="N288" t="n">
        <v>0</v>
      </c>
      <c r="O288" t="n">
        <v>0</v>
      </c>
      <c r="P288" t="n">
        <v>0</v>
      </c>
      <c r="Q288" t="n">
        <v>2</v>
      </c>
      <c r="R288" s="2" t="inlineStr">
        <is>
          <t>Skogshakmossa
Blåsippa</t>
        </is>
      </c>
      <c r="S288">
        <f>HYPERLINK("https://klasma.github.io/Logging_0136/artfynd/A 12662-2024 artfynd.xlsx", "A 12662-2024")</f>
        <v/>
      </c>
      <c r="T288">
        <f>HYPERLINK("https://klasma.github.io/Logging_0136/kartor/A 12662-2024 karta.png", "A 12662-2024")</f>
        <v/>
      </c>
      <c r="V288">
        <f>HYPERLINK("https://klasma.github.io/Logging_0136/klagomål/A 12662-2024 FSC-klagomål.docx", "A 12662-2024")</f>
        <v/>
      </c>
      <c r="W288">
        <f>HYPERLINK("https://klasma.github.io/Logging_0136/klagomålsmail/A 12662-2024 FSC-klagomål mail.docx", "A 12662-2024")</f>
        <v/>
      </c>
      <c r="X288">
        <f>HYPERLINK("https://klasma.github.io/Logging_0136/tillsyn/A 12662-2024 tillsynsbegäran.docx", "A 12662-2024")</f>
        <v/>
      </c>
      <c r="Y288">
        <f>HYPERLINK("https://klasma.github.io/Logging_0136/tillsynsmail/A 12662-2024 tillsynsbegäran mail.docx", "A 12662-2024")</f>
        <v/>
      </c>
    </row>
    <row r="289" ht="15" customHeight="1">
      <c r="A289" t="inlineStr">
        <is>
          <t>A 13150-2024</t>
        </is>
      </c>
      <c r="B289" s="1" t="n">
        <v>45386</v>
      </c>
      <c r="C289" s="1" t="n">
        <v>45571</v>
      </c>
      <c r="D289" t="inlineStr">
        <is>
          <t>STOCKHOLMS LÄN</t>
        </is>
      </c>
      <c r="E289" t="inlineStr">
        <is>
          <t>NORRTÄLJE</t>
        </is>
      </c>
      <c r="G289" t="n">
        <v>7.4</v>
      </c>
      <c r="H289" t="n">
        <v>0</v>
      </c>
      <c r="I289" t="n">
        <v>1</v>
      </c>
      <c r="J289" t="n">
        <v>1</v>
      </c>
      <c r="K289" t="n">
        <v>0</v>
      </c>
      <c r="L289" t="n">
        <v>0</v>
      </c>
      <c r="M289" t="n">
        <v>0</v>
      </c>
      <c r="N289" t="n">
        <v>0</v>
      </c>
      <c r="O289" t="n">
        <v>1</v>
      </c>
      <c r="P289" t="n">
        <v>0</v>
      </c>
      <c r="Q289" t="n">
        <v>2</v>
      </c>
      <c r="R289" s="2" t="inlineStr">
        <is>
          <t>Orange taggsvamp
Mönjevaxskivling</t>
        </is>
      </c>
      <c r="S289">
        <f>HYPERLINK("https://klasma.github.io/Logging_0188/artfynd/A 13150-2024 artfynd.xlsx", "A 13150-2024")</f>
        <v/>
      </c>
      <c r="T289">
        <f>HYPERLINK("https://klasma.github.io/Logging_0188/kartor/A 13150-2024 karta.png", "A 13150-2024")</f>
        <v/>
      </c>
      <c r="V289">
        <f>HYPERLINK("https://klasma.github.io/Logging_0188/klagomål/A 13150-2024 FSC-klagomål.docx", "A 13150-2024")</f>
        <v/>
      </c>
      <c r="W289">
        <f>HYPERLINK("https://klasma.github.io/Logging_0188/klagomålsmail/A 13150-2024 FSC-klagomål mail.docx", "A 13150-2024")</f>
        <v/>
      </c>
      <c r="X289">
        <f>HYPERLINK("https://klasma.github.io/Logging_0188/tillsyn/A 13150-2024 tillsynsbegäran.docx", "A 13150-2024")</f>
        <v/>
      </c>
      <c r="Y289">
        <f>HYPERLINK("https://klasma.github.io/Logging_0188/tillsynsmail/A 13150-2024 tillsynsbegäran mail.docx", "A 13150-2024")</f>
        <v/>
      </c>
    </row>
    <row r="290" ht="15" customHeight="1">
      <c r="A290" t="inlineStr">
        <is>
          <t>A 24025-2024</t>
        </is>
      </c>
      <c r="B290" s="1" t="n">
        <v>45456</v>
      </c>
      <c r="C290" s="1" t="n">
        <v>45571</v>
      </c>
      <c r="D290" t="inlineStr">
        <is>
          <t>STOCKHOLMS LÄN</t>
        </is>
      </c>
      <c r="E290" t="inlineStr">
        <is>
          <t>NORRTÄLJE</t>
        </is>
      </c>
      <c r="G290" t="n">
        <v>6</v>
      </c>
      <c r="H290" t="n">
        <v>0</v>
      </c>
      <c r="I290" t="n">
        <v>2</v>
      </c>
      <c r="J290" t="n">
        <v>0</v>
      </c>
      <c r="K290" t="n">
        <v>0</v>
      </c>
      <c r="L290" t="n">
        <v>0</v>
      </c>
      <c r="M290" t="n">
        <v>0</v>
      </c>
      <c r="N290" t="n">
        <v>0</v>
      </c>
      <c r="O290" t="n">
        <v>0</v>
      </c>
      <c r="P290" t="n">
        <v>0</v>
      </c>
      <c r="Q290" t="n">
        <v>2</v>
      </c>
      <c r="R290" s="2" t="inlineStr">
        <is>
          <t>Guldlockmossa
Platt fjädermossa</t>
        </is>
      </c>
      <c r="S290">
        <f>HYPERLINK("https://klasma.github.io/Logging_0188/artfynd/A 24025-2024 artfynd.xlsx", "A 24025-2024")</f>
        <v/>
      </c>
      <c r="T290">
        <f>HYPERLINK("https://klasma.github.io/Logging_0188/kartor/A 24025-2024 karta.png", "A 24025-2024")</f>
        <v/>
      </c>
      <c r="V290">
        <f>HYPERLINK("https://klasma.github.io/Logging_0188/klagomål/A 24025-2024 FSC-klagomål.docx", "A 24025-2024")</f>
        <v/>
      </c>
      <c r="W290">
        <f>HYPERLINK("https://klasma.github.io/Logging_0188/klagomålsmail/A 24025-2024 FSC-klagomål mail.docx", "A 24025-2024")</f>
        <v/>
      </c>
      <c r="X290">
        <f>HYPERLINK("https://klasma.github.io/Logging_0188/tillsyn/A 24025-2024 tillsynsbegäran.docx", "A 24025-2024")</f>
        <v/>
      </c>
      <c r="Y290">
        <f>HYPERLINK("https://klasma.github.io/Logging_0188/tillsynsmail/A 24025-2024 tillsynsbegäran mail.docx", "A 24025-2024")</f>
        <v/>
      </c>
    </row>
    <row r="291" ht="15" customHeight="1">
      <c r="A291" t="inlineStr">
        <is>
          <t>A 29376-2024</t>
        </is>
      </c>
      <c r="B291" s="1" t="n">
        <v>45483</v>
      </c>
      <c r="C291" s="1" t="n">
        <v>45571</v>
      </c>
      <c r="D291" t="inlineStr">
        <is>
          <t>STOCKHOLMS LÄN</t>
        </is>
      </c>
      <c r="E291" t="inlineStr">
        <is>
          <t>VALLENTUNA</t>
        </is>
      </c>
      <c r="F291" t="inlineStr">
        <is>
          <t>Övriga Aktiebolag</t>
        </is>
      </c>
      <c r="G291" t="n">
        <v>11.9</v>
      </c>
      <c r="H291" t="n">
        <v>0</v>
      </c>
      <c r="I291" t="n">
        <v>0</v>
      </c>
      <c r="J291" t="n">
        <v>1</v>
      </c>
      <c r="K291" t="n">
        <v>1</v>
      </c>
      <c r="L291" t="n">
        <v>0</v>
      </c>
      <c r="M291" t="n">
        <v>0</v>
      </c>
      <c r="N291" t="n">
        <v>0</v>
      </c>
      <c r="O291" t="n">
        <v>2</v>
      </c>
      <c r="P291" t="n">
        <v>1</v>
      </c>
      <c r="Q291" t="n">
        <v>2</v>
      </c>
      <c r="R291" s="2" t="inlineStr">
        <is>
          <t>Bandnate
Vedtrappmossa</t>
        </is>
      </c>
      <c r="S291">
        <f>HYPERLINK("https://klasma.github.io/Logging_0115/artfynd/A 29376-2024 artfynd.xlsx", "A 29376-2024")</f>
        <v/>
      </c>
      <c r="T291">
        <f>HYPERLINK("https://klasma.github.io/Logging_0115/kartor/A 29376-2024 karta.png", "A 29376-2024")</f>
        <v/>
      </c>
      <c r="V291">
        <f>HYPERLINK("https://klasma.github.io/Logging_0115/klagomål/A 29376-2024 FSC-klagomål.docx", "A 29376-2024")</f>
        <v/>
      </c>
      <c r="W291">
        <f>HYPERLINK("https://klasma.github.io/Logging_0115/klagomålsmail/A 29376-2024 FSC-klagomål mail.docx", "A 29376-2024")</f>
        <v/>
      </c>
      <c r="X291">
        <f>HYPERLINK("https://klasma.github.io/Logging_0115/tillsyn/A 29376-2024 tillsynsbegäran.docx", "A 29376-2024")</f>
        <v/>
      </c>
      <c r="Y291">
        <f>HYPERLINK("https://klasma.github.io/Logging_0115/tillsynsmail/A 29376-2024 tillsynsbegäran mail.docx", "A 29376-2024")</f>
        <v/>
      </c>
    </row>
    <row r="292" ht="15" customHeight="1">
      <c r="A292" t="inlineStr">
        <is>
          <t>A 36813-2024</t>
        </is>
      </c>
      <c r="B292" s="1" t="n">
        <v>45538</v>
      </c>
      <c r="C292" s="1" t="n">
        <v>45571</v>
      </c>
      <c r="D292" t="inlineStr">
        <is>
          <t>STOCKHOLMS LÄN</t>
        </is>
      </c>
      <c r="E292" t="inlineStr">
        <is>
          <t>NYKVARN</t>
        </is>
      </c>
      <c r="G292" t="n">
        <v>5.9</v>
      </c>
      <c r="H292" t="n">
        <v>1</v>
      </c>
      <c r="I292" t="n">
        <v>1</v>
      </c>
      <c r="J292" t="n">
        <v>0</v>
      </c>
      <c r="K292" t="n">
        <v>0</v>
      </c>
      <c r="L292" t="n">
        <v>0</v>
      </c>
      <c r="M292" t="n">
        <v>0</v>
      </c>
      <c r="N292" t="n">
        <v>0</v>
      </c>
      <c r="O292" t="n">
        <v>0</v>
      </c>
      <c r="P292" t="n">
        <v>0</v>
      </c>
      <c r="Q292" t="n">
        <v>2</v>
      </c>
      <c r="R292" s="2" t="inlineStr">
        <is>
          <t>Vårärt
Blåsippa</t>
        </is>
      </c>
      <c r="S292">
        <f>HYPERLINK("https://klasma.github.io/Logging_0140/artfynd/A 36813-2024 artfynd.xlsx", "A 36813-2024")</f>
        <v/>
      </c>
      <c r="T292">
        <f>HYPERLINK("https://klasma.github.io/Logging_0140/kartor/A 36813-2024 karta.png", "A 36813-2024")</f>
        <v/>
      </c>
      <c r="V292">
        <f>HYPERLINK("https://klasma.github.io/Logging_0140/klagomål/A 36813-2024 FSC-klagomål.docx", "A 36813-2024")</f>
        <v/>
      </c>
      <c r="W292">
        <f>HYPERLINK("https://klasma.github.io/Logging_0140/klagomålsmail/A 36813-2024 FSC-klagomål mail.docx", "A 36813-2024")</f>
        <v/>
      </c>
      <c r="X292">
        <f>HYPERLINK("https://klasma.github.io/Logging_0140/tillsyn/A 36813-2024 tillsynsbegäran.docx", "A 36813-2024")</f>
        <v/>
      </c>
      <c r="Y292">
        <f>HYPERLINK("https://klasma.github.io/Logging_0140/tillsynsmail/A 36813-2024 tillsynsbegäran mail.docx", "A 36813-2024")</f>
        <v/>
      </c>
    </row>
    <row r="293" ht="15" customHeight="1">
      <c r="A293" t="inlineStr">
        <is>
          <t>A 43308-2024</t>
        </is>
      </c>
      <c r="B293" s="1" t="n">
        <v>45568</v>
      </c>
      <c r="C293" s="1" t="n">
        <v>45571</v>
      </c>
      <c r="D293" t="inlineStr">
        <is>
          <t>STOCKHOLMS LÄN</t>
        </is>
      </c>
      <c r="E293" t="inlineStr">
        <is>
          <t>ÖSTERÅKER</t>
        </is>
      </c>
      <c r="F293" t="inlineStr">
        <is>
          <t>Kyrkan</t>
        </is>
      </c>
      <c r="G293" t="n">
        <v>3.2</v>
      </c>
      <c r="H293" t="n">
        <v>0</v>
      </c>
      <c r="I293" t="n">
        <v>1</v>
      </c>
      <c r="J293" t="n">
        <v>1</v>
      </c>
      <c r="K293" t="n">
        <v>0</v>
      </c>
      <c r="L293" t="n">
        <v>0</v>
      </c>
      <c r="M293" t="n">
        <v>0</v>
      </c>
      <c r="N293" t="n">
        <v>0</v>
      </c>
      <c r="O293" t="n">
        <v>1</v>
      </c>
      <c r="P293" t="n">
        <v>0</v>
      </c>
      <c r="Q293" t="n">
        <v>2</v>
      </c>
      <c r="R293" s="2" t="inlineStr">
        <is>
          <t>Tallticka
Dropptaggsvamp</t>
        </is>
      </c>
      <c r="S293">
        <f>HYPERLINK("https://klasma.github.io/Logging_0117/artfynd/A 43308-2024 artfynd.xlsx", "A 43308-2024")</f>
        <v/>
      </c>
      <c r="T293">
        <f>HYPERLINK("https://klasma.github.io/Logging_0117/kartor/A 43308-2024 karta.png", "A 43308-2024")</f>
        <v/>
      </c>
      <c r="V293">
        <f>HYPERLINK("https://klasma.github.io/Logging_0117/klagomål/A 43308-2024 FSC-klagomål.docx", "A 43308-2024")</f>
        <v/>
      </c>
      <c r="W293">
        <f>HYPERLINK("https://klasma.github.io/Logging_0117/klagomålsmail/A 43308-2024 FSC-klagomål mail.docx", "A 43308-2024")</f>
        <v/>
      </c>
      <c r="X293">
        <f>HYPERLINK("https://klasma.github.io/Logging_0117/tillsyn/A 43308-2024 tillsynsbegäran.docx", "A 43308-2024")</f>
        <v/>
      </c>
      <c r="Y293">
        <f>HYPERLINK("https://klasma.github.io/Logging_0117/tillsynsmail/A 43308-2024 tillsynsbegäran mail.docx", "A 43308-2024")</f>
        <v/>
      </c>
    </row>
    <row r="294" ht="15" customHeight="1">
      <c r="A294" t="inlineStr">
        <is>
          <t>A 20740-2019</t>
        </is>
      </c>
      <c r="B294" s="1" t="n">
        <v>43573</v>
      </c>
      <c r="C294" s="1" t="n">
        <v>45571</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Slåtterfibbla</t>
        </is>
      </c>
      <c r="S294">
        <f>HYPERLINK("https://klasma.github.io/Logging_0188/artfynd/A 20740-2019 artfynd.xlsx", "A 20740-2019")</f>
        <v/>
      </c>
      <c r="T294">
        <f>HYPERLINK("https://klasma.github.io/Logging_0188/kartor/A 20740-2019 karta.png", "A 20740-2019")</f>
        <v/>
      </c>
      <c r="V294">
        <f>HYPERLINK("https://klasma.github.io/Logging_0188/klagomål/A 20740-2019 FSC-klagomål.docx", "A 20740-2019")</f>
        <v/>
      </c>
      <c r="W294">
        <f>HYPERLINK("https://klasma.github.io/Logging_0188/klagomålsmail/A 20740-2019 FSC-klagomål mail.docx", "A 20740-2019")</f>
        <v/>
      </c>
      <c r="X294">
        <f>HYPERLINK("https://klasma.github.io/Logging_0188/tillsyn/A 20740-2019 tillsynsbegäran.docx", "A 20740-2019")</f>
        <v/>
      </c>
      <c r="Y294">
        <f>HYPERLINK("https://klasma.github.io/Logging_0188/tillsynsmail/A 20740-2019 tillsynsbegäran mail.docx", "A 20740-2019")</f>
        <v/>
      </c>
    </row>
    <row r="295" ht="15" customHeight="1">
      <c r="A295" t="inlineStr">
        <is>
          <t>A 24362-2019</t>
        </is>
      </c>
      <c r="B295" s="1" t="n">
        <v>43599</v>
      </c>
      <c r="C295" s="1" t="n">
        <v>45571</v>
      </c>
      <c r="D295" t="inlineStr">
        <is>
          <t>STOCKHOLMS LÄN</t>
        </is>
      </c>
      <c r="E295" t="inlineStr">
        <is>
          <t>NYNÄSHAMN</t>
        </is>
      </c>
      <c r="F295" t="inlineStr">
        <is>
          <t>Kommuner</t>
        </is>
      </c>
      <c r="G295" t="n">
        <v>2.3</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24362-2019 artfynd.xlsx", "A 24362-2019")</f>
        <v/>
      </c>
      <c r="T295">
        <f>HYPERLINK("https://klasma.github.io/Logging_0192/kartor/A 24362-2019 karta.png", "A 24362-2019")</f>
        <v/>
      </c>
      <c r="V295">
        <f>HYPERLINK("https://klasma.github.io/Logging_0192/klagomål/A 24362-2019 FSC-klagomål.docx", "A 24362-2019")</f>
        <v/>
      </c>
      <c r="W295">
        <f>HYPERLINK("https://klasma.github.io/Logging_0192/klagomålsmail/A 24362-2019 FSC-klagomål mail.docx", "A 24362-2019")</f>
        <v/>
      </c>
      <c r="X295">
        <f>HYPERLINK("https://klasma.github.io/Logging_0192/tillsyn/A 24362-2019 tillsynsbegäran.docx", "A 24362-2019")</f>
        <v/>
      </c>
      <c r="Y295">
        <f>HYPERLINK("https://klasma.github.io/Logging_0192/tillsynsmail/A 24362-2019 tillsynsbegäran mail.docx", "A 24362-2019")</f>
        <v/>
      </c>
    </row>
    <row r="296" ht="15" customHeight="1">
      <c r="A296" t="inlineStr">
        <is>
          <t>A 26275-2019</t>
        </is>
      </c>
      <c r="B296" s="1" t="n">
        <v>43611</v>
      </c>
      <c r="C296" s="1" t="n">
        <v>45571</v>
      </c>
      <c r="D296" t="inlineStr">
        <is>
          <t>STOCKHOLMS LÄN</t>
        </is>
      </c>
      <c r="E296" t="inlineStr">
        <is>
          <t>NORRTÄLJE</t>
        </is>
      </c>
      <c r="G296" t="n">
        <v>0.5</v>
      </c>
      <c r="H296" t="n">
        <v>0</v>
      </c>
      <c r="I296" t="n">
        <v>1</v>
      </c>
      <c r="J296" t="n">
        <v>0</v>
      </c>
      <c r="K296" t="n">
        <v>0</v>
      </c>
      <c r="L296" t="n">
        <v>0</v>
      </c>
      <c r="M296" t="n">
        <v>0</v>
      </c>
      <c r="N296" t="n">
        <v>0</v>
      </c>
      <c r="O296" t="n">
        <v>0</v>
      </c>
      <c r="P296" t="n">
        <v>0</v>
      </c>
      <c r="Q296" t="n">
        <v>1</v>
      </c>
      <c r="R296" s="2" t="inlineStr">
        <is>
          <t>Blåmossa</t>
        </is>
      </c>
      <c r="S296">
        <f>HYPERLINK("https://klasma.github.io/Logging_0188/artfynd/A 26275-2019 artfynd.xlsx", "A 26275-2019")</f>
        <v/>
      </c>
      <c r="T296">
        <f>HYPERLINK("https://klasma.github.io/Logging_0188/kartor/A 26275-2019 karta.png", "A 26275-2019")</f>
        <v/>
      </c>
      <c r="V296">
        <f>HYPERLINK("https://klasma.github.io/Logging_0188/klagomål/A 26275-2019 FSC-klagomål.docx", "A 26275-2019")</f>
        <v/>
      </c>
      <c r="W296">
        <f>HYPERLINK("https://klasma.github.io/Logging_0188/klagomålsmail/A 26275-2019 FSC-klagomål mail.docx", "A 26275-2019")</f>
        <v/>
      </c>
      <c r="X296">
        <f>HYPERLINK("https://klasma.github.io/Logging_0188/tillsyn/A 26275-2019 tillsynsbegäran.docx", "A 26275-2019")</f>
        <v/>
      </c>
      <c r="Y296">
        <f>HYPERLINK("https://klasma.github.io/Logging_0188/tillsynsmail/A 26275-2019 tillsynsbegäran mail.docx", "A 26275-2019")</f>
        <v/>
      </c>
    </row>
    <row r="297" ht="15" customHeight="1">
      <c r="A297" t="inlineStr">
        <is>
          <t>A 27513-2019</t>
        </is>
      </c>
      <c r="B297" s="1" t="n">
        <v>43619</v>
      </c>
      <c r="C297" s="1" t="n">
        <v>45571</v>
      </c>
      <c r="D297" t="inlineStr">
        <is>
          <t>STOCKHOLMS LÄN</t>
        </is>
      </c>
      <c r="E297" t="inlineStr">
        <is>
          <t>SÖDERTÄLJE</t>
        </is>
      </c>
      <c r="F297" t="inlineStr">
        <is>
          <t>Sveaskog</t>
        </is>
      </c>
      <c r="G297" t="n">
        <v>2.9</v>
      </c>
      <c r="H297" t="n">
        <v>0</v>
      </c>
      <c r="I297" t="n">
        <v>0</v>
      </c>
      <c r="J297" t="n">
        <v>1</v>
      </c>
      <c r="K297" t="n">
        <v>0</v>
      </c>
      <c r="L297" t="n">
        <v>0</v>
      </c>
      <c r="M297" t="n">
        <v>0</v>
      </c>
      <c r="N297" t="n">
        <v>0</v>
      </c>
      <c r="O297" t="n">
        <v>1</v>
      </c>
      <c r="P297" t="n">
        <v>0</v>
      </c>
      <c r="Q297" t="n">
        <v>1</v>
      </c>
      <c r="R297" s="2" t="inlineStr">
        <is>
          <t>Vedtrappmossa</t>
        </is>
      </c>
      <c r="S297">
        <f>HYPERLINK("https://klasma.github.io/Logging_0181/artfynd/A 27513-2019 artfynd.xlsx", "A 27513-2019")</f>
        <v/>
      </c>
      <c r="T297">
        <f>HYPERLINK("https://klasma.github.io/Logging_0181/kartor/A 27513-2019 karta.png", "A 27513-2019")</f>
        <v/>
      </c>
      <c r="V297">
        <f>HYPERLINK("https://klasma.github.io/Logging_0181/klagomål/A 27513-2019 FSC-klagomål.docx", "A 27513-2019")</f>
        <v/>
      </c>
      <c r="W297">
        <f>HYPERLINK("https://klasma.github.io/Logging_0181/klagomålsmail/A 27513-2019 FSC-klagomål mail.docx", "A 27513-2019")</f>
        <v/>
      </c>
      <c r="X297">
        <f>HYPERLINK("https://klasma.github.io/Logging_0181/tillsyn/A 27513-2019 tillsynsbegäran.docx", "A 27513-2019")</f>
        <v/>
      </c>
      <c r="Y297">
        <f>HYPERLINK("https://klasma.github.io/Logging_0181/tillsynsmail/A 27513-2019 tillsynsbegäran mail.docx", "A 27513-2019")</f>
        <v/>
      </c>
    </row>
    <row r="298" ht="15" customHeight="1">
      <c r="A298" t="inlineStr">
        <is>
          <t>A 29513-2019</t>
        </is>
      </c>
      <c r="B298" s="1" t="n">
        <v>43627</v>
      </c>
      <c r="C298" s="1" t="n">
        <v>45571</v>
      </c>
      <c r="D298" t="inlineStr">
        <is>
          <t>STOCKHOLMS LÄN</t>
        </is>
      </c>
      <c r="E298" t="inlineStr">
        <is>
          <t>HANINGE</t>
        </is>
      </c>
      <c r="G298" t="n">
        <v>2.1</v>
      </c>
      <c r="H298" t="n">
        <v>1</v>
      </c>
      <c r="I298" t="n">
        <v>0</v>
      </c>
      <c r="J298" t="n">
        <v>1</v>
      </c>
      <c r="K298" t="n">
        <v>0</v>
      </c>
      <c r="L298" t="n">
        <v>0</v>
      </c>
      <c r="M298" t="n">
        <v>0</v>
      </c>
      <c r="N298" t="n">
        <v>0</v>
      </c>
      <c r="O298" t="n">
        <v>1</v>
      </c>
      <c r="P298" t="n">
        <v>0</v>
      </c>
      <c r="Q298" t="n">
        <v>1</v>
      </c>
      <c r="R298" s="2" t="inlineStr">
        <is>
          <t>Spillkråka</t>
        </is>
      </c>
      <c r="S298">
        <f>HYPERLINK("https://klasma.github.io/Logging_0136/artfynd/A 29513-2019 artfynd.xlsx", "A 29513-2019")</f>
        <v/>
      </c>
      <c r="T298">
        <f>HYPERLINK("https://klasma.github.io/Logging_0136/kartor/A 29513-2019 karta.png", "A 29513-2019")</f>
        <v/>
      </c>
      <c r="V298">
        <f>HYPERLINK("https://klasma.github.io/Logging_0136/klagomål/A 29513-2019 FSC-klagomål.docx", "A 29513-2019")</f>
        <v/>
      </c>
      <c r="W298">
        <f>HYPERLINK("https://klasma.github.io/Logging_0136/klagomålsmail/A 29513-2019 FSC-klagomål mail.docx", "A 29513-2019")</f>
        <v/>
      </c>
      <c r="X298">
        <f>HYPERLINK("https://klasma.github.io/Logging_0136/tillsyn/A 29513-2019 tillsynsbegäran.docx", "A 29513-2019")</f>
        <v/>
      </c>
      <c r="Y298">
        <f>HYPERLINK("https://klasma.github.io/Logging_0136/tillsynsmail/A 29513-2019 tillsynsbegäran mail.docx", "A 29513-2019")</f>
        <v/>
      </c>
      <c r="Z298">
        <f>HYPERLINK("https://klasma.github.io/Logging_0136/fåglar/A 29513-2019 prioriterade fågelarter.docx", "A 29513-2019")</f>
        <v/>
      </c>
    </row>
    <row r="299" ht="15" customHeight="1">
      <c r="A299" t="inlineStr">
        <is>
          <t>A 30011-2019</t>
        </is>
      </c>
      <c r="B299" s="1" t="n">
        <v>43633</v>
      </c>
      <c r="C299" s="1" t="n">
        <v>45571</v>
      </c>
      <c r="D299" t="inlineStr">
        <is>
          <t>STOCKHOLMS LÄN</t>
        </is>
      </c>
      <c r="E299" t="inlineStr">
        <is>
          <t>NORRTÄLJE</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HYPERLINK("https://klasma.github.io/Logging_0188/artfynd/A 30011-2019 artfynd.xlsx", "A 30011-2019")</f>
        <v/>
      </c>
      <c r="T299">
        <f>HYPERLINK("https://klasma.github.io/Logging_0188/kartor/A 30011-2019 karta.png", "A 30011-2019")</f>
        <v/>
      </c>
      <c r="V299">
        <f>HYPERLINK("https://klasma.github.io/Logging_0188/klagomål/A 30011-2019 FSC-klagomål.docx", "A 30011-2019")</f>
        <v/>
      </c>
      <c r="W299">
        <f>HYPERLINK("https://klasma.github.io/Logging_0188/klagomålsmail/A 30011-2019 FSC-klagomål mail.docx", "A 30011-2019")</f>
        <v/>
      </c>
      <c r="X299">
        <f>HYPERLINK("https://klasma.github.io/Logging_0188/tillsyn/A 30011-2019 tillsynsbegäran.docx", "A 30011-2019")</f>
        <v/>
      </c>
      <c r="Y299">
        <f>HYPERLINK("https://klasma.github.io/Logging_0188/tillsynsmail/A 30011-2019 tillsynsbegäran mail.docx", "A 30011-2019")</f>
        <v/>
      </c>
    </row>
    <row r="300" ht="15" customHeight="1">
      <c r="A300" t="inlineStr">
        <is>
          <t>A 31167-2019</t>
        </is>
      </c>
      <c r="B300" s="1" t="n">
        <v>43635</v>
      </c>
      <c r="C300" s="1" t="n">
        <v>45571</v>
      </c>
      <c r="D300" t="inlineStr">
        <is>
          <t>STOCKHOLMS LÄN</t>
        </is>
      </c>
      <c r="E300" t="inlineStr">
        <is>
          <t>EKERÖ</t>
        </is>
      </c>
      <c r="F300" t="inlineStr">
        <is>
          <t>Övriga statliga verk och myndigheter</t>
        </is>
      </c>
      <c r="G300" t="n">
        <v>3.7</v>
      </c>
      <c r="H300" t="n">
        <v>1</v>
      </c>
      <c r="I300" t="n">
        <v>0</v>
      </c>
      <c r="J300" t="n">
        <v>0</v>
      </c>
      <c r="K300" t="n">
        <v>1</v>
      </c>
      <c r="L300" t="n">
        <v>0</v>
      </c>
      <c r="M300" t="n">
        <v>0</v>
      </c>
      <c r="N300" t="n">
        <v>0</v>
      </c>
      <c r="O300" t="n">
        <v>1</v>
      </c>
      <c r="P300" t="n">
        <v>1</v>
      </c>
      <c r="Q300" t="n">
        <v>1</v>
      </c>
      <c r="R300" s="2" t="inlineStr">
        <is>
          <t>Läderbagge</t>
        </is>
      </c>
      <c r="S300">
        <f>HYPERLINK("https://klasma.github.io/Logging_0125/artfynd/A 31167-2019 artfynd.xlsx", "A 31167-2019")</f>
        <v/>
      </c>
      <c r="T300">
        <f>HYPERLINK("https://klasma.github.io/Logging_0125/kartor/A 31167-2019 karta.png", "A 31167-2019")</f>
        <v/>
      </c>
      <c r="V300">
        <f>HYPERLINK("https://klasma.github.io/Logging_0125/klagomål/A 31167-2019 FSC-klagomål.docx", "A 31167-2019")</f>
        <v/>
      </c>
      <c r="W300">
        <f>HYPERLINK("https://klasma.github.io/Logging_0125/klagomålsmail/A 31167-2019 FSC-klagomål mail.docx", "A 31167-2019")</f>
        <v/>
      </c>
      <c r="X300">
        <f>HYPERLINK("https://klasma.github.io/Logging_0125/tillsyn/A 31167-2019 tillsynsbegäran.docx", "A 31167-2019")</f>
        <v/>
      </c>
      <c r="Y300">
        <f>HYPERLINK("https://klasma.github.io/Logging_0125/tillsynsmail/A 31167-2019 tillsynsbegäran mail.docx", "A 31167-2019")</f>
        <v/>
      </c>
    </row>
    <row r="301" ht="15" customHeight="1">
      <c r="A301" t="inlineStr">
        <is>
          <t>A 38137-2019</t>
        </is>
      </c>
      <c r="B301" s="1" t="n">
        <v>43684</v>
      </c>
      <c r="C301" s="1" t="n">
        <v>45571</v>
      </c>
      <c r="D301" t="inlineStr">
        <is>
          <t>STOCKHOLMS LÄN</t>
        </is>
      </c>
      <c r="E301" t="inlineStr">
        <is>
          <t>NORRTÄLJE</t>
        </is>
      </c>
      <c r="G301" t="n">
        <v>12.9</v>
      </c>
      <c r="H301" t="n">
        <v>0</v>
      </c>
      <c r="I301" t="n">
        <v>0</v>
      </c>
      <c r="J301" t="n">
        <v>1</v>
      </c>
      <c r="K301" t="n">
        <v>0</v>
      </c>
      <c r="L301" t="n">
        <v>0</v>
      </c>
      <c r="M301" t="n">
        <v>0</v>
      </c>
      <c r="N301" t="n">
        <v>0</v>
      </c>
      <c r="O301" t="n">
        <v>1</v>
      </c>
      <c r="P301" t="n">
        <v>0</v>
      </c>
      <c r="Q301" t="n">
        <v>1</v>
      </c>
      <c r="R301" s="2" t="inlineStr">
        <is>
          <t>Rutskinn</t>
        </is>
      </c>
      <c r="S301">
        <f>HYPERLINK("https://klasma.github.io/Logging_0188/artfynd/A 38137-2019 artfynd.xlsx", "A 38137-2019")</f>
        <v/>
      </c>
      <c r="T301">
        <f>HYPERLINK("https://klasma.github.io/Logging_0188/kartor/A 38137-2019 karta.png", "A 38137-2019")</f>
        <v/>
      </c>
      <c r="V301">
        <f>HYPERLINK("https://klasma.github.io/Logging_0188/klagomål/A 38137-2019 FSC-klagomål.docx", "A 38137-2019")</f>
        <v/>
      </c>
      <c r="W301">
        <f>HYPERLINK("https://klasma.github.io/Logging_0188/klagomålsmail/A 38137-2019 FSC-klagomål mail.docx", "A 38137-2019")</f>
        <v/>
      </c>
      <c r="X301">
        <f>HYPERLINK("https://klasma.github.io/Logging_0188/tillsyn/A 38137-2019 tillsynsbegäran.docx", "A 38137-2019")</f>
        <v/>
      </c>
      <c r="Y301">
        <f>HYPERLINK("https://klasma.github.io/Logging_0188/tillsynsmail/A 38137-2019 tillsynsbegäran mail.docx", "A 38137-2019")</f>
        <v/>
      </c>
    </row>
    <row r="302" ht="15" customHeight="1">
      <c r="A302" t="inlineStr">
        <is>
          <t>A 42497-2019</t>
        </is>
      </c>
      <c r="B302" s="1" t="n">
        <v>43699</v>
      </c>
      <c r="C302" s="1" t="n">
        <v>45571</v>
      </c>
      <c r="D302" t="inlineStr">
        <is>
          <t>STOCKHOLMS LÄN</t>
        </is>
      </c>
      <c r="E302" t="inlineStr">
        <is>
          <t>SIGTUNA</t>
        </is>
      </c>
      <c r="G302" t="n">
        <v>3.6</v>
      </c>
      <c r="H302" t="n">
        <v>1</v>
      </c>
      <c r="I302" t="n">
        <v>0</v>
      </c>
      <c r="J302" t="n">
        <v>1</v>
      </c>
      <c r="K302" t="n">
        <v>0</v>
      </c>
      <c r="L302" t="n">
        <v>0</v>
      </c>
      <c r="M302" t="n">
        <v>0</v>
      </c>
      <c r="N302" t="n">
        <v>0</v>
      </c>
      <c r="O302" t="n">
        <v>1</v>
      </c>
      <c r="P302" t="n">
        <v>0</v>
      </c>
      <c r="Q302" t="n">
        <v>1</v>
      </c>
      <c r="R302" s="2" t="inlineStr">
        <is>
          <t>Gulsparv</t>
        </is>
      </c>
      <c r="S302">
        <f>HYPERLINK("https://klasma.github.io/Logging_0191/artfynd/A 42497-2019 artfynd.xlsx", "A 42497-2019")</f>
        <v/>
      </c>
      <c r="T302">
        <f>HYPERLINK("https://klasma.github.io/Logging_0191/kartor/A 42497-2019 karta.png", "A 42497-2019")</f>
        <v/>
      </c>
      <c r="V302">
        <f>HYPERLINK("https://klasma.github.io/Logging_0191/klagomål/A 42497-2019 FSC-klagomål.docx", "A 42497-2019")</f>
        <v/>
      </c>
      <c r="W302">
        <f>HYPERLINK("https://klasma.github.io/Logging_0191/klagomålsmail/A 42497-2019 FSC-klagomål mail.docx", "A 42497-2019")</f>
        <v/>
      </c>
      <c r="X302">
        <f>HYPERLINK("https://klasma.github.io/Logging_0191/tillsyn/A 42497-2019 tillsynsbegäran.docx", "A 42497-2019")</f>
        <v/>
      </c>
      <c r="Y302">
        <f>HYPERLINK("https://klasma.github.io/Logging_0191/tillsynsmail/A 42497-2019 tillsynsbegäran mail.docx", "A 42497-2019")</f>
        <v/>
      </c>
      <c r="Z302">
        <f>HYPERLINK("https://klasma.github.io/Logging_0191/fåglar/A 42497-2019 prioriterade fågelarter.docx", "A 42497-2019")</f>
        <v/>
      </c>
    </row>
    <row r="303" ht="15" customHeight="1">
      <c r="A303" t="inlineStr">
        <is>
          <t>A 52009-2019</t>
        </is>
      </c>
      <c r="B303" s="1" t="n">
        <v>43742</v>
      </c>
      <c r="C303" s="1" t="n">
        <v>45571</v>
      </c>
      <c r="D303" t="inlineStr">
        <is>
          <t>STOCKHOLMS LÄN</t>
        </is>
      </c>
      <c r="E303" t="inlineStr">
        <is>
          <t>SALEM</t>
        </is>
      </c>
      <c r="G303" t="n">
        <v>16.9</v>
      </c>
      <c r="H303" t="n">
        <v>0</v>
      </c>
      <c r="I303" t="n">
        <v>1</v>
      </c>
      <c r="J303" t="n">
        <v>0</v>
      </c>
      <c r="K303" t="n">
        <v>0</v>
      </c>
      <c r="L303" t="n">
        <v>0</v>
      </c>
      <c r="M303" t="n">
        <v>0</v>
      </c>
      <c r="N303" t="n">
        <v>0</v>
      </c>
      <c r="O303" t="n">
        <v>0</v>
      </c>
      <c r="P303" t="n">
        <v>0</v>
      </c>
      <c r="Q303" t="n">
        <v>1</v>
      </c>
      <c r="R303" s="2" t="inlineStr">
        <is>
          <t>Svart trolldruva</t>
        </is>
      </c>
      <c r="S303">
        <f>HYPERLINK("https://klasma.github.io/Logging_0128/artfynd/A 52009-2019 artfynd.xlsx", "A 52009-2019")</f>
        <v/>
      </c>
      <c r="T303">
        <f>HYPERLINK("https://klasma.github.io/Logging_0128/kartor/A 52009-2019 karta.png", "A 52009-2019")</f>
        <v/>
      </c>
      <c r="V303">
        <f>HYPERLINK("https://klasma.github.io/Logging_0128/klagomål/A 52009-2019 FSC-klagomål.docx", "A 52009-2019")</f>
        <v/>
      </c>
      <c r="W303">
        <f>HYPERLINK("https://klasma.github.io/Logging_0128/klagomålsmail/A 52009-2019 FSC-klagomål mail.docx", "A 52009-2019")</f>
        <v/>
      </c>
      <c r="X303">
        <f>HYPERLINK("https://klasma.github.io/Logging_0128/tillsyn/A 52009-2019 tillsynsbegäran.docx", "A 52009-2019")</f>
        <v/>
      </c>
      <c r="Y303">
        <f>HYPERLINK("https://klasma.github.io/Logging_0128/tillsynsmail/A 52009-2019 tillsynsbegäran mail.docx", "A 52009-2019")</f>
        <v/>
      </c>
    </row>
    <row r="304" ht="15" customHeight="1">
      <c r="A304" t="inlineStr">
        <is>
          <t>A 54231-2019</t>
        </is>
      </c>
      <c r="B304" s="1" t="n">
        <v>43753</v>
      </c>
      <c r="C304" s="1" t="n">
        <v>45571</v>
      </c>
      <c r="D304" t="inlineStr">
        <is>
          <t>STOCKHOLMS LÄN</t>
        </is>
      </c>
      <c r="E304" t="inlineStr">
        <is>
          <t>EKERÖ</t>
        </is>
      </c>
      <c r="G304" t="n">
        <v>6.2</v>
      </c>
      <c r="H304" t="n">
        <v>1</v>
      </c>
      <c r="I304" t="n">
        <v>0</v>
      </c>
      <c r="J304" t="n">
        <v>0</v>
      </c>
      <c r="K304" t="n">
        <v>1</v>
      </c>
      <c r="L304" t="n">
        <v>0</v>
      </c>
      <c r="M304" t="n">
        <v>0</v>
      </c>
      <c r="N304" t="n">
        <v>0</v>
      </c>
      <c r="O304" t="n">
        <v>1</v>
      </c>
      <c r="P304" t="n">
        <v>1</v>
      </c>
      <c r="Q304" t="n">
        <v>1</v>
      </c>
      <c r="R304" s="2" t="inlineStr">
        <is>
          <t>Bombmurkla</t>
        </is>
      </c>
      <c r="S304">
        <f>HYPERLINK("https://klasma.github.io/Logging_0125/artfynd/A 54231-2019 artfynd.xlsx", "A 54231-2019")</f>
        <v/>
      </c>
      <c r="T304">
        <f>HYPERLINK("https://klasma.github.io/Logging_0125/kartor/A 54231-2019 karta.png", "A 54231-2019")</f>
        <v/>
      </c>
      <c r="V304">
        <f>HYPERLINK("https://klasma.github.io/Logging_0125/klagomål/A 54231-2019 FSC-klagomål.docx", "A 54231-2019")</f>
        <v/>
      </c>
      <c r="W304">
        <f>HYPERLINK("https://klasma.github.io/Logging_0125/klagomålsmail/A 54231-2019 FSC-klagomål mail.docx", "A 54231-2019")</f>
        <v/>
      </c>
      <c r="X304">
        <f>HYPERLINK("https://klasma.github.io/Logging_0125/tillsyn/A 54231-2019 tillsynsbegäran.docx", "A 54231-2019")</f>
        <v/>
      </c>
      <c r="Y304">
        <f>HYPERLINK("https://klasma.github.io/Logging_0125/tillsynsmail/A 54231-2019 tillsynsbegäran mail.docx", "A 54231-2019")</f>
        <v/>
      </c>
    </row>
    <row r="305" ht="15" customHeight="1">
      <c r="A305" t="inlineStr">
        <is>
          <t>A 59643-2019</t>
        </is>
      </c>
      <c r="B305" s="1" t="n">
        <v>43776</v>
      </c>
      <c r="C305" s="1" t="n">
        <v>45571</v>
      </c>
      <c r="D305" t="inlineStr">
        <is>
          <t>STOCKHOLMS LÄN</t>
        </is>
      </c>
      <c r="E305" t="inlineStr">
        <is>
          <t>SÖDERTÄLJE</t>
        </is>
      </c>
      <c r="G305" t="n">
        <v>2</v>
      </c>
      <c r="H305" t="n">
        <v>1</v>
      </c>
      <c r="I305" t="n">
        <v>0</v>
      </c>
      <c r="J305" t="n">
        <v>0</v>
      </c>
      <c r="K305" t="n">
        <v>1</v>
      </c>
      <c r="L305" t="n">
        <v>0</v>
      </c>
      <c r="M305" t="n">
        <v>0</v>
      </c>
      <c r="N305" t="n">
        <v>0</v>
      </c>
      <c r="O305" t="n">
        <v>1</v>
      </c>
      <c r="P305" t="n">
        <v>1</v>
      </c>
      <c r="Q305" t="n">
        <v>1</v>
      </c>
      <c r="R305" s="2" t="inlineStr">
        <is>
          <t>Knärot</t>
        </is>
      </c>
      <c r="S305">
        <f>HYPERLINK("https://klasma.github.io/Logging_0181/artfynd/A 59643-2019 artfynd.xlsx", "A 59643-2019")</f>
        <v/>
      </c>
      <c r="T305">
        <f>HYPERLINK("https://klasma.github.io/Logging_0181/kartor/A 59643-2019 karta.png", "A 59643-2019")</f>
        <v/>
      </c>
      <c r="U305">
        <f>HYPERLINK("https://klasma.github.io/Logging_0181/knärot/A 59643-2019 karta knärot.png", "A 59643-2019")</f>
        <v/>
      </c>
      <c r="V305">
        <f>HYPERLINK("https://klasma.github.io/Logging_0181/klagomål/A 59643-2019 FSC-klagomål.docx", "A 59643-2019")</f>
        <v/>
      </c>
      <c r="W305">
        <f>HYPERLINK("https://klasma.github.io/Logging_0181/klagomålsmail/A 59643-2019 FSC-klagomål mail.docx", "A 59643-2019")</f>
        <v/>
      </c>
      <c r="X305">
        <f>HYPERLINK("https://klasma.github.io/Logging_0181/tillsyn/A 59643-2019 tillsynsbegäran.docx", "A 59643-2019")</f>
        <v/>
      </c>
      <c r="Y305">
        <f>HYPERLINK("https://klasma.github.io/Logging_0181/tillsynsmail/A 59643-2019 tillsynsbegäran mail.docx", "A 59643-2019")</f>
        <v/>
      </c>
    </row>
    <row r="306" ht="15" customHeight="1">
      <c r="A306" t="inlineStr">
        <is>
          <t>A 64849-2019</t>
        </is>
      </c>
      <c r="B306" s="1" t="n">
        <v>43801</v>
      </c>
      <c r="C306" s="1" t="n">
        <v>45571</v>
      </c>
      <c r="D306" t="inlineStr">
        <is>
          <t>STOCKHOLMS LÄN</t>
        </is>
      </c>
      <c r="E306" t="inlineStr">
        <is>
          <t>NORRTÄLJE</t>
        </is>
      </c>
      <c r="G306" t="n">
        <v>1.6</v>
      </c>
      <c r="H306" t="n">
        <v>0</v>
      </c>
      <c r="I306" t="n">
        <v>0</v>
      </c>
      <c r="J306" t="n">
        <v>1</v>
      </c>
      <c r="K306" t="n">
        <v>0</v>
      </c>
      <c r="L306" t="n">
        <v>0</v>
      </c>
      <c r="M306" t="n">
        <v>0</v>
      </c>
      <c r="N306" t="n">
        <v>0</v>
      </c>
      <c r="O306" t="n">
        <v>1</v>
      </c>
      <c r="P306" t="n">
        <v>0</v>
      </c>
      <c r="Q306" t="n">
        <v>1</v>
      </c>
      <c r="R306" s="2" t="inlineStr">
        <is>
          <t>Skogsklocka</t>
        </is>
      </c>
      <c r="S306">
        <f>HYPERLINK("https://klasma.github.io/Logging_0188/artfynd/A 64849-2019 artfynd.xlsx", "A 64849-2019")</f>
        <v/>
      </c>
      <c r="T306">
        <f>HYPERLINK("https://klasma.github.io/Logging_0188/kartor/A 64849-2019 karta.png", "A 64849-2019")</f>
        <v/>
      </c>
      <c r="V306">
        <f>HYPERLINK("https://klasma.github.io/Logging_0188/klagomål/A 64849-2019 FSC-klagomål.docx", "A 64849-2019")</f>
        <v/>
      </c>
      <c r="W306">
        <f>HYPERLINK("https://klasma.github.io/Logging_0188/klagomålsmail/A 64849-2019 FSC-klagomål mail.docx", "A 64849-2019")</f>
        <v/>
      </c>
      <c r="X306">
        <f>HYPERLINK("https://klasma.github.io/Logging_0188/tillsyn/A 64849-2019 tillsynsbegäran.docx", "A 64849-2019")</f>
        <v/>
      </c>
      <c r="Y306">
        <f>HYPERLINK("https://klasma.github.io/Logging_0188/tillsynsmail/A 64849-2019 tillsynsbegäran mail.docx", "A 64849-2019")</f>
        <v/>
      </c>
    </row>
    <row r="307" ht="15" customHeight="1">
      <c r="A307" t="inlineStr">
        <is>
          <t>A 68108-2019</t>
        </is>
      </c>
      <c r="B307" s="1" t="n">
        <v>43817</v>
      </c>
      <c r="C307" s="1" t="n">
        <v>45571</v>
      </c>
      <c r="D307" t="inlineStr">
        <is>
          <t>STOCKHOLMS LÄN</t>
        </is>
      </c>
      <c r="E307" t="inlineStr">
        <is>
          <t>VALLENTUNA</t>
        </is>
      </c>
      <c r="G307" t="n">
        <v>3.2</v>
      </c>
      <c r="H307" t="n">
        <v>0</v>
      </c>
      <c r="I307" t="n">
        <v>1</v>
      </c>
      <c r="J307" t="n">
        <v>0</v>
      </c>
      <c r="K307" t="n">
        <v>0</v>
      </c>
      <c r="L307" t="n">
        <v>0</v>
      </c>
      <c r="M307" t="n">
        <v>0</v>
      </c>
      <c r="N307" t="n">
        <v>0</v>
      </c>
      <c r="O307" t="n">
        <v>0</v>
      </c>
      <c r="P307" t="n">
        <v>0</v>
      </c>
      <c r="Q307" t="n">
        <v>1</v>
      </c>
      <c r="R307" s="2" t="inlineStr">
        <is>
          <t>Skuggblåslav</t>
        </is>
      </c>
      <c r="S307">
        <f>HYPERLINK("https://klasma.github.io/Logging_0115/artfynd/A 68108-2019 artfynd.xlsx", "A 68108-2019")</f>
        <v/>
      </c>
      <c r="T307">
        <f>HYPERLINK("https://klasma.github.io/Logging_0115/kartor/A 68108-2019 karta.png", "A 68108-2019")</f>
        <v/>
      </c>
      <c r="V307">
        <f>HYPERLINK("https://klasma.github.io/Logging_0115/klagomål/A 68108-2019 FSC-klagomål.docx", "A 68108-2019")</f>
        <v/>
      </c>
      <c r="W307">
        <f>HYPERLINK("https://klasma.github.io/Logging_0115/klagomålsmail/A 68108-2019 FSC-klagomål mail.docx", "A 68108-2019")</f>
        <v/>
      </c>
      <c r="X307">
        <f>HYPERLINK("https://klasma.github.io/Logging_0115/tillsyn/A 68108-2019 tillsynsbegäran.docx", "A 68108-2019")</f>
        <v/>
      </c>
      <c r="Y307">
        <f>HYPERLINK("https://klasma.github.io/Logging_0115/tillsynsmail/A 68108-2019 tillsynsbegäran mail.docx", "A 68108-2019")</f>
        <v/>
      </c>
    </row>
    <row r="308" ht="15" customHeight="1">
      <c r="A308" t="inlineStr">
        <is>
          <t>A 68107-2019</t>
        </is>
      </c>
      <c r="B308" s="1" t="n">
        <v>43817</v>
      </c>
      <c r="C308" s="1" t="n">
        <v>45571</v>
      </c>
      <c r="D308" t="inlineStr">
        <is>
          <t>STOCKHOLMS LÄN</t>
        </is>
      </c>
      <c r="E308" t="inlineStr">
        <is>
          <t>VALLENTUNA</t>
        </is>
      </c>
      <c r="G308" t="n">
        <v>11.4</v>
      </c>
      <c r="H308" t="n">
        <v>0</v>
      </c>
      <c r="I308" t="n">
        <v>0</v>
      </c>
      <c r="J308" t="n">
        <v>1</v>
      </c>
      <c r="K308" t="n">
        <v>0</v>
      </c>
      <c r="L308" t="n">
        <v>0</v>
      </c>
      <c r="M308" t="n">
        <v>0</v>
      </c>
      <c r="N308" t="n">
        <v>0</v>
      </c>
      <c r="O308" t="n">
        <v>1</v>
      </c>
      <c r="P308" t="n">
        <v>0</v>
      </c>
      <c r="Q308" t="n">
        <v>1</v>
      </c>
      <c r="R308" s="2" t="inlineStr">
        <is>
          <t>Tallticka</t>
        </is>
      </c>
      <c r="S308">
        <f>HYPERLINK("https://klasma.github.io/Logging_0115/artfynd/A 68107-2019 artfynd.xlsx", "A 68107-2019")</f>
        <v/>
      </c>
      <c r="T308">
        <f>HYPERLINK("https://klasma.github.io/Logging_0115/kartor/A 68107-2019 karta.png", "A 68107-2019")</f>
        <v/>
      </c>
      <c r="V308">
        <f>HYPERLINK("https://klasma.github.io/Logging_0115/klagomål/A 68107-2019 FSC-klagomål.docx", "A 68107-2019")</f>
        <v/>
      </c>
      <c r="W308">
        <f>HYPERLINK("https://klasma.github.io/Logging_0115/klagomålsmail/A 68107-2019 FSC-klagomål mail.docx", "A 68107-2019")</f>
        <v/>
      </c>
      <c r="X308">
        <f>HYPERLINK("https://klasma.github.io/Logging_0115/tillsyn/A 68107-2019 tillsynsbegäran.docx", "A 68107-2019")</f>
        <v/>
      </c>
      <c r="Y308">
        <f>HYPERLINK("https://klasma.github.io/Logging_0115/tillsynsmail/A 68107-2019 tillsynsbegäran mail.docx", "A 68107-2019")</f>
        <v/>
      </c>
    </row>
    <row r="309" ht="15" customHeight="1">
      <c r="A309" t="inlineStr">
        <is>
          <t>A 68231-2019</t>
        </is>
      </c>
      <c r="B309" s="1" t="n">
        <v>43817</v>
      </c>
      <c r="C309" s="1" t="n">
        <v>45571</v>
      </c>
      <c r="D309" t="inlineStr">
        <is>
          <t>STOCKHOLMS LÄN</t>
        </is>
      </c>
      <c r="E309" t="inlineStr">
        <is>
          <t>HANINGE</t>
        </is>
      </c>
      <c r="F309" t="inlineStr">
        <is>
          <t>Övriga statliga verk och myndigheter</t>
        </is>
      </c>
      <c r="G309" t="n">
        <v>80.5</v>
      </c>
      <c r="H309" t="n">
        <v>1</v>
      </c>
      <c r="I309" t="n">
        <v>0</v>
      </c>
      <c r="J309" t="n">
        <v>1</v>
      </c>
      <c r="K309" t="n">
        <v>0</v>
      </c>
      <c r="L309" t="n">
        <v>0</v>
      </c>
      <c r="M309" t="n">
        <v>0</v>
      </c>
      <c r="N309" t="n">
        <v>0</v>
      </c>
      <c r="O309" t="n">
        <v>1</v>
      </c>
      <c r="P309" t="n">
        <v>0</v>
      </c>
      <c r="Q309" t="n">
        <v>1</v>
      </c>
      <c r="R309" s="2" t="inlineStr">
        <is>
          <t>Havsörn</t>
        </is>
      </c>
      <c r="S309">
        <f>HYPERLINK("https://klasma.github.io/Logging_0136/artfynd/A 68231-2019 artfynd.xlsx", "A 68231-2019")</f>
        <v/>
      </c>
      <c r="T309">
        <f>HYPERLINK("https://klasma.github.io/Logging_0136/kartor/A 68231-2019 karta.png", "A 68231-2019")</f>
        <v/>
      </c>
      <c r="V309">
        <f>HYPERLINK("https://klasma.github.io/Logging_0136/klagomål/A 68231-2019 FSC-klagomål.docx", "A 68231-2019")</f>
        <v/>
      </c>
      <c r="W309">
        <f>HYPERLINK("https://klasma.github.io/Logging_0136/klagomålsmail/A 68231-2019 FSC-klagomål mail.docx", "A 68231-2019")</f>
        <v/>
      </c>
      <c r="X309">
        <f>HYPERLINK("https://klasma.github.io/Logging_0136/tillsyn/A 68231-2019 tillsynsbegäran.docx", "A 68231-2019")</f>
        <v/>
      </c>
      <c r="Y309">
        <f>HYPERLINK("https://klasma.github.io/Logging_0136/tillsynsmail/A 68231-2019 tillsynsbegäran mail.docx", "A 68231-2019")</f>
        <v/>
      </c>
      <c r="Z309">
        <f>HYPERLINK("https://klasma.github.io/Logging_0136/fåglar/A 68231-2019 prioriterade fågelarter.docx", "A 68231-2019")</f>
        <v/>
      </c>
    </row>
    <row r="310" ht="15" customHeight="1">
      <c r="A310" t="inlineStr">
        <is>
          <t>A 2808-2020</t>
        </is>
      </c>
      <c r="B310" s="1" t="n">
        <v>43850</v>
      </c>
      <c r="C310" s="1" t="n">
        <v>45571</v>
      </c>
      <c r="D310" t="inlineStr">
        <is>
          <t>STOCKHOLMS LÄN</t>
        </is>
      </c>
      <c r="E310" t="inlineStr">
        <is>
          <t>NORRTÄLJE</t>
        </is>
      </c>
      <c r="G310" t="n">
        <v>1</v>
      </c>
      <c r="H310" t="n">
        <v>1</v>
      </c>
      <c r="I310" t="n">
        <v>0</v>
      </c>
      <c r="J310" t="n">
        <v>0</v>
      </c>
      <c r="K310" t="n">
        <v>1</v>
      </c>
      <c r="L310" t="n">
        <v>0</v>
      </c>
      <c r="M310" t="n">
        <v>0</v>
      </c>
      <c r="N310" t="n">
        <v>0</v>
      </c>
      <c r="O310" t="n">
        <v>1</v>
      </c>
      <c r="P310" t="n">
        <v>1</v>
      </c>
      <c r="Q310" t="n">
        <v>1</v>
      </c>
      <c r="R310" s="2" t="inlineStr">
        <is>
          <t>Knärot</t>
        </is>
      </c>
      <c r="S310">
        <f>HYPERLINK("https://klasma.github.io/Logging_0188/artfynd/A 2808-2020 artfynd.xlsx", "A 2808-2020")</f>
        <v/>
      </c>
      <c r="T310">
        <f>HYPERLINK("https://klasma.github.io/Logging_0188/kartor/A 2808-2020 karta.png", "A 2808-2020")</f>
        <v/>
      </c>
      <c r="U310">
        <f>HYPERLINK("https://klasma.github.io/Logging_0188/knärot/A 2808-2020 karta knärot.png", "A 2808-2020")</f>
        <v/>
      </c>
      <c r="V310">
        <f>HYPERLINK("https://klasma.github.io/Logging_0188/klagomål/A 2808-2020 FSC-klagomål.docx", "A 2808-2020")</f>
        <v/>
      </c>
      <c r="W310">
        <f>HYPERLINK("https://klasma.github.io/Logging_0188/klagomålsmail/A 2808-2020 FSC-klagomål mail.docx", "A 2808-2020")</f>
        <v/>
      </c>
      <c r="X310">
        <f>HYPERLINK("https://klasma.github.io/Logging_0188/tillsyn/A 2808-2020 tillsynsbegäran.docx", "A 2808-2020")</f>
        <v/>
      </c>
      <c r="Y310">
        <f>HYPERLINK("https://klasma.github.io/Logging_0188/tillsynsmail/A 2808-2020 tillsynsbegäran mail.docx", "A 2808-2020")</f>
        <v/>
      </c>
    </row>
    <row r="311" ht="15" customHeight="1">
      <c r="A311" t="inlineStr">
        <is>
          <t>A 2796-2020</t>
        </is>
      </c>
      <c r="B311" s="1" t="n">
        <v>43850</v>
      </c>
      <c r="C311" s="1" t="n">
        <v>45571</v>
      </c>
      <c r="D311" t="inlineStr">
        <is>
          <t>STOCKHOLMS LÄN</t>
        </is>
      </c>
      <c r="E311" t="inlineStr">
        <is>
          <t>NORRTÄLJE</t>
        </is>
      </c>
      <c r="G311" t="n">
        <v>5.6</v>
      </c>
      <c r="H311" t="n">
        <v>1</v>
      </c>
      <c r="I311" t="n">
        <v>1</v>
      </c>
      <c r="J311" t="n">
        <v>0</v>
      </c>
      <c r="K311" t="n">
        <v>0</v>
      </c>
      <c r="L311" t="n">
        <v>0</v>
      </c>
      <c r="M311" t="n">
        <v>0</v>
      </c>
      <c r="N311" t="n">
        <v>0</v>
      </c>
      <c r="O311" t="n">
        <v>0</v>
      </c>
      <c r="P311" t="n">
        <v>0</v>
      </c>
      <c r="Q311" t="n">
        <v>1</v>
      </c>
      <c r="R311" s="2" t="inlineStr">
        <is>
          <t>Spindelblomster</t>
        </is>
      </c>
      <c r="S311">
        <f>HYPERLINK("https://klasma.github.io/Logging_0188/artfynd/A 2796-2020 artfynd.xlsx", "A 2796-2020")</f>
        <v/>
      </c>
      <c r="T311">
        <f>HYPERLINK("https://klasma.github.io/Logging_0188/kartor/A 2796-2020 karta.png", "A 2796-2020")</f>
        <v/>
      </c>
      <c r="V311">
        <f>HYPERLINK("https://klasma.github.io/Logging_0188/klagomål/A 2796-2020 FSC-klagomål.docx", "A 2796-2020")</f>
        <v/>
      </c>
      <c r="W311">
        <f>HYPERLINK("https://klasma.github.io/Logging_0188/klagomålsmail/A 2796-2020 FSC-klagomål mail.docx", "A 2796-2020")</f>
        <v/>
      </c>
      <c r="X311">
        <f>HYPERLINK("https://klasma.github.io/Logging_0188/tillsyn/A 2796-2020 tillsynsbegäran.docx", "A 2796-2020")</f>
        <v/>
      </c>
      <c r="Y311">
        <f>HYPERLINK("https://klasma.github.io/Logging_0188/tillsynsmail/A 2796-2020 tillsynsbegäran mail.docx", "A 2796-2020")</f>
        <v/>
      </c>
    </row>
    <row r="312" ht="15" customHeight="1">
      <c r="A312" t="inlineStr">
        <is>
          <t>A 7032-2020</t>
        </is>
      </c>
      <c r="B312" s="1" t="n">
        <v>43868</v>
      </c>
      <c r="C312" s="1" t="n">
        <v>45571</v>
      </c>
      <c r="D312" t="inlineStr">
        <is>
          <t>STOCKHOLMS LÄN</t>
        </is>
      </c>
      <c r="E312" t="inlineStr">
        <is>
          <t>EKERÖ</t>
        </is>
      </c>
      <c r="G312" t="n">
        <v>3.1</v>
      </c>
      <c r="H312" t="n">
        <v>0</v>
      </c>
      <c r="I312" t="n">
        <v>0</v>
      </c>
      <c r="J312" t="n">
        <v>1</v>
      </c>
      <c r="K312" t="n">
        <v>0</v>
      </c>
      <c r="L312" t="n">
        <v>0</v>
      </c>
      <c r="M312" t="n">
        <v>0</v>
      </c>
      <c r="N312" t="n">
        <v>0</v>
      </c>
      <c r="O312" t="n">
        <v>1</v>
      </c>
      <c r="P312" t="n">
        <v>0</v>
      </c>
      <c r="Q312" t="n">
        <v>1</v>
      </c>
      <c r="R312" s="2" t="inlineStr">
        <is>
          <t>Mindre timmerman</t>
        </is>
      </c>
      <c r="S312">
        <f>HYPERLINK("https://klasma.github.io/Logging_0125/artfynd/A 7032-2020 artfynd.xlsx", "A 7032-2020")</f>
        <v/>
      </c>
      <c r="T312">
        <f>HYPERLINK("https://klasma.github.io/Logging_0125/kartor/A 7032-2020 karta.png", "A 7032-2020")</f>
        <v/>
      </c>
      <c r="V312">
        <f>HYPERLINK("https://klasma.github.io/Logging_0125/klagomål/A 7032-2020 FSC-klagomål.docx", "A 7032-2020")</f>
        <v/>
      </c>
      <c r="W312">
        <f>HYPERLINK("https://klasma.github.io/Logging_0125/klagomålsmail/A 7032-2020 FSC-klagomål mail.docx", "A 7032-2020")</f>
        <v/>
      </c>
      <c r="X312">
        <f>HYPERLINK("https://klasma.github.io/Logging_0125/tillsyn/A 7032-2020 tillsynsbegäran.docx", "A 7032-2020")</f>
        <v/>
      </c>
      <c r="Y312">
        <f>HYPERLINK("https://klasma.github.io/Logging_0125/tillsynsmail/A 7032-2020 tillsynsbegäran mail.docx", "A 7032-2020")</f>
        <v/>
      </c>
    </row>
    <row r="313" ht="15" customHeight="1">
      <c r="A313" t="inlineStr">
        <is>
          <t>A 7152-2020</t>
        </is>
      </c>
      <c r="B313" s="1" t="n">
        <v>43869</v>
      </c>
      <c r="C313" s="1" t="n">
        <v>45571</v>
      </c>
      <c r="D313" t="inlineStr">
        <is>
          <t>STOCKHOLMS LÄN</t>
        </is>
      </c>
      <c r="E313" t="inlineStr">
        <is>
          <t>NYNÄSHAMN</t>
        </is>
      </c>
      <c r="F313" t="inlineStr">
        <is>
          <t>Kommuner</t>
        </is>
      </c>
      <c r="G313" t="n">
        <v>5.8</v>
      </c>
      <c r="H313" t="n">
        <v>1</v>
      </c>
      <c r="I313" t="n">
        <v>1</v>
      </c>
      <c r="J313" t="n">
        <v>0</v>
      </c>
      <c r="K313" t="n">
        <v>0</v>
      </c>
      <c r="L313" t="n">
        <v>0</v>
      </c>
      <c r="M313" t="n">
        <v>0</v>
      </c>
      <c r="N313" t="n">
        <v>0</v>
      </c>
      <c r="O313" t="n">
        <v>0</v>
      </c>
      <c r="P313" t="n">
        <v>0</v>
      </c>
      <c r="Q313" t="n">
        <v>1</v>
      </c>
      <c r="R313" s="2" t="inlineStr">
        <is>
          <t>Grön sköldmossa</t>
        </is>
      </c>
      <c r="S313">
        <f>HYPERLINK("https://klasma.github.io/Logging_0192/artfynd/A 7152-2020 artfynd.xlsx", "A 7152-2020")</f>
        <v/>
      </c>
      <c r="T313">
        <f>HYPERLINK("https://klasma.github.io/Logging_0192/kartor/A 7152-2020 karta.png", "A 7152-2020")</f>
        <v/>
      </c>
      <c r="V313">
        <f>HYPERLINK("https://klasma.github.io/Logging_0192/klagomål/A 7152-2020 FSC-klagomål.docx", "A 7152-2020")</f>
        <v/>
      </c>
      <c r="W313">
        <f>HYPERLINK("https://klasma.github.io/Logging_0192/klagomålsmail/A 7152-2020 FSC-klagomål mail.docx", "A 7152-2020")</f>
        <v/>
      </c>
      <c r="X313">
        <f>HYPERLINK("https://klasma.github.io/Logging_0192/tillsyn/A 7152-2020 tillsynsbegäran.docx", "A 7152-2020")</f>
        <v/>
      </c>
      <c r="Y313">
        <f>HYPERLINK("https://klasma.github.io/Logging_0192/tillsynsmail/A 7152-2020 tillsynsbegäran mail.docx", "A 7152-2020")</f>
        <v/>
      </c>
    </row>
    <row r="314" ht="15" customHeight="1">
      <c r="A314" t="inlineStr">
        <is>
          <t>A 9051-2020</t>
        </is>
      </c>
      <c r="B314" s="1" t="n">
        <v>43879</v>
      </c>
      <c r="C314" s="1" t="n">
        <v>45571</v>
      </c>
      <c r="D314" t="inlineStr">
        <is>
          <t>STOCKHOLMS LÄN</t>
        </is>
      </c>
      <c r="E314" t="inlineStr">
        <is>
          <t>NORRTÄLJE</t>
        </is>
      </c>
      <c r="G314" t="n">
        <v>12.5</v>
      </c>
      <c r="H314" t="n">
        <v>1</v>
      </c>
      <c r="I314" t="n">
        <v>0</v>
      </c>
      <c r="J314" t="n">
        <v>0</v>
      </c>
      <c r="K314" t="n">
        <v>0</v>
      </c>
      <c r="L314" t="n">
        <v>1</v>
      </c>
      <c r="M314" t="n">
        <v>0</v>
      </c>
      <c r="N314" t="n">
        <v>0</v>
      </c>
      <c r="O314" t="n">
        <v>1</v>
      </c>
      <c r="P314" t="n">
        <v>1</v>
      </c>
      <c r="Q314" t="n">
        <v>1</v>
      </c>
      <c r="R314" s="2" t="inlineStr">
        <is>
          <t>Asknätfjäril</t>
        </is>
      </c>
      <c r="S314">
        <f>HYPERLINK("https://klasma.github.io/Logging_0188/artfynd/A 9051-2020 artfynd.xlsx", "A 9051-2020")</f>
        <v/>
      </c>
      <c r="T314">
        <f>HYPERLINK("https://klasma.github.io/Logging_0188/kartor/A 9051-2020 karta.png", "A 9051-2020")</f>
        <v/>
      </c>
      <c r="V314">
        <f>HYPERLINK("https://klasma.github.io/Logging_0188/klagomål/A 9051-2020 FSC-klagomål.docx", "A 9051-2020")</f>
        <v/>
      </c>
      <c r="W314">
        <f>HYPERLINK("https://klasma.github.io/Logging_0188/klagomålsmail/A 9051-2020 FSC-klagomål mail.docx", "A 9051-2020")</f>
        <v/>
      </c>
      <c r="X314">
        <f>HYPERLINK("https://klasma.github.io/Logging_0188/tillsyn/A 9051-2020 tillsynsbegäran.docx", "A 9051-2020")</f>
        <v/>
      </c>
      <c r="Y314">
        <f>HYPERLINK("https://klasma.github.io/Logging_0188/tillsynsmail/A 9051-2020 tillsynsbegäran mail.docx", "A 9051-2020")</f>
        <v/>
      </c>
    </row>
    <row r="315" ht="15" customHeight="1">
      <c r="A315" t="inlineStr">
        <is>
          <t>A 13326-2020</t>
        </is>
      </c>
      <c r="B315" s="1" t="n">
        <v>43894</v>
      </c>
      <c r="C315" s="1" t="n">
        <v>45571</v>
      </c>
      <c r="D315" t="inlineStr">
        <is>
          <t>STOCKHOLMS LÄN</t>
        </is>
      </c>
      <c r="E315" t="inlineStr">
        <is>
          <t>HUDDINGE</t>
        </is>
      </c>
      <c r="F315" t="inlineStr">
        <is>
          <t>Kommuner</t>
        </is>
      </c>
      <c r="G315" t="n">
        <v>2</v>
      </c>
      <c r="H315" t="n">
        <v>0</v>
      </c>
      <c r="I315" t="n">
        <v>0</v>
      </c>
      <c r="J315" t="n">
        <v>1</v>
      </c>
      <c r="K315" t="n">
        <v>0</v>
      </c>
      <c r="L315" t="n">
        <v>0</v>
      </c>
      <c r="M315" t="n">
        <v>0</v>
      </c>
      <c r="N315" t="n">
        <v>0</v>
      </c>
      <c r="O315" t="n">
        <v>1</v>
      </c>
      <c r="P315" t="n">
        <v>0</v>
      </c>
      <c r="Q315" t="n">
        <v>1</v>
      </c>
      <c r="R315" s="2" t="inlineStr">
        <is>
          <t>Tallticka</t>
        </is>
      </c>
      <c r="S315">
        <f>HYPERLINK("https://klasma.github.io/Logging_0126/artfynd/A 13326-2020 artfynd.xlsx", "A 13326-2020")</f>
        <v/>
      </c>
      <c r="T315">
        <f>HYPERLINK("https://klasma.github.io/Logging_0126/kartor/A 13326-2020 karta.png", "A 13326-2020")</f>
        <v/>
      </c>
      <c r="V315">
        <f>HYPERLINK("https://klasma.github.io/Logging_0126/klagomål/A 13326-2020 FSC-klagomål.docx", "A 13326-2020")</f>
        <v/>
      </c>
      <c r="W315">
        <f>HYPERLINK("https://klasma.github.io/Logging_0126/klagomålsmail/A 13326-2020 FSC-klagomål mail.docx", "A 13326-2020")</f>
        <v/>
      </c>
      <c r="X315">
        <f>HYPERLINK("https://klasma.github.io/Logging_0126/tillsyn/A 13326-2020 tillsynsbegäran.docx", "A 13326-2020")</f>
        <v/>
      </c>
      <c r="Y315">
        <f>HYPERLINK("https://klasma.github.io/Logging_0126/tillsynsmail/A 13326-2020 tillsynsbegäran mail.docx", "A 13326-2020")</f>
        <v/>
      </c>
    </row>
    <row r="316" ht="15" customHeight="1">
      <c r="A316" t="inlineStr">
        <is>
          <t>A 12843-2020</t>
        </is>
      </c>
      <c r="B316" s="1" t="n">
        <v>43899</v>
      </c>
      <c r="C316" s="1" t="n">
        <v>45571</v>
      </c>
      <c r="D316" t="inlineStr">
        <is>
          <t>STOCKHOLMS LÄN</t>
        </is>
      </c>
      <c r="E316" t="inlineStr">
        <is>
          <t>NORRTÄLJE</t>
        </is>
      </c>
      <c r="G316" t="n">
        <v>7.5</v>
      </c>
      <c r="H316" t="n">
        <v>1</v>
      </c>
      <c r="I316" t="n">
        <v>0</v>
      </c>
      <c r="J316" t="n">
        <v>1</v>
      </c>
      <c r="K316" t="n">
        <v>0</v>
      </c>
      <c r="L316" t="n">
        <v>0</v>
      </c>
      <c r="M316" t="n">
        <v>0</v>
      </c>
      <c r="N316" t="n">
        <v>0</v>
      </c>
      <c r="O316" t="n">
        <v>1</v>
      </c>
      <c r="P316" t="n">
        <v>0</v>
      </c>
      <c r="Q316" t="n">
        <v>1</v>
      </c>
      <c r="R316" s="2" t="inlineStr">
        <is>
          <t>Talltita</t>
        </is>
      </c>
      <c r="S316">
        <f>HYPERLINK("https://klasma.github.io/Logging_0188/artfynd/A 12843-2020 artfynd.xlsx", "A 12843-2020")</f>
        <v/>
      </c>
      <c r="T316">
        <f>HYPERLINK("https://klasma.github.io/Logging_0188/kartor/A 12843-2020 karta.png", "A 12843-2020")</f>
        <v/>
      </c>
      <c r="V316">
        <f>HYPERLINK("https://klasma.github.io/Logging_0188/klagomål/A 12843-2020 FSC-klagomål.docx", "A 12843-2020")</f>
        <v/>
      </c>
      <c r="W316">
        <f>HYPERLINK("https://klasma.github.io/Logging_0188/klagomålsmail/A 12843-2020 FSC-klagomål mail.docx", "A 12843-2020")</f>
        <v/>
      </c>
      <c r="X316">
        <f>HYPERLINK("https://klasma.github.io/Logging_0188/tillsyn/A 12843-2020 tillsynsbegäran.docx", "A 12843-2020")</f>
        <v/>
      </c>
      <c r="Y316">
        <f>HYPERLINK("https://klasma.github.io/Logging_0188/tillsynsmail/A 12843-2020 tillsynsbegäran mail.docx", "A 12843-2020")</f>
        <v/>
      </c>
      <c r="Z316">
        <f>HYPERLINK("https://klasma.github.io/Logging_0188/fåglar/A 12843-2020 prioriterade fågelarter.docx", "A 12843-2020")</f>
        <v/>
      </c>
    </row>
    <row r="317" ht="15" customHeight="1">
      <c r="A317" t="inlineStr">
        <is>
          <t>A 12832-2020</t>
        </is>
      </c>
      <c r="B317" s="1" t="n">
        <v>43899</v>
      </c>
      <c r="C317" s="1" t="n">
        <v>45571</v>
      </c>
      <c r="D317" t="inlineStr">
        <is>
          <t>STOCKHOLMS LÄN</t>
        </is>
      </c>
      <c r="E317" t="inlineStr">
        <is>
          <t>SÖDERTÄLJE</t>
        </is>
      </c>
      <c r="G317" t="n">
        <v>3.8</v>
      </c>
      <c r="H317" t="n">
        <v>0</v>
      </c>
      <c r="I317" t="n">
        <v>0</v>
      </c>
      <c r="J317" t="n">
        <v>1</v>
      </c>
      <c r="K317" t="n">
        <v>0</v>
      </c>
      <c r="L317" t="n">
        <v>0</v>
      </c>
      <c r="M317" t="n">
        <v>0</v>
      </c>
      <c r="N317" t="n">
        <v>0</v>
      </c>
      <c r="O317" t="n">
        <v>1</v>
      </c>
      <c r="P317" t="n">
        <v>0</v>
      </c>
      <c r="Q317" t="n">
        <v>1</v>
      </c>
      <c r="R317" s="2" t="inlineStr">
        <is>
          <t>Ängsskära</t>
        </is>
      </c>
      <c r="S317">
        <f>HYPERLINK("https://klasma.github.io/Logging_0181/artfynd/A 12832-2020 artfynd.xlsx", "A 12832-2020")</f>
        <v/>
      </c>
      <c r="T317">
        <f>HYPERLINK("https://klasma.github.io/Logging_0181/kartor/A 12832-2020 karta.png", "A 12832-2020")</f>
        <v/>
      </c>
      <c r="V317">
        <f>HYPERLINK("https://klasma.github.io/Logging_0181/klagomål/A 12832-2020 FSC-klagomål.docx", "A 12832-2020")</f>
        <v/>
      </c>
      <c r="W317">
        <f>HYPERLINK("https://klasma.github.io/Logging_0181/klagomålsmail/A 12832-2020 FSC-klagomål mail.docx", "A 12832-2020")</f>
        <v/>
      </c>
      <c r="X317">
        <f>HYPERLINK("https://klasma.github.io/Logging_0181/tillsyn/A 12832-2020 tillsynsbegäran.docx", "A 12832-2020")</f>
        <v/>
      </c>
      <c r="Y317">
        <f>HYPERLINK("https://klasma.github.io/Logging_0181/tillsynsmail/A 12832-2020 tillsynsbegäran mail.docx", "A 12832-2020")</f>
        <v/>
      </c>
    </row>
    <row r="318" ht="15" customHeight="1">
      <c r="A318" t="inlineStr">
        <is>
          <t>A 13922-2020</t>
        </is>
      </c>
      <c r="B318" s="1" t="n">
        <v>43906</v>
      </c>
      <c r="C318" s="1" t="n">
        <v>45571</v>
      </c>
      <c r="D318" t="inlineStr">
        <is>
          <t>STOCKHOLMS LÄN</t>
        </is>
      </c>
      <c r="E318" t="inlineStr">
        <is>
          <t>NYKVARN</t>
        </is>
      </c>
      <c r="G318" t="n">
        <v>19.8</v>
      </c>
      <c r="H318" t="n">
        <v>0</v>
      </c>
      <c r="I318" t="n">
        <v>0</v>
      </c>
      <c r="J318" t="n">
        <v>1</v>
      </c>
      <c r="K318" t="n">
        <v>0</v>
      </c>
      <c r="L318" t="n">
        <v>0</v>
      </c>
      <c r="M318" t="n">
        <v>0</v>
      </c>
      <c r="N318" t="n">
        <v>0</v>
      </c>
      <c r="O318" t="n">
        <v>1</v>
      </c>
      <c r="P318" t="n">
        <v>0</v>
      </c>
      <c r="Q318" t="n">
        <v>1</v>
      </c>
      <c r="R318" s="2" t="inlineStr">
        <is>
          <t>Svedjenäva</t>
        </is>
      </c>
      <c r="S318">
        <f>HYPERLINK("https://klasma.github.io/Logging_0140/artfynd/A 13922-2020 artfynd.xlsx", "A 13922-2020")</f>
        <v/>
      </c>
      <c r="T318">
        <f>HYPERLINK("https://klasma.github.io/Logging_0140/kartor/A 13922-2020 karta.png", "A 13922-2020")</f>
        <v/>
      </c>
      <c r="V318">
        <f>HYPERLINK("https://klasma.github.io/Logging_0140/klagomål/A 13922-2020 FSC-klagomål.docx", "A 13922-2020")</f>
        <v/>
      </c>
      <c r="W318">
        <f>HYPERLINK("https://klasma.github.io/Logging_0140/klagomålsmail/A 13922-2020 FSC-klagomål mail.docx", "A 13922-2020")</f>
        <v/>
      </c>
      <c r="X318">
        <f>HYPERLINK("https://klasma.github.io/Logging_0140/tillsyn/A 13922-2020 tillsynsbegäran.docx", "A 13922-2020")</f>
        <v/>
      </c>
      <c r="Y318">
        <f>HYPERLINK("https://klasma.github.io/Logging_0140/tillsynsmail/A 13922-2020 tillsynsbegäran mail.docx", "A 13922-2020")</f>
        <v/>
      </c>
    </row>
    <row r="319" ht="15" customHeight="1">
      <c r="A319" t="inlineStr">
        <is>
          <t>A 15312-2020</t>
        </is>
      </c>
      <c r="B319" s="1" t="n">
        <v>43913</v>
      </c>
      <c r="C319" s="1" t="n">
        <v>45571</v>
      </c>
      <c r="D319" t="inlineStr">
        <is>
          <t>STOCKHOLMS LÄN</t>
        </is>
      </c>
      <c r="E319" t="inlineStr">
        <is>
          <t>HANINGE</t>
        </is>
      </c>
      <c r="F319" t="inlineStr">
        <is>
          <t>Övriga statliga verk och myndigheter</t>
        </is>
      </c>
      <c r="G319" t="n">
        <v>2.4</v>
      </c>
      <c r="H319" t="n">
        <v>0</v>
      </c>
      <c r="I319" t="n">
        <v>0</v>
      </c>
      <c r="J319" t="n">
        <v>1</v>
      </c>
      <c r="K319" t="n">
        <v>0</v>
      </c>
      <c r="L319" t="n">
        <v>0</v>
      </c>
      <c r="M319" t="n">
        <v>0</v>
      </c>
      <c r="N319" t="n">
        <v>0</v>
      </c>
      <c r="O319" t="n">
        <v>1</v>
      </c>
      <c r="P319" t="n">
        <v>0</v>
      </c>
      <c r="Q319" t="n">
        <v>1</v>
      </c>
      <c r="R319" s="2" t="inlineStr">
        <is>
          <t>Tallticka</t>
        </is>
      </c>
      <c r="S319">
        <f>HYPERLINK("https://klasma.github.io/Logging_0136/artfynd/A 15312-2020 artfynd.xlsx", "A 15312-2020")</f>
        <v/>
      </c>
      <c r="T319">
        <f>HYPERLINK("https://klasma.github.io/Logging_0136/kartor/A 15312-2020 karta.png", "A 15312-2020")</f>
        <v/>
      </c>
      <c r="V319">
        <f>HYPERLINK("https://klasma.github.io/Logging_0136/klagomål/A 15312-2020 FSC-klagomål.docx", "A 15312-2020")</f>
        <v/>
      </c>
      <c r="W319">
        <f>HYPERLINK("https://klasma.github.io/Logging_0136/klagomålsmail/A 15312-2020 FSC-klagomål mail.docx", "A 15312-2020")</f>
        <v/>
      </c>
      <c r="X319">
        <f>HYPERLINK("https://klasma.github.io/Logging_0136/tillsyn/A 15312-2020 tillsynsbegäran.docx", "A 15312-2020")</f>
        <v/>
      </c>
      <c r="Y319">
        <f>HYPERLINK("https://klasma.github.io/Logging_0136/tillsynsmail/A 15312-2020 tillsynsbegäran mail.docx", "A 15312-2020")</f>
        <v/>
      </c>
    </row>
    <row r="320" ht="15" customHeight="1">
      <c r="A320" t="inlineStr">
        <is>
          <t>A 16236-2020</t>
        </is>
      </c>
      <c r="B320" s="1" t="n">
        <v>43917</v>
      </c>
      <c r="C320" s="1" t="n">
        <v>45571</v>
      </c>
      <c r="D320" t="inlineStr">
        <is>
          <t>STOCKHOLMS LÄN</t>
        </is>
      </c>
      <c r="E320" t="inlineStr">
        <is>
          <t>BOTKYRKA</t>
        </is>
      </c>
      <c r="G320" t="n">
        <v>2.5</v>
      </c>
      <c r="H320" t="n">
        <v>0</v>
      </c>
      <c r="I320" t="n">
        <v>1</v>
      </c>
      <c r="J320" t="n">
        <v>0</v>
      </c>
      <c r="K320" t="n">
        <v>0</v>
      </c>
      <c r="L320" t="n">
        <v>0</v>
      </c>
      <c r="M320" t="n">
        <v>0</v>
      </c>
      <c r="N320" t="n">
        <v>0</v>
      </c>
      <c r="O320" t="n">
        <v>0</v>
      </c>
      <c r="P320" t="n">
        <v>0</v>
      </c>
      <c r="Q320" t="n">
        <v>1</v>
      </c>
      <c r="R320" s="2" t="inlineStr">
        <is>
          <t>Granbarkgnagare</t>
        </is>
      </c>
      <c r="S320">
        <f>HYPERLINK("https://klasma.github.io/Logging_0127/artfynd/A 16236-2020 artfynd.xlsx", "A 16236-2020")</f>
        <v/>
      </c>
      <c r="T320">
        <f>HYPERLINK("https://klasma.github.io/Logging_0127/kartor/A 16236-2020 karta.png", "A 16236-2020")</f>
        <v/>
      </c>
      <c r="V320">
        <f>HYPERLINK("https://klasma.github.io/Logging_0127/klagomål/A 16236-2020 FSC-klagomål.docx", "A 16236-2020")</f>
        <v/>
      </c>
      <c r="W320">
        <f>HYPERLINK("https://klasma.github.io/Logging_0127/klagomålsmail/A 16236-2020 FSC-klagomål mail.docx", "A 16236-2020")</f>
        <v/>
      </c>
      <c r="X320">
        <f>HYPERLINK("https://klasma.github.io/Logging_0127/tillsyn/A 16236-2020 tillsynsbegäran.docx", "A 16236-2020")</f>
        <v/>
      </c>
      <c r="Y320">
        <f>HYPERLINK("https://klasma.github.io/Logging_0127/tillsynsmail/A 16236-2020 tillsynsbegäran mail.docx", "A 16236-2020")</f>
        <v/>
      </c>
    </row>
    <row r="321" ht="15" customHeight="1">
      <c r="A321" t="inlineStr">
        <is>
          <t>A 16917-2020</t>
        </is>
      </c>
      <c r="B321" s="1" t="n">
        <v>43921</v>
      </c>
      <c r="C321" s="1" t="n">
        <v>45571</v>
      </c>
      <c r="D321" t="inlineStr">
        <is>
          <t>STOCKHOLMS LÄN</t>
        </is>
      </c>
      <c r="E321" t="inlineStr">
        <is>
          <t>SALEM</t>
        </is>
      </c>
      <c r="G321" t="n">
        <v>23.8</v>
      </c>
      <c r="H321" t="n">
        <v>1</v>
      </c>
      <c r="I321" t="n">
        <v>0</v>
      </c>
      <c r="J321" t="n">
        <v>1</v>
      </c>
      <c r="K321" t="n">
        <v>0</v>
      </c>
      <c r="L321" t="n">
        <v>0</v>
      </c>
      <c r="M321" t="n">
        <v>0</v>
      </c>
      <c r="N321" t="n">
        <v>0</v>
      </c>
      <c r="O321" t="n">
        <v>1</v>
      </c>
      <c r="P321" t="n">
        <v>0</v>
      </c>
      <c r="Q321" t="n">
        <v>1</v>
      </c>
      <c r="R321" s="2" t="inlineStr">
        <is>
          <t>Talltita</t>
        </is>
      </c>
      <c r="S321">
        <f>HYPERLINK("https://klasma.github.io/Logging_0128/artfynd/A 16917-2020 artfynd.xlsx", "A 16917-2020")</f>
        <v/>
      </c>
      <c r="T321">
        <f>HYPERLINK("https://klasma.github.io/Logging_0128/kartor/A 16917-2020 karta.png", "A 16917-2020")</f>
        <v/>
      </c>
      <c r="V321">
        <f>HYPERLINK("https://klasma.github.io/Logging_0128/klagomål/A 16917-2020 FSC-klagomål.docx", "A 16917-2020")</f>
        <v/>
      </c>
      <c r="W321">
        <f>HYPERLINK("https://klasma.github.io/Logging_0128/klagomålsmail/A 16917-2020 FSC-klagomål mail.docx", "A 16917-2020")</f>
        <v/>
      </c>
      <c r="X321">
        <f>HYPERLINK("https://klasma.github.io/Logging_0128/tillsyn/A 16917-2020 tillsynsbegäran.docx", "A 16917-2020")</f>
        <v/>
      </c>
      <c r="Y321">
        <f>HYPERLINK("https://klasma.github.io/Logging_0128/tillsynsmail/A 16917-2020 tillsynsbegäran mail.docx", "A 16917-2020")</f>
        <v/>
      </c>
      <c r="Z321">
        <f>HYPERLINK("https://klasma.github.io/Logging_0128/fåglar/A 16917-2020 prioriterade fågelarter.docx", "A 16917-2020")</f>
        <v/>
      </c>
    </row>
    <row r="322" ht="15" customHeight="1">
      <c r="A322" t="inlineStr">
        <is>
          <t>A 18965-2020</t>
        </is>
      </c>
      <c r="B322" s="1" t="n">
        <v>43935</v>
      </c>
      <c r="C322" s="1" t="n">
        <v>45571</v>
      </c>
      <c r="D322" t="inlineStr">
        <is>
          <t>STOCKHOLMS LÄN</t>
        </is>
      </c>
      <c r="E322" t="inlineStr">
        <is>
          <t>NYNÄSHAMN</t>
        </is>
      </c>
      <c r="F322" t="inlineStr">
        <is>
          <t>Kommuner</t>
        </is>
      </c>
      <c r="G322" t="n">
        <v>14.3</v>
      </c>
      <c r="H322" t="n">
        <v>1</v>
      </c>
      <c r="I322" t="n">
        <v>0</v>
      </c>
      <c r="J322" t="n">
        <v>0</v>
      </c>
      <c r="K322" t="n">
        <v>1</v>
      </c>
      <c r="L322" t="n">
        <v>0</v>
      </c>
      <c r="M322" t="n">
        <v>0</v>
      </c>
      <c r="N322" t="n">
        <v>0</v>
      </c>
      <c r="O322" t="n">
        <v>1</v>
      </c>
      <c r="P322" t="n">
        <v>1</v>
      </c>
      <c r="Q322" t="n">
        <v>1</v>
      </c>
      <c r="R322" s="2" t="inlineStr">
        <is>
          <t>Hasselsnok</t>
        </is>
      </c>
      <c r="S322">
        <f>HYPERLINK("https://klasma.github.io/Logging_0192/artfynd/A 18965-2020 artfynd.xlsx", "A 18965-2020")</f>
        <v/>
      </c>
      <c r="T322">
        <f>HYPERLINK("https://klasma.github.io/Logging_0192/kartor/A 18965-2020 karta.png", "A 18965-2020")</f>
        <v/>
      </c>
      <c r="V322">
        <f>HYPERLINK("https://klasma.github.io/Logging_0192/klagomål/A 18965-2020 FSC-klagomål.docx", "A 18965-2020")</f>
        <v/>
      </c>
      <c r="W322">
        <f>HYPERLINK("https://klasma.github.io/Logging_0192/klagomålsmail/A 18965-2020 FSC-klagomål mail.docx", "A 18965-2020")</f>
        <v/>
      </c>
      <c r="X322">
        <f>HYPERLINK("https://klasma.github.io/Logging_0192/tillsyn/A 18965-2020 tillsynsbegäran.docx", "A 18965-2020")</f>
        <v/>
      </c>
      <c r="Y322">
        <f>HYPERLINK("https://klasma.github.io/Logging_0192/tillsynsmail/A 18965-2020 tillsynsbegäran mail.docx", "A 18965-2020")</f>
        <v/>
      </c>
    </row>
    <row r="323" ht="15" customHeight="1">
      <c r="A323" t="inlineStr">
        <is>
          <t>A 21628-2020</t>
        </is>
      </c>
      <c r="B323" s="1" t="n">
        <v>43956</v>
      </c>
      <c r="C323" s="1" t="n">
        <v>45571</v>
      </c>
      <c r="D323" t="inlineStr">
        <is>
          <t>STOCKHOLMS LÄN</t>
        </is>
      </c>
      <c r="E323" t="inlineStr">
        <is>
          <t>NYKVARN</t>
        </is>
      </c>
      <c r="G323" t="n">
        <v>1.5</v>
      </c>
      <c r="H323" t="n">
        <v>0</v>
      </c>
      <c r="I323" t="n">
        <v>0</v>
      </c>
      <c r="J323" t="n">
        <v>1</v>
      </c>
      <c r="K323" t="n">
        <v>0</v>
      </c>
      <c r="L323" t="n">
        <v>0</v>
      </c>
      <c r="M323" t="n">
        <v>0</v>
      </c>
      <c r="N323" t="n">
        <v>0</v>
      </c>
      <c r="O323" t="n">
        <v>1</v>
      </c>
      <c r="P323" t="n">
        <v>0</v>
      </c>
      <c r="Q323" t="n">
        <v>1</v>
      </c>
      <c r="R323" s="2" t="inlineStr">
        <is>
          <t>Igelkott</t>
        </is>
      </c>
      <c r="S323">
        <f>HYPERLINK("https://klasma.github.io/Logging_0140/artfynd/A 21628-2020 artfynd.xlsx", "A 21628-2020")</f>
        <v/>
      </c>
      <c r="T323">
        <f>HYPERLINK("https://klasma.github.io/Logging_0140/kartor/A 21628-2020 karta.png", "A 21628-2020")</f>
        <v/>
      </c>
      <c r="V323">
        <f>HYPERLINK("https://klasma.github.io/Logging_0140/klagomål/A 21628-2020 FSC-klagomål.docx", "A 21628-2020")</f>
        <v/>
      </c>
      <c r="W323">
        <f>HYPERLINK("https://klasma.github.io/Logging_0140/klagomålsmail/A 21628-2020 FSC-klagomål mail.docx", "A 21628-2020")</f>
        <v/>
      </c>
      <c r="X323">
        <f>HYPERLINK("https://klasma.github.io/Logging_0140/tillsyn/A 21628-2020 tillsynsbegäran.docx", "A 21628-2020")</f>
        <v/>
      </c>
      <c r="Y323">
        <f>HYPERLINK("https://klasma.github.io/Logging_0140/tillsynsmail/A 21628-2020 tillsynsbegäran mail.docx", "A 21628-2020")</f>
        <v/>
      </c>
    </row>
    <row r="324" ht="15" customHeight="1">
      <c r="A324" t="inlineStr">
        <is>
          <t>A 28380-2020</t>
        </is>
      </c>
      <c r="B324" s="1" t="n">
        <v>43998</v>
      </c>
      <c r="C324" s="1" t="n">
        <v>45571</v>
      </c>
      <c r="D324" t="inlineStr">
        <is>
          <t>STOCKHOLMS LÄN</t>
        </is>
      </c>
      <c r="E324" t="inlineStr">
        <is>
          <t>NORRTÄLJE</t>
        </is>
      </c>
      <c r="G324" t="n">
        <v>43</v>
      </c>
      <c r="H324" t="n">
        <v>1</v>
      </c>
      <c r="I324" t="n">
        <v>0</v>
      </c>
      <c r="J324" t="n">
        <v>0</v>
      </c>
      <c r="K324" t="n">
        <v>0</v>
      </c>
      <c r="L324" t="n">
        <v>1</v>
      </c>
      <c r="M324" t="n">
        <v>0</v>
      </c>
      <c r="N324" t="n">
        <v>0</v>
      </c>
      <c r="O324" t="n">
        <v>1</v>
      </c>
      <c r="P324" t="n">
        <v>1</v>
      </c>
      <c r="Q324" t="n">
        <v>1</v>
      </c>
      <c r="R324" s="2" t="inlineStr">
        <is>
          <t>Asknätfjäril</t>
        </is>
      </c>
      <c r="S324">
        <f>HYPERLINK("https://klasma.github.io/Logging_0188/artfynd/A 28380-2020 artfynd.xlsx", "A 28380-2020")</f>
        <v/>
      </c>
      <c r="T324">
        <f>HYPERLINK("https://klasma.github.io/Logging_0188/kartor/A 28380-2020 karta.png", "A 28380-2020")</f>
        <v/>
      </c>
      <c r="V324">
        <f>HYPERLINK("https://klasma.github.io/Logging_0188/klagomål/A 28380-2020 FSC-klagomål.docx", "A 28380-2020")</f>
        <v/>
      </c>
      <c r="W324">
        <f>HYPERLINK("https://klasma.github.io/Logging_0188/klagomålsmail/A 28380-2020 FSC-klagomål mail.docx", "A 28380-2020")</f>
        <v/>
      </c>
      <c r="X324">
        <f>HYPERLINK("https://klasma.github.io/Logging_0188/tillsyn/A 28380-2020 tillsynsbegäran.docx", "A 28380-2020")</f>
        <v/>
      </c>
      <c r="Y324">
        <f>HYPERLINK("https://klasma.github.io/Logging_0188/tillsynsmail/A 28380-2020 tillsynsbegäran mail.docx", "A 28380-2020")</f>
        <v/>
      </c>
    </row>
    <row r="325" ht="15" customHeight="1">
      <c r="A325" t="inlineStr">
        <is>
          <t>A 32525-2020</t>
        </is>
      </c>
      <c r="B325" s="1" t="n">
        <v>44018</v>
      </c>
      <c r="C325" s="1" t="n">
        <v>45571</v>
      </c>
      <c r="D325" t="inlineStr">
        <is>
          <t>STOCKHOLMS LÄN</t>
        </is>
      </c>
      <c r="E325" t="inlineStr">
        <is>
          <t>HANINGE</t>
        </is>
      </c>
      <c r="F325" t="inlineStr">
        <is>
          <t>Kommuner</t>
        </is>
      </c>
      <c r="G325" t="n">
        <v>2.3</v>
      </c>
      <c r="H325" t="n">
        <v>0</v>
      </c>
      <c r="I325" t="n">
        <v>1</v>
      </c>
      <c r="J325" t="n">
        <v>0</v>
      </c>
      <c r="K325" t="n">
        <v>0</v>
      </c>
      <c r="L325" t="n">
        <v>0</v>
      </c>
      <c r="M325" t="n">
        <v>0</v>
      </c>
      <c r="N325" t="n">
        <v>0</v>
      </c>
      <c r="O325" t="n">
        <v>0</v>
      </c>
      <c r="P325" t="n">
        <v>0</v>
      </c>
      <c r="Q325" t="n">
        <v>1</v>
      </c>
      <c r="R325" s="2" t="inlineStr">
        <is>
          <t>Vedticka</t>
        </is>
      </c>
      <c r="S325">
        <f>HYPERLINK("https://klasma.github.io/Logging_0136/artfynd/A 32525-2020 artfynd.xlsx", "A 32525-2020")</f>
        <v/>
      </c>
      <c r="T325">
        <f>HYPERLINK("https://klasma.github.io/Logging_0136/kartor/A 32525-2020 karta.png", "A 32525-2020")</f>
        <v/>
      </c>
      <c r="V325">
        <f>HYPERLINK("https://klasma.github.io/Logging_0136/klagomål/A 32525-2020 FSC-klagomål.docx", "A 32525-2020")</f>
        <v/>
      </c>
      <c r="W325">
        <f>HYPERLINK("https://klasma.github.io/Logging_0136/klagomålsmail/A 32525-2020 FSC-klagomål mail.docx", "A 32525-2020")</f>
        <v/>
      </c>
      <c r="X325">
        <f>HYPERLINK("https://klasma.github.io/Logging_0136/tillsyn/A 32525-2020 tillsynsbegäran.docx", "A 32525-2020")</f>
        <v/>
      </c>
      <c r="Y325">
        <f>HYPERLINK("https://klasma.github.io/Logging_0136/tillsynsmail/A 32525-2020 tillsynsbegäran mail.docx", "A 32525-2020")</f>
        <v/>
      </c>
    </row>
    <row r="326" ht="15" customHeight="1">
      <c r="A326" t="inlineStr">
        <is>
          <t>A 34971-2020</t>
        </is>
      </c>
      <c r="B326" s="1" t="n">
        <v>44039</v>
      </c>
      <c r="C326" s="1" t="n">
        <v>45571</v>
      </c>
      <c r="D326" t="inlineStr">
        <is>
          <t>STOCKHOLMS LÄN</t>
        </is>
      </c>
      <c r="E326" t="inlineStr">
        <is>
          <t>BOTKYRKA</t>
        </is>
      </c>
      <c r="G326" t="n">
        <v>4.2</v>
      </c>
      <c r="H326" t="n">
        <v>0</v>
      </c>
      <c r="I326" t="n">
        <v>1</v>
      </c>
      <c r="J326" t="n">
        <v>0</v>
      </c>
      <c r="K326" t="n">
        <v>0</v>
      </c>
      <c r="L326" t="n">
        <v>0</v>
      </c>
      <c r="M326" t="n">
        <v>0</v>
      </c>
      <c r="N326" t="n">
        <v>0</v>
      </c>
      <c r="O326" t="n">
        <v>0</v>
      </c>
      <c r="P326" t="n">
        <v>0</v>
      </c>
      <c r="Q326" t="n">
        <v>1</v>
      </c>
      <c r="R326" s="2" t="inlineStr">
        <is>
          <t>Tibast</t>
        </is>
      </c>
      <c r="S326">
        <f>HYPERLINK("https://klasma.github.io/Logging_0127/artfynd/A 34971-2020 artfynd.xlsx", "A 34971-2020")</f>
        <v/>
      </c>
      <c r="T326">
        <f>HYPERLINK("https://klasma.github.io/Logging_0127/kartor/A 34971-2020 karta.png", "A 34971-2020")</f>
        <v/>
      </c>
      <c r="V326">
        <f>HYPERLINK("https://klasma.github.io/Logging_0127/klagomål/A 34971-2020 FSC-klagomål.docx", "A 34971-2020")</f>
        <v/>
      </c>
      <c r="W326">
        <f>HYPERLINK("https://klasma.github.io/Logging_0127/klagomålsmail/A 34971-2020 FSC-klagomål mail.docx", "A 34971-2020")</f>
        <v/>
      </c>
      <c r="X326">
        <f>HYPERLINK("https://klasma.github.io/Logging_0127/tillsyn/A 34971-2020 tillsynsbegäran.docx", "A 34971-2020")</f>
        <v/>
      </c>
      <c r="Y326">
        <f>HYPERLINK("https://klasma.github.io/Logging_0127/tillsynsmail/A 34971-2020 tillsynsbegäran mail.docx", "A 34971-2020")</f>
        <v/>
      </c>
    </row>
    <row r="327" ht="15" customHeight="1">
      <c r="A327" t="inlineStr">
        <is>
          <t>A 41774-2020</t>
        </is>
      </c>
      <c r="B327" s="1" t="n">
        <v>44074</v>
      </c>
      <c r="C327" s="1" t="n">
        <v>45571</v>
      </c>
      <c r="D327" t="inlineStr">
        <is>
          <t>STOCKHOLMS LÄN</t>
        </is>
      </c>
      <c r="E327" t="inlineStr">
        <is>
          <t>SALEM</t>
        </is>
      </c>
      <c r="F327" t="inlineStr">
        <is>
          <t>Kommuner</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HYPERLINK("https://klasma.github.io/Logging_0128/artfynd/A 41774-2020 artfynd.xlsx", "A 41774-2020")</f>
        <v/>
      </c>
      <c r="T327">
        <f>HYPERLINK("https://klasma.github.io/Logging_0128/kartor/A 41774-2020 karta.png", "A 41774-2020")</f>
        <v/>
      </c>
      <c r="V327">
        <f>HYPERLINK("https://klasma.github.io/Logging_0128/klagomål/A 41774-2020 FSC-klagomål.docx", "A 41774-2020")</f>
        <v/>
      </c>
      <c r="W327">
        <f>HYPERLINK("https://klasma.github.io/Logging_0128/klagomålsmail/A 41774-2020 FSC-klagomål mail.docx", "A 41774-2020")</f>
        <v/>
      </c>
      <c r="X327">
        <f>HYPERLINK("https://klasma.github.io/Logging_0128/tillsyn/A 41774-2020 tillsynsbegäran.docx", "A 41774-2020")</f>
        <v/>
      </c>
      <c r="Y327">
        <f>HYPERLINK("https://klasma.github.io/Logging_0128/tillsynsmail/A 41774-2020 tillsynsbegäran mail.docx", "A 41774-2020")</f>
        <v/>
      </c>
    </row>
    <row r="328" ht="15" customHeight="1">
      <c r="A328" t="inlineStr">
        <is>
          <t>A 47329-2020</t>
        </is>
      </c>
      <c r="B328" s="1" t="n">
        <v>44097</v>
      </c>
      <c r="C328" s="1" t="n">
        <v>45571</v>
      </c>
      <c r="D328" t="inlineStr">
        <is>
          <t>STOCKHOLMS LÄN</t>
        </is>
      </c>
      <c r="E328" t="inlineStr">
        <is>
          <t>UPPLANDS-BRO</t>
        </is>
      </c>
      <c r="G328" t="n">
        <v>1.6</v>
      </c>
      <c r="H328" t="n">
        <v>1</v>
      </c>
      <c r="I328" t="n">
        <v>0</v>
      </c>
      <c r="J328" t="n">
        <v>0</v>
      </c>
      <c r="K328" t="n">
        <v>1</v>
      </c>
      <c r="L328" t="n">
        <v>0</v>
      </c>
      <c r="M328" t="n">
        <v>0</v>
      </c>
      <c r="N328" t="n">
        <v>0</v>
      </c>
      <c r="O328" t="n">
        <v>1</v>
      </c>
      <c r="P328" t="n">
        <v>1</v>
      </c>
      <c r="Q328" t="n">
        <v>1</v>
      </c>
      <c r="R328" s="2" t="inlineStr">
        <is>
          <t>Bombmurkla</t>
        </is>
      </c>
      <c r="S328">
        <f>HYPERLINK("https://klasma.github.io/Logging_0139/artfynd/A 47329-2020 artfynd.xlsx", "A 47329-2020")</f>
        <v/>
      </c>
      <c r="T328">
        <f>HYPERLINK("https://klasma.github.io/Logging_0139/kartor/A 47329-2020 karta.png", "A 47329-2020")</f>
        <v/>
      </c>
      <c r="V328">
        <f>HYPERLINK("https://klasma.github.io/Logging_0139/klagomål/A 47329-2020 FSC-klagomål.docx", "A 47329-2020")</f>
        <v/>
      </c>
      <c r="W328">
        <f>HYPERLINK("https://klasma.github.io/Logging_0139/klagomålsmail/A 47329-2020 FSC-klagomål mail.docx", "A 47329-2020")</f>
        <v/>
      </c>
      <c r="X328">
        <f>HYPERLINK("https://klasma.github.io/Logging_0139/tillsyn/A 47329-2020 tillsynsbegäran.docx", "A 47329-2020")</f>
        <v/>
      </c>
      <c r="Y328">
        <f>HYPERLINK("https://klasma.github.io/Logging_0139/tillsynsmail/A 47329-2020 tillsynsbegäran mail.docx", "A 47329-2020")</f>
        <v/>
      </c>
    </row>
    <row r="329" ht="15" customHeight="1">
      <c r="A329" t="inlineStr">
        <is>
          <t>A 48288-2020</t>
        </is>
      </c>
      <c r="B329" s="1" t="n">
        <v>44102</v>
      </c>
      <c r="C329" s="1" t="n">
        <v>45571</v>
      </c>
      <c r="D329" t="inlineStr">
        <is>
          <t>STOCKHOLMS LÄN</t>
        </is>
      </c>
      <c r="E329" t="inlineStr">
        <is>
          <t>NORRTÄLJE</t>
        </is>
      </c>
      <c r="F329" t="inlineStr">
        <is>
          <t>Holmen skog AB</t>
        </is>
      </c>
      <c r="G329" t="n">
        <v>2.9</v>
      </c>
      <c r="H329" t="n">
        <v>1</v>
      </c>
      <c r="I329" t="n">
        <v>0</v>
      </c>
      <c r="J329" t="n">
        <v>0</v>
      </c>
      <c r="K329" t="n">
        <v>0</v>
      </c>
      <c r="L329" t="n">
        <v>1</v>
      </c>
      <c r="M329" t="n">
        <v>0</v>
      </c>
      <c r="N329" t="n">
        <v>0</v>
      </c>
      <c r="O329" t="n">
        <v>1</v>
      </c>
      <c r="P329" t="n">
        <v>1</v>
      </c>
      <c r="Q329" t="n">
        <v>1</v>
      </c>
      <c r="R329" s="2" t="inlineStr">
        <is>
          <t>Asknätfjäril</t>
        </is>
      </c>
      <c r="S329">
        <f>HYPERLINK("https://klasma.github.io/Logging_0188/artfynd/A 48288-2020 artfynd.xlsx", "A 48288-2020")</f>
        <v/>
      </c>
      <c r="T329">
        <f>HYPERLINK("https://klasma.github.io/Logging_0188/kartor/A 48288-2020 karta.png", "A 48288-2020")</f>
        <v/>
      </c>
      <c r="V329">
        <f>HYPERLINK("https://klasma.github.io/Logging_0188/klagomål/A 48288-2020 FSC-klagomål.docx", "A 48288-2020")</f>
        <v/>
      </c>
      <c r="W329">
        <f>HYPERLINK("https://klasma.github.io/Logging_0188/klagomålsmail/A 48288-2020 FSC-klagomål mail.docx", "A 48288-2020")</f>
        <v/>
      </c>
      <c r="X329">
        <f>HYPERLINK("https://klasma.github.io/Logging_0188/tillsyn/A 48288-2020 tillsynsbegäran.docx", "A 48288-2020")</f>
        <v/>
      </c>
      <c r="Y329">
        <f>HYPERLINK("https://klasma.github.io/Logging_0188/tillsynsmail/A 48288-2020 tillsynsbegäran mail.docx", "A 48288-2020")</f>
        <v/>
      </c>
    </row>
    <row r="330" ht="15" customHeight="1">
      <c r="A330" t="inlineStr">
        <is>
          <t>A 62846-2020</t>
        </is>
      </c>
      <c r="B330" s="1" t="n">
        <v>44161</v>
      </c>
      <c r="C330" s="1" t="n">
        <v>45571</v>
      </c>
      <c r="D330" t="inlineStr">
        <is>
          <t>STOCKHOLMS LÄN</t>
        </is>
      </c>
      <c r="E330" t="inlineStr">
        <is>
          <t>NORRTÄLJE</t>
        </is>
      </c>
      <c r="G330" t="n">
        <v>1.4</v>
      </c>
      <c r="H330" t="n">
        <v>1</v>
      </c>
      <c r="I330" t="n">
        <v>0</v>
      </c>
      <c r="J330" t="n">
        <v>0</v>
      </c>
      <c r="K330" t="n">
        <v>0</v>
      </c>
      <c r="L330" t="n">
        <v>0</v>
      </c>
      <c r="M330" t="n">
        <v>0</v>
      </c>
      <c r="N330" t="n">
        <v>0</v>
      </c>
      <c r="O330" t="n">
        <v>0</v>
      </c>
      <c r="P330" t="n">
        <v>0</v>
      </c>
      <c r="Q330" t="n">
        <v>1</v>
      </c>
      <c r="R330" s="2" t="inlineStr">
        <is>
          <t>Fläcknycklar</t>
        </is>
      </c>
      <c r="S330">
        <f>HYPERLINK("https://klasma.github.io/Logging_0188/artfynd/A 62846-2020 artfynd.xlsx", "A 62846-2020")</f>
        <v/>
      </c>
      <c r="T330">
        <f>HYPERLINK("https://klasma.github.io/Logging_0188/kartor/A 62846-2020 karta.png", "A 62846-2020")</f>
        <v/>
      </c>
      <c r="V330">
        <f>HYPERLINK("https://klasma.github.io/Logging_0188/klagomål/A 62846-2020 FSC-klagomål.docx", "A 62846-2020")</f>
        <v/>
      </c>
      <c r="W330">
        <f>HYPERLINK("https://klasma.github.io/Logging_0188/klagomålsmail/A 62846-2020 FSC-klagomål mail.docx", "A 62846-2020")</f>
        <v/>
      </c>
      <c r="X330">
        <f>HYPERLINK("https://klasma.github.io/Logging_0188/tillsyn/A 62846-2020 tillsynsbegäran.docx", "A 62846-2020")</f>
        <v/>
      </c>
      <c r="Y330">
        <f>HYPERLINK("https://klasma.github.io/Logging_0188/tillsynsmail/A 62846-2020 tillsynsbegäran mail.docx", "A 62846-2020")</f>
        <v/>
      </c>
    </row>
    <row r="331" ht="15" customHeight="1">
      <c r="A331" t="inlineStr">
        <is>
          <t>A 1162-2021</t>
        </is>
      </c>
      <c r="B331" s="1" t="n">
        <v>44207</v>
      </c>
      <c r="C331" s="1" t="n">
        <v>45571</v>
      </c>
      <c r="D331" t="inlineStr">
        <is>
          <t>STOCKHOLMS LÄN</t>
        </is>
      </c>
      <c r="E331" t="inlineStr">
        <is>
          <t>NORRTÄLJE</t>
        </is>
      </c>
      <c r="G331" t="n">
        <v>2.2</v>
      </c>
      <c r="H331" t="n">
        <v>1</v>
      </c>
      <c r="I331" t="n">
        <v>0</v>
      </c>
      <c r="J331" t="n">
        <v>0</v>
      </c>
      <c r="K331" t="n">
        <v>1</v>
      </c>
      <c r="L331" t="n">
        <v>0</v>
      </c>
      <c r="M331" t="n">
        <v>0</v>
      </c>
      <c r="N331" t="n">
        <v>0</v>
      </c>
      <c r="O331" t="n">
        <v>1</v>
      </c>
      <c r="P331" t="n">
        <v>1</v>
      </c>
      <c r="Q331" t="n">
        <v>1</v>
      </c>
      <c r="R331" s="2" t="inlineStr">
        <is>
          <t>Hällebräcka</t>
        </is>
      </c>
      <c r="S331">
        <f>HYPERLINK("https://klasma.github.io/Logging_0188/artfynd/A 1162-2021 artfynd.xlsx", "A 1162-2021")</f>
        <v/>
      </c>
      <c r="T331">
        <f>HYPERLINK("https://klasma.github.io/Logging_0188/kartor/A 1162-2021 karta.png", "A 1162-2021")</f>
        <v/>
      </c>
      <c r="V331">
        <f>HYPERLINK("https://klasma.github.io/Logging_0188/klagomål/A 1162-2021 FSC-klagomål.docx", "A 1162-2021")</f>
        <v/>
      </c>
      <c r="W331">
        <f>HYPERLINK("https://klasma.github.io/Logging_0188/klagomålsmail/A 1162-2021 FSC-klagomål mail.docx", "A 1162-2021")</f>
        <v/>
      </c>
      <c r="X331">
        <f>HYPERLINK("https://klasma.github.io/Logging_0188/tillsyn/A 1162-2021 tillsynsbegäran.docx", "A 1162-2021")</f>
        <v/>
      </c>
      <c r="Y331">
        <f>HYPERLINK("https://klasma.github.io/Logging_0188/tillsynsmail/A 1162-2021 tillsynsbegäran mail.docx", "A 1162-2021")</f>
        <v/>
      </c>
    </row>
    <row r="332" ht="15" customHeight="1">
      <c r="A332" t="inlineStr">
        <is>
          <t>A 1424-2021</t>
        </is>
      </c>
      <c r="B332" s="1" t="n">
        <v>44208</v>
      </c>
      <c r="C332" s="1" t="n">
        <v>45571</v>
      </c>
      <c r="D332" t="inlineStr">
        <is>
          <t>STOCKHOLMS LÄN</t>
        </is>
      </c>
      <c r="E332" t="inlineStr">
        <is>
          <t>HANINGE</t>
        </is>
      </c>
      <c r="G332" t="n">
        <v>1.7</v>
      </c>
      <c r="H332" t="n">
        <v>1</v>
      </c>
      <c r="I332" t="n">
        <v>1</v>
      </c>
      <c r="J332" t="n">
        <v>0</v>
      </c>
      <c r="K332" t="n">
        <v>0</v>
      </c>
      <c r="L332" t="n">
        <v>0</v>
      </c>
      <c r="M332" t="n">
        <v>0</v>
      </c>
      <c r="N332" t="n">
        <v>0</v>
      </c>
      <c r="O332" t="n">
        <v>0</v>
      </c>
      <c r="P332" t="n">
        <v>0</v>
      </c>
      <c r="Q332" t="n">
        <v>1</v>
      </c>
      <c r="R332" s="2" t="inlineStr">
        <is>
          <t>Tvåblad</t>
        </is>
      </c>
      <c r="S332">
        <f>HYPERLINK("https://klasma.github.io/Logging_0136/artfynd/A 1424-2021 artfynd.xlsx", "A 1424-2021")</f>
        <v/>
      </c>
      <c r="T332">
        <f>HYPERLINK("https://klasma.github.io/Logging_0136/kartor/A 1424-2021 karta.png", "A 1424-2021")</f>
        <v/>
      </c>
      <c r="U332">
        <f>HYPERLINK("https://klasma.github.io/Logging_0136/knärot/A 1424-2021 karta knärot.png", "A 1424-2021")</f>
        <v/>
      </c>
      <c r="V332">
        <f>HYPERLINK("https://klasma.github.io/Logging_0136/klagomål/A 1424-2021 FSC-klagomål.docx", "A 1424-2021")</f>
        <v/>
      </c>
      <c r="W332">
        <f>HYPERLINK("https://klasma.github.io/Logging_0136/klagomålsmail/A 1424-2021 FSC-klagomål mail.docx", "A 1424-2021")</f>
        <v/>
      </c>
      <c r="X332">
        <f>HYPERLINK("https://klasma.github.io/Logging_0136/tillsyn/A 1424-2021 tillsynsbegäran.docx", "A 1424-2021")</f>
        <v/>
      </c>
      <c r="Y332">
        <f>HYPERLINK("https://klasma.github.io/Logging_0136/tillsynsmail/A 1424-2021 tillsynsbegäran mail.docx", "A 1424-2021")</f>
        <v/>
      </c>
    </row>
    <row r="333" ht="15" customHeight="1">
      <c r="A333" t="inlineStr">
        <is>
          <t>A 12989-2021</t>
        </is>
      </c>
      <c r="B333" s="1" t="n">
        <v>44271</v>
      </c>
      <c r="C333" s="1" t="n">
        <v>45571</v>
      </c>
      <c r="D333" t="inlineStr">
        <is>
          <t>STOCKHOLMS LÄN</t>
        </is>
      </c>
      <c r="E333" t="inlineStr">
        <is>
          <t>NYNÄSHAMN</t>
        </is>
      </c>
      <c r="F333" t="inlineStr">
        <is>
          <t>Kommuner</t>
        </is>
      </c>
      <c r="G333" t="n">
        <v>6.6</v>
      </c>
      <c r="H333" t="n">
        <v>1</v>
      </c>
      <c r="I333" t="n">
        <v>0</v>
      </c>
      <c r="J333" t="n">
        <v>0</v>
      </c>
      <c r="K333" t="n">
        <v>1</v>
      </c>
      <c r="L333" t="n">
        <v>0</v>
      </c>
      <c r="M333" t="n">
        <v>0</v>
      </c>
      <c r="N333" t="n">
        <v>0</v>
      </c>
      <c r="O333" t="n">
        <v>1</v>
      </c>
      <c r="P333" t="n">
        <v>1</v>
      </c>
      <c r="Q333" t="n">
        <v>1</v>
      </c>
      <c r="R333" s="2" t="inlineStr">
        <is>
          <t>Hasselsnok</t>
        </is>
      </c>
      <c r="S333">
        <f>HYPERLINK("https://klasma.github.io/Logging_0192/artfynd/A 12989-2021 artfynd.xlsx", "A 12989-2021")</f>
        <v/>
      </c>
      <c r="T333">
        <f>HYPERLINK("https://klasma.github.io/Logging_0192/kartor/A 12989-2021 karta.png", "A 12989-2021")</f>
        <v/>
      </c>
      <c r="V333">
        <f>HYPERLINK("https://klasma.github.io/Logging_0192/klagomål/A 12989-2021 FSC-klagomål.docx", "A 12989-2021")</f>
        <v/>
      </c>
      <c r="W333">
        <f>HYPERLINK("https://klasma.github.io/Logging_0192/klagomålsmail/A 12989-2021 FSC-klagomål mail.docx", "A 12989-2021")</f>
        <v/>
      </c>
      <c r="X333">
        <f>HYPERLINK("https://klasma.github.io/Logging_0192/tillsyn/A 12989-2021 tillsynsbegäran.docx", "A 12989-2021")</f>
        <v/>
      </c>
      <c r="Y333">
        <f>HYPERLINK("https://klasma.github.io/Logging_0192/tillsynsmail/A 12989-2021 tillsynsbegäran mail.docx", "A 12989-2021")</f>
        <v/>
      </c>
    </row>
    <row r="334" ht="15" customHeight="1">
      <c r="A334" t="inlineStr">
        <is>
          <t>A 13942-2021</t>
        </is>
      </c>
      <c r="B334" s="1" t="n">
        <v>44277</v>
      </c>
      <c r="C334" s="1" t="n">
        <v>45571</v>
      </c>
      <c r="D334" t="inlineStr">
        <is>
          <t>STOCKHOLMS LÄN</t>
        </is>
      </c>
      <c r="E334" t="inlineStr">
        <is>
          <t>ÖSTERÅKER</t>
        </is>
      </c>
      <c r="G334" t="n">
        <v>5.2</v>
      </c>
      <c r="H334" t="n">
        <v>0</v>
      </c>
      <c r="I334" t="n">
        <v>1</v>
      </c>
      <c r="J334" t="n">
        <v>0</v>
      </c>
      <c r="K334" t="n">
        <v>0</v>
      </c>
      <c r="L334" t="n">
        <v>0</v>
      </c>
      <c r="M334" t="n">
        <v>0</v>
      </c>
      <c r="N334" t="n">
        <v>0</v>
      </c>
      <c r="O334" t="n">
        <v>0</v>
      </c>
      <c r="P334" t="n">
        <v>0</v>
      </c>
      <c r="Q334" t="n">
        <v>1</v>
      </c>
      <c r="R334" s="2" t="inlineStr">
        <is>
          <t>Skogsbräsma</t>
        </is>
      </c>
      <c r="S334">
        <f>HYPERLINK("https://klasma.github.io/Logging_0117/artfynd/A 13942-2021 artfynd.xlsx", "A 13942-2021")</f>
        <v/>
      </c>
      <c r="T334">
        <f>HYPERLINK("https://klasma.github.io/Logging_0117/kartor/A 13942-2021 karta.png", "A 13942-2021")</f>
        <v/>
      </c>
      <c r="V334">
        <f>HYPERLINK("https://klasma.github.io/Logging_0117/klagomål/A 13942-2021 FSC-klagomål.docx", "A 13942-2021")</f>
        <v/>
      </c>
      <c r="W334">
        <f>HYPERLINK("https://klasma.github.io/Logging_0117/klagomålsmail/A 13942-2021 FSC-klagomål mail.docx", "A 13942-2021")</f>
        <v/>
      </c>
      <c r="X334">
        <f>HYPERLINK("https://klasma.github.io/Logging_0117/tillsyn/A 13942-2021 tillsynsbegäran.docx", "A 13942-2021")</f>
        <v/>
      </c>
      <c r="Y334">
        <f>HYPERLINK("https://klasma.github.io/Logging_0117/tillsynsmail/A 13942-2021 tillsynsbegäran mail.docx", "A 13942-2021")</f>
        <v/>
      </c>
    </row>
    <row r="335" ht="15" customHeight="1">
      <c r="A335" t="inlineStr">
        <is>
          <t>A 16461-2021</t>
        </is>
      </c>
      <c r="B335" s="1" t="n">
        <v>44293</v>
      </c>
      <c r="C335" s="1" t="n">
        <v>45571</v>
      </c>
      <c r="D335" t="inlineStr">
        <is>
          <t>STOCKHOLMS LÄN</t>
        </is>
      </c>
      <c r="E335" t="inlineStr">
        <is>
          <t>SIGTUNA</t>
        </is>
      </c>
      <c r="G335" t="n">
        <v>8</v>
      </c>
      <c r="H335" t="n">
        <v>1</v>
      </c>
      <c r="I335" t="n">
        <v>0</v>
      </c>
      <c r="J335" t="n">
        <v>0</v>
      </c>
      <c r="K335" t="n">
        <v>0</v>
      </c>
      <c r="L335" t="n">
        <v>0</v>
      </c>
      <c r="M335" t="n">
        <v>0</v>
      </c>
      <c r="N335" t="n">
        <v>0</v>
      </c>
      <c r="O335" t="n">
        <v>0</v>
      </c>
      <c r="P335" t="n">
        <v>0</v>
      </c>
      <c r="Q335" t="n">
        <v>1</v>
      </c>
      <c r="R335" s="2" t="inlineStr">
        <is>
          <t>Större vattensalamander</t>
        </is>
      </c>
      <c r="S335">
        <f>HYPERLINK("https://klasma.github.io/Logging_0191/artfynd/A 16461-2021 artfynd.xlsx", "A 16461-2021")</f>
        <v/>
      </c>
      <c r="T335">
        <f>HYPERLINK("https://klasma.github.io/Logging_0191/kartor/A 16461-2021 karta.png", "A 16461-2021")</f>
        <v/>
      </c>
      <c r="V335">
        <f>HYPERLINK("https://klasma.github.io/Logging_0191/klagomål/A 16461-2021 FSC-klagomål.docx", "A 16461-2021")</f>
        <v/>
      </c>
      <c r="W335">
        <f>HYPERLINK("https://klasma.github.io/Logging_0191/klagomålsmail/A 16461-2021 FSC-klagomål mail.docx", "A 16461-2021")</f>
        <v/>
      </c>
      <c r="X335">
        <f>HYPERLINK("https://klasma.github.io/Logging_0191/tillsyn/A 16461-2021 tillsynsbegäran.docx", "A 16461-2021")</f>
        <v/>
      </c>
      <c r="Y335">
        <f>HYPERLINK("https://klasma.github.io/Logging_0191/tillsynsmail/A 16461-2021 tillsynsbegäran mail.docx", "A 16461-2021")</f>
        <v/>
      </c>
    </row>
    <row r="336" ht="15" customHeight="1">
      <c r="A336" t="inlineStr">
        <is>
          <t>A 18280-2021</t>
        </is>
      </c>
      <c r="B336" s="1" t="n">
        <v>44298</v>
      </c>
      <c r="C336" s="1" t="n">
        <v>45571</v>
      </c>
      <c r="D336" t="inlineStr">
        <is>
          <t>STOCKHOLMS LÄN</t>
        </is>
      </c>
      <c r="E336" t="inlineStr">
        <is>
          <t>NACKA</t>
        </is>
      </c>
      <c r="G336" t="n">
        <v>4.4</v>
      </c>
      <c r="H336" t="n">
        <v>1</v>
      </c>
      <c r="I336" t="n">
        <v>0</v>
      </c>
      <c r="J336" t="n">
        <v>1</v>
      </c>
      <c r="K336" t="n">
        <v>0</v>
      </c>
      <c r="L336" t="n">
        <v>0</v>
      </c>
      <c r="M336" t="n">
        <v>0</v>
      </c>
      <c r="N336" t="n">
        <v>0</v>
      </c>
      <c r="O336" t="n">
        <v>1</v>
      </c>
      <c r="P336" t="n">
        <v>0</v>
      </c>
      <c r="Q336" t="n">
        <v>1</v>
      </c>
      <c r="R336" s="2" t="inlineStr">
        <is>
          <t>Duvhök</t>
        </is>
      </c>
      <c r="S336">
        <f>HYPERLINK("https://klasma.github.io/Logging_0182/artfynd/A 18280-2021 artfynd.xlsx", "A 18280-2021")</f>
        <v/>
      </c>
      <c r="T336">
        <f>HYPERLINK("https://klasma.github.io/Logging_0182/kartor/A 18280-2021 karta.png", "A 18280-2021")</f>
        <v/>
      </c>
      <c r="V336">
        <f>HYPERLINK("https://klasma.github.io/Logging_0182/klagomål/A 18280-2021 FSC-klagomål.docx", "A 18280-2021")</f>
        <v/>
      </c>
      <c r="W336">
        <f>HYPERLINK("https://klasma.github.io/Logging_0182/klagomålsmail/A 18280-2021 FSC-klagomål mail.docx", "A 18280-2021")</f>
        <v/>
      </c>
      <c r="X336">
        <f>HYPERLINK("https://klasma.github.io/Logging_0182/tillsyn/A 18280-2021 tillsynsbegäran.docx", "A 18280-2021")</f>
        <v/>
      </c>
      <c r="Y336">
        <f>HYPERLINK("https://klasma.github.io/Logging_0182/tillsynsmail/A 18280-2021 tillsynsbegäran mail.docx", "A 18280-2021")</f>
        <v/>
      </c>
      <c r="Z336">
        <f>HYPERLINK("https://klasma.github.io/Logging_0182/fåglar/A 18280-2021 prioriterade fågelarter.docx", "A 18280-2021")</f>
        <v/>
      </c>
    </row>
    <row r="337" ht="15" customHeight="1">
      <c r="A337" t="inlineStr">
        <is>
          <t>A 27757-2021</t>
        </is>
      </c>
      <c r="B337" s="1" t="n">
        <v>44354</v>
      </c>
      <c r="C337" s="1" t="n">
        <v>45571</v>
      </c>
      <c r="D337" t="inlineStr">
        <is>
          <t>STOCKHOLMS LÄN</t>
        </is>
      </c>
      <c r="E337" t="inlineStr">
        <is>
          <t>SÖDERTÄLJE</t>
        </is>
      </c>
      <c r="F337" t="inlineStr">
        <is>
          <t>Sveaskog</t>
        </is>
      </c>
      <c r="G337" t="n">
        <v>1.7</v>
      </c>
      <c r="H337" t="n">
        <v>0</v>
      </c>
      <c r="I337" t="n">
        <v>0</v>
      </c>
      <c r="J337" t="n">
        <v>0</v>
      </c>
      <c r="K337" t="n">
        <v>0</v>
      </c>
      <c r="L337" t="n">
        <v>1</v>
      </c>
      <c r="M337" t="n">
        <v>0</v>
      </c>
      <c r="N337" t="n">
        <v>0</v>
      </c>
      <c r="O337" t="n">
        <v>1</v>
      </c>
      <c r="P337" t="n">
        <v>1</v>
      </c>
      <c r="Q337" t="n">
        <v>1</v>
      </c>
      <c r="R337" s="2" t="inlineStr">
        <is>
          <t>Ryl</t>
        </is>
      </c>
      <c r="S337">
        <f>HYPERLINK("https://klasma.github.io/Logging_0181/artfynd/A 27757-2021 artfynd.xlsx", "A 27757-2021")</f>
        <v/>
      </c>
      <c r="T337">
        <f>HYPERLINK("https://klasma.github.io/Logging_0181/kartor/A 27757-2021 karta.png", "A 27757-2021")</f>
        <v/>
      </c>
      <c r="V337">
        <f>HYPERLINK("https://klasma.github.io/Logging_0181/klagomål/A 27757-2021 FSC-klagomål.docx", "A 27757-2021")</f>
        <v/>
      </c>
      <c r="W337">
        <f>HYPERLINK("https://klasma.github.io/Logging_0181/klagomålsmail/A 27757-2021 FSC-klagomål mail.docx", "A 27757-2021")</f>
        <v/>
      </c>
      <c r="X337">
        <f>HYPERLINK("https://klasma.github.io/Logging_0181/tillsyn/A 27757-2021 tillsynsbegäran.docx", "A 27757-2021")</f>
        <v/>
      </c>
      <c r="Y337">
        <f>HYPERLINK("https://klasma.github.io/Logging_0181/tillsynsmail/A 27757-2021 tillsynsbegäran mail.docx", "A 27757-2021")</f>
        <v/>
      </c>
    </row>
    <row r="338" ht="15" customHeight="1">
      <c r="A338" t="inlineStr">
        <is>
          <t>A 30138-2021</t>
        </is>
      </c>
      <c r="B338" s="1" t="n">
        <v>44363</v>
      </c>
      <c r="C338" s="1" t="n">
        <v>45571</v>
      </c>
      <c r="D338" t="inlineStr">
        <is>
          <t>STOCKHOLMS LÄN</t>
        </is>
      </c>
      <c r="E338" t="inlineStr">
        <is>
          <t>NORRTÄLJE</t>
        </is>
      </c>
      <c r="G338" t="n">
        <v>4.5</v>
      </c>
      <c r="H338" t="n">
        <v>0</v>
      </c>
      <c r="I338" t="n">
        <v>1</v>
      </c>
      <c r="J338" t="n">
        <v>0</v>
      </c>
      <c r="K338" t="n">
        <v>0</v>
      </c>
      <c r="L338" t="n">
        <v>0</v>
      </c>
      <c r="M338" t="n">
        <v>0</v>
      </c>
      <c r="N338" t="n">
        <v>0</v>
      </c>
      <c r="O338" t="n">
        <v>0</v>
      </c>
      <c r="P338" t="n">
        <v>0</v>
      </c>
      <c r="Q338" t="n">
        <v>1</v>
      </c>
      <c r="R338" s="2" t="inlineStr">
        <is>
          <t>Vårärt</t>
        </is>
      </c>
      <c r="S338">
        <f>HYPERLINK("https://klasma.github.io/Logging_0188/artfynd/A 30138-2021 artfynd.xlsx", "A 30138-2021")</f>
        <v/>
      </c>
      <c r="T338">
        <f>HYPERLINK("https://klasma.github.io/Logging_0188/kartor/A 30138-2021 karta.png", "A 30138-2021")</f>
        <v/>
      </c>
      <c r="V338">
        <f>HYPERLINK("https://klasma.github.io/Logging_0188/klagomål/A 30138-2021 FSC-klagomål.docx", "A 30138-2021")</f>
        <v/>
      </c>
      <c r="W338">
        <f>HYPERLINK("https://klasma.github.io/Logging_0188/klagomålsmail/A 30138-2021 FSC-klagomål mail.docx", "A 30138-2021")</f>
        <v/>
      </c>
      <c r="X338">
        <f>HYPERLINK("https://klasma.github.io/Logging_0188/tillsyn/A 30138-2021 tillsynsbegäran.docx", "A 30138-2021")</f>
        <v/>
      </c>
      <c r="Y338">
        <f>HYPERLINK("https://klasma.github.io/Logging_0188/tillsynsmail/A 30138-2021 tillsynsbegäran mail.docx", "A 30138-2021")</f>
        <v/>
      </c>
    </row>
    <row r="339" ht="15" customHeight="1">
      <c r="A339" t="inlineStr">
        <is>
          <t>A 31980-2021</t>
        </is>
      </c>
      <c r="B339" s="1" t="n">
        <v>44370</v>
      </c>
      <c r="C339" s="1" t="n">
        <v>45571</v>
      </c>
      <c r="D339" t="inlineStr">
        <is>
          <t>STOCKHOLMS LÄN</t>
        </is>
      </c>
      <c r="E339" t="inlineStr">
        <is>
          <t>NYNÄSHAMN</t>
        </is>
      </c>
      <c r="G339" t="n">
        <v>3.3</v>
      </c>
      <c r="H339" t="n">
        <v>0</v>
      </c>
      <c r="I339" t="n">
        <v>0</v>
      </c>
      <c r="J339" t="n">
        <v>1</v>
      </c>
      <c r="K339" t="n">
        <v>0</v>
      </c>
      <c r="L339" t="n">
        <v>0</v>
      </c>
      <c r="M339" t="n">
        <v>0</v>
      </c>
      <c r="N339" t="n">
        <v>0</v>
      </c>
      <c r="O339" t="n">
        <v>1</v>
      </c>
      <c r="P339" t="n">
        <v>0</v>
      </c>
      <c r="Q339" t="n">
        <v>1</v>
      </c>
      <c r="R339" s="2" t="inlineStr">
        <is>
          <t>Liten ekkremla</t>
        </is>
      </c>
      <c r="S339">
        <f>HYPERLINK("https://klasma.github.io/Logging_0192/artfynd/A 31980-2021 artfynd.xlsx", "A 31980-2021")</f>
        <v/>
      </c>
      <c r="T339">
        <f>HYPERLINK("https://klasma.github.io/Logging_0192/kartor/A 31980-2021 karta.png", "A 31980-2021")</f>
        <v/>
      </c>
      <c r="V339">
        <f>HYPERLINK("https://klasma.github.io/Logging_0192/klagomål/A 31980-2021 FSC-klagomål.docx", "A 31980-2021")</f>
        <v/>
      </c>
      <c r="W339">
        <f>HYPERLINK("https://klasma.github.io/Logging_0192/klagomålsmail/A 31980-2021 FSC-klagomål mail.docx", "A 31980-2021")</f>
        <v/>
      </c>
      <c r="X339">
        <f>HYPERLINK("https://klasma.github.io/Logging_0192/tillsyn/A 31980-2021 tillsynsbegäran.docx", "A 31980-2021")</f>
        <v/>
      </c>
      <c r="Y339">
        <f>HYPERLINK("https://klasma.github.io/Logging_0192/tillsynsmail/A 31980-2021 tillsynsbegäran mail.docx", "A 31980-2021")</f>
        <v/>
      </c>
    </row>
    <row r="340" ht="15" customHeight="1">
      <c r="A340" t="inlineStr">
        <is>
          <t>A 33302-2021</t>
        </is>
      </c>
      <c r="B340" s="1" t="n">
        <v>44377</v>
      </c>
      <c r="C340" s="1" t="n">
        <v>45571</v>
      </c>
      <c r="D340" t="inlineStr">
        <is>
          <t>STOCKHOLMS LÄN</t>
        </is>
      </c>
      <c r="E340" t="inlineStr">
        <is>
          <t>NORRTÄLJE</t>
        </is>
      </c>
      <c r="G340" t="n">
        <v>12.5</v>
      </c>
      <c r="H340" t="n">
        <v>1</v>
      </c>
      <c r="I340" t="n">
        <v>0</v>
      </c>
      <c r="J340" t="n">
        <v>1</v>
      </c>
      <c r="K340" t="n">
        <v>0</v>
      </c>
      <c r="L340" t="n">
        <v>0</v>
      </c>
      <c r="M340" t="n">
        <v>0</v>
      </c>
      <c r="N340" t="n">
        <v>0</v>
      </c>
      <c r="O340" t="n">
        <v>1</v>
      </c>
      <c r="P340" t="n">
        <v>0</v>
      </c>
      <c r="Q340" t="n">
        <v>1</v>
      </c>
      <c r="R340" s="2" t="inlineStr">
        <is>
          <t>Spillkråka</t>
        </is>
      </c>
      <c r="S340">
        <f>HYPERLINK("https://klasma.github.io/Logging_0188/artfynd/A 33302-2021 artfynd.xlsx", "A 33302-2021")</f>
        <v/>
      </c>
      <c r="T340">
        <f>HYPERLINK("https://klasma.github.io/Logging_0188/kartor/A 33302-2021 karta.png", "A 33302-2021")</f>
        <v/>
      </c>
      <c r="V340">
        <f>HYPERLINK("https://klasma.github.io/Logging_0188/klagomål/A 33302-2021 FSC-klagomål.docx", "A 33302-2021")</f>
        <v/>
      </c>
      <c r="W340">
        <f>HYPERLINK("https://klasma.github.io/Logging_0188/klagomålsmail/A 33302-2021 FSC-klagomål mail.docx", "A 33302-2021")</f>
        <v/>
      </c>
      <c r="X340">
        <f>HYPERLINK("https://klasma.github.io/Logging_0188/tillsyn/A 33302-2021 tillsynsbegäran.docx", "A 33302-2021")</f>
        <v/>
      </c>
      <c r="Y340">
        <f>HYPERLINK("https://klasma.github.io/Logging_0188/tillsynsmail/A 33302-2021 tillsynsbegäran mail.docx", "A 33302-2021")</f>
        <v/>
      </c>
      <c r="Z340">
        <f>HYPERLINK("https://klasma.github.io/Logging_0188/fåglar/A 33302-2021 prioriterade fågelarter.docx", "A 33302-2021")</f>
        <v/>
      </c>
    </row>
    <row r="341" ht="15" customHeight="1">
      <c r="A341" t="inlineStr">
        <is>
          <t>A 37100-2021</t>
        </is>
      </c>
      <c r="B341" s="1" t="n">
        <v>44396</v>
      </c>
      <c r="C341" s="1" t="n">
        <v>45571</v>
      </c>
      <c r="D341" t="inlineStr">
        <is>
          <t>STOCKHOLMS LÄN</t>
        </is>
      </c>
      <c r="E341" t="inlineStr">
        <is>
          <t>NYNÄSHAMN</t>
        </is>
      </c>
      <c r="G341" t="n">
        <v>1.4</v>
      </c>
      <c r="H341" t="n">
        <v>1</v>
      </c>
      <c r="I341" t="n">
        <v>1</v>
      </c>
      <c r="J341" t="n">
        <v>0</v>
      </c>
      <c r="K341" t="n">
        <v>0</v>
      </c>
      <c r="L341" t="n">
        <v>0</v>
      </c>
      <c r="M341" t="n">
        <v>0</v>
      </c>
      <c r="N341" t="n">
        <v>0</v>
      </c>
      <c r="O341" t="n">
        <v>0</v>
      </c>
      <c r="P341" t="n">
        <v>0</v>
      </c>
      <c r="Q341" t="n">
        <v>1</v>
      </c>
      <c r="R341" s="2" t="inlineStr">
        <is>
          <t>Grön sköldmossa</t>
        </is>
      </c>
      <c r="S341">
        <f>HYPERLINK("https://klasma.github.io/Logging_0192/artfynd/A 37100-2021 artfynd.xlsx", "A 37100-2021")</f>
        <v/>
      </c>
      <c r="T341">
        <f>HYPERLINK("https://klasma.github.io/Logging_0192/kartor/A 37100-2021 karta.png", "A 37100-2021")</f>
        <v/>
      </c>
      <c r="V341">
        <f>HYPERLINK("https://klasma.github.io/Logging_0192/klagomål/A 37100-2021 FSC-klagomål.docx", "A 37100-2021")</f>
        <v/>
      </c>
      <c r="W341">
        <f>HYPERLINK("https://klasma.github.io/Logging_0192/klagomålsmail/A 37100-2021 FSC-klagomål mail.docx", "A 37100-2021")</f>
        <v/>
      </c>
      <c r="X341">
        <f>HYPERLINK("https://klasma.github.io/Logging_0192/tillsyn/A 37100-2021 tillsynsbegäran.docx", "A 37100-2021")</f>
        <v/>
      </c>
      <c r="Y341">
        <f>HYPERLINK("https://klasma.github.io/Logging_0192/tillsynsmail/A 37100-2021 tillsynsbegäran mail.docx", "A 37100-2021")</f>
        <v/>
      </c>
    </row>
    <row r="342" ht="15" customHeight="1">
      <c r="A342" t="inlineStr">
        <is>
          <t>A 37678-2021</t>
        </is>
      </c>
      <c r="B342" s="1" t="n">
        <v>44400</v>
      </c>
      <c r="C342" s="1" t="n">
        <v>45571</v>
      </c>
      <c r="D342" t="inlineStr">
        <is>
          <t>STOCKHOLMS LÄN</t>
        </is>
      </c>
      <c r="E342" t="inlineStr">
        <is>
          <t>SÖDERTÄLJE</t>
        </is>
      </c>
      <c r="F342" t="inlineStr">
        <is>
          <t>Sveaskog</t>
        </is>
      </c>
      <c r="G342" t="n">
        <v>0.8</v>
      </c>
      <c r="H342" t="n">
        <v>0</v>
      </c>
      <c r="I342" t="n">
        <v>0</v>
      </c>
      <c r="J342" t="n">
        <v>1</v>
      </c>
      <c r="K342" t="n">
        <v>0</v>
      </c>
      <c r="L342" t="n">
        <v>0</v>
      </c>
      <c r="M342" t="n">
        <v>0</v>
      </c>
      <c r="N342" t="n">
        <v>0</v>
      </c>
      <c r="O342" t="n">
        <v>1</v>
      </c>
      <c r="P342" t="n">
        <v>0</v>
      </c>
      <c r="Q342" t="n">
        <v>1</v>
      </c>
      <c r="R342" s="2" t="inlineStr">
        <is>
          <t>Motaggsvamp</t>
        </is>
      </c>
      <c r="S342">
        <f>HYPERLINK("https://klasma.github.io/Logging_0181/artfynd/A 37678-2021 artfynd.xlsx", "A 37678-2021")</f>
        <v/>
      </c>
      <c r="T342">
        <f>HYPERLINK("https://klasma.github.io/Logging_0181/kartor/A 37678-2021 karta.png", "A 37678-2021")</f>
        <v/>
      </c>
      <c r="V342">
        <f>HYPERLINK("https://klasma.github.io/Logging_0181/klagomål/A 37678-2021 FSC-klagomål.docx", "A 37678-2021")</f>
        <v/>
      </c>
      <c r="W342">
        <f>HYPERLINK("https://klasma.github.io/Logging_0181/klagomålsmail/A 37678-2021 FSC-klagomål mail.docx", "A 37678-2021")</f>
        <v/>
      </c>
      <c r="X342">
        <f>HYPERLINK("https://klasma.github.io/Logging_0181/tillsyn/A 37678-2021 tillsynsbegäran.docx", "A 37678-2021")</f>
        <v/>
      </c>
      <c r="Y342">
        <f>HYPERLINK("https://klasma.github.io/Logging_0181/tillsynsmail/A 37678-2021 tillsynsbegäran mail.docx", "A 37678-2021")</f>
        <v/>
      </c>
    </row>
    <row r="343" ht="15" customHeight="1">
      <c r="A343" t="inlineStr">
        <is>
          <t>A 41934-2021</t>
        </is>
      </c>
      <c r="B343" s="1" t="n">
        <v>44425</v>
      </c>
      <c r="C343" s="1" t="n">
        <v>45571</v>
      </c>
      <c r="D343" t="inlineStr">
        <is>
          <t>STOCKHOLMS LÄN</t>
        </is>
      </c>
      <c r="E343" t="inlineStr">
        <is>
          <t>VALLENTUNA</t>
        </is>
      </c>
      <c r="F343" t="inlineStr">
        <is>
          <t>Övriga Aktiebolag</t>
        </is>
      </c>
      <c r="G343" t="n">
        <v>7.1</v>
      </c>
      <c r="H343" t="n">
        <v>0</v>
      </c>
      <c r="I343" t="n">
        <v>0</v>
      </c>
      <c r="J343" t="n">
        <v>1</v>
      </c>
      <c r="K343" t="n">
        <v>0</v>
      </c>
      <c r="L343" t="n">
        <v>0</v>
      </c>
      <c r="M343" t="n">
        <v>0</v>
      </c>
      <c r="N343" t="n">
        <v>0</v>
      </c>
      <c r="O343" t="n">
        <v>1</v>
      </c>
      <c r="P343" t="n">
        <v>0</v>
      </c>
      <c r="Q343" t="n">
        <v>1</v>
      </c>
      <c r="R343" s="2" t="inlineStr">
        <is>
          <t>Skogsklocka</t>
        </is>
      </c>
      <c r="S343">
        <f>HYPERLINK("https://klasma.github.io/Logging_0115/artfynd/A 41934-2021 artfynd.xlsx", "A 41934-2021")</f>
        <v/>
      </c>
      <c r="T343">
        <f>HYPERLINK("https://klasma.github.io/Logging_0115/kartor/A 41934-2021 karta.png", "A 41934-2021")</f>
        <v/>
      </c>
      <c r="V343">
        <f>HYPERLINK("https://klasma.github.io/Logging_0115/klagomål/A 41934-2021 FSC-klagomål.docx", "A 41934-2021")</f>
        <v/>
      </c>
      <c r="W343">
        <f>HYPERLINK("https://klasma.github.io/Logging_0115/klagomålsmail/A 41934-2021 FSC-klagomål mail.docx", "A 41934-2021")</f>
        <v/>
      </c>
      <c r="X343">
        <f>HYPERLINK("https://klasma.github.io/Logging_0115/tillsyn/A 41934-2021 tillsynsbegäran.docx", "A 41934-2021")</f>
        <v/>
      </c>
      <c r="Y343">
        <f>HYPERLINK("https://klasma.github.io/Logging_0115/tillsynsmail/A 41934-2021 tillsynsbegäran mail.docx", "A 41934-2021")</f>
        <v/>
      </c>
    </row>
    <row r="344" ht="15" customHeight="1">
      <c r="A344" t="inlineStr">
        <is>
          <t>A 42050-2021</t>
        </is>
      </c>
      <c r="B344" s="1" t="n">
        <v>44426</v>
      </c>
      <c r="C344" s="1" t="n">
        <v>45571</v>
      </c>
      <c r="D344" t="inlineStr">
        <is>
          <t>STOCKHOLMS LÄN</t>
        </is>
      </c>
      <c r="E344" t="inlineStr">
        <is>
          <t>NYNÄSHAMN</t>
        </is>
      </c>
      <c r="G344" t="n">
        <v>2</v>
      </c>
      <c r="H344" t="n">
        <v>0</v>
      </c>
      <c r="I344" t="n">
        <v>0</v>
      </c>
      <c r="J344" t="n">
        <v>1</v>
      </c>
      <c r="K344" t="n">
        <v>0</v>
      </c>
      <c r="L344" t="n">
        <v>0</v>
      </c>
      <c r="M344" t="n">
        <v>0</v>
      </c>
      <c r="N344" t="n">
        <v>0</v>
      </c>
      <c r="O344" t="n">
        <v>1</v>
      </c>
      <c r="P344" t="n">
        <v>0</v>
      </c>
      <c r="Q344" t="n">
        <v>1</v>
      </c>
      <c r="R344" s="2" t="inlineStr">
        <is>
          <t>Kandelabersvamp</t>
        </is>
      </c>
      <c r="S344">
        <f>HYPERLINK("https://klasma.github.io/Logging_0192/artfynd/A 42050-2021 artfynd.xlsx", "A 42050-2021")</f>
        <v/>
      </c>
      <c r="T344">
        <f>HYPERLINK("https://klasma.github.io/Logging_0192/kartor/A 42050-2021 karta.png", "A 42050-2021")</f>
        <v/>
      </c>
      <c r="V344">
        <f>HYPERLINK("https://klasma.github.io/Logging_0192/klagomål/A 42050-2021 FSC-klagomål.docx", "A 42050-2021")</f>
        <v/>
      </c>
      <c r="W344">
        <f>HYPERLINK("https://klasma.github.io/Logging_0192/klagomålsmail/A 42050-2021 FSC-klagomål mail.docx", "A 42050-2021")</f>
        <v/>
      </c>
      <c r="X344">
        <f>HYPERLINK("https://klasma.github.io/Logging_0192/tillsyn/A 42050-2021 tillsynsbegäran.docx", "A 42050-2021")</f>
        <v/>
      </c>
      <c r="Y344">
        <f>HYPERLINK("https://klasma.github.io/Logging_0192/tillsynsmail/A 42050-2021 tillsynsbegäran mail.docx", "A 42050-2021")</f>
        <v/>
      </c>
    </row>
    <row r="345" ht="15" customHeight="1">
      <c r="A345" t="inlineStr">
        <is>
          <t>A 55263-2021</t>
        </is>
      </c>
      <c r="B345" s="1" t="n">
        <v>44475</v>
      </c>
      <c r="C345" s="1" t="n">
        <v>45571</v>
      </c>
      <c r="D345" t="inlineStr">
        <is>
          <t>STOCKHOLMS LÄN</t>
        </is>
      </c>
      <c r="E345" t="inlineStr">
        <is>
          <t>SÖDERTÄLJE</t>
        </is>
      </c>
      <c r="G345" t="n">
        <v>2.3</v>
      </c>
      <c r="H345" t="n">
        <v>0</v>
      </c>
      <c r="I345" t="n">
        <v>0</v>
      </c>
      <c r="J345" t="n">
        <v>1</v>
      </c>
      <c r="K345" t="n">
        <v>0</v>
      </c>
      <c r="L345" t="n">
        <v>0</v>
      </c>
      <c r="M345" t="n">
        <v>0</v>
      </c>
      <c r="N345" t="n">
        <v>0</v>
      </c>
      <c r="O345" t="n">
        <v>1</v>
      </c>
      <c r="P345" t="n">
        <v>0</v>
      </c>
      <c r="Q345" t="n">
        <v>1</v>
      </c>
      <c r="R345" s="2" t="inlineStr">
        <is>
          <t>Backklöver</t>
        </is>
      </c>
      <c r="S345">
        <f>HYPERLINK("https://klasma.github.io/Logging_0181/artfynd/A 55263-2021 artfynd.xlsx", "A 55263-2021")</f>
        <v/>
      </c>
      <c r="T345">
        <f>HYPERLINK("https://klasma.github.io/Logging_0181/kartor/A 55263-2021 karta.png", "A 55263-2021")</f>
        <v/>
      </c>
      <c r="V345">
        <f>HYPERLINK("https://klasma.github.io/Logging_0181/klagomål/A 55263-2021 FSC-klagomål.docx", "A 55263-2021")</f>
        <v/>
      </c>
      <c r="W345">
        <f>HYPERLINK("https://klasma.github.io/Logging_0181/klagomålsmail/A 55263-2021 FSC-klagomål mail.docx", "A 55263-2021")</f>
        <v/>
      </c>
      <c r="X345">
        <f>HYPERLINK("https://klasma.github.io/Logging_0181/tillsyn/A 55263-2021 tillsynsbegäran.docx", "A 55263-2021")</f>
        <v/>
      </c>
      <c r="Y345">
        <f>HYPERLINK("https://klasma.github.io/Logging_0181/tillsynsmail/A 55263-2021 tillsynsbegäran mail.docx", "A 55263-2021")</f>
        <v/>
      </c>
    </row>
    <row r="346" ht="15" customHeight="1">
      <c r="A346" t="inlineStr">
        <is>
          <t>A 58888-2021</t>
        </is>
      </c>
      <c r="B346" s="1" t="n">
        <v>44489</v>
      </c>
      <c r="C346" s="1" t="n">
        <v>45571</v>
      </c>
      <c r="D346" t="inlineStr">
        <is>
          <t>STOCKHOLMS LÄN</t>
        </is>
      </c>
      <c r="E346" t="inlineStr">
        <is>
          <t>NORRTÄLJE</t>
        </is>
      </c>
      <c r="F346" t="inlineStr">
        <is>
          <t>Holmen skog AB</t>
        </is>
      </c>
      <c r="G346" t="n">
        <v>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58888-2021 artfynd.xlsx", "A 58888-2021")</f>
        <v/>
      </c>
      <c r="T346">
        <f>HYPERLINK("https://klasma.github.io/Logging_0188/kartor/A 58888-2021 karta.png", "A 58888-2021")</f>
        <v/>
      </c>
      <c r="V346">
        <f>HYPERLINK("https://klasma.github.io/Logging_0188/klagomål/A 58888-2021 FSC-klagomål.docx", "A 58888-2021")</f>
        <v/>
      </c>
      <c r="W346">
        <f>HYPERLINK("https://klasma.github.io/Logging_0188/klagomålsmail/A 58888-2021 FSC-klagomål mail.docx", "A 58888-2021")</f>
        <v/>
      </c>
      <c r="X346">
        <f>HYPERLINK("https://klasma.github.io/Logging_0188/tillsyn/A 58888-2021 tillsynsbegäran.docx", "A 58888-2021")</f>
        <v/>
      </c>
      <c r="Y346">
        <f>HYPERLINK("https://klasma.github.io/Logging_0188/tillsynsmail/A 58888-2021 tillsynsbegäran mail.docx", "A 58888-2021")</f>
        <v/>
      </c>
    </row>
    <row r="347" ht="15" customHeight="1">
      <c r="A347" t="inlineStr">
        <is>
          <t>A 67278-2021</t>
        </is>
      </c>
      <c r="B347" s="1" t="n">
        <v>44523</v>
      </c>
      <c r="C347" s="1" t="n">
        <v>45571</v>
      </c>
      <c r="D347" t="inlineStr">
        <is>
          <t>STOCKHOLMS LÄN</t>
        </is>
      </c>
      <c r="E347" t="inlineStr">
        <is>
          <t>ÖSTERÅKER</t>
        </is>
      </c>
      <c r="F347" t="inlineStr">
        <is>
          <t>Kommuner</t>
        </is>
      </c>
      <c r="G347" t="n">
        <v>3</v>
      </c>
      <c r="H347" t="n">
        <v>0</v>
      </c>
      <c r="I347" t="n">
        <v>0</v>
      </c>
      <c r="J347" t="n">
        <v>1</v>
      </c>
      <c r="K347" t="n">
        <v>0</v>
      </c>
      <c r="L347" t="n">
        <v>0</v>
      </c>
      <c r="M347" t="n">
        <v>0</v>
      </c>
      <c r="N347" t="n">
        <v>0</v>
      </c>
      <c r="O347" t="n">
        <v>1</v>
      </c>
      <c r="P347" t="n">
        <v>0</v>
      </c>
      <c r="Q347" t="n">
        <v>1</v>
      </c>
      <c r="R347" s="2" t="inlineStr">
        <is>
          <t>Veckticka</t>
        </is>
      </c>
      <c r="S347">
        <f>HYPERLINK("https://klasma.github.io/Logging_0117/artfynd/A 67278-2021 artfynd.xlsx", "A 67278-2021")</f>
        <v/>
      </c>
      <c r="T347">
        <f>HYPERLINK("https://klasma.github.io/Logging_0117/kartor/A 67278-2021 karta.png", "A 67278-2021")</f>
        <v/>
      </c>
      <c r="V347">
        <f>HYPERLINK("https://klasma.github.io/Logging_0117/klagomål/A 67278-2021 FSC-klagomål.docx", "A 67278-2021")</f>
        <v/>
      </c>
      <c r="W347">
        <f>HYPERLINK("https://klasma.github.io/Logging_0117/klagomålsmail/A 67278-2021 FSC-klagomål mail.docx", "A 67278-2021")</f>
        <v/>
      </c>
      <c r="X347">
        <f>HYPERLINK("https://klasma.github.io/Logging_0117/tillsyn/A 67278-2021 tillsynsbegäran.docx", "A 67278-2021")</f>
        <v/>
      </c>
      <c r="Y347">
        <f>HYPERLINK("https://klasma.github.io/Logging_0117/tillsynsmail/A 67278-2021 tillsynsbegäran mail.docx", "A 67278-2021")</f>
        <v/>
      </c>
    </row>
    <row r="348" ht="15" customHeight="1">
      <c r="A348" t="inlineStr">
        <is>
          <t>A 68883-2021</t>
        </is>
      </c>
      <c r="B348" s="1" t="n">
        <v>44526</v>
      </c>
      <c r="C348" s="1" t="n">
        <v>45571</v>
      </c>
      <c r="D348" t="inlineStr">
        <is>
          <t>STOCKHOLMS LÄN</t>
        </is>
      </c>
      <c r="E348" t="inlineStr">
        <is>
          <t>HANINGE</t>
        </is>
      </c>
      <c r="G348" t="n">
        <v>2.5</v>
      </c>
      <c r="H348" t="n">
        <v>1</v>
      </c>
      <c r="I348" t="n">
        <v>0</v>
      </c>
      <c r="J348" t="n">
        <v>0</v>
      </c>
      <c r="K348" t="n">
        <v>0</v>
      </c>
      <c r="L348" t="n">
        <v>0</v>
      </c>
      <c r="M348" t="n">
        <v>0</v>
      </c>
      <c r="N348" t="n">
        <v>0</v>
      </c>
      <c r="O348" t="n">
        <v>0</v>
      </c>
      <c r="P348" t="n">
        <v>0</v>
      </c>
      <c r="Q348" t="n">
        <v>1</v>
      </c>
      <c r="R348" s="2" t="inlineStr">
        <is>
          <t>Nattviol</t>
        </is>
      </c>
      <c r="S348">
        <f>HYPERLINK("https://klasma.github.io/Logging_0136/artfynd/A 68883-2021 artfynd.xlsx", "A 68883-2021")</f>
        <v/>
      </c>
      <c r="T348">
        <f>HYPERLINK("https://klasma.github.io/Logging_0136/kartor/A 68883-2021 karta.png", "A 68883-2021")</f>
        <v/>
      </c>
      <c r="V348">
        <f>HYPERLINK("https://klasma.github.io/Logging_0136/klagomål/A 68883-2021 FSC-klagomål.docx", "A 68883-2021")</f>
        <v/>
      </c>
      <c r="W348">
        <f>HYPERLINK("https://klasma.github.io/Logging_0136/klagomålsmail/A 68883-2021 FSC-klagomål mail.docx", "A 68883-2021")</f>
        <v/>
      </c>
      <c r="X348">
        <f>HYPERLINK("https://klasma.github.io/Logging_0136/tillsyn/A 68883-2021 tillsynsbegäran.docx", "A 68883-2021")</f>
        <v/>
      </c>
      <c r="Y348">
        <f>HYPERLINK("https://klasma.github.io/Logging_0136/tillsynsmail/A 68883-2021 tillsynsbegäran mail.docx", "A 68883-2021")</f>
        <v/>
      </c>
    </row>
    <row r="349" ht="15" customHeight="1">
      <c r="A349" t="inlineStr">
        <is>
          <t>A 68692-2021</t>
        </is>
      </c>
      <c r="B349" s="1" t="n">
        <v>44529</v>
      </c>
      <c r="C349" s="1" t="n">
        <v>45571</v>
      </c>
      <c r="D349" t="inlineStr">
        <is>
          <t>STOCKHOLMS LÄN</t>
        </is>
      </c>
      <c r="E349" t="inlineStr">
        <is>
          <t>NORRTÄLJE</t>
        </is>
      </c>
      <c r="F349" t="inlineStr">
        <is>
          <t>Holmen skog AB</t>
        </is>
      </c>
      <c r="G349" t="n">
        <v>0.7</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68692-2021 artfynd.xlsx", "A 68692-2021")</f>
        <v/>
      </c>
      <c r="T349">
        <f>HYPERLINK("https://klasma.github.io/Logging_0188/kartor/A 68692-2021 karta.png", "A 68692-2021")</f>
        <v/>
      </c>
      <c r="V349">
        <f>HYPERLINK("https://klasma.github.io/Logging_0188/klagomål/A 68692-2021 FSC-klagomål.docx", "A 68692-2021")</f>
        <v/>
      </c>
      <c r="W349">
        <f>HYPERLINK("https://klasma.github.io/Logging_0188/klagomålsmail/A 68692-2021 FSC-klagomål mail.docx", "A 68692-2021")</f>
        <v/>
      </c>
      <c r="X349">
        <f>HYPERLINK("https://klasma.github.io/Logging_0188/tillsyn/A 68692-2021 tillsynsbegäran.docx", "A 68692-2021")</f>
        <v/>
      </c>
      <c r="Y349">
        <f>HYPERLINK("https://klasma.github.io/Logging_0188/tillsynsmail/A 68692-2021 tillsynsbegäran mail.docx", "A 68692-2021")</f>
        <v/>
      </c>
    </row>
    <row r="350" ht="15" customHeight="1">
      <c r="A350" t="inlineStr">
        <is>
          <t>A 71315-2021</t>
        </is>
      </c>
      <c r="B350" s="1" t="n">
        <v>44539</v>
      </c>
      <c r="C350" s="1" t="n">
        <v>45571</v>
      </c>
      <c r="D350" t="inlineStr">
        <is>
          <t>STOCKHOLMS LÄN</t>
        </is>
      </c>
      <c r="E350" t="inlineStr">
        <is>
          <t>VÄRMDÖ</t>
        </is>
      </c>
      <c r="F350" t="inlineStr">
        <is>
          <t>Övriga Aktiebolag</t>
        </is>
      </c>
      <c r="G350" t="n">
        <v>5.3</v>
      </c>
      <c r="H350" t="n">
        <v>0</v>
      </c>
      <c r="I350" t="n">
        <v>1</v>
      </c>
      <c r="J350" t="n">
        <v>0</v>
      </c>
      <c r="K350" t="n">
        <v>0</v>
      </c>
      <c r="L350" t="n">
        <v>0</v>
      </c>
      <c r="M350" t="n">
        <v>0</v>
      </c>
      <c r="N350" t="n">
        <v>0</v>
      </c>
      <c r="O350" t="n">
        <v>0</v>
      </c>
      <c r="P350" t="n">
        <v>0</v>
      </c>
      <c r="Q350" t="n">
        <v>1</v>
      </c>
      <c r="R350" s="2" t="inlineStr">
        <is>
          <t>Sårläka</t>
        </is>
      </c>
      <c r="S350">
        <f>HYPERLINK("https://klasma.github.io/Logging_0120/artfynd/A 71315-2021 artfynd.xlsx", "A 71315-2021")</f>
        <v/>
      </c>
      <c r="T350">
        <f>HYPERLINK("https://klasma.github.io/Logging_0120/kartor/A 71315-2021 karta.png", "A 71315-2021")</f>
        <v/>
      </c>
      <c r="V350">
        <f>HYPERLINK("https://klasma.github.io/Logging_0120/klagomål/A 71315-2021 FSC-klagomål.docx", "A 71315-2021")</f>
        <v/>
      </c>
      <c r="W350">
        <f>HYPERLINK("https://klasma.github.io/Logging_0120/klagomålsmail/A 71315-2021 FSC-klagomål mail.docx", "A 71315-2021")</f>
        <v/>
      </c>
      <c r="X350">
        <f>HYPERLINK("https://klasma.github.io/Logging_0120/tillsyn/A 71315-2021 tillsynsbegäran.docx", "A 71315-2021")</f>
        <v/>
      </c>
      <c r="Y350">
        <f>HYPERLINK("https://klasma.github.io/Logging_0120/tillsynsmail/A 71315-2021 tillsynsbegäran mail.docx", "A 71315-2021")</f>
        <v/>
      </c>
    </row>
    <row r="351" ht="15" customHeight="1">
      <c r="A351" t="inlineStr">
        <is>
          <t>A 73773-2021</t>
        </is>
      </c>
      <c r="B351" s="1" t="n">
        <v>44552</v>
      </c>
      <c r="C351" s="1" t="n">
        <v>45571</v>
      </c>
      <c r="D351" t="inlineStr">
        <is>
          <t>STOCKHOLMS LÄN</t>
        </is>
      </c>
      <c r="E351" t="inlineStr">
        <is>
          <t>UPPLANDS-BRO</t>
        </is>
      </c>
      <c r="G351" t="n">
        <v>1.9</v>
      </c>
      <c r="H351" t="n">
        <v>1</v>
      </c>
      <c r="I351" t="n">
        <v>0</v>
      </c>
      <c r="J351" t="n">
        <v>0</v>
      </c>
      <c r="K351" t="n">
        <v>0</v>
      </c>
      <c r="L351" t="n">
        <v>0</v>
      </c>
      <c r="M351" t="n">
        <v>0</v>
      </c>
      <c r="N351" t="n">
        <v>0</v>
      </c>
      <c r="O351" t="n">
        <v>0</v>
      </c>
      <c r="P351" t="n">
        <v>0</v>
      </c>
      <c r="Q351" t="n">
        <v>1</v>
      </c>
      <c r="R351" s="2" t="inlineStr">
        <is>
          <t>Kopparödla</t>
        </is>
      </c>
      <c r="S351">
        <f>HYPERLINK("https://klasma.github.io/Logging_0139/artfynd/A 73773-2021 artfynd.xlsx", "A 73773-2021")</f>
        <v/>
      </c>
      <c r="T351">
        <f>HYPERLINK("https://klasma.github.io/Logging_0139/kartor/A 73773-2021 karta.png", "A 73773-2021")</f>
        <v/>
      </c>
      <c r="V351">
        <f>HYPERLINK("https://klasma.github.io/Logging_0139/klagomål/A 73773-2021 FSC-klagomål.docx", "A 73773-2021")</f>
        <v/>
      </c>
      <c r="W351">
        <f>HYPERLINK("https://klasma.github.io/Logging_0139/klagomålsmail/A 73773-2021 FSC-klagomål mail.docx", "A 73773-2021")</f>
        <v/>
      </c>
      <c r="X351">
        <f>HYPERLINK("https://klasma.github.io/Logging_0139/tillsyn/A 73773-2021 tillsynsbegäran.docx", "A 73773-2021")</f>
        <v/>
      </c>
      <c r="Y351">
        <f>HYPERLINK("https://klasma.github.io/Logging_0139/tillsynsmail/A 73773-2021 tillsynsbegäran mail.docx", "A 73773-2021")</f>
        <v/>
      </c>
    </row>
    <row r="352" ht="15" customHeight="1">
      <c r="A352" t="inlineStr">
        <is>
          <t>A 73787-2021</t>
        </is>
      </c>
      <c r="B352" s="1" t="n">
        <v>44552</v>
      </c>
      <c r="C352" s="1" t="n">
        <v>45571</v>
      </c>
      <c r="D352" t="inlineStr">
        <is>
          <t>STOCKHOLMS LÄN</t>
        </is>
      </c>
      <c r="E352" t="inlineStr">
        <is>
          <t>UPPLANDS-BRO</t>
        </is>
      </c>
      <c r="G352" t="n">
        <v>4.6</v>
      </c>
      <c r="H352" t="n">
        <v>0</v>
      </c>
      <c r="I352" t="n">
        <v>0</v>
      </c>
      <c r="J352" t="n">
        <v>1</v>
      </c>
      <c r="K352" t="n">
        <v>0</v>
      </c>
      <c r="L352" t="n">
        <v>0</v>
      </c>
      <c r="M352" t="n">
        <v>0</v>
      </c>
      <c r="N352" t="n">
        <v>0</v>
      </c>
      <c r="O352" t="n">
        <v>1</v>
      </c>
      <c r="P352" t="n">
        <v>0</v>
      </c>
      <c r="Q352" t="n">
        <v>1</v>
      </c>
      <c r="R352" s="2" t="inlineStr">
        <is>
          <t>Dofttaggsvamp</t>
        </is>
      </c>
      <c r="S352">
        <f>HYPERLINK("https://klasma.github.io/Logging_0139/artfynd/A 73787-2021 artfynd.xlsx", "A 73787-2021")</f>
        <v/>
      </c>
      <c r="T352">
        <f>HYPERLINK("https://klasma.github.io/Logging_0139/kartor/A 73787-2021 karta.png", "A 73787-2021")</f>
        <v/>
      </c>
      <c r="V352">
        <f>HYPERLINK("https://klasma.github.io/Logging_0139/klagomål/A 73787-2021 FSC-klagomål.docx", "A 73787-2021")</f>
        <v/>
      </c>
      <c r="W352">
        <f>HYPERLINK("https://klasma.github.io/Logging_0139/klagomålsmail/A 73787-2021 FSC-klagomål mail.docx", "A 73787-2021")</f>
        <v/>
      </c>
      <c r="X352">
        <f>HYPERLINK("https://klasma.github.io/Logging_0139/tillsyn/A 73787-2021 tillsynsbegäran.docx", "A 73787-2021")</f>
        <v/>
      </c>
      <c r="Y352">
        <f>HYPERLINK("https://klasma.github.io/Logging_0139/tillsynsmail/A 73787-2021 tillsynsbegäran mail.docx", "A 73787-2021")</f>
        <v/>
      </c>
    </row>
    <row r="353" ht="15" customHeight="1">
      <c r="A353" t="inlineStr">
        <is>
          <t>A 131-2022</t>
        </is>
      </c>
      <c r="B353" s="1" t="n">
        <v>44560</v>
      </c>
      <c r="C353" s="1" t="n">
        <v>45571</v>
      </c>
      <c r="D353" t="inlineStr">
        <is>
          <t>STOCKHOLMS LÄN</t>
        </is>
      </c>
      <c r="E353" t="inlineStr">
        <is>
          <t>VALLENTUNA</t>
        </is>
      </c>
      <c r="F353" t="inlineStr">
        <is>
          <t>Övriga Aktiebolag</t>
        </is>
      </c>
      <c r="G353" t="n">
        <v>4.6</v>
      </c>
      <c r="H353" t="n">
        <v>0</v>
      </c>
      <c r="I353" t="n">
        <v>1</v>
      </c>
      <c r="J353" t="n">
        <v>0</v>
      </c>
      <c r="K353" t="n">
        <v>0</v>
      </c>
      <c r="L353" t="n">
        <v>0</v>
      </c>
      <c r="M353" t="n">
        <v>0</v>
      </c>
      <c r="N353" t="n">
        <v>0</v>
      </c>
      <c r="O353" t="n">
        <v>0</v>
      </c>
      <c r="P353" t="n">
        <v>0</v>
      </c>
      <c r="Q353" t="n">
        <v>1</v>
      </c>
      <c r="R353" s="2" t="inlineStr">
        <is>
          <t>Tjockfotad fingersvamp</t>
        </is>
      </c>
      <c r="S353">
        <f>HYPERLINK("https://klasma.github.io/Logging_0115/artfynd/A 131-2022 artfynd.xlsx", "A 131-2022")</f>
        <v/>
      </c>
      <c r="T353">
        <f>HYPERLINK("https://klasma.github.io/Logging_0115/kartor/A 131-2022 karta.png", "A 131-2022")</f>
        <v/>
      </c>
      <c r="V353">
        <f>HYPERLINK("https://klasma.github.io/Logging_0115/klagomål/A 131-2022 FSC-klagomål.docx", "A 131-2022")</f>
        <v/>
      </c>
      <c r="W353">
        <f>HYPERLINK("https://klasma.github.io/Logging_0115/klagomålsmail/A 131-2022 FSC-klagomål mail.docx", "A 131-2022")</f>
        <v/>
      </c>
      <c r="X353">
        <f>HYPERLINK("https://klasma.github.io/Logging_0115/tillsyn/A 131-2022 tillsynsbegäran.docx", "A 131-2022")</f>
        <v/>
      </c>
      <c r="Y353">
        <f>HYPERLINK("https://klasma.github.io/Logging_0115/tillsynsmail/A 131-2022 tillsynsbegäran mail.docx", "A 131-2022")</f>
        <v/>
      </c>
    </row>
    <row r="354" ht="15" customHeight="1">
      <c r="A354" t="inlineStr">
        <is>
          <t>A 21-2022</t>
        </is>
      </c>
      <c r="B354" s="1" t="n">
        <v>44560</v>
      </c>
      <c r="C354" s="1" t="n">
        <v>45571</v>
      </c>
      <c r="D354" t="inlineStr">
        <is>
          <t>STOCKHOLMS LÄN</t>
        </is>
      </c>
      <c r="E354" t="inlineStr">
        <is>
          <t>VALLENTUNA</t>
        </is>
      </c>
      <c r="F354" t="inlineStr">
        <is>
          <t>Övriga Aktiebolag</t>
        </is>
      </c>
      <c r="G354" t="n">
        <v>3.5</v>
      </c>
      <c r="H354" t="n">
        <v>1</v>
      </c>
      <c r="I354" t="n">
        <v>0</v>
      </c>
      <c r="J354" t="n">
        <v>0</v>
      </c>
      <c r="K354" t="n">
        <v>0</v>
      </c>
      <c r="L354" t="n">
        <v>0</v>
      </c>
      <c r="M354" t="n">
        <v>0</v>
      </c>
      <c r="N354" t="n">
        <v>0</v>
      </c>
      <c r="O354" t="n">
        <v>0</v>
      </c>
      <c r="P354" t="n">
        <v>0</v>
      </c>
      <c r="Q354" t="n">
        <v>1</v>
      </c>
      <c r="R354" s="2" t="inlineStr">
        <is>
          <t>Nattviol</t>
        </is>
      </c>
      <c r="S354">
        <f>HYPERLINK("https://klasma.github.io/Logging_0115/artfynd/A 21-2022 artfynd.xlsx", "A 21-2022")</f>
        <v/>
      </c>
      <c r="T354">
        <f>HYPERLINK("https://klasma.github.io/Logging_0115/kartor/A 21-2022 karta.png", "A 21-2022")</f>
        <v/>
      </c>
      <c r="V354">
        <f>HYPERLINK("https://klasma.github.io/Logging_0115/klagomål/A 21-2022 FSC-klagomål.docx", "A 21-2022")</f>
        <v/>
      </c>
      <c r="W354">
        <f>HYPERLINK("https://klasma.github.io/Logging_0115/klagomålsmail/A 21-2022 FSC-klagomål mail.docx", "A 21-2022")</f>
        <v/>
      </c>
      <c r="X354">
        <f>HYPERLINK("https://klasma.github.io/Logging_0115/tillsyn/A 21-2022 tillsynsbegäran.docx", "A 21-2022")</f>
        <v/>
      </c>
      <c r="Y354">
        <f>HYPERLINK("https://klasma.github.io/Logging_0115/tillsynsmail/A 21-2022 tillsynsbegäran mail.docx", "A 21-2022")</f>
        <v/>
      </c>
    </row>
    <row r="355" ht="15" customHeight="1">
      <c r="A355" t="inlineStr">
        <is>
          <t>A 188-2022</t>
        </is>
      </c>
      <c r="B355" s="1" t="n">
        <v>44564</v>
      </c>
      <c r="C355" s="1" t="n">
        <v>45571</v>
      </c>
      <c r="D355" t="inlineStr">
        <is>
          <t>STOCKHOLMS LÄN</t>
        </is>
      </c>
      <c r="E355" t="inlineStr">
        <is>
          <t>NORRTÄLJE</t>
        </is>
      </c>
      <c r="G355" t="n">
        <v>4.1</v>
      </c>
      <c r="H355" t="n">
        <v>0</v>
      </c>
      <c r="I355" t="n">
        <v>1</v>
      </c>
      <c r="J355" t="n">
        <v>0</v>
      </c>
      <c r="K355" t="n">
        <v>0</v>
      </c>
      <c r="L355" t="n">
        <v>0</v>
      </c>
      <c r="M355" t="n">
        <v>0</v>
      </c>
      <c r="N355" t="n">
        <v>0</v>
      </c>
      <c r="O355" t="n">
        <v>0</v>
      </c>
      <c r="P355" t="n">
        <v>0</v>
      </c>
      <c r="Q355" t="n">
        <v>1</v>
      </c>
      <c r="R355" s="2" t="inlineStr">
        <is>
          <t>Svart trolldruva</t>
        </is>
      </c>
      <c r="S355">
        <f>HYPERLINK("https://klasma.github.io/Logging_0188/artfynd/A 188-2022 artfynd.xlsx", "A 188-2022")</f>
        <v/>
      </c>
      <c r="T355">
        <f>HYPERLINK("https://klasma.github.io/Logging_0188/kartor/A 188-2022 karta.png", "A 188-2022")</f>
        <v/>
      </c>
      <c r="V355">
        <f>HYPERLINK("https://klasma.github.io/Logging_0188/klagomål/A 188-2022 FSC-klagomål.docx", "A 188-2022")</f>
        <v/>
      </c>
      <c r="W355">
        <f>HYPERLINK("https://klasma.github.io/Logging_0188/klagomålsmail/A 188-2022 FSC-klagomål mail.docx", "A 188-2022")</f>
        <v/>
      </c>
      <c r="X355">
        <f>HYPERLINK("https://klasma.github.io/Logging_0188/tillsyn/A 188-2022 tillsynsbegäran.docx", "A 188-2022")</f>
        <v/>
      </c>
      <c r="Y355">
        <f>HYPERLINK("https://klasma.github.io/Logging_0188/tillsynsmail/A 188-2022 tillsynsbegäran mail.docx", "A 188-2022")</f>
        <v/>
      </c>
    </row>
    <row r="356" ht="15" customHeight="1">
      <c r="A356" t="inlineStr">
        <is>
          <t>A 1547-2022</t>
        </is>
      </c>
      <c r="B356" s="1" t="n">
        <v>44573</v>
      </c>
      <c r="C356" s="1" t="n">
        <v>45571</v>
      </c>
      <c r="D356" t="inlineStr">
        <is>
          <t>STOCKHOLMS LÄN</t>
        </is>
      </c>
      <c r="E356" t="inlineStr">
        <is>
          <t>NORRTÄLJE</t>
        </is>
      </c>
      <c r="G356" t="n">
        <v>1.8</v>
      </c>
      <c r="H356" t="n">
        <v>1</v>
      </c>
      <c r="I356" t="n">
        <v>0</v>
      </c>
      <c r="J356" t="n">
        <v>0</v>
      </c>
      <c r="K356" t="n">
        <v>1</v>
      </c>
      <c r="L356" t="n">
        <v>0</v>
      </c>
      <c r="M356" t="n">
        <v>0</v>
      </c>
      <c r="N356" t="n">
        <v>0</v>
      </c>
      <c r="O356" t="n">
        <v>1</v>
      </c>
      <c r="P356" t="n">
        <v>1</v>
      </c>
      <c r="Q356" t="n">
        <v>1</v>
      </c>
      <c r="R356" s="2" t="inlineStr">
        <is>
          <t>Hällebräcka</t>
        </is>
      </c>
      <c r="S356">
        <f>HYPERLINK("https://klasma.github.io/Logging_0188/artfynd/A 1547-2022 artfynd.xlsx", "A 1547-2022")</f>
        <v/>
      </c>
      <c r="T356">
        <f>HYPERLINK("https://klasma.github.io/Logging_0188/kartor/A 1547-2022 karta.png", "A 1547-2022")</f>
        <v/>
      </c>
      <c r="V356">
        <f>HYPERLINK("https://klasma.github.io/Logging_0188/klagomål/A 1547-2022 FSC-klagomål.docx", "A 1547-2022")</f>
        <v/>
      </c>
      <c r="W356">
        <f>HYPERLINK("https://klasma.github.io/Logging_0188/klagomålsmail/A 1547-2022 FSC-klagomål mail.docx", "A 1547-2022")</f>
        <v/>
      </c>
      <c r="X356">
        <f>HYPERLINK("https://klasma.github.io/Logging_0188/tillsyn/A 1547-2022 tillsynsbegäran.docx", "A 1547-2022")</f>
        <v/>
      </c>
      <c r="Y356">
        <f>HYPERLINK("https://klasma.github.io/Logging_0188/tillsynsmail/A 1547-2022 tillsynsbegäran mail.docx", "A 1547-2022")</f>
        <v/>
      </c>
    </row>
    <row r="357" ht="15" customHeight="1">
      <c r="A357" t="inlineStr">
        <is>
          <t>A 1946-2022</t>
        </is>
      </c>
      <c r="B357" s="1" t="n">
        <v>44575</v>
      </c>
      <c r="C357" s="1" t="n">
        <v>45571</v>
      </c>
      <c r="D357" t="inlineStr">
        <is>
          <t>STOCKHOLMS LÄN</t>
        </is>
      </c>
      <c r="E357" t="inlineStr">
        <is>
          <t>SÖDERTÄLJE</t>
        </is>
      </c>
      <c r="G357" t="n">
        <v>6.7</v>
      </c>
      <c r="H357" t="n">
        <v>1</v>
      </c>
      <c r="I357" t="n">
        <v>0</v>
      </c>
      <c r="J357" t="n">
        <v>0</v>
      </c>
      <c r="K357" t="n">
        <v>0</v>
      </c>
      <c r="L357" t="n">
        <v>0</v>
      </c>
      <c r="M357" t="n">
        <v>0</v>
      </c>
      <c r="N357" t="n">
        <v>0</v>
      </c>
      <c r="O357" t="n">
        <v>0</v>
      </c>
      <c r="P357" t="n">
        <v>0</v>
      </c>
      <c r="Q357" t="n">
        <v>1</v>
      </c>
      <c r="R357" s="2" t="inlineStr">
        <is>
          <t>Större vattensalamander</t>
        </is>
      </c>
      <c r="S357">
        <f>HYPERLINK("https://klasma.github.io/Logging_0181/artfynd/A 1946-2022 artfynd.xlsx", "A 1946-2022")</f>
        <v/>
      </c>
      <c r="T357">
        <f>HYPERLINK("https://klasma.github.io/Logging_0181/kartor/A 1946-2022 karta.png", "A 1946-2022")</f>
        <v/>
      </c>
      <c r="V357">
        <f>HYPERLINK("https://klasma.github.io/Logging_0181/klagomål/A 1946-2022 FSC-klagomål.docx", "A 1946-2022")</f>
        <v/>
      </c>
      <c r="W357">
        <f>HYPERLINK("https://klasma.github.io/Logging_0181/klagomålsmail/A 1946-2022 FSC-klagomål mail.docx", "A 1946-2022")</f>
        <v/>
      </c>
      <c r="X357">
        <f>HYPERLINK("https://klasma.github.io/Logging_0181/tillsyn/A 1946-2022 tillsynsbegäran.docx", "A 1946-2022")</f>
        <v/>
      </c>
      <c r="Y357">
        <f>HYPERLINK("https://klasma.github.io/Logging_0181/tillsynsmail/A 1946-2022 tillsynsbegäran mail.docx", "A 1946-2022")</f>
        <v/>
      </c>
    </row>
    <row r="358" ht="15" customHeight="1">
      <c r="A358" t="inlineStr">
        <is>
          <t>A 2722-2022</t>
        </is>
      </c>
      <c r="B358" s="1" t="n">
        <v>44580</v>
      </c>
      <c r="C358" s="1" t="n">
        <v>45571</v>
      </c>
      <c r="D358" t="inlineStr">
        <is>
          <t>STOCKHOLMS LÄN</t>
        </is>
      </c>
      <c r="E358" t="inlineStr">
        <is>
          <t>HANINGE</t>
        </is>
      </c>
      <c r="G358" t="n">
        <v>1.5</v>
      </c>
      <c r="H358" t="n">
        <v>1</v>
      </c>
      <c r="I358" t="n">
        <v>1</v>
      </c>
      <c r="J358" t="n">
        <v>0</v>
      </c>
      <c r="K358" t="n">
        <v>0</v>
      </c>
      <c r="L358" t="n">
        <v>0</v>
      </c>
      <c r="M358" t="n">
        <v>0</v>
      </c>
      <c r="N358" t="n">
        <v>0</v>
      </c>
      <c r="O358" t="n">
        <v>0</v>
      </c>
      <c r="P358" t="n">
        <v>0</v>
      </c>
      <c r="Q358" t="n">
        <v>1</v>
      </c>
      <c r="R358" s="2" t="inlineStr">
        <is>
          <t>Grön sköldmossa</t>
        </is>
      </c>
      <c r="S358">
        <f>HYPERLINK("https://klasma.github.io/Logging_0136/artfynd/A 2722-2022 artfynd.xlsx", "A 2722-2022")</f>
        <v/>
      </c>
      <c r="T358">
        <f>HYPERLINK("https://klasma.github.io/Logging_0136/kartor/A 2722-2022 karta.png", "A 2722-2022")</f>
        <v/>
      </c>
      <c r="V358">
        <f>HYPERLINK("https://klasma.github.io/Logging_0136/klagomål/A 2722-2022 FSC-klagomål.docx", "A 2722-2022")</f>
        <v/>
      </c>
      <c r="W358">
        <f>HYPERLINK("https://klasma.github.io/Logging_0136/klagomålsmail/A 2722-2022 FSC-klagomål mail.docx", "A 2722-2022")</f>
        <v/>
      </c>
      <c r="X358">
        <f>HYPERLINK("https://klasma.github.io/Logging_0136/tillsyn/A 2722-2022 tillsynsbegäran.docx", "A 2722-2022")</f>
        <v/>
      </c>
      <c r="Y358">
        <f>HYPERLINK("https://klasma.github.io/Logging_0136/tillsynsmail/A 2722-2022 tillsynsbegäran mail.docx", "A 2722-2022")</f>
        <v/>
      </c>
    </row>
    <row r="359" ht="15" customHeight="1">
      <c r="A359" t="inlineStr">
        <is>
          <t>A 3218-2022</t>
        </is>
      </c>
      <c r="B359" s="1" t="n">
        <v>44582</v>
      </c>
      <c r="C359" s="1" t="n">
        <v>45571</v>
      </c>
      <c r="D359" t="inlineStr">
        <is>
          <t>STOCKHOLMS LÄN</t>
        </is>
      </c>
      <c r="E359" t="inlineStr">
        <is>
          <t>EKERÖ</t>
        </is>
      </c>
      <c r="G359" t="n">
        <v>1.2</v>
      </c>
      <c r="H359" t="n">
        <v>0</v>
      </c>
      <c r="I359" t="n">
        <v>0</v>
      </c>
      <c r="J359" t="n">
        <v>0</v>
      </c>
      <c r="K359" t="n">
        <v>1</v>
      </c>
      <c r="L359" t="n">
        <v>0</v>
      </c>
      <c r="M359" t="n">
        <v>0</v>
      </c>
      <c r="N359" t="n">
        <v>0</v>
      </c>
      <c r="O359" t="n">
        <v>1</v>
      </c>
      <c r="P359" t="n">
        <v>1</v>
      </c>
      <c r="Q359" t="n">
        <v>1</v>
      </c>
      <c r="R359" s="2" t="inlineStr">
        <is>
          <t>Gul lammticka</t>
        </is>
      </c>
      <c r="S359">
        <f>HYPERLINK("https://klasma.github.io/Logging_0125/artfynd/A 3218-2022 artfynd.xlsx", "A 3218-2022")</f>
        <v/>
      </c>
      <c r="T359">
        <f>HYPERLINK("https://klasma.github.io/Logging_0125/kartor/A 3218-2022 karta.png", "A 3218-2022")</f>
        <v/>
      </c>
      <c r="V359">
        <f>HYPERLINK("https://klasma.github.io/Logging_0125/klagomål/A 3218-2022 FSC-klagomål.docx", "A 3218-2022")</f>
        <v/>
      </c>
      <c r="W359">
        <f>HYPERLINK("https://klasma.github.io/Logging_0125/klagomålsmail/A 3218-2022 FSC-klagomål mail.docx", "A 3218-2022")</f>
        <v/>
      </c>
      <c r="X359">
        <f>HYPERLINK("https://klasma.github.io/Logging_0125/tillsyn/A 3218-2022 tillsynsbegäran.docx", "A 3218-2022")</f>
        <v/>
      </c>
      <c r="Y359">
        <f>HYPERLINK("https://klasma.github.io/Logging_0125/tillsynsmail/A 3218-2022 tillsynsbegäran mail.docx", "A 3218-2022")</f>
        <v/>
      </c>
    </row>
    <row r="360" ht="15" customHeight="1">
      <c r="A360" t="inlineStr">
        <is>
          <t>A 7172-2022</t>
        </is>
      </c>
      <c r="B360" s="1" t="n">
        <v>44604</v>
      </c>
      <c r="C360" s="1" t="n">
        <v>45571</v>
      </c>
      <c r="D360" t="inlineStr">
        <is>
          <t>STOCKHOLMS LÄN</t>
        </is>
      </c>
      <c r="E360" t="inlineStr">
        <is>
          <t>NORRTÄLJE</t>
        </is>
      </c>
      <c r="G360" t="n">
        <v>4.8</v>
      </c>
      <c r="H360" t="n">
        <v>0</v>
      </c>
      <c r="I360" t="n">
        <v>1</v>
      </c>
      <c r="J360" t="n">
        <v>0</v>
      </c>
      <c r="K360" t="n">
        <v>0</v>
      </c>
      <c r="L360" t="n">
        <v>0</v>
      </c>
      <c r="M360" t="n">
        <v>0</v>
      </c>
      <c r="N360" t="n">
        <v>0</v>
      </c>
      <c r="O360" t="n">
        <v>0</v>
      </c>
      <c r="P360" t="n">
        <v>0</v>
      </c>
      <c r="Q360" t="n">
        <v>1</v>
      </c>
      <c r="R360" s="2" t="inlineStr">
        <is>
          <t>Trådticka</t>
        </is>
      </c>
      <c r="S360">
        <f>HYPERLINK("https://klasma.github.io/Logging_0188/artfynd/A 7172-2022 artfynd.xlsx", "A 7172-2022")</f>
        <v/>
      </c>
      <c r="T360">
        <f>HYPERLINK("https://klasma.github.io/Logging_0188/kartor/A 7172-2022 karta.png", "A 7172-2022")</f>
        <v/>
      </c>
      <c r="U360">
        <f>HYPERLINK("https://klasma.github.io/Logging_0188/knärot/A 7172-2022 karta knärot.png", "A 7172-2022")</f>
        <v/>
      </c>
      <c r="V360">
        <f>HYPERLINK("https://klasma.github.io/Logging_0188/klagomål/A 7172-2022 FSC-klagomål.docx", "A 7172-2022")</f>
        <v/>
      </c>
      <c r="W360">
        <f>HYPERLINK("https://klasma.github.io/Logging_0188/klagomålsmail/A 7172-2022 FSC-klagomål mail.docx", "A 7172-2022")</f>
        <v/>
      </c>
      <c r="X360">
        <f>HYPERLINK("https://klasma.github.io/Logging_0188/tillsyn/A 7172-2022 tillsynsbegäran.docx", "A 7172-2022")</f>
        <v/>
      </c>
      <c r="Y360">
        <f>HYPERLINK("https://klasma.github.io/Logging_0188/tillsynsmail/A 7172-2022 tillsynsbegäran mail.docx", "A 7172-2022")</f>
        <v/>
      </c>
    </row>
    <row r="361" ht="15" customHeight="1">
      <c r="A361" t="inlineStr">
        <is>
          <t>A 7285-2022</t>
        </is>
      </c>
      <c r="B361" s="1" t="n">
        <v>44606</v>
      </c>
      <c r="C361" s="1" t="n">
        <v>45571</v>
      </c>
      <c r="D361" t="inlineStr">
        <is>
          <t>STOCKHOLMS LÄN</t>
        </is>
      </c>
      <c r="E361" t="inlineStr">
        <is>
          <t>UPPLANDS-BRO</t>
        </is>
      </c>
      <c r="F361" t="inlineStr">
        <is>
          <t>Övriga statliga verk och myndigheter</t>
        </is>
      </c>
      <c r="G361" t="n">
        <v>22.6</v>
      </c>
      <c r="H361" t="n">
        <v>0</v>
      </c>
      <c r="I361" t="n">
        <v>0</v>
      </c>
      <c r="J361" t="n">
        <v>0</v>
      </c>
      <c r="K361" t="n">
        <v>1</v>
      </c>
      <c r="L361" t="n">
        <v>0</v>
      </c>
      <c r="M361" t="n">
        <v>0</v>
      </c>
      <c r="N361" t="n">
        <v>0</v>
      </c>
      <c r="O361" t="n">
        <v>1</v>
      </c>
      <c r="P361" t="n">
        <v>1</v>
      </c>
      <c r="Q361" t="n">
        <v>1</v>
      </c>
      <c r="R361" s="2" t="inlineStr">
        <is>
          <t>Koppartaggsvamp</t>
        </is>
      </c>
      <c r="S361">
        <f>HYPERLINK("https://klasma.github.io/Logging_0139/artfynd/A 7285-2022 artfynd.xlsx", "A 7285-2022")</f>
        <v/>
      </c>
      <c r="T361">
        <f>HYPERLINK("https://klasma.github.io/Logging_0139/kartor/A 7285-2022 karta.png", "A 7285-2022")</f>
        <v/>
      </c>
      <c r="V361">
        <f>HYPERLINK("https://klasma.github.io/Logging_0139/klagomål/A 7285-2022 FSC-klagomål.docx", "A 7285-2022")</f>
        <v/>
      </c>
      <c r="W361">
        <f>HYPERLINK("https://klasma.github.io/Logging_0139/klagomålsmail/A 7285-2022 FSC-klagomål mail.docx", "A 7285-2022")</f>
        <v/>
      </c>
      <c r="X361">
        <f>HYPERLINK("https://klasma.github.io/Logging_0139/tillsyn/A 7285-2022 tillsynsbegäran.docx", "A 7285-2022")</f>
        <v/>
      </c>
      <c r="Y361">
        <f>HYPERLINK("https://klasma.github.io/Logging_0139/tillsynsmail/A 7285-2022 tillsynsbegäran mail.docx", "A 7285-2022")</f>
        <v/>
      </c>
    </row>
    <row r="362" ht="15" customHeight="1">
      <c r="A362" t="inlineStr">
        <is>
          <t>A 8285-2022</t>
        </is>
      </c>
      <c r="B362" s="1" t="n">
        <v>44610</v>
      </c>
      <c r="C362" s="1" t="n">
        <v>45571</v>
      </c>
      <c r="D362" t="inlineStr">
        <is>
          <t>STOCKHOLMS LÄN</t>
        </is>
      </c>
      <c r="E362" t="inlineStr">
        <is>
          <t>NYKVARN</t>
        </is>
      </c>
      <c r="G362" t="n">
        <v>5</v>
      </c>
      <c r="H362" t="n">
        <v>1</v>
      </c>
      <c r="I362" t="n">
        <v>0</v>
      </c>
      <c r="J362" t="n">
        <v>0</v>
      </c>
      <c r="K362" t="n">
        <v>0</v>
      </c>
      <c r="L362" t="n">
        <v>0</v>
      </c>
      <c r="M362" t="n">
        <v>0</v>
      </c>
      <c r="N362" t="n">
        <v>0</v>
      </c>
      <c r="O362" t="n">
        <v>0</v>
      </c>
      <c r="P362" t="n">
        <v>0</v>
      </c>
      <c r="Q362" t="n">
        <v>1</v>
      </c>
      <c r="R362" s="2" t="inlineStr">
        <is>
          <t>Blåsippa</t>
        </is>
      </c>
      <c r="S362">
        <f>HYPERLINK("https://klasma.github.io/Logging_0140/artfynd/A 8285-2022 artfynd.xlsx", "A 8285-2022")</f>
        <v/>
      </c>
      <c r="T362">
        <f>HYPERLINK("https://klasma.github.io/Logging_0140/kartor/A 8285-2022 karta.png", "A 8285-2022")</f>
        <v/>
      </c>
      <c r="V362">
        <f>HYPERLINK("https://klasma.github.io/Logging_0140/klagomål/A 8285-2022 FSC-klagomål.docx", "A 8285-2022")</f>
        <v/>
      </c>
      <c r="W362">
        <f>HYPERLINK("https://klasma.github.io/Logging_0140/klagomålsmail/A 8285-2022 FSC-klagomål mail.docx", "A 8285-2022")</f>
        <v/>
      </c>
      <c r="X362">
        <f>HYPERLINK("https://klasma.github.io/Logging_0140/tillsyn/A 8285-2022 tillsynsbegäran.docx", "A 8285-2022")</f>
        <v/>
      </c>
      <c r="Y362">
        <f>HYPERLINK("https://klasma.github.io/Logging_0140/tillsynsmail/A 8285-2022 tillsynsbegäran mail.docx", "A 8285-2022")</f>
        <v/>
      </c>
    </row>
    <row r="363" ht="15" customHeight="1">
      <c r="A363" t="inlineStr">
        <is>
          <t>A 8500-2022</t>
        </is>
      </c>
      <c r="B363" s="1" t="n">
        <v>44613</v>
      </c>
      <c r="C363" s="1" t="n">
        <v>45571</v>
      </c>
      <c r="D363" t="inlineStr">
        <is>
          <t>STOCKHOLMS LÄN</t>
        </is>
      </c>
      <c r="E363" t="inlineStr">
        <is>
          <t>VALLENTUNA</t>
        </is>
      </c>
      <c r="G363" t="n">
        <v>5</v>
      </c>
      <c r="H363" t="n">
        <v>0</v>
      </c>
      <c r="I363" t="n">
        <v>1</v>
      </c>
      <c r="J363" t="n">
        <v>0</v>
      </c>
      <c r="K363" t="n">
        <v>0</v>
      </c>
      <c r="L363" t="n">
        <v>0</v>
      </c>
      <c r="M363" t="n">
        <v>0</v>
      </c>
      <c r="N363" t="n">
        <v>0</v>
      </c>
      <c r="O363" t="n">
        <v>0</v>
      </c>
      <c r="P363" t="n">
        <v>0</v>
      </c>
      <c r="Q363" t="n">
        <v>1</v>
      </c>
      <c r="R363" s="2" t="inlineStr">
        <is>
          <t>Blåmossa</t>
        </is>
      </c>
      <c r="S363">
        <f>HYPERLINK("https://klasma.github.io/Logging_0115/artfynd/A 8500-2022 artfynd.xlsx", "A 8500-2022")</f>
        <v/>
      </c>
      <c r="T363">
        <f>HYPERLINK("https://klasma.github.io/Logging_0115/kartor/A 8500-2022 karta.png", "A 8500-2022")</f>
        <v/>
      </c>
      <c r="V363">
        <f>HYPERLINK("https://klasma.github.io/Logging_0115/klagomål/A 8500-2022 FSC-klagomål.docx", "A 8500-2022")</f>
        <v/>
      </c>
      <c r="W363">
        <f>HYPERLINK("https://klasma.github.io/Logging_0115/klagomålsmail/A 8500-2022 FSC-klagomål mail.docx", "A 8500-2022")</f>
        <v/>
      </c>
      <c r="X363">
        <f>HYPERLINK("https://klasma.github.io/Logging_0115/tillsyn/A 8500-2022 tillsynsbegäran.docx", "A 8500-2022")</f>
        <v/>
      </c>
      <c r="Y363">
        <f>HYPERLINK("https://klasma.github.io/Logging_0115/tillsynsmail/A 8500-2022 tillsynsbegäran mail.docx", "A 8500-2022")</f>
        <v/>
      </c>
    </row>
    <row r="364" ht="15" customHeight="1">
      <c r="A364" t="inlineStr">
        <is>
          <t>A 9445-2022</t>
        </is>
      </c>
      <c r="B364" s="1" t="n">
        <v>44616</v>
      </c>
      <c r="C364" s="1" t="n">
        <v>45571</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45571</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45571</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45571</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45571</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45571</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45571</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45571</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45571</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45571</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45571</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45571</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45571</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45571</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45571</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45571</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45571</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45571</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45571</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45571</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45571</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45571</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45571</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45571</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45571</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45571</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45571</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45571</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45571</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45571</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45571</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45571</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45571</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45571</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45571</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45571</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45571</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45571</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45571</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45571</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45571</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45571</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45571</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45571</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45571</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45571</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45571</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45571</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45571</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45571</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45571</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45571</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45571</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45571</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45571</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45571</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45571</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45571</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45571</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45571</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45571</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45571</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45571</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45571</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45571</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45571</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45571</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45571</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45571</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45571</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45571</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45571</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45571</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45571</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45571</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45571</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45571</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45571</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45571</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45571</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45571</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45571</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45571</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45571</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45571</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45571</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45571</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45571</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45571</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45571</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45571</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45571</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45571</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45571</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45571</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45571</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45571</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45571</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45571</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45571</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45571</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45571</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45571</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45571</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45571</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45571</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45571</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45571</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45571</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45571</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45571</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45571</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45571</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45571</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45571</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45571</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45571</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45571</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45571</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45571</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45571</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45571</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45571</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45571</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45571</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45571</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45571</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45571</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45571</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45571</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45571</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45571</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45571</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45571</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45571</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45571</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45571</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45571</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45571</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45571</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45571</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45571</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45571</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45571</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45571</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17752-2019</t>
        </is>
      </c>
      <c r="B509" s="1" t="n">
        <v>43556</v>
      </c>
      <c r="C509" s="1" t="n">
        <v>45571</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17795-2019</t>
        </is>
      </c>
      <c r="B510" s="1" t="n">
        <v>43556</v>
      </c>
      <c r="C510" s="1" t="n">
        <v>45571</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17757-2019</t>
        </is>
      </c>
      <c r="B511" s="1" t="n">
        <v>43556</v>
      </c>
      <c r="C511" s="1" t="n">
        <v>45571</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17963-2019</t>
        </is>
      </c>
      <c r="B512" s="1" t="n">
        <v>43557</v>
      </c>
      <c r="C512" s="1" t="n">
        <v>45571</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18378-2019</t>
        </is>
      </c>
      <c r="B513" s="1" t="n">
        <v>43559</v>
      </c>
      <c r="C513" s="1" t="n">
        <v>45571</v>
      </c>
      <c r="D513" t="inlineStr">
        <is>
          <t>STOCKHOLMS LÄN</t>
        </is>
      </c>
      <c r="E513" t="inlineStr">
        <is>
          <t>NORRTÄLJE</t>
        </is>
      </c>
      <c r="G513" t="n">
        <v>5.8</v>
      </c>
      <c r="H513" t="n">
        <v>0</v>
      </c>
      <c r="I513" t="n">
        <v>0</v>
      </c>
      <c r="J513" t="n">
        <v>0</v>
      </c>
      <c r="K513" t="n">
        <v>0</v>
      </c>
      <c r="L513" t="n">
        <v>0</v>
      </c>
      <c r="M513" t="n">
        <v>0</v>
      </c>
      <c r="N513" t="n">
        <v>0</v>
      </c>
      <c r="O513" t="n">
        <v>0</v>
      </c>
      <c r="P513" t="n">
        <v>0</v>
      </c>
      <c r="Q513" t="n">
        <v>0</v>
      </c>
      <c r="R513" s="2" t="inlineStr"/>
    </row>
    <row r="514" ht="15" customHeight="1">
      <c r="A514" t="inlineStr">
        <is>
          <t>A 18664-2019</t>
        </is>
      </c>
      <c r="B514" s="1" t="n">
        <v>43560</v>
      </c>
      <c r="C514" s="1" t="n">
        <v>45571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18767-2019</t>
        </is>
      </c>
      <c r="B515" s="1" t="n">
        <v>43560</v>
      </c>
      <c r="C515" s="1" t="n">
        <v>45571</v>
      </c>
      <c r="D515" t="inlineStr">
        <is>
          <t>STOCKHOLMS LÄN</t>
        </is>
      </c>
      <c r="E515" t="inlineStr">
        <is>
          <t>NORRTÄLJE</t>
        </is>
      </c>
      <c r="G515" t="n">
        <v>4</v>
      </c>
      <c r="H515" t="n">
        <v>0</v>
      </c>
      <c r="I515" t="n">
        <v>0</v>
      </c>
      <c r="J515" t="n">
        <v>0</v>
      </c>
      <c r="K515" t="n">
        <v>0</v>
      </c>
      <c r="L515" t="n">
        <v>0</v>
      </c>
      <c r="M515" t="n">
        <v>0</v>
      </c>
      <c r="N515" t="n">
        <v>0</v>
      </c>
      <c r="O515" t="n">
        <v>0</v>
      </c>
      <c r="P515" t="n">
        <v>0</v>
      </c>
      <c r="Q515" t="n">
        <v>0</v>
      </c>
      <c r="R515" s="2" t="inlineStr"/>
    </row>
    <row r="516" ht="15" customHeight="1">
      <c r="A516" t="inlineStr">
        <is>
          <t>A 18820-2019</t>
        </is>
      </c>
      <c r="B516" s="1" t="n">
        <v>43563</v>
      </c>
      <c r="C516" s="1" t="n">
        <v>45571</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18890-2019</t>
        </is>
      </c>
      <c r="B517" s="1" t="n">
        <v>43563</v>
      </c>
      <c r="C517" s="1" t="n">
        <v>45571</v>
      </c>
      <c r="D517" t="inlineStr">
        <is>
          <t>STOCKHOLMS LÄN</t>
        </is>
      </c>
      <c r="E517" t="inlineStr">
        <is>
          <t>NORRTÄLJE</t>
        </is>
      </c>
      <c r="G517" t="n">
        <v>4.7</v>
      </c>
      <c r="H517" t="n">
        <v>0</v>
      </c>
      <c r="I517" t="n">
        <v>0</v>
      </c>
      <c r="J517" t="n">
        <v>0</v>
      </c>
      <c r="K517" t="n">
        <v>0</v>
      </c>
      <c r="L517" t="n">
        <v>0</v>
      </c>
      <c r="M517" t="n">
        <v>0</v>
      </c>
      <c r="N517" t="n">
        <v>0</v>
      </c>
      <c r="O517" t="n">
        <v>0</v>
      </c>
      <c r="P517" t="n">
        <v>0</v>
      </c>
      <c r="Q517" t="n">
        <v>0</v>
      </c>
      <c r="R517" s="2" t="inlineStr"/>
    </row>
    <row r="518" ht="15" customHeight="1">
      <c r="A518" t="inlineStr">
        <is>
          <t>A 18909-2019</t>
        </is>
      </c>
      <c r="B518" s="1" t="n">
        <v>43563</v>
      </c>
      <c r="C518" s="1" t="n">
        <v>45571</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19026-2019</t>
        </is>
      </c>
      <c r="B519" s="1" t="n">
        <v>43563</v>
      </c>
      <c r="C519" s="1" t="n">
        <v>45571</v>
      </c>
      <c r="D519" t="inlineStr">
        <is>
          <t>STOCKHOLMS LÄN</t>
        </is>
      </c>
      <c r="E519" t="inlineStr">
        <is>
          <t>NORRTÄLJE</t>
        </is>
      </c>
      <c r="G519" t="n">
        <v>4.4</v>
      </c>
      <c r="H519" t="n">
        <v>0</v>
      </c>
      <c r="I519" t="n">
        <v>0</v>
      </c>
      <c r="J519" t="n">
        <v>0</v>
      </c>
      <c r="K519" t="n">
        <v>0</v>
      </c>
      <c r="L519" t="n">
        <v>0</v>
      </c>
      <c r="M519" t="n">
        <v>0</v>
      </c>
      <c r="N519" t="n">
        <v>0</v>
      </c>
      <c r="O519" t="n">
        <v>0</v>
      </c>
      <c r="P519" t="n">
        <v>0</v>
      </c>
      <c r="Q519" t="n">
        <v>0</v>
      </c>
      <c r="R519" s="2" t="inlineStr"/>
    </row>
    <row r="520" ht="15" customHeight="1">
      <c r="A520" t="inlineStr">
        <is>
          <t>A 19014-2019</t>
        </is>
      </c>
      <c r="B520" s="1" t="n">
        <v>43563</v>
      </c>
      <c r="C520" s="1" t="n">
        <v>45571</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19247-2019</t>
        </is>
      </c>
      <c r="B521" s="1" t="n">
        <v>43564</v>
      </c>
      <c r="C521" s="1" t="n">
        <v>45571</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19170-2019</t>
        </is>
      </c>
      <c r="B522" s="1" t="n">
        <v>43564</v>
      </c>
      <c r="C522" s="1" t="n">
        <v>45571</v>
      </c>
      <c r="D522" t="inlineStr">
        <is>
          <t>STOCKHOLMS LÄN</t>
        </is>
      </c>
      <c r="E522" t="inlineStr">
        <is>
          <t>ÖSTERÅKER</t>
        </is>
      </c>
      <c r="G522" t="n">
        <v>2.2</v>
      </c>
      <c r="H522" t="n">
        <v>0</v>
      </c>
      <c r="I522" t="n">
        <v>0</v>
      </c>
      <c r="J522" t="n">
        <v>0</v>
      </c>
      <c r="K522" t="n">
        <v>0</v>
      </c>
      <c r="L522" t="n">
        <v>0</v>
      </c>
      <c r="M522" t="n">
        <v>0</v>
      </c>
      <c r="N522" t="n">
        <v>0</v>
      </c>
      <c r="O522" t="n">
        <v>0</v>
      </c>
      <c r="P522" t="n">
        <v>0</v>
      </c>
      <c r="Q522" t="n">
        <v>0</v>
      </c>
      <c r="R522" s="2" t="inlineStr"/>
    </row>
    <row r="523" ht="15" customHeight="1">
      <c r="A523" t="inlineStr">
        <is>
          <t>A 19255-2019</t>
        </is>
      </c>
      <c r="B523" s="1" t="n">
        <v>43564</v>
      </c>
      <c r="C523" s="1" t="n">
        <v>45571</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19198-2019</t>
        </is>
      </c>
      <c r="B524" s="1" t="n">
        <v>43564</v>
      </c>
      <c r="C524" s="1" t="n">
        <v>45571</v>
      </c>
      <c r="D524" t="inlineStr">
        <is>
          <t>STOCKHOLMS LÄN</t>
        </is>
      </c>
      <c r="E524" t="inlineStr">
        <is>
          <t>VALLENTUNA</t>
        </is>
      </c>
      <c r="G524" t="n">
        <v>0.9</v>
      </c>
      <c r="H524" t="n">
        <v>0</v>
      </c>
      <c r="I524" t="n">
        <v>0</v>
      </c>
      <c r="J524" t="n">
        <v>0</v>
      </c>
      <c r="K524" t="n">
        <v>0</v>
      </c>
      <c r="L524" t="n">
        <v>0</v>
      </c>
      <c r="M524" t="n">
        <v>0</v>
      </c>
      <c r="N524" t="n">
        <v>0</v>
      </c>
      <c r="O524" t="n">
        <v>0</v>
      </c>
      <c r="P524" t="n">
        <v>0</v>
      </c>
      <c r="Q524" t="n">
        <v>0</v>
      </c>
      <c r="R524" s="2" t="inlineStr"/>
    </row>
    <row r="525" ht="15" customHeight="1">
      <c r="A525" t="inlineStr">
        <is>
          <t>A 19302-2019</t>
        </is>
      </c>
      <c r="B525" s="1" t="n">
        <v>43565</v>
      </c>
      <c r="C525" s="1" t="n">
        <v>45571</v>
      </c>
      <c r="D525" t="inlineStr">
        <is>
          <t>STOCKHOLMS LÄN</t>
        </is>
      </c>
      <c r="E525" t="inlineStr">
        <is>
          <t>NORRTÄLJE</t>
        </is>
      </c>
      <c r="F525" t="inlineStr">
        <is>
          <t>Kommuner</t>
        </is>
      </c>
      <c r="G525" t="n">
        <v>4.2</v>
      </c>
      <c r="H525" t="n">
        <v>0</v>
      </c>
      <c r="I525" t="n">
        <v>0</v>
      </c>
      <c r="J525" t="n">
        <v>0</v>
      </c>
      <c r="K525" t="n">
        <v>0</v>
      </c>
      <c r="L525" t="n">
        <v>0</v>
      </c>
      <c r="M525" t="n">
        <v>0</v>
      </c>
      <c r="N525" t="n">
        <v>0</v>
      </c>
      <c r="O525" t="n">
        <v>0</v>
      </c>
      <c r="P525" t="n">
        <v>0</v>
      </c>
      <c r="Q525" t="n">
        <v>0</v>
      </c>
      <c r="R525" s="2" t="inlineStr"/>
    </row>
    <row r="526" ht="15" customHeight="1">
      <c r="A526" t="inlineStr">
        <is>
          <t>A 19301-2019</t>
        </is>
      </c>
      <c r="B526" s="1" t="n">
        <v>43565</v>
      </c>
      <c r="C526" s="1" t="n">
        <v>45571</v>
      </c>
      <c r="D526" t="inlineStr">
        <is>
          <t>STOCKHOLMS LÄN</t>
        </is>
      </c>
      <c r="E526" t="inlineStr">
        <is>
          <t>NORRTÄLJE</t>
        </is>
      </c>
      <c r="F526" t="inlineStr">
        <is>
          <t>Kommuner</t>
        </is>
      </c>
      <c r="G526" t="n">
        <v>3.9</v>
      </c>
      <c r="H526" t="n">
        <v>0</v>
      </c>
      <c r="I526" t="n">
        <v>0</v>
      </c>
      <c r="J526" t="n">
        <v>0</v>
      </c>
      <c r="K526" t="n">
        <v>0</v>
      </c>
      <c r="L526" t="n">
        <v>0</v>
      </c>
      <c r="M526" t="n">
        <v>0</v>
      </c>
      <c r="N526" t="n">
        <v>0</v>
      </c>
      <c r="O526" t="n">
        <v>0</v>
      </c>
      <c r="P526" t="n">
        <v>0</v>
      </c>
      <c r="Q526" t="n">
        <v>0</v>
      </c>
      <c r="R526" s="2" t="inlineStr"/>
    </row>
    <row r="527" ht="15" customHeight="1">
      <c r="A527" t="inlineStr">
        <is>
          <t>A 19297-2019</t>
        </is>
      </c>
      <c r="B527" s="1" t="n">
        <v>43565</v>
      </c>
      <c r="C527" s="1" t="n">
        <v>45571</v>
      </c>
      <c r="D527" t="inlineStr">
        <is>
          <t>STOCKHOLMS LÄN</t>
        </is>
      </c>
      <c r="E527" t="inlineStr">
        <is>
          <t>NORRTÄLJE</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19537-2019</t>
        </is>
      </c>
      <c r="B528" s="1" t="n">
        <v>43565</v>
      </c>
      <c r="C528" s="1" t="n">
        <v>45571</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19539-2019</t>
        </is>
      </c>
      <c r="B529" s="1" t="n">
        <v>43565</v>
      </c>
      <c r="C529" s="1" t="n">
        <v>45571</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19377-2019</t>
        </is>
      </c>
      <c r="B530" s="1" t="n">
        <v>43565</v>
      </c>
      <c r="C530" s="1" t="n">
        <v>45571</v>
      </c>
      <c r="D530" t="inlineStr">
        <is>
          <t>STOCKHOLMS LÄN</t>
        </is>
      </c>
      <c r="E530" t="inlineStr">
        <is>
          <t>NYKVARN</t>
        </is>
      </c>
      <c r="G530" t="n">
        <v>2.9</v>
      </c>
      <c r="H530" t="n">
        <v>0</v>
      </c>
      <c r="I530" t="n">
        <v>0</v>
      </c>
      <c r="J530" t="n">
        <v>0</v>
      </c>
      <c r="K530" t="n">
        <v>0</v>
      </c>
      <c r="L530" t="n">
        <v>0</v>
      </c>
      <c r="M530" t="n">
        <v>0</v>
      </c>
      <c r="N530" t="n">
        <v>0</v>
      </c>
      <c r="O530" t="n">
        <v>0</v>
      </c>
      <c r="P530" t="n">
        <v>0</v>
      </c>
      <c r="Q530" t="n">
        <v>0</v>
      </c>
      <c r="R530" s="2" t="inlineStr"/>
    </row>
    <row r="531" ht="15" customHeight="1">
      <c r="A531" t="inlineStr">
        <is>
          <t>A 19540-2019</t>
        </is>
      </c>
      <c r="B531" s="1" t="n">
        <v>43565</v>
      </c>
      <c r="C531" s="1" t="n">
        <v>45571</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19638-2019</t>
        </is>
      </c>
      <c r="B532" s="1" t="n">
        <v>43566</v>
      </c>
      <c r="C532" s="1" t="n">
        <v>45571</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19593-2019</t>
        </is>
      </c>
      <c r="B533" s="1" t="n">
        <v>43566</v>
      </c>
      <c r="C533" s="1" t="n">
        <v>45571</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19563-2019</t>
        </is>
      </c>
      <c r="B534" s="1" t="n">
        <v>43566</v>
      </c>
      <c r="C534" s="1" t="n">
        <v>45571</v>
      </c>
      <c r="D534" t="inlineStr">
        <is>
          <t>STOCKHOLMS LÄN</t>
        </is>
      </c>
      <c r="E534" t="inlineStr">
        <is>
          <t>SIGTUNA</t>
        </is>
      </c>
      <c r="G534" t="n">
        <v>7.8</v>
      </c>
      <c r="H534" t="n">
        <v>0</v>
      </c>
      <c r="I534" t="n">
        <v>0</v>
      </c>
      <c r="J534" t="n">
        <v>0</v>
      </c>
      <c r="K534" t="n">
        <v>0</v>
      </c>
      <c r="L534" t="n">
        <v>0</v>
      </c>
      <c r="M534" t="n">
        <v>0</v>
      </c>
      <c r="N534" t="n">
        <v>0</v>
      </c>
      <c r="O534" t="n">
        <v>0</v>
      </c>
      <c r="P534" t="n">
        <v>0</v>
      </c>
      <c r="Q534" t="n">
        <v>0</v>
      </c>
      <c r="R534" s="2" t="inlineStr"/>
    </row>
    <row r="535" ht="15" customHeight="1">
      <c r="A535" t="inlineStr">
        <is>
          <t>A 19872-2019</t>
        </is>
      </c>
      <c r="B535" s="1" t="n">
        <v>43567</v>
      </c>
      <c r="C535" s="1" t="n">
        <v>45571</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19811-2019</t>
        </is>
      </c>
      <c r="B536" s="1" t="n">
        <v>43567</v>
      </c>
      <c r="C536" s="1" t="n">
        <v>45571</v>
      </c>
      <c r="D536" t="inlineStr">
        <is>
          <t>STOCKHOLMS LÄN</t>
        </is>
      </c>
      <c r="E536" t="inlineStr">
        <is>
          <t>NORRTÄLJE</t>
        </is>
      </c>
      <c r="F536" t="inlineStr">
        <is>
          <t>Kommuner</t>
        </is>
      </c>
      <c r="G536" t="n">
        <v>1.6</v>
      </c>
      <c r="H536" t="n">
        <v>0</v>
      </c>
      <c r="I536" t="n">
        <v>0</v>
      </c>
      <c r="J536" t="n">
        <v>0</v>
      </c>
      <c r="K536" t="n">
        <v>0</v>
      </c>
      <c r="L536" t="n">
        <v>0</v>
      </c>
      <c r="M536" t="n">
        <v>0</v>
      </c>
      <c r="N536" t="n">
        <v>0</v>
      </c>
      <c r="O536" t="n">
        <v>0</v>
      </c>
      <c r="P536" t="n">
        <v>0</v>
      </c>
      <c r="Q536" t="n">
        <v>0</v>
      </c>
      <c r="R536" s="2" t="inlineStr"/>
    </row>
    <row r="537" ht="15" customHeight="1">
      <c r="A537" t="inlineStr">
        <is>
          <t>A 19812-2019</t>
        </is>
      </c>
      <c r="B537" s="1" t="n">
        <v>43567</v>
      </c>
      <c r="C537" s="1" t="n">
        <v>45571</v>
      </c>
      <c r="D537" t="inlineStr">
        <is>
          <t>STOCKHOLMS LÄN</t>
        </is>
      </c>
      <c r="E537" t="inlineStr">
        <is>
          <t>NORRTÄLJE</t>
        </is>
      </c>
      <c r="F537" t="inlineStr">
        <is>
          <t>Kommuner</t>
        </is>
      </c>
      <c r="G537" t="n">
        <v>1.5</v>
      </c>
      <c r="H537" t="n">
        <v>0</v>
      </c>
      <c r="I537" t="n">
        <v>0</v>
      </c>
      <c r="J537" t="n">
        <v>0</v>
      </c>
      <c r="K537" t="n">
        <v>0</v>
      </c>
      <c r="L537" t="n">
        <v>0</v>
      </c>
      <c r="M537" t="n">
        <v>0</v>
      </c>
      <c r="N537" t="n">
        <v>0</v>
      </c>
      <c r="O537" t="n">
        <v>0</v>
      </c>
      <c r="P537" t="n">
        <v>0</v>
      </c>
      <c r="Q537" t="n">
        <v>0</v>
      </c>
      <c r="R537" s="2" t="inlineStr"/>
    </row>
    <row r="538" ht="15" customHeight="1">
      <c r="A538" t="inlineStr">
        <is>
          <t>A 19931-2019</t>
        </is>
      </c>
      <c r="B538" s="1" t="n">
        <v>43568</v>
      </c>
      <c r="C538" s="1" t="n">
        <v>45571</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20033-2019</t>
        </is>
      </c>
      <c r="B539" s="1" t="n">
        <v>43570</v>
      </c>
      <c r="C539" s="1" t="n">
        <v>45571</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20020-2019</t>
        </is>
      </c>
      <c r="B540" s="1" t="n">
        <v>43570</v>
      </c>
      <c r="C540" s="1" t="n">
        <v>45571</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20051-2019</t>
        </is>
      </c>
      <c r="B541" s="1" t="n">
        <v>43570</v>
      </c>
      <c r="C541" s="1" t="n">
        <v>45571</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20137-2019</t>
        </is>
      </c>
      <c r="B542" s="1" t="n">
        <v>43570</v>
      </c>
      <c r="C542" s="1" t="n">
        <v>45571</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20007-2019</t>
        </is>
      </c>
      <c r="B543" s="1" t="n">
        <v>43570</v>
      </c>
      <c r="C543" s="1" t="n">
        <v>45571</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20052-2019</t>
        </is>
      </c>
      <c r="B544" s="1" t="n">
        <v>43570</v>
      </c>
      <c r="C544" s="1" t="n">
        <v>45571</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20159-2019</t>
        </is>
      </c>
      <c r="B545" s="1" t="n">
        <v>43570</v>
      </c>
      <c r="C545" s="1" t="n">
        <v>45571</v>
      </c>
      <c r="D545" t="inlineStr">
        <is>
          <t>STOCKHOLMS LÄN</t>
        </is>
      </c>
      <c r="E545" t="inlineStr">
        <is>
          <t>NORRTÄLJE</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20181-2019</t>
        </is>
      </c>
      <c r="B546" s="1" t="n">
        <v>43570</v>
      </c>
      <c r="C546" s="1" t="n">
        <v>45571</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20184-2019</t>
        </is>
      </c>
      <c r="B547" s="1" t="n">
        <v>43570</v>
      </c>
      <c r="C547" s="1" t="n">
        <v>45571</v>
      </c>
      <c r="D547" t="inlineStr">
        <is>
          <t>STOCKHOLMS LÄN</t>
        </is>
      </c>
      <c r="E547" t="inlineStr">
        <is>
          <t>NORRTÄLJE</t>
        </is>
      </c>
      <c r="G547" t="n">
        <v>2.8</v>
      </c>
      <c r="H547" t="n">
        <v>0</v>
      </c>
      <c r="I547" t="n">
        <v>0</v>
      </c>
      <c r="J547" t="n">
        <v>0</v>
      </c>
      <c r="K547" t="n">
        <v>0</v>
      </c>
      <c r="L547" t="n">
        <v>0</v>
      </c>
      <c r="M547" t="n">
        <v>0</v>
      </c>
      <c r="N547" t="n">
        <v>0</v>
      </c>
      <c r="O547" t="n">
        <v>0</v>
      </c>
      <c r="P547" t="n">
        <v>0</v>
      </c>
      <c r="Q547" t="n">
        <v>0</v>
      </c>
      <c r="R547" s="2" t="inlineStr"/>
    </row>
    <row r="548" ht="15" customHeight="1">
      <c r="A548" t="inlineStr">
        <is>
          <t>A 20193-2019</t>
        </is>
      </c>
      <c r="B548" s="1" t="n">
        <v>43570</v>
      </c>
      <c r="C548" s="1" t="n">
        <v>45571</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20090-2019</t>
        </is>
      </c>
      <c r="B549" s="1" t="n">
        <v>43570</v>
      </c>
      <c r="C549" s="1" t="n">
        <v>45571</v>
      </c>
      <c r="D549" t="inlineStr">
        <is>
          <t>STOCKHOLMS LÄN</t>
        </is>
      </c>
      <c r="E549" t="inlineStr">
        <is>
          <t>NORRTÄLJE</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20165-2019</t>
        </is>
      </c>
      <c r="B550" s="1" t="n">
        <v>43570</v>
      </c>
      <c r="C550" s="1" t="n">
        <v>45571</v>
      </c>
      <c r="D550" t="inlineStr">
        <is>
          <t>STOCKHOLMS LÄN</t>
        </is>
      </c>
      <c r="E550" t="inlineStr">
        <is>
          <t>NORRTÄLJE</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20023-2019</t>
        </is>
      </c>
      <c r="B551" s="1" t="n">
        <v>43570</v>
      </c>
      <c r="C551" s="1" t="n">
        <v>45571</v>
      </c>
      <c r="D551" t="inlineStr">
        <is>
          <t>STOCKHOLMS LÄN</t>
        </is>
      </c>
      <c r="E551" t="inlineStr">
        <is>
          <t>NORRTÄLJE</t>
        </is>
      </c>
      <c r="G551" t="n">
        <v>5.1</v>
      </c>
      <c r="H551" t="n">
        <v>0</v>
      </c>
      <c r="I551" t="n">
        <v>0</v>
      </c>
      <c r="J551" t="n">
        <v>0</v>
      </c>
      <c r="K551" t="n">
        <v>0</v>
      </c>
      <c r="L551" t="n">
        <v>0</v>
      </c>
      <c r="M551" t="n">
        <v>0</v>
      </c>
      <c r="N551" t="n">
        <v>0</v>
      </c>
      <c r="O551" t="n">
        <v>0</v>
      </c>
      <c r="P551" t="n">
        <v>0</v>
      </c>
      <c r="Q551" t="n">
        <v>0</v>
      </c>
      <c r="R551" s="2" t="inlineStr"/>
    </row>
    <row r="552" ht="15" customHeight="1">
      <c r="A552" t="inlineStr">
        <is>
          <t>A 20531-2019</t>
        </is>
      </c>
      <c r="B552" s="1" t="n">
        <v>43572</v>
      </c>
      <c r="C552" s="1" t="n">
        <v>45571</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20743-2019</t>
        </is>
      </c>
      <c r="B553" s="1" t="n">
        <v>43573</v>
      </c>
      <c r="C553" s="1" t="n">
        <v>45571</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20809-2019</t>
        </is>
      </c>
      <c r="B554" s="1" t="n">
        <v>43573</v>
      </c>
      <c r="C554" s="1" t="n">
        <v>45571</v>
      </c>
      <c r="D554" t="inlineStr">
        <is>
          <t>STOCKHOLMS LÄN</t>
        </is>
      </c>
      <c r="E554" t="inlineStr">
        <is>
          <t>NORRTÄLJE</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20925-2019</t>
        </is>
      </c>
      <c r="B555" s="1" t="n">
        <v>43578</v>
      </c>
      <c r="C555" s="1" t="n">
        <v>45571</v>
      </c>
      <c r="D555" t="inlineStr">
        <is>
          <t>STOCKHOLMS LÄN</t>
        </is>
      </c>
      <c r="E555" t="inlineStr">
        <is>
          <t>NORRTÄLJE</t>
        </is>
      </c>
      <c r="G555" t="n">
        <v>5</v>
      </c>
      <c r="H555" t="n">
        <v>0</v>
      </c>
      <c r="I555" t="n">
        <v>0</v>
      </c>
      <c r="J555" t="n">
        <v>0</v>
      </c>
      <c r="K555" t="n">
        <v>0</v>
      </c>
      <c r="L555" t="n">
        <v>0</v>
      </c>
      <c r="M555" t="n">
        <v>0</v>
      </c>
      <c r="N555" t="n">
        <v>0</v>
      </c>
      <c r="O555" t="n">
        <v>0</v>
      </c>
      <c r="P555" t="n">
        <v>0</v>
      </c>
      <c r="Q555" t="n">
        <v>0</v>
      </c>
      <c r="R555" s="2" t="inlineStr"/>
    </row>
    <row r="556" ht="15" customHeight="1">
      <c r="A556" t="inlineStr">
        <is>
          <t>A 21062-2019</t>
        </is>
      </c>
      <c r="B556" s="1" t="n">
        <v>43578</v>
      </c>
      <c r="C556" s="1" t="n">
        <v>45571</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21441-2019</t>
        </is>
      </c>
      <c r="B557" s="1" t="n">
        <v>43580</v>
      </c>
      <c r="C557" s="1" t="n">
        <v>45571</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21521-2019</t>
        </is>
      </c>
      <c r="B558" s="1" t="n">
        <v>43580</v>
      </c>
      <c r="C558" s="1" t="n">
        <v>45571</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21508-2019</t>
        </is>
      </c>
      <c r="B559" s="1" t="n">
        <v>43580</v>
      </c>
      <c r="C559" s="1" t="n">
        <v>45571</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21457-2019</t>
        </is>
      </c>
      <c r="B560" s="1" t="n">
        <v>43580</v>
      </c>
      <c r="C560" s="1" t="n">
        <v>45571</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21501-2019</t>
        </is>
      </c>
      <c r="B561" s="1" t="n">
        <v>43580</v>
      </c>
      <c r="C561" s="1" t="n">
        <v>45571</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21616-2019</t>
        </is>
      </c>
      <c r="B562" s="1" t="n">
        <v>43581</v>
      </c>
      <c r="C562" s="1" t="n">
        <v>45571</v>
      </c>
      <c r="D562" t="inlineStr">
        <is>
          <t>STOCKHOLMS LÄN</t>
        </is>
      </c>
      <c r="E562" t="inlineStr">
        <is>
          <t>NORRTÄLJE</t>
        </is>
      </c>
      <c r="G562" t="n">
        <v>5.3</v>
      </c>
      <c r="H562" t="n">
        <v>0</v>
      </c>
      <c r="I562" t="n">
        <v>0</v>
      </c>
      <c r="J562" t="n">
        <v>0</v>
      </c>
      <c r="K562" t="n">
        <v>0</v>
      </c>
      <c r="L562" t="n">
        <v>0</v>
      </c>
      <c r="M562" t="n">
        <v>0</v>
      </c>
      <c r="N562" t="n">
        <v>0</v>
      </c>
      <c r="O562" t="n">
        <v>0</v>
      </c>
      <c r="P562" t="n">
        <v>0</v>
      </c>
      <c r="Q562" t="n">
        <v>0</v>
      </c>
      <c r="R562" s="2" t="inlineStr"/>
    </row>
    <row r="563" ht="15" customHeight="1">
      <c r="A563" t="inlineStr">
        <is>
          <t>A 21662-2019</t>
        </is>
      </c>
      <c r="B563" s="1" t="n">
        <v>43581</v>
      </c>
      <c r="C563" s="1" t="n">
        <v>45571</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21720-2019</t>
        </is>
      </c>
      <c r="B564" s="1" t="n">
        <v>43581</v>
      </c>
      <c r="C564" s="1" t="n">
        <v>45571</v>
      </c>
      <c r="D564" t="inlineStr">
        <is>
          <t>STOCKHOLMS LÄN</t>
        </is>
      </c>
      <c r="E564" t="inlineStr">
        <is>
          <t>NORRTÄLJE</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21692-2019</t>
        </is>
      </c>
      <c r="B565" s="1" t="n">
        <v>43581</v>
      </c>
      <c r="C565" s="1" t="n">
        <v>45571</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21811-2019</t>
        </is>
      </c>
      <c r="B566" s="1" t="n">
        <v>43582</v>
      </c>
      <c r="C566" s="1" t="n">
        <v>45571</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22207-2019</t>
        </is>
      </c>
      <c r="B567" s="1" t="n">
        <v>43585</v>
      </c>
      <c r="C567" s="1" t="n">
        <v>45571</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22211-2019</t>
        </is>
      </c>
      <c r="B568" s="1" t="n">
        <v>43585</v>
      </c>
      <c r="C568" s="1" t="n">
        <v>45571</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22254-2019</t>
        </is>
      </c>
      <c r="B569" s="1" t="n">
        <v>43585</v>
      </c>
      <c r="C569" s="1" t="n">
        <v>45571</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22218-2019</t>
        </is>
      </c>
      <c r="B570" s="1" t="n">
        <v>43585</v>
      </c>
      <c r="C570" s="1" t="n">
        <v>45571</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22331-2019</t>
        </is>
      </c>
      <c r="B571" s="1" t="n">
        <v>43586</v>
      </c>
      <c r="C571" s="1" t="n">
        <v>45571</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22359-2019</t>
        </is>
      </c>
      <c r="B572" s="1" t="n">
        <v>43587</v>
      </c>
      <c r="C572" s="1" t="n">
        <v>45571</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22422-2019</t>
        </is>
      </c>
      <c r="B573" s="1" t="n">
        <v>43587</v>
      </c>
      <c r="C573" s="1" t="n">
        <v>45571</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22490-2019</t>
        </is>
      </c>
      <c r="B574" s="1" t="n">
        <v>43587</v>
      </c>
      <c r="C574" s="1" t="n">
        <v>45571</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22496-2019</t>
        </is>
      </c>
      <c r="B575" s="1" t="n">
        <v>43587</v>
      </c>
      <c r="C575" s="1" t="n">
        <v>45571</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23783-2019</t>
        </is>
      </c>
      <c r="B576" s="1" t="n">
        <v>43592</v>
      </c>
      <c r="C576" s="1" t="n">
        <v>45571</v>
      </c>
      <c r="D576" t="inlineStr">
        <is>
          <t>STOCKHOLMS LÄN</t>
        </is>
      </c>
      <c r="E576" t="inlineStr">
        <is>
          <t>NYNÄSHAMN</t>
        </is>
      </c>
      <c r="F576" t="inlineStr">
        <is>
          <t>Övriga statliga verk och myndigheter</t>
        </is>
      </c>
      <c r="G576" t="n">
        <v>7.3</v>
      </c>
      <c r="H576" t="n">
        <v>0</v>
      </c>
      <c r="I576" t="n">
        <v>0</v>
      </c>
      <c r="J576" t="n">
        <v>0</v>
      </c>
      <c r="K576" t="n">
        <v>0</v>
      </c>
      <c r="L576" t="n">
        <v>0</v>
      </c>
      <c r="M576" t="n">
        <v>0</v>
      </c>
      <c r="N576" t="n">
        <v>0</v>
      </c>
      <c r="O576" t="n">
        <v>0</v>
      </c>
      <c r="P576" t="n">
        <v>0</v>
      </c>
      <c r="Q576" t="n">
        <v>0</v>
      </c>
      <c r="R576" s="2" t="inlineStr"/>
    </row>
    <row r="577" ht="15" customHeight="1">
      <c r="A577" t="inlineStr">
        <is>
          <t>A 23444-2019</t>
        </is>
      </c>
      <c r="B577" s="1" t="n">
        <v>43592</v>
      </c>
      <c r="C577" s="1" t="n">
        <v>45571</v>
      </c>
      <c r="D577" t="inlineStr">
        <is>
          <t>STOCKHOLMS LÄN</t>
        </is>
      </c>
      <c r="E577" t="inlineStr">
        <is>
          <t>NYNÄSHAMN</t>
        </is>
      </c>
      <c r="F577" t="inlineStr">
        <is>
          <t>Övriga statliga verk och myndigheter</t>
        </is>
      </c>
      <c r="G577" t="n">
        <v>6.9</v>
      </c>
      <c r="H577" t="n">
        <v>0</v>
      </c>
      <c r="I577" t="n">
        <v>0</v>
      </c>
      <c r="J577" t="n">
        <v>0</v>
      </c>
      <c r="K577" t="n">
        <v>0</v>
      </c>
      <c r="L577" t="n">
        <v>0</v>
      </c>
      <c r="M577" t="n">
        <v>0</v>
      </c>
      <c r="N577" t="n">
        <v>0</v>
      </c>
      <c r="O577" t="n">
        <v>0</v>
      </c>
      <c r="P577" t="n">
        <v>0</v>
      </c>
      <c r="Q577" t="n">
        <v>0</v>
      </c>
      <c r="R577" s="2" t="inlineStr"/>
    </row>
    <row r="578" ht="15" customHeight="1">
      <c r="A578" t="inlineStr">
        <is>
          <t>A 23342-2019</t>
        </is>
      </c>
      <c r="B578" s="1" t="n">
        <v>43593</v>
      </c>
      <c r="C578" s="1" t="n">
        <v>45571</v>
      </c>
      <c r="D578" t="inlineStr">
        <is>
          <t>STOCKHOLMS LÄN</t>
        </is>
      </c>
      <c r="E578" t="inlineStr">
        <is>
          <t>VÄRMDÖ</t>
        </is>
      </c>
      <c r="G578" t="n">
        <v>4</v>
      </c>
      <c r="H578" t="n">
        <v>0</v>
      </c>
      <c r="I578" t="n">
        <v>0</v>
      </c>
      <c r="J578" t="n">
        <v>0</v>
      </c>
      <c r="K578" t="n">
        <v>0</v>
      </c>
      <c r="L578" t="n">
        <v>0</v>
      </c>
      <c r="M578" t="n">
        <v>0</v>
      </c>
      <c r="N578" t="n">
        <v>0</v>
      </c>
      <c r="O578" t="n">
        <v>0</v>
      </c>
      <c r="P578" t="n">
        <v>0</v>
      </c>
      <c r="Q578" t="n">
        <v>0</v>
      </c>
      <c r="R578" s="2" t="inlineStr"/>
    </row>
    <row r="579" ht="15" customHeight="1">
      <c r="A579" t="inlineStr">
        <is>
          <t>A 23711-2019</t>
        </is>
      </c>
      <c r="B579" s="1" t="n">
        <v>43594</v>
      </c>
      <c r="C579" s="1" t="n">
        <v>45571</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23710-2019</t>
        </is>
      </c>
      <c r="B580" s="1" t="n">
        <v>43594</v>
      </c>
      <c r="C580" s="1" t="n">
        <v>45571</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23862-2019</t>
        </is>
      </c>
      <c r="B581" s="1" t="n">
        <v>43595</v>
      </c>
      <c r="C581" s="1" t="n">
        <v>45571</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23878-2019</t>
        </is>
      </c>
      <c r="B582" s="1" t="n">
        <v>43595</v>
      </c>
      <c r="C582" s="1" t="n">
        <v>45571</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23961-2019</t>
        </is>
      </c>
      <c r="B583" s="1" t="n">
        <v>43597</v>
      </c>
      <c r="C583" s="1" t="n">
        <v>45571</v>
      </c>
      <c r="D583" t="inlineStr">
        <is>
          <t>STOCKHOLMS LÄN</t>
        </is>
      </c>
      <c r="E583" t="inlineStr">
        <is>
          <t>NORRTÄLJE</t>
        </is>
      </c>
      <c r="G583" t="n">
        <v>17.6</v>
      </c>
      <c r="H583" t="n">
        <v>0</v>
      </c>
      <c r="I583" t="n">
        <v>0</v>
      </c>
      <c r="J583" t="n">
        <v>0</v>
      </c>
      <c r="K583" t="n">
        <v>0</v>
      </c>
      <c r="L583" t="n">
        <v>0</v>
      </c>
      <c r="M583" t="n">
        <v>0</v>
      </c>
      <c r="N583" t="n">
        <v>0</v>
      </c>
      <c r="O583" t="n">
        <v>0</v>
      </c>
      <c r="P583" t="n">
        <v>0</v>
      </c>
      <c r="Q583" t="n">
        <v>0</v>
      </c>
      <c r="R583" s="2" t="inlineStr"/>
    </row>
    <row r="584" ht="15" customHeight="1">
      <c r="A584" t="inlineStr">
        <is>
          <t>A 23965-2019</t>
        </is>
      </c>
      <c r="B584" s="1" t="n">
        <v>43597</v>
      </c>
      <c r="C584" s="1" t="n">
        <v>45571</v>
      </c>
      <c r="D584" t="inlineStr">
        <is>
          <t>STOCKHOLMS LÄN</t>
        </is>
      </c>
      <c r="E584" t="inlineStr">
        <is>
          <t>NORRTÄLJE</t>
        </is>
      </c>
      <c r="G584" t="n">
        <v>6.1</v>
      </c>
      <c r="H584" t="n">
        <v>0</v>
      </c>
      <c r="I584" t="n">
        <v>0</v>
      </c>
      <c r="J584" t="n">
        <v>0</v>
      </c>
      <c r="K584" t="n">
        <v>0</v>
      </c>
      <c r="L584" t="n">
        <v>0</v>
      </c>
      <c r="M584" t="n">
        <v>0</v>
      </c>
      <c r="N584" t="n">
        <v>0</v>
      </c>
      <c r="O584" t="n">
        <v>0</v>
      </c>
      <c r="P584" t="n">
        <v>0</v>
      </c>
      <c r="Q584" t="n">
        <v>0</v>
      </c>
      <c r="R584" s="2" t="inlineStr"/>
    </row>
    <row r="585" ht="15" customHeight="1">
      <c r="A585" t="inlineStr">
        <is>
          <t>A 23963-2019</t>
        </is>
      </c>
      <c r="B585" s="1" t="n">
        <v>43597</v>
      </c>
      <c r="C585" s="1" t="n">
        <v>45571</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24124-2019</t>
        </is>
      </c>
      <c r="B586" s="1" t="n">
        <v>43598</v>
      </c>
      <c r="C586" s="1" t="n">
        <v>45571</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24058-2019</t>
        </is>
      </c>
      <c r="B587" s="1" t="n">
        <v>43598</v>
      </c>
      <c r="C587" s="1" t="n">
        <v>45571</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24360-2019</t>
        </is>
      </c>
      <c r="B588" s="1" t="n">
        <v>43599</v>
      </c>
      <c r="C588" s="1" t="n">
        <v>45571</v>
      </c>
      <c r="D588" t="inlineStr">
        <is>
          <t>STOCKHOLMS LÄN</t>
        </is>
      </c>
      <c r="E588" t="inlineStr">
        <is>
          <t>NYNÄSHAMN</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24562-2019</t>
        </is>
      </c>
      <c r="B589" s="1" t="n">
        <v>43600</v>
      </c>
      <c r="C589" s="1" t="n">
        <v>45571</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24657-2019</t>
        </is>
      </c>
      <c r="B590" s="1" t="n">
        <v>43601</v>
      </c>
      <c r="C590" s="1" t="n">
        <v>45571</v>
      </c>
      <c r="D590" t="inlineStr">
        <is>
          <t>STOCKHOLMS LÄN</t>
        </is>
      </c>
      <c r="E590" t="inlineStr">
        <is>
          <t>SÖDERTÄLJE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24721-2019</t>
        </is>
      </c>
      <c r="B591" s="1" t="n">
        <v>43601</v>
      </c>
      <c r="C591" s="1" t="n">
        <v>45571</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25284-2019</t>
        </is>
      </c>
      <c r="B592" s="1" t="n">
        <v>43605</v>
      </c>
      <c r="C592" s="1" t="n">
        <v>45571</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25535-2019</t>
        </is>
      </c>
      <c r="B593" s="1" t="n">
        <v>43606</v>
      </c>
      <c r="C593" s="1" t="n">
        <v>45571</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25316-2019</t>
        </is>
      </c>
      <c r="B594" s="1" t="n">
        <v>43606</v>
      </c>
      <c r="C594" s="1" t="n">
        <v>45571</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26374-2019</t>
        </is>
      </c>
      <c r="B595" s="1" t="n">
        <v>43606</v>
      </c>
      <c r="C595" s="1" t="n">
        <v>45571</v>
      </c>
      <c r="D595" t="inlineStr">
        <is>
          <t>STOCKHOLMS LÄN</t>
        </is>
      </c>
      <c r="E595" t="inlineStr">
        <is>
          <t>NORRTÄLJE</t>
        </is>
      </c>
      <c r="G595" t="n">
        <v>11.6</v>
      </c>
      <c r="H595" t="n">
        <v>0</v>
      </c>
      <c r="I595" t="n">
        <v>0</v>
      </c>
      <c r="J595" t="n">
        <v>0</v>
      </c>
      <c r="K595" t="n">
        <v>0</v>
      </c>
      <c r="L595" t="n">
        <v>0</v>
      </c>
      <c r="M595" t="n">
        <v>0</v>
      </c>
      <c r="N595" t="n">
        <v>0</v>
      </c>
      <c r="O595" t="n">
        <v>0</v>
      </c>
      <c r="P595" t="n">
        <v>0</v>
      </c>
      <c r="Q595" t="n">
        <v>0</v>
      </c>
      <c r="R595" s="2" t="inlineStr"/>
    </row>
    <row r="596" ht="15" customHeight="1">
      <c r="A596" t="inlineStr">
        <is>
          <t>A 25315-2019</t>
        </is>
      </c>
      <c r="B596" s="1" t="n">
        <v>43606</v>
      </c>
      <c r="C596" s="1" t="n">
        <v>45571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25625-2019</t>
        </is>
      </c>
      <c r="B597" s="1" t="n">
        <v>43607</v>
      </c>
      <c r="C597" s="1" t="n">
        <v>45571</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26235-2019</t>
        </is>
      </c>
      <c r="B598" s="1" t="n">
        <v>43609</v>
      </c>
      <c r="C598" s="1" t="n">
        <v>45571</v>
      </c>
      <c r="D598" t="inlineStr">
        <is>
          <t>STOCKHOLMS LÄN</t>
        </is>
      </c>
      <c r="E598" t="inlineStr">
        <is>
          <t>NYKVARN</t>
        </is>
      </c>
      <c r="G598" t="n">
        <v>0.6</v>
      </c>
      <c r="H598" t="n">
        <v>0</v>
      </c>
      <c r="I598" t="n">
        <v>0</v>
      </c>
      <c r="J598" t="n">
        <v>0</v>
      </c>
      <c r="K598" t="n">
        <v>0</v>
      </c>
      <c r="L598" t="n">
        <v>0</v>
      </c>
      <c r="M598" t="n">
        <v>0</v>
      </c>
      <c r="N598" t="n">
        <v>0</v>
      </c>
      <c r="O598" t="n">
        <v>0</v>
      </c>
      <c r="P598" t="n">
        <v>0</v>
      </c>
      <c r="Q598" t="n">
        <v>0</v>
      </c>
      <c r="R598" s="2" t="inlineStr"/>
    </row>
    <row r="599" ht="15" customHeight="1">
      <c r="A599" t="inlineStr">
        <is>
          <t>A 26272-2019</t>
        </is>
      </c>
      <c r="B599" s="1" t="n">
        <v>43611</v>
      </c>
      <c r="C599" s="1" t="n">
        <v>45571</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26620-2019</t>
        </is>
      </c>
      <c r="B600" s="1" t="n">
        <v>43612</v>
      </c>
      <c r="C600" s="1" t="n">
        <v>45571</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26566-2019</t>
        </is>
      </c>
      <c r="B601" s="1" t="n">
        <v>43612</v>
      </c>
      <c r="C601" s="1" t="n">
        <v>45571</v>
      </c>
      <c r="D601" t="inlineStr">
        <is>
          <t>STOCKHOLMS LÄN</t>
        </is>
      </c>
      <c r="E601" t="inlineStr">
        <is>
          <t>SÖDERTÄLJE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26391-2019</t>
        </is>
      </c>
      <c r="B602" s="1" t="n">
        <v>43612</v>
      </c>
      <c r="C602" s="1" t="n">
        <v>45571</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26933-2019</t>
        </is>
      </c>
      <c r="B603" s="1" t="n">
        <v>43613</v>
      </c>
      <c r="C603" s="1" t="n">
        <v>45571</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26830-2019</t>
        </is>
      </c>
      <c r="B604" s="1" t="n">
        <v>43613</v>
      </c>
      <c r="C604" s="1" t="n">
        <v>45571</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27095-2019</t>
        </is>
      </c>
      <c r="B605" s="1" t="n">
        <v>43614</v>
      </c>
      <c r="C605" s="1" t="n">
        <v>45571</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28157-2019</t>
        </is>
      </c>
      <c r="B606" s="1" t="n">
        <v>43614</v>
      </c>
      <c r="C606" s="1" t="n">
        <v>45571</v>
      </c>
      <c r="D606" t="inlineStr">
        <is>
          <t>STOCKHOLMS LÄN</t>
        </is>
      </c>
      <c r="E606" t="inlineStr">
        <is>
          <t>NORRTÄLJE</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28481-2019</t>
        </is>
      </c>
      <c r="B607" s="1" t="n">
        <v>43614</v>
      </c>
      <c r="C607" s="1" t="n">
        <v>45571</v>
      </c>
      <c r="D607" t="inlineStr">
        <is>
          <t>STOCKHOLMS LÄN</t>
        </is>
      </c>
      <c r="E607" t="inlineStr">
        <is>
          <t>UPPLANDS-BRO</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27264-2019</t>
        </is>
      </c>
      <c r="B608" s="1" t="n">
        <v>43615</v>
      </c>
      <c r="C608" s="1" t="n">
        <v>45571</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27505-2019</t>
        </is>
      </c>
      <c r="B609" s="1" t="n">
        <v>43619</v>
      </c>
      <c r="C609" s="1" t="n">
        <v>45571</v>
      </c>
      <c r="D609" t="inlineStr">
        <is>
          <t>STOCKHOLMS LÄN</t>
        </is>
      </c>
      <c r="E609" t="inlineStr">
        <is>
          <t>SÖDERTÄLJE</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27502-2019</t>
        </is>
      </c>
      <c r="B610" s="1" t="n">
        <v>43619</v>
      </c>
      <c r="C610" s="1" t="n">
        <v>45571</v>
      </c>
      <c r="D610" t="inlineStr">
        <is>
          <t>STOCKHOLMS LÄN</t>
        </is>
      </c>
      <c r="E610" t="inlineStr">
        <is>
          <t>SÖDERTÄLJE</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27611-2019</t>
        </is>
      </c>
      <c r="B611" s="1" t="n">
        <v>43619</v>
      </c>
      <c r="C611" s="1" t="n">
        <v>45571</v>
      </c>
      <c r="D611" t="inlineStr">
        <is>
          <t>STOCKHOLMS LÄN</t>
        </is>
      </c>
      <c r="E611" t="inlineStr">
        <is>
          <t>NYKVARN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27623-2019</t>
        </is>
      </c>
      <c r="B612" s="1" t="n">
        <v>43619</v>
      </c>
      <c r="C612" s="1" t="n">
        <v>45571</v>
      </c>
      <c r="D612" t="inlineStr">
        <is>
          <t>STOCKHOLMS LÄN</t>
        </is>
      </c>
      <c r="E612" t="inlineStr">
        <is>
          <t>NYKVARN</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27971-2019</t>
        </is>
      </c>
      <c r="B613" s="1" t="n">
        <v>43620</v>
      </c>
      <c r="C613" s="1" t="n">
        <v>45571</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27967-2019</t>
        </is>
      </c>
      <c r="B614" s="1" t="n">
        <v>43620</v>
      </c>
      <c r="C614" s="1" t="n">
        <v>45571</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24679-2019</t>
        </is>
      </c>
      <c r="B615" s="1" t="n">
        <v>43621</v>
      </c>
      <c r="C615" s="1" t="n">
        <v>45571</v>
      </c>
      <c r="D615" t="inlineStr">
        <is>
          <t>STOCKHOLMS LÄN</t>
        </is>
      </c>
      <c r="E615" t="inlineStr">
        <is>
          <t>VALLENTUNA</t>
        </is>
      </c>
      <c r="F615" t="inlineStr">
        <is>
          <t>Kommuner</t>
        </is>
      </c>
      <c r="G615" t="n">
        <v>31.6</v>
      </c>
      <c r="H615" t="n">
        <v>0</v>
      </c>
      <c r="I615" t="n">
        <v>0</v>
      </c>
      <c r="J615" t="n">
        <v>0</v>
      </c>
      <c r="K615" t="n">
        <v>0</v>
      </c>
      <c r="L615" t="n">
        <v>0</v>
      </c>
      <c r="M615" t="n">
        <v>0</v>
      </c>
      <c r="N615" t="n">
        <v>0</v>
      </c>
      <c r="O615" t="n">
        <v>0</v>
      </c>
      <c r="P615" t="n">
        <v>0</v>
      </c>
      <c r="Q615" t="n">
        <v>0</v>
      </c>
      <c r="R615" s="2" t="inlineStr"/>
    </row>
    <row r="616" ht="15" customHeight="1">
      <c r="A616" t="inlineStr">
        <is>
          <t>A 28121-2019</t>
        </is>
      </c>
      <c r="B616" s="1" t="n">
        <v>43621</v>
      </c>
      <c r="C616" s="1" t="n">
        <v>45571</v>
      </c>
      <c r="D616" t="inlineStr">
        <is>
          <t>STOCKHOLMS LÄN</t>
        </is>
      </c>
      <c r="E616" t="inlineStr">
        <is>
          <t>NORRTÄLJE</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28289-2019</t>
        </is>
      </c>
      <c r="B617" s="1" t="n">
        <v>43623</v>
      </c>
      <c r="C617" s="1" t="n">
        <v>45571</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28330-2019</t>
        </is>
      </c>
      <c r="B618" s="1" t="n">
        <v>43623</v>
      </c>
      <c r="C618" s="1" t="n">
        <v>45571</v>
      </c>
      <c r="D618" t="inlineStr">
        <is>
          <t>STOCKHOLMS LÄN</t>
        </is>
      </c>
      <c r="E618" t="inlineStr">
        <is>
          <t>SIGTUNA</t>
        </is>
      </c>
      <c r="G618" t="n">
        <v>6.3</v>
      </c>
      <c r="H618" t="n">
        <v>0</v>
      </c>
      <c r="I618" t="n">
        <v>0</v>
      </c>
      <c r="J618" t="n">
        <v>0</v>
      </c>
      <c r="K618" t="n">
        <v>0</v>
      </c>
      <c r="L618" t="n">
        <v>0</v>
      </c>
      <c r="M618" t="n">
        <v>0</v>
      </c>
      <c r="N618" t="n">
        <v>0</v>
      </c>
      <c r="O618" t="n">
        <v>0</v>
      </c>
      <c r="P618" t="n">
        <v>0</v>
      </c>
      <c r="Q618" t="n">
        <v>0</v>
      </c>
      <c r="R618" s="2" t="inlineStr"/>
    </row>
    <row r="619" ht="15" customHeight="1">
      <c r="A619" t="inlineStr">
        <is>
          <t>A 28519-2019</t>
        </is>
      </c>
      <c r="B619" s="1" t="n">
        <v>43626</v>
      </c>
      <c r="C619" s="1" t="n">
        <v>45571</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28495-2019</t>
        </is>
      </c>
      <c r="B620" s="1" t="n">
        <v>43626</v>
      </c>
      <c r="C620" s="1" t="n">
        <v>45571</v>
      </c>
      <c r="D620" t="inlineStr">
        <is>
          <t>STOCKHOLMS LÄN</t>
        </is>
      </c>
      <c r="E620" t="inlineStr">
        <is>
          <t>NORRTÄLJE</t>
        </is>
      </c>
      <c r="G620" t="n">
        <v>14.7</v>
      </c>
      <c r="H620" t="n">
        <v>0</v>
      </c>
      <c r="I620" t="n">
        <v>0</v>
      </c>
      <c r="J620" t="n">
        <v>0</v>
      </c>
      <c r="K620" t="n">
        <v>0</v>
      </c>
      <c r="L620" t="n">
        <v>0</v>
      </c>
      <c r="M620" t="n">
        <v>0</v>
      </c>
      <c r="N620" t="n">
        <v>0</v>
      </c>
      <c r="O620" t="n">
        <v>0</v>
      </c>
      <c r="P620" t="n">
        <v>0</v>
      </c>
      <c r="Q620" t="n">
        <v>0</v>
      </c>
      <c r="R620" s="2" t="inlineStr"/>
    </row>
    <row r="621" ht="15" customHeight="1">
      <c r="A621" t="inlineStr">
        <is>
          <t>A 28394-2019</t>
        </is>
      </c>
      <c r="B621" s="1" t="n">
        <v>43626</v>
      </c>
      <c r="C621" s="1" t="n">
        <v>45571</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28560-2019</t>
        </is>
      </c>
      <c r="B622" s="1" t="n">
        <v>43626</v>
      </c>
      <c r="C622" s="1" t="n">
        <v>45571</v>
      </c>
      <c r="D622" t="inlineStr">
        <is>
          <t>STOCKHOLMS LÄN</t>
        </is>
      </c>
      <c r="E622" t="inlineStr">
        <is>
          <t>SIGTUNA</t>
        </is>
      </c>
      <c r="G622" t="n">
        <v>1.4</v>
      </c>
      <c r="H622" t="n">
        <v>0</v>
      </c>
      <c r="I622" t="n">
        <v>0</v>
      </c>
      <c r="J622" t="n">
        <v>0</v>
      </c>
      <c r="K622" t="n">
        <v>0</v>
      </c>
      <c r="L622" t="n">
        <v>0</v>
      </c>
      <c r="M622" t="n">
        <v>0</v>
      </c>
      <c r="N622" t="n">
        <v>0</v>
      </c>
      <c r="O622" t="n">
        <v>0</v>
      </c>
      <c r="P622" t="n">
        <v>0</v>
      </c>
      <c r="Q622" t="n">
        <v>0</v>
      </c>
      <c r="R622" s="2" t="inlineStr"/>
    </row>
    <row r="623" ht="15" customHeight="1">
      <c r="A623" t="inlineStr">
        <is>
          <t>A 28384-2019</t>
        </is>
      </c>
      <c r="B623" s="1" t="n">
        <v>43626</v>
      </c>
      <c r="C623" s="1" t="n">
        <v>45571</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45571</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29953-2019</t>
        </is>
      </c>
      <c r="B625" s="1" t="n">
        <v>43629</v>
      </c>
      <c r="C625" s="1" t="n">
        <v>45571</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45571</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45571</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29973-2019</t>
        </is>
      </c>
      <c r="B628" s="1" t="n">
        <v>43633</v>
      </c>
      <c r="C628" s="1" t="n">
        <v>45571</v>
      </c>
      <c r="D628" t="inlineStr">
        <is>
          <t>STOCKHOLMS LÄN</t>
        </is>
      </c>
      <c r="E628" t="inlineStr">
        <is>
          <t>ÖSTERÅKER</t>
        </is>
      </c>
      <c r="G628" t="n">
        <v>0.4</v>
      </c>
      <c r="H628" t="n">
        <v>0</v>
      </c>
      <c r="I628" t="n">
        <v>0</v>
      </c>
      <c r="J628" t="n">
        <v>0</v>
      </c>
      <c r="K628" t="n">
        <v>0</v>
      </c>
      <c r="L628" t="n">
        <v>0</v>
      </c>
      <c r="M628" t="n">
        <v>0</v>
      </c>
      <c r="N628" t="n">
        <v>0</v>
      </c>
      <c r="O628" t="n">
        <v>0</v>
      </c>
      <c r="P628" t="n">
        <v>0</v>
      </c>
      <c r="Q628" t="n">
        <v>0</v>
      </c>
      <c r="R628" s="2" t="inlineStr"/>
    </row>
    <row r="629" ht="15" customHeight="1">
      <c r="A629" t="inlineStr">
        <is>
          <t>A 30000-2019</t>
        </is>
      </c>
      <c r="B629" s="1" t="n">
        <v>43633</v>
      </c>
      <c r="C629" s="1" t="n">
        <v>45571</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30529-2019</t>
        </is>
      </c>
      <c r="B630" s="1" t="n">
        <v>43635</v>
      </c>
      <c r="C630" s="1" t="n">
        <v>45571</v>
      </c>
      <c r="D630" t="inlineStr">
        <is>
          <t>STOCKHOLMS LÄN</t>
        </is>
      </c>
      <c r="E630" t="inlineStr">
        <is>
          <t>VÄRMDÖ</t>
        </is>
      </c>
      <c r="G630" t="n">
        <v>2.6</v>
      </c>
      <c r="H630" t="n">
        <v>0</v>
      </c>
      <c r="I630" t="n">
        <v>0</v>
      </c>
      <c r="J630" t="n">
        <v>0</v>
      </c>
      <c r="K630" t="n">
        <v>0</v>
      </c>
      <c r="L630" t="n">
        <v>0</v>
      </c>
      <c r="M630" t="n">
        <v>0</v>
      </c>
      <c r="N630" t="n">
        <v>0</v>
      </c>
      <c r="O630" t="n">
        <v>0</v>
      </c>
      <c r="P630" t="n">
        <v>0</v>
      </c>
      <c r="Q630" t="n">
        <v>0</v>
      </c>
      <c r="R630" s="2" t="inlineStr"/>
    </row>
    <row r="631" ht="15" customHeight="1">
      <c r="A631" t="inlineStr">
        <is>
          <t>A 31171-2019</t>
        </is>
      </c>
      <c r="B631" s="1" t="n">
        <v>43635</v>
      </c>
      <c r="C631" s="1" t="n">
        <v>45571</v>
      </c>
      <c r="D631" t="inlineStr">
        <is>
          <t>STOCKHOLMS LÄN</t>
        </is>
      </c>
      <c r="E631" t="inlineStr">
        <is>
          <t>EKERÖ</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30833-2019</t>
        </is>
      </c>
      <c r="B632" s="1" t="n">
        <v>43636</v>
      </c>
      <c r="C632" s="1" t="n">
        <v>45571</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31215-2019</t>
        </is>
      </c>
      <c r="B633" s="1" t="n">
        <v>43640</v>
      </c>
      <c r="C633" s="1" t="n">
        <v>45571</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31211-2019</t>
        </is>
      </c>
      <c r="B634" s="1" t="n">
        <v>43640</v>
      </c>
      <c r="C634" s="1" t="n">
        <v>45571</v>
      </c>
      <c r="D634" t="inlineStr">
        <is>
          <t>STOCKHOLMS LÄN</t>
        </is>
      </c>
      <c r="E634" t="inlineStr">
        <is>
          <t>VÄRMDÖ</t>
        </is>
      </c>
      <c r="G634" t="n">
        <v>1.3</v>
      </c>
      <c r="H634" t="n">
        <v>0</v>
      </c>
      <c r="I634" t="n">
        <v>0</v>
      </c>
      <c r="J634" t="n">
        <v>0</v>
      </c>
      <c r="K634" t="n">
        <v>0</v>
      </c>
      <c r="L634" t="n">
        <v>0</v>
      </c>
      <c r="M634" t="n">
        <v>0</v>
      </c>
      <c r="N634" t="n">
        <v>0</v>
      </c>
      <c r="O634" t="n">
        <v>0</v>
      </c>
      <c r="P634" t="n">
        <v>0</v>
      </c>
      <c r="Q634" t="n">
        <v>0</v>
      </c>
      <c r="R634" s="2" t="inlineStr"/>
    </row>
    <row r="635" ht="15" customHeight="1">
      <c r="A635" t="inlineStr">
        <is>
          <t>A 31017-2019</t>
        </is>
      </c>
      <c r="B635" s="1" t="n">
        <v>43640</v>
      </c>
      <c r="C635" s="1" t="n">
        <v>45571</v>
      </c>
      <c r="D635" t="inlineStr">
        <is>
          <t>STOCKHOLMS LÄN</t>
        </is>
      </c>
      <c r="E635" t="inlineStr">
        <is>
          <t>NORRTÄLJE</t>
        </is>
      </c>
      <c r="G635" t="n">
        <v>3.4</v>
      </c>
      <c r="H635" t="n">
        <v>0</v>
      </c>
      <c r="I635" t="n">
        <v>0</v>
      </c>
      <c r="J635" t="n">
        <v>0</v>
      </c>
      <c r="K635" t="n">
        <v>0</v>
      </c>
      <c r="L635" t="n">
        <v>0</v>
      </c>
      <c r="M635" t="n">
        <v>0</v>
      </c>
      <c r="N635" t="n">
        <v>0</v>
      </c>
      <c r="O635" t="n">
        <v>0</v>
      </c>
      <c r="P635" t="n">
        <v>0</v>
      </c>
      <c r="Q635" t="n">
        <v>0</v>
      </c>
      <c r="R635" s="2" t="inlineStr"/>
    </row>
    <row r="636" ht="15" customHeight="1">
      <c r="A636" t="inlineStr">
        <is>
          <t>A 31382-2019</t>
        </is>
      </c>
      <c r="B636" s="1" t="n">
        <v>43641</v>
      </c>
      <c r="C636" s="1" t="n">
        <v>45571</v>
      </c>
      <c r="D636" t="inlineStr">
        <is>
          <t>STOCKHOLMS LÄN</t>
        </is>
      </c>
      <c r="E636" t="inlineStr">
        <is>
          <t>NYNÄSHAMN</t>
        </is>
      </c>
      <c r="G636" t="n">
        <v>7</v>
      </c>
      <c r="H636" t="n">
        <v>0</v>
      </c>
      <c r="I636" t="n">
        <v>0</v>
      </c>
      <c r="J636" t="n">
        <v>0</v>
      </c>
      <c r="K636" t="n">
        <v>0</v>
      </c>
      <c r="L636" t="n">
        <v>0</v>
      </c>
      <c r="M636" t="n">
        <v>0</v>
      </c>
      <c r="N636" t="n">
        <v>0</v>
      </c>
      <c r="O636" t="n">
        <v>0</v>
      </c>
      <c r="P636" t="n">
        <v>0</v>
      </c>
      <c r="Q636" t="n">
        <v>0</v>
      </c>
      <c r="R636" s="2" t="inlineStr"/>
    </row>
    <row r="637" ht="15" customHeight="1">
      <c r="A637" t="inlineStr">
        <is>
          <t>A 31662-2019</t>
        </is>
      </c>
      <c r="B637" s="1" t="n">
        <v>43642</v>
      </c>
      <c r="C637" s="1" t="n">
        <v>45571</v>
      </c>
      <c r="D637" t="inlineStr">
        <is>
          <t>STOCKHOLMS LÄN</t>
        </is>
      </c>
      <c r="E637" t="inlineStr">
        <is>
          <t>SÖDERTÄLJE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31966-2019</t>
        </is>
      </c>
      <c r="B638" s="1" t="n">
        <v>43643</v>
      </c>
      <c r="C638" s="1" t="n">
        <v>45571</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31971-2019</t>
        </is>
      </c>
      <c r="B639" s="1" t="n">
        <v>43643</v>
      </c>
      <c r="C639" s="1" t="n">
        <v>45571</v>
      </c>
      <c r="D639" t="inlineStr">
        <is>
          <t>STOCKHOLMS LÄN</t>
        </is>
      </c>
      <c r="E639" t="inlineStr">
        <is>
          <t>NYNÄSHAMN</t>
        </is>
      </c>
      <c r="G639" t="n">
        <v>3.1</v>
      </c>
      <c r="H639" t="n">
        <v>0</v>
      </c>
      <c r="I639" t="n">
        <v>0</v>
      </c>
      <c r="J639" t="n">
        <v>0</v>
      </c>
      <c r="K639" t="n">
        <v>0</v>
      </c>
      <c r="L639" t="n">
        <v>0</v>
      </c>
      <c r="M639" t="n">
        <v>0</v>
      </c>
      <c r="N639" t="n">
        <v>0</v>
      </c>
      <c r="O639" t="n">
        <v>0</v>
      </c>
      <c r="P639" t="n">
        <v>0</v>
      </c>
      <c r="Q639" t="n">
        <v>0</v>
      </c>
      <c r="R639" s="2" t="inlineStr"/>
    </row>
    <row r="640" ht="15" customHeight="1">
      <c r="A640" t="inlineStr">
        <is>
          <t>A 31976-2019</t>
        </is>
      </c>
      <c r="B640" s="1" t="n">
        <v>43643</v>
      </c>
      <c r="C640" s="1" t="n">
        <v>45571</v>
      </c>
      <c r="D640" t="inlineStr">
        <is>
          <t>STOCKHOLMS LÄN</t>
        </is>
      </c>
      <c r="E640" t="inlineStr">
        <is>
          <t>NYNÄSHAMN</t>
        </is>
      </c>
      <c r="G640" t="n">
        <v>7.6</v>
      </c>
      <c r="H640" t="n">
        <v>0</v>
      </c>
      <c r="I640" t="n">
        <v>0</v>
      </c>
      <c r="J640" t="n">
        <v>0</v>
      </c>
      <c r="K640" t="n">
        <v>0</v>
      </c>
      <c r="L640" t="n">
        <v>0</v>
      </c>
      <c r="M640" t="n">
        <v>0</v>
      </c>
      <c r="N640" t="n">
        <v>0</v>
      </c>
      <c r="O640" t="n">
        <v>0</v>
      </c>
      <c r="P640" t="n">
        <v>0</v>
      </c>
      <c r="Q640" t="n">
        <v>0</v>
      </c>
      <c r="R640" s="2" t="inlineStr"/>
    </row>
    <row r="641" ht="15" customHeight="1">
      <c r="A641" t="inlineStr">
        <is>
          <t>A 33732-2019</t>
        </is>
      </c>
      <c r="B641" s="1" t="n">
        <v>43644</v>
      </c>
      <c r="C641" s="1" t="n">
        <v>45571</v>
      </c>
      <c r="D641" t="inlineStr">
        <is>
          <t>STOCKHOLMS LÄN</t>
        </is>
      </c>
      <c r="E641" t="inlineStr">
        <is>
          <t>UPPLANDS-BRO</t>
        </is>
      </c>
      <c r="G641" t="n">
        <v>0.9</v>
      </c>
      <c r="H641" t="n">
        <v>0</v>
      </c>
      <c r="I641" t="n">
        <v>0</v>
      </c>
      <c r="J641" t="n">
        <v>0</v>
      </c>
      <c r="K641" t="n">
        <v>0</v>
      </c>
      <c r="L641" t="n">
        <v>0</v>
      </c>
      <c r="M641" t="n">
        <v>0</v>
      </c>
      <c r="N641" t="n">
        <v>0</v>
      </c>
      <c r="O641" t="n">
        <v>0</v>
      </c>
      <c r="P641" t="n">
        <v>0</v>
      </c>
      <c r="Q641" t="n">
        <v>0</v>
      </c>
      <c r="R641" s="2" t="inlineStr"/>
    </row>
    <row r="642" ht="15" customHeight="1">
      <c r="A642" t="inlineStr">
        <is>
          <t>A 32725-2019</t>
        </is>
      </c>
      <c r="B642" s="1" t="n">
        <v>43647</v>
      </c>
      <c r="C642" s="1" t="n">
        <v>45571</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32726-2019</t>
        </is>
      </c>
      <c r="B643" s="1" t="n">
        <v>43647</v>
      </c>
      <c r="C643" s="1" t="n">
        <v>45571</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32813-2019</t>
        </is>
      </c>
      <c r="B644" s="1" t="n">
        <v>43648</v>
      </c>
      <c r="C644" s="1" t="n">
        <v>45571</v>
      </c>
      <c r="D644" t="inlineStr">
        <is>
          <t>STOCKHOLMS LÄN</t>
        </is>
      </c>
      <c r="E644" t="inlineStr">
        <is>
          <t>SIGTUNA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33196-2019</t>
        </is>
      </c>
      <c r="B645" s="1" t="n">
        <v>43649</v>
      </c>
      <c r="C645" s="1" t="n">
        <v>45571</v>
      </c>
      <c r="D645" t="inlineStr">
        <is>
          <t>STOCKHOLMS LÄN</t>
        </is>
      </c>
      <c r="E645" t="inlineStr">
        <is>
          <t>NYKVARN</t>
        </is>
      </c>
      <c r="G645" t="n">
        <v>0.9</v>
      </c>
      <c r="H645" t="n">
        <v>0</v>
      </c>
      <c r="I645" t="n">
        <v>0</v>
      </c>
      <c r="J645" t="n">
        <v>0</v>
      </c>
      <c r="K645" t="n">
        <v>0</v>
      </c>
      <c r="L645" t="n">
        <v>0</v>
      </c>
      <c r="M645" t="n">
        <v>0</v>
      </c>
      <c r="N645" t="n">
        <v>0</v>
      </c>
      <c r="O645" t="n">
        <v>0</v>
      </c>
      <c r="P645" t="n">
        <v>0</v>
      </c>
      <c r="Q645" t="n">
        <v>0</v>
      </c>
      <c r="R645" s="2" t="inlineStr"/>
    </row>
    <row r="646" ht="15" customHeight="1">
      <c r="A646" t="inlineStr">
        <is>
          <t>A 33207-2019</t>
        </is>
      </c>
      <c r="B646" s="1" t="n">
        <v>43649</v>
      </c>
      <c r="C646" s="1" t="n">
        <v>45571</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35301-2019</t>
        </is>
      </c>
      <c r="B647" s="1" t="n">
        <v>43651</v>
      </c>
      <c r="C647" s="1" t="n">
        <v>45571</v>
      </c>
      <c r="D647" t="inlineStr">
        <is>
          <t>STOCKHOLMS LÄN</t>
        </is>
      </c>
      <c r="E647" t="inlineStr">
        <is>
          <t>VALLENTUNA</t>
        </is>
      </c>
      <c r="G647" t="n">
        <v>4.7</v>
      </c>
      <c r="H647" t="n">
        <v>0</v>
      </c>
      <c r="I647" t="n">
        <v>0</v>
      </c>
      <c r="J647" t="n">
        <v>0</v>
      </c>
      <c r="K647" t="n">
        <v>0</v>
      </c>
      <c r="L647" t="n">
        <v>0</v>
      </c>
      <c r="M647" t="n">
        <v>0</v>
      </c>
      <c r="N647" t="n">
        <v>0</v>
      </c>
      <c r="O647" t="n">
        <v>0</v>
      </c>
      <c r="P647" t="n">
        <v>0</v>
      </c>
      <c r="Q647" t="n">
        <v>0</v>
      </c>
      <c r="R647" s="2" t="inlineStr"/>
    </row>
    <row r="648" ht="15" customHeight="1">
      <c r="A648" t="inlineStr">
        <is>
          <t>A 35303-2019</t>
        </is>
      </c>
      <c r="B648" s="1" t="n">
        <v>43651</v>
      </c>
      <c r="C648" s="1" t="n">
        <v>45571</v>
      </c>
      <c r="D648" t="inlineStr">
        <is>
          <t>STOCKHOLMS LÄN</t>
        </is>
      </c>
      <c r="E648" t="inlineStr">
        <is>
          <t>VALLENTUNA</t>
        </is>
      </c>
      <c r="G648" t="n">
        <v>7</v>
      </c>
      <c r="H648" t="n">
        <v>0</v>
      </c>
      <c r="I648" t="n">
        <v>0</v>
      </c>
      <c r="J648" t="n">
        <v>0</v>
      </c>
      <c r="K648" t="n">
        <v>0</v>
      </c>
      <c r="L648" t="n">
        <v>0</v>
      </c>
      <c r="M648" t="n">
        <v>0</v>
      </c>
      <c r="N648" t="n">
        <v>0</v>
      </c>
      <c r="O648" t="n">
        <v>0</v>
      </c>
      <c r="P648" t="n">
        <v>0</v>
      </c>
      <c r="Q648" t="n">
        <v>0</v>
      </c>
      <c r="R648" s="2" t="inlineStr"/>
    </row>
    <row r="649" ht="15" customHeight="1">
      <c r="A649" t="inlineStr">
        <is>
          <t>A 33955-2019</t>
        </is>
      </c>
      <c r="B649" s="1" t="n">
        <v>43654</v>
      </c>
      <c r="C649" s="1" t="n">
        <v>45571</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33966-2019</t>
        </is>
      </c>
      <c r="B650" s="1" t="n">
        <v>43654</v>
      </c>
      <c r="C650" s="1" t="n">
        <v>45571</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35247-2019</t>
        </is>
      </c>
      <c r="B651" s="1" t="n">
        <v>43656</v>
      </c>
      <c r="C651" s="1" t="n">
        <v>45571</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35244-2019</t>
        </is>
      </c>
      <c r="B652" s="1" t="n">
        <v>43656</v>
      </c>
      <c r="C652" s="1" t="n">
        <v>45571</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35249-2019</t>
        </is>
      </c>
      <c r="B653" s="1" t="n">
        <v>43656</v>
      </c>
      <c r="C653" s="1" t="n">
        <v>45571</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35251-2019</t>
        </is>
      </c>
      <c r="B654" s="1" t="n">
        <v>43656</v>
      </c>
      <c r="C654" s="1" t="n">
        <v>45571</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34656-2019</t>
        </is>
      </c>
      <c r="B655" s="1" t="n">
        <v>43657</v>
      </c>
      <c r="C655" s="1" t="n">
        <v>45571</v>
      </c>
      <c r="D655" t="inlineStr">
        <is>
          <t>STOCKHOLMS LÄN</t>
        </is>
      </c>
      <c r="E655" t="inlineStr">
        <is>
          <t>HANINGE</t>
        </is>
      </c>
      <c r="F655" t="inlineStr">
        <is>
          <t>Kommuner</t>
        </is>
      </c>
      <c r="G655" t="n">
        <v>5</v>
      </c>
      <c r="H655" t="n">
        <v>0</v>
      </c>
      <c r="I655" t="n">
        <v>0</v>
      </c>
      <c r="J655" t="n">
        <v>0</v>
      </c>
      <c r="K655" t="n">
        <v>0</v>
      </c>
      <c r="L655" t="n">
        <v>0</v>
      </c>
      <c r="M655" t="n">
        <v>0</v>
      </c>
      <c r="N655" t="n">
        <v>0</v>
      </c>
      <c r="O655" t="n">
        <v>0</v>
      </c>
      <c r="P655" t="n">
        <v>0</v>
      </c>
      <c r="Q655" t="n">
        <v>0</v>
      </c>
      <c r="R655" s="2" t="inlineStr"/>
    </row>
    <row r="656" ht="15" customHeight="1">
      <c r="A656" t="inlineStr">
        <is>
          <t>A 34756-2019</t>
        </is>
      </c>
      <c r="B656" s="1" t="n">
        <v>43658</v>
      </c>
      <c r="C656" s="1" t="n">
        <v>45571</v>
      </c>
      <c r="D656" t="inlineStr">
        <is>
          <t>STOCKHOLMS LÄN</t>
        </is>
      </c>
      <c r="E656" t="inlineStr">
        <is>
          <t>NYKVARN</t>
        </is>
      </c>
      <c r="G656" t="n">
        <v>11.5</v>
      </c>
      <c r="H656" t="n">
        <v>0</v>
      </c>
      <c r="I656" t="n">
        <v>0</v>
      </c>
      <c r="J656" t="n">
        <v>0</v>
      </c>
      <c r="K656" t="n">
        <v>0</v>
      </c>
      <c r="L656" t="n">
        <v>0</v>
      </c>
      <c r="M656" t="n">
        <v>0</v>
      </c>
      <c r="N656" t="n">
        <v>0</v>
      </c>
      <c r="O656" t="n">
        <v>0</v>
      </c>
      <c r="P656" t="n">
        <v>0</v>
      </c>
      <c r="Q656" t="n">
        <v>0</v>
      </c>
      <c r="R656" s="2" t="inlineStr"/>
    </row>
    <row r="657" ht="15" customHeight="1">
      <c r="A657" t="inlineStr">
        <is>
          <t>A 35187-2019</t>
        </is>
      </c>
      <c r="B657" s="1" t="n">
        <v>43661</v>
      </c>
      <c r="C657" s="1" t="n">
        <v>45571</v>
      </c>
      <c r="D657" t="inlineStr">
        <is>
          <t>STOCKHOLMS LÄN</t>
        </is>
      </c>
      <c r="E657" t="inlineStr">
        <is>
          <t>UPPLANDS-BRO</t>
        </is>
      </c>
      <c r="F657" t="inlineStr">
        <is>
          <t>Allmännings- och besparingsskogar</t>
        </is>
      </c>
      <c r="G657" t="n">
        <v>0.7</v>
      </c>
      <c r="H657" t="n">
        <v>0</v>
      </c>
      <c r="I657" t="n">
        <v>0</v>
      </c>
      <c r="J657" t="n">
        <v>0</v>
      </c>
      <c r="K657" t="n">
        <v>0</v>
      </c>
      <c r="L657" t="n">
        <v>0</v>
      </c>
      <c r="M657" t="n">
        <v>0</v>
      </c>
      <c r="N657" t="n">
        <v>0</v>
      </c>
      <c r="O657" t="n">
        <v>0</v>
      </c>
      <c r="P657" t="n">
        <v>0</v>
      </c>
      <c r="Q657" t="n">
        <v>0</v>
      </c>
      <c r="R657" s="2" t="inlineStr"/>
    </row>
    <row r="658" ht="15" customHeight="1">
      <c r="A658" t="inlineStr">
        <is>
          <t>A 35492-2019</t>
        </is>
      </c>
      <c r="B658" s="1" t="n">
        <v>43663</v>
      </c>
      <c r="C658" s="1" t="n">
        <v>45571</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35770-2019</t>
        </is>
      </c>
      <c r="B659" s="1" t="n">
        <v>43665</v>
      </c>
      <c r="C659" s="1" t="n">
        <v>45571</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35766-2019</t>
        </is>
      </c>
      <c r="B660" s="1" t="n">
        <v>43665</v>
      </c>
      <c r="C660" s="1" t="n">
        <v>45571</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36135-2019</t>
        </is>
      </c>
      <c r="B661" s="1" t="n">
        <v>43668</v>
      </c>
      <c r="C661" s="1" t="n">
        <v>45571</v>
      </c>
      <c r="D661" t="inlineStr">
        <is>
          <t>STOCKHOLMS LÄN</t>
        </is>
      </c>
      <c r="E661" t="inlineStr">
        <is>
          <t>NYNÄSHAMN</t>
        </is>
      </c>
      <c r="G661" t="n">
        <v>4.8</v>
      </c>
      <c r="H661" t="n">
        <v>0</v>
      </c>
      <c r="I661" t="n">
        <v>0</v>
      </c>
      <c r="J661" t="n">
        <v>0</v>
      </c>
      <c r="K661" t="n">
        <v>0</v>
      </c>
      <c r="L661" t="n">
        <v>0</v>
      </c>
      <c r="M661" t="n">
        <v>0</v>
      </c>
      <c r="N661" t="n">
        <v>0</v>
      </c>
      <c r="O661" t="n">
        <v>0</v>
      </c>
      <c r="P661" t="n">
        <v>0</v>
      </c>
      <c r="Q661" t="n">
        <v>0</v>
      </c>
      <c r="R661" s="2" t="inlineStr"/>
    </row>
    <row r="662" ht="15" customHeight="1">
      <c r="A662" t="inlineStr">
        <is>
          <t>A 36418-2019</t>
        </is>
      </c>
      <c r="B662" s="1" t="n">
        <v>43670</v>
      </c>
      <c r="C662" s="1" t="n">
        <v>45571</v>
      </c>
      <c r="D662" t="inlineStr">
        <is>
          <t>STOCKHOLMS LÄN</t>
        </is>
      </c>
      <c r="E662" t="inlineStr">
        <is>
          <t>NORRTÄLJE</t>
        </is>
      </c>
      <c r="G662" t="n">
        <v>16.8</v>
      </c>
      <c r="H662" t="n">
        <v>0</v>
      </c>
      <c r="I662" t="n">
        <v>0</v>
      </c>
      <c r="J662" t="n">
        <v>0</v>
      </c>
      <c r="K662" t="n">
        <v>0</v>
      </c>
      <c r="L662" t="n">
        <v>0</v>
      </c>
      <c r="M662" t="n">
        <v>0</v>
      </c>
      <c r="N662" t="n">
        <v>0</v>
      </c>
      <c r="O662" t="n">
        <v>0</v>
      </c>
      <c r="P662" t="n">
        <v>0</v>
      </c>
      <c r="Q662" t="n">
        <v>0</v>
      </c>
      <c r="R662" s="2" t="inlineStr"/>
    </row>
    <row r="663" ht="15" customHeight="1">
      <c r="A663" t="inlineStr">
        <is>
          <t>A 36722-2019</t>
        </is>
      </c>
      <c r="B663" s="1" t="n">
        <v>43671</v>
      </c>
      <c r="C663" s="1" t="n">
        <v>45571</v>
      </c>
      <c r="D663" t="inlineStr">
        <is>
          <t>STOCKHOLMS LÄN</t>
        </is>
      </c>
      <c r="E663" t="inlineStr">
        <is>
          <t>UPPLANDS-BRO</t>
        </is>
      </c>
      <c r="G663" t="n">
        <v>1.6</v>
      </c>
      <c r="H663" t="n">
        <v>0</v>
      </c>
      <c r="I663" t="n">
        <v>0</v>
      </c>
      <c r="J663" t="n">
        <v>0</v>
      </c>
      <c r="K663" t="n">
        <v>0</v>
      </c>
      <c r="L663" t="n">
        <v>0</v>
      </c>
      <c r="M663" t="n">
        <v>0</v>
      </c>
      <c r="N663" t="n">
        <v>0</v>
      </c>
      <c r="O663" t="n">
        <v>0</v>
      </c>
      <c r="P663" t="n">
        <v>0</v>
      </c>
      <c r="Q663" t="n">
        <v>0</v>
      </c>
      <c r="R663" s="2" t="inlineStr"/>
    </row>
    <row r="664" ht="15" customHeight="1">
      <c r="A664" t="inlineStr">
        <is>
          <t>A 36725-2019</t>
        </is>
      </c>
      <c r="B664" s="1" t="n">
        <v>43671</v>
      </c>
      <c r="C664" s="1" t="n">
        <v>45571</v>
      </c>
      <c r="D664" t="inlineStr">
        <is>
          <t>STOCKHOLMS LÄN</t>
        </is>
      </c>
      <c r="E664" t="inlineStr">
        <is>
          <t>UPPLANDS-BRO</t>
        </is>
      </c>
      <c r="G664" t="n">
        <v>2.7</v>
      </c>
      <c r="H664" t="n">
        <v>0</v>
      </c>
      <c r="I664" t="n">
        <v>0</v>
      </c>
      <c r="J664" t="n">
        <v>0</v>
      </c>
      <c r="K664" t="n">
        <v>0</v>
      </c>
      <c r="L664" t="n">
        <v>0</v>
      </c>
      <c r="M664" t="n">
        <v>0</v>
      </c>
      <c r="N664" t="n">
        <v>0</v>
      </c>
      <c r="O664" t="n">
        <v>0</v>
      </c>
      <c r="P664" t="n">
        <v>0</v>
      </c>
      <c r="Q664" t="n">
        <v>0</v>
      </c>
      <c r="R664" s="2" t="inlineStr"/>
    </row>
    <row r="665" ht="15" customHeight="1">
      <c r="A665" t="inlineStr">
        <is>
          <t>A 36728-2019</t>
        </is>
      </c>
      <c r="B665" s="1" t="n">
        <v>43671</v>
      </c>
      <c r="C665" s="1" t="n">
        <v>45571</v>
      </c>
      <c r="D665" t="inlineStr">
        <is>
          <t>STOCKHOLMS LÄN</t>
        </is>
      </c>
      <c r="E665" t="inlineStr">
        <is>
          <t>UPPLANDS-BRO</t>
        </is>
      </c>
      <c r="G665" t="n">
        <v>1.6</v>
      </c>
      <c r="H665" t="n">
        <v>0</v>
      </c>
      <c r="I665" t="n">
        <v>0</v>
      </c>
      <c r="J665" t="n">
        <v>0</v>
      </c>
      <c r="K665" t="n">
        <v>0</v>
      </c>
      <c r="L665" t="n">
        <v>0</v>
      </c>
      <c r="M665" t="n">
        <v>0</v>
      </c>
      <c r="N665" t="n">
        <v>0</v>
      </c>
      <c r="O665" t="n">
        <v>0</v>
      </c>
      <c r="P665" t="n">
        <v>0</v>
      </c>
      <c r="Q665" t="n">
        <v>0</v>
      </c>
      <c r="R665" s="2" t="inlineStr"/>
    </row>
    <row r="666" ht="15" customHeight="1">
      <c r="A666" t="inlineStr">
        <is>
          <t>A 36882-2019</t>
        </is>
      </c>
      <c r="B666" s="1" t="n">
        <v>43675</v>
      </c>
      <c r="C666" s="1" t="n">
        <v>45571</v>
      </c>
      <c r="D666" t="inlineStr">
        <is>
          <t>STOCKHOLMS LÄN</t>
        </is>
      </c>
      <c r="E666" t="inlineStr">
        <is>
          <t>SÖDERTÄLJE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37227-2019</t>
        </is>
      </c>
      <c r="B667" s="1" t="n">
        <v>43677</v>
      </c>
      <c r="C667" s="1" t="n">
        <v>45571</v>
      </c>
      <c r="D667" t="inlineStr">
        <is>
          <t>STOCKHOLMS LÄN</t>
        </is>
      </c>
      <c r="E667" t="inlineStr">
        <is>
          <t>SÖDERTÄLJE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37561-2019</t>
        </is>
      </c>
      <c r="B668" s="1" t="n">
        <v>43678</v>
      </c>
      <c r="C668" s="1" t="n">
        <v>45571</v>
      </c>
      <c r="D668" t="inlineStr">
        <is>
          <t>STOCKHOLMS LÄN</t>
        </is>
      </c>
      <c r="E668" t="inlineStr">
        <is>
          <t>VALLENTUNA</t>
        </is>
      </c>
      <c r="G668" t="n">
        <v>4</v>
      </c>
      <c r="H668" t="n">
        <v>0</v>
      </c>
      <c r="I668" t="n">
        <v>0</v>
      </c>
      <c r="J668" t="n">
        <v>0</v>
      </c>
      <c r="K668" t="n">
        <v>0</v>
      </c>
      <c r="L668" t="n">
        <v>0</v>
      </c>
      <c r="M668" t="n">
        <v>0</v>
      </c>
      <c r="N668" t="n">
        <v>0</v>
      </c>
      <c r="O668" t="n">
        <v>0</v>
      </c>
      <c r="P668" t="n">
        <v>0</v>
      </c>
      <c r="Q668" t="n">
        <v>0</v>
      </c>
      <c r="R668" s="2" t="inlineStr"/>
    </row>
    <row r="669" ht="15" customHeight="1">
      <c r="A669" t="inlineStr">
        <is>
          <t>A 37401-2019</t>
        </is>
      </c>
      <c r="B669" s="1" t="n">
        <v>43678</v>
      </c>
      <c r="C669" s="1" t="n">
        <v>45571</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37365-2019</t>
        </is>
      </c>
      <c r="B670" s="1" t="n">
        <v>43678</v>
      </c>
      <c r="C670" s="1" t="n">
        <v>45571</v>
      </c>
      <c r="D670" t="inlineStr">
        <is>
          <t>STOCKHOLMS LÄN</t>
        </is>
      </c>
      <c r="E670" t="inlineStr">
        <is>
          <t>UPPLANDS VÄSBY</t>
        </is>
      </c>
      <c r="G670" t="n">
        <v>1.3</v>
      </c>
      <c r="H670" t="n">
        <v>0</v>
      </c>
      <c r="I670" t="n">
        <v>0</v>
      </c>
      <c r="J670" t="n">
        <v>0</v>
      </c>
      <c r="K670" t="n">
        <v>0</v>
      </c>
      <c r="L670" t="n">
        <v>0</v>
      </c>
      <c r="M670" t="n">
        <v>0</v>
      </c>
      <c r="N670" t="n">
        <v>0</v>
      </c>
      <c r="O670" t="n">
        <v>0</v>
      </c>
      <c r="P670" t="n">
        <v>0</v>
      </c>
      <c r="Q670" t="n">
        <v>0</v>
      </c>
      <c r="R670" s="2" t="inlineStr"/>
    </row>
    <row r="671" ht="15" customHeight="1">
      <c r="A671" t="inlineStr">
        <is>
          <t>A 37662-2019</t>
        </is>
      </c>
      <c r="B671" s="1" t="n">
        <v>43682</v>
      </c>
      <c r="C671" s="1" t="n">
        <v>45571</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38144-2019</t>
        </is>
      </c>
      <c r="B672" s="1" t="n">
        <v>43684</v>
      </c>
      <c r="C672" s="1" t="n">
        <v>45571</v>
      </c>
      <c r="D672" t="inlineStr">
        <is>
          <t>STOCKHOLMS LÄN</t>
        </is>
      </c>
      <c r="E672" t="inlineStr">
        <is>
          <t>NORRTÄLJE</t>
        </is>
      </c>
      <c r="G672" t="n">
        <v>3.6</v>
      </c>
      <c r="H672" t="n">
        <v>0</v>
      </c>
      <c r="I672" t="n">
        <v>0</v>
      </c>
      <c r="J672" t="n">
        <v>0</v>
      </c>
      <c r="K672" t="n">
        <v>0</v>
      </c>
      <c r="L672" t="n">
        <v>0</v>
      </c>
      <c r="M672" t="n">
        <v>0</v>
      </c>
      <c r="N672" t="n">
        <v>0</v>
      </c>
      <c r="O672" t="n">
        <v>0</v>
      </c>
      <c r="P672" t="n">
        <v>0</v>
      </c>
      <c r="Q672" t="n">
        <v>0</v>
      </c>
      <c r="R672" s="2" t="inlineStr"/>
    </row>
    <row r="673" ht="15" customHeight="1">
      <c r="A673" t="inlineStr">
        <is>
          <t>A 38139-2019</t>
        </is>
      </c>
      <c r="B673" s="1" t="n">
        <v>43684</v>
      </c>
      <c r="C673" s="1" t="n">
        <v>45571</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38145-2019</t>
        </is>
      </c>
      <c r="B674" s="1" t="n">
        <v>43684</v>
      </c>
      <c r="C674" s="1" t="n">
        <v>45571</v>
      </c>
      <c r="D674" t="inlineStr">
        <is>
          <t>STOCKHOLMS LÄN</t>
        </is>
      </c>
      <c r="E674" t="inlineStr">
        <is>
          <t>NORRTÄLJE</t>
        </is>
      </c>
      <c r="G674" t="n">
        <v>9.9</v>
      </c>
      <c r="H674" t="n">
        <v>0</v>
      </c>
      <c r="I674" t="n">
        <v>0</v>
      </c>
      <c r="J674" t="n">
        <v>0</v>
      </c>
      <c r="K674" t="n">
        <v>0</v>
      </c>
      <c r="L674" t="n">
        <v>0</v>
      </c>
      <c r="M674" t="n">
        <v>0</v>
      </c>
      <c r="N674" t="n">
        <v>0</v>
      </c>
      <c r="O674" t="n">
        <v>0</v>
      </c>
      <c r="P674" t="n">
        <v>0</v>
      </c>
      <c r="Q674" t="n">
        <v>0</v>
      </c>
      <c r="R674" s="2" t="inlineStr"/>
    </row>
    <row r="675" ht="15" customHeight="1">
      <c r="A675" t="inlineStr">
        <is>
          <t>A 38216-2019</t>
        </is>
      </c>
      <c r="B675" s="1" t="n">
        <v>43684</v>
      </c>
      <c r="C675" s="1" t="n">
        <v>45571</v>
      </c>
      <c r="D675" t="inlineStr">
        <is>
          <t>STOCKHOLMS LÄN</t>
        </is>
      </c>
      <c r="E675" t="inlineStr">
        <is>
          <t>NYKVARN</t>
        </is>
      </c>
      <c r="G675" t="n">
        <v>2.7</v>
      </c>
      <c r="H675" t="n">
        <v>0</v>
      </c>
      <c r="I675" t="n">
        <v>0</v>
      </c>
      <c r="J675" t="n">
        <v>0</v>
      </c>
      <c r="K675" t="n">
        <v>0</v>
      </c>
      <c r="L675" t="n">
        <v>0</v>
      </c>
      <c r="M675" t="n">
        <v>0</v>
      </c>
      <c r="N675" t="n">
        <v>0</v>
      </c>
      <c r="O675" t="n">
        <v>0</v>
      </c>
      <c r="P675" t="n">
        <v>0</v>
      </c>
      <c r="Q675" t="n">
        <v>0</v>
      </c>
      <c r="R675" s="2" t="inlineStr"/>
    </row>
    <row r="676" ht="15" customHeight="1">
      <c r="A676" t="inlineStr">
        <is>
          <t>A 38140-2019</t>
        </is>
      </c>
      <c r="B676" s="1" t="n">
        <v>43684</v>
      </c>
      <c r="C676" s="1" t="n">
        <v>45571</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38143-2019</t>
        </is>
      </c>
      <c r="B677" s="1" t="n">
        <v>43684</v>
      </c>
      <c r="C677" s="1" t="n">
        <v>45571</v>
      </c>
      <c r="D677" t="inlineStr">
        <is>
          <t>STOCKHOLMS LÄN</t>
        </is>
      </c>
      <c r="E677" t="inlineStr">
        <is>
          <t>NORRTÄLJE</t>
        </is>
      </c>
      <c r="G677" t="n">
        <v>12.7</v>
      </c>
      <c r="H677" t="n">
        <v>0</v>
      </c>
      <c r="I677" t="n">
        <v>0</v>
      </c>
      <c r="J677" t="n">
        <v>0</v>
      </c>
      <c r="K677" t="n">
        <v>0</v>
      </c>
      <c r="L677" t="n">
        <v>0</v>
      </c>
      <c r="M677" t="n">
        <v>0</v>
      </c>
      <c r="N677" t="n">
        <v>0</v>
      </c>
      <c r="O677" t="n">
        <v>0</v>
      </c>
      <c r="P677" t="n">
        <v>0</v>
      </c>
      <c r="Q677" t="n">
        <v>0</v>
      </c>
      <c r="R677" s="2" t="inlineStr"/>
    </row>
    <row r="678" ht="15" customHeight="1">
      <c r="A678" t="inlineStr">
        <is>
          <t>A 38506-2019</t>
        </is>
      </c>
      <c r="B678" s="1" t="n">
        <v>43685</v>
      </c>
      <c r="C678" s="1" t="n">
        <v>45571</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38605-2019</t>
        </is>
      </c>
      <c r="B679" s="1" t="n">
        <v>43686</v>
      </c>
      <c r="C679" s="1" t="n">
        <v>45571</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38737-2019</t>
        </is>
      </c>
      <c r="B680" s="1" t="n">
        <v>43686</v>
      </c>
      <c r="C680" s="1" t="n">
        <v>45571</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39090-2019</t>
        </is>
      </c>
      <c r="B681" s="1" t="n">
        <v>43689</v>
      </c>
      <c r="C681" s="1" t="n">
        <v>45571</v>
      </c>
      <c r="D681" t="inlineStr">
        <is>
          <t>STOCKHOLMS LÄN</t>
        </is>
      </c>
      <c r="E681" t="inlineStr">
        <is>
          <t>SÖDERTÄLJE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39083-2019</t>
        </is>
      </c>
      <c r="B682" s="1" t="n">
        <v>43689</v>
      </c>
      <c r="C682" s="1" t="n">
        <v>45571</v>
      </c>
      <c r="D682" t="inlineStr">
        <is>
          <t>STOCKHOLMS LÄN</t>
        </is>
      </c>
      <c r="E682" t="inlineStr">
        <is>
          <t>SÖDERTÄLJE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39472-2019</t>
        </is>
      </c>
      <c r="B683" s="1" t="n">
        <v>43691</v>
      </c>
      <c r="C683" s="1" t="n">
        <v>45571</v>
      </c>
      <c r="D683" t="inlineStr">
        <is>
          <t>STOCKHOLMS LÄN</t>
        </is>
      </c>
      <c r="E683" t="inlineStr">
        <is>
          <t>UPPLANDS-BRO</t>
        </is>
      </c>
      <c r="G683" t="n">
        <v>0.9</v>
      </c>
      <c r="H683" t="n">
        <v>0</v>
      </c>
      <c r="I683" t="n">
        <v>0</v>
      </c>
      <c r="J683" t="n">
        <v>0</v>
      </c>
      <c r="K683" t="n">
        <v>0</v>
      </c>
      <c r="L683" t="n">
        <v>0</v>
      </c>
      <c r="M683" t="n">
        <v>0</v>
      </c>
      <c r="N683" t="n">
        <v>0</v>
      </c>
      <c r="O683" t="n">
        <v>0</v>
      </c>
      <c r="P683" t="n">
        <v>0</v>
      </c>
      <c r="Q683" t="n">
        <v>0</v>
      </c>
      <c r="R683" s="2" t="inlineStr"/>
    </row>
    <row r="684" ht="15" customHeight="1">
      <c r="A684" t="inlineStr">
        <is>
          <t>A 39663-2019</t>
        </is>
      </c>
      <c r="B684" s="1" t="n">
        <v>43691</v>
      </c>
      <c r="C684" s="1" t="n">
        <v>45571</v>
      </c>
      <c r="D684" t="inlineStr">
        <is>
          <t>STOCKHOLMS LÄN</t>
        </is>
      </c>
      <c r="E684" t="inlineStr">
        <is>
          <t>NYNÄSHAMN</t>
        </is>
      </c>
      <c r="F684" t="inlineStr">
        <is>
          <t>Övriga statliga verk och myndigheter</t>
        </is>
      </c>
      <c r="G684" t="n">
        <v>1.4</v>
      </c>
      <c r="H684" t="n">
        <v>0</v>
      </c>
      <c r="I684" t="n">
        <v>0</v>
      </c>
      <c r="J684" t="n">
        <v>0</v>
      </c>
      <c r="K684" t="n">
        <v>0</v>
      </c>
      <c r="L684" t="n">
        <v>0</v>
      </c>
      <c r="M684" t="n">
        <v>0</v>
      </c>
      <c r="N684" t="n">
        <v>0</v>
      </c>
      <c r="O684" t="n">
        <v>0</v>
      </c>
      <c r="P684" t="n">
        <v>0</v>
      </c>
      <c r="Q684" t="n">
        <v>0</v>
      </c>
      <c r="R684" s="2" t="inlineStr"/>
    </row>
    <row r="685" ht="15" customHeight="1">
      <c r="A685" t="inlineStr">
        <is>
          <t>A 40571-2019</t>
        </is>
      </c>
      <c r="B685" s="1" t="n">
        <v>43696</v>
      </c>
      <c r="C685" s="1" t="n">
        <v>45571</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40642-2019</t>
        </is>
      </c>
      <c r="B686" s="1" t="n">
        <v>43696</v>
      </c>
      <c r="C686" s="1" t="n">
        <v>45571</v>
      </c>
      <c r="D686" t="inlineStr">
        <is>
          <t>STOCKHOLMS LÄN</t>
        </is>
      </c>
      <c r="E686" t="inlineStr">
        <is>
          <t>BOTKYRKA</t>
        </is>
      </c>
      <c r="G686" t="n">
        <v>4.1</v>
      </c>
      <c r="H686" t="n">
        <v>0</v>
      </c>
      <c r="I686" t="n">
        <v>0</v>
      </c>
      <c r="J686" t="n">
        <v>0</v>
      </c>
      <c r="K686" t="n">
        <v>0</v>
      </c>
      <c r="L686" t="n">
        <v>0</v>
      </c>
      <c r="M686" t="n">
        <v>0</v>
      </c>
      <c r="N686" t="n">
        <v>0</v>
      </c>
      <c r="O686" t="n">
        <v>0</v>
      </c>
      <c r="P686" t="n">
        <v>0</v>
      </c>
      <c r="Q686" t="n">
        <v>0</v>
      </c>
      <c r="R686" s="2" t="inlineStr"/>
    </row>
    <row r="687" ht="15" customHeight="1">
      <c r="A687" t="inlineStr">
        <is>
          <t>A 40641-2019</t>
        </is>
      </c>
      <c r="B687" s="1" t="n">
        <v>43696</v>
      </c>
      <c r="C687" s="1" t="n">
        <v>45571</v>
      </c>
      <c r="D687" t="inlineStr">
        <is>
          <t>STOCKHOLMS LÄN</t>
        </is>
      </c>
      <c r="E687" t="inlineStr">
        <is>
          <t>BOTKYRKA</t>
        </is>
      </c>
      <c r="G687" t="n">
        <v>5.3</v>
      </c>
      <c r="H687" t="n">
        <v>0</v>
      </c>
      <c r="I687" t="n">
        <v>0</v>
      </c>
      <c r="J687" t="n">
        <v>0</v>
      </c>
      <c r="K687" t="n">
        <v>0</v>
      </c>
      <c r="L687" t="n">
        <v>0</v>
      </c>
      <c r="M687" t="n">
        <v>0</v>
      </c>
      <c r="N687" t="n">
        <v>0</v>
      </c>
      <c r="O687" t="n">
        <v>0</v>
      </c>
      <c r="P687" t="n">
        <v>0</v>
      </c>
      <c r="Q687" t="n">
        <v>0</v>
      </c>
      <c r="R687" s="2" t="inlineStr"/>
    </row>
    <row r="688" ht="15" customHeight="1">
      <c r="A688" t="inlineStr">
        <is>
          <t>A 41065-2019</t>
        </is>
      </c>
      <c r="B688" s="1" t="n">
        <v>43697</v>
      </c>
      <c r="C688" s="1" t="n">
        <v>45571</v>
      </c>
      <c r="D688" t="inlineStr">
        <is>
          <t>STOCKHOLMS LÄN</t>
        </is>
      </c>
      <c r="E688" t="inlineStr">
        <is>
          <t>SÖDERTÄLJE</t>
        </is>
      </c>
      <c r="F688" t="inlineStr">
        <is>
          <t>Övriga statliga verk och myndigheter</t>
        </is>
      </c>
      <c r="G688" t="n">
        <v>1</v>
      </c>
      <c r="H688" t="n">
        <v>0</v>
      </c>
      <c r="I688" t="n">
        <v>0</v>
      </c>
      <c r="J688" t="n">
        <v>0</v>
      </c>
      <c r="K688" t="n">
        <v>0</v>
      </c>
      <c r="L688" t="n">
        <v>0</v>
      </c>
      <c r="M688" t="n">
        <v>0</v>
      </c>
      <c r="N688" t="n">
        <v>0</v>
      </c>
      <c r="O688" t="n">
        <v>0</v>
      </c>
      <c r="P688" t="n">
        <v>0</v>
      </c>
      <c r="Q688" t="n">
        <v>0</v>
      </c>
      <c r="R688" s="2" t="inlineStr"/>
    </row>
    <row r="689" ht="15" customHeight="1">
      <c r="A689" t="inlineStr">
        <is>
          <t>A 42330-2019</t>
        </is>
      </c>
      <c r="B689" s="1" t="n">
        <v>43703</v>
      </c>
      <c r="C689" s="1" t="n">
        <v>45571</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43379-2019</t>
        </is>
      </c>
      <c r="B690" s="1" t="n">
        <v>43703</v>
      </c>
      <c r="C690" s="1" t="n">
        <v>45571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42448-2019</t>
        </is>
      </c>
      <c r="B691" s="1" t="n">
        <v>43704</v>
      </c>
      <c r="C691" s="1" t="n">
        <v>45571</v>
      </c>
      <c r="D691" t="inlineStr">
        <is>
          <t>STOCKHOLMS LÄN</t>
        </is>
      </c>
      <c r="E691" t="inlineStr">
        <is>
          <t>BOTKYRKA</t>
        </is>
      </c>
      <c r="G691" t="n">
        <v>3.4</v>
      </c>
      <c r="H691" t="n">
        <v>0</v>
      </c>
      <c r="I691" t="n">
        <v>0</v>
      </c>
      <c r="J691" t="n">
        <v>0</v>
      </c>
      <c r="K691" t="n">
        <v>0</v>
      </c>
      <c r="L691" t="n">
        <v>0</v>
      </c>
      <c r="M691" t="n">
        <v>0</v>
      </c>
      <c r="N691" t="n">
        <v>0</v>
      </c>
      <c r="O691" t="n">
        <v>0</v>
      </c>
      <c r="P691" t="n">
        <v>0</v>
      </c>
      <c r="Q691" t="n">
        <v>0</v>
      </c>
      <c r="R691" s="2" t="inlineStr"/>
    </row>
    <row r="692" ht="15" customHeight="1">
      <c r="A692" t="inlineStr">
        <is>
          <t>A 42669-2019</t>
        </is>
      </c>
      <c r="B692" s="1" t="n">
        <v>43704</v>
      </c>
      <c r="C692" s="1" t="n">
        <v>45571</v>
      </c>
      <c r="D692" t="inlineStr">
        <is>
          <t>STOCKHOLMS LÄN</t>
        </is>
      </c>
      <c r="E692" t="inlineStr">
        <is>
          <t>SÖDERTÄLJE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43296-2019</t>
        </is>
      </c>
      <c r="B693" s="1" t="n">
        <v>43706</v>
      </c>
      <c r="C693" s="1" t="n">
        <v>45571</v>
      </c>
      <c r="D693" t="inlineStr">
        <is>
          <t>STOCKHOLMS LÄN</t>
        </is>
      </c>
      <c r="E693" t="inlineStr">
        <is>
          <t>NORRTÄLJE</t>
        </is>
      </c>
      <c r="F693" t="inlineStr">
        <is>
          <t>Kommuner</t>
        </is>
      </c>
      <c r="G693" t="n">
        <v>1.7</v>
      </c>
      <c r="H693" t="n">
        <v>0</v>
      </c>
      <c r="I693" t="n">
        <v>0</v>
      </c>
      <c r="J693" t="n">
        <v>0</v>
      </c>
      <c r="K693" t="n">
        <v>0</v>
      </c>
      <c r="L693" t="n">
        <v>0</v>
      </c>
      <c r="M693" t="n">
        <v>0</v>
      </c>
      <c r="N693" t="n">
        <v>0</v>
      </c>
      <c r="O693" t="n">
        <v>0</v>
      </c>
      <c r="P693" t="n">
        <v>0</v>
      </c>
      <c r="Q693" t="n">
        <v>0</v>
      </c>
      <c r="R693" s="2" t="inlineStr"/>
    </row>
    <row r="694" ht="15" customHeight="1">
      <c r="A694" t="inlineStr">
        <is>
          <t>A 43574-2019</t>
        </is>
      </c>
      <c r="B694" s="1" t="n">
        <v>43706</v>
      </c>
      <c r="C694" s="1" t="n">
        <v>45571</v>
      </c>
      <c r="D694" t="inlineStr">
        <is>
          <t>STOCKHOLMS LÄN</t>
        </is>
      </c>
      <c r="E694" t="inlineStr">
        <is>
          <t>VALLENTUNA</t>
        </is>
      </c>
      <c r="G694" t="n">
        <v>1</v>
      </c>
      <c r="H694" t="n">
        <v>0</v>
      </c>
      <c r="I694" t="n">
        <v>0</v>
      </c>
      <c r="J694" t="n">
        <v>0</v>
      </c>
      <c r="K694" t="n">
        <v>0</v>
      </c>
      <c r="L694" t="n">
        <v>0</v>
      </c>
      <c r="M694" t="n">
        <v>0</v>
      </c>
      <c r="N694" t="n">
        <v>0</v>
      </c>
      <c r="O694" t="n">
        <v>0</v>
      </c>
      <c r="P694" t="n">
        <v>0</v>
      </c>
      <c r="Q694" t="n">
        <v>0</v>
      </c>
      <c r="R694" s="2" t="inlineStr"/>
    </row>
    <row r="695" ht="15" customHeight="1">
      <c r="A695" t="inlineStr">
        <is>
          <t>A 43573-2019</t>
        </is>
      </c>
      <c r="B695" s="1" t="n">
        <v>43706</v>
      </c>
      <c r="C695" s="1" t="n">
        <v>45571</v>
      </c>
      <c r="D695" t="inlineStr">
        <is>
          <t>STOCKHOLMS LÄN</t>
        </is>
      </c>
      <c r="E695" t="inlineStr">
        <is>
          <t>VALLENTUNA</t>
        </is>
      </c>
      <c r="G695" t="n">
        <v>0.8</v>
      </c>
      <c r="H695" t="n">
        <v>0</v>
      </c>
      <c r="I695" t="n">
        <v>0</v>
      </c>
      <c r="J695" t="n">
        <v>0</v>
      </c>
      <c r="K695" t="n">
        <v>0</v>
      </c>
      <c r="L695" t="n">
        <v>0</v>
      </c>
      <c r="M695" t="n">
        <v>0</v>
      </c>
      <c r="N695" t="n">
        <v>0</v>
      </c>
      <c r="O695" t="n">
        <v>0</v>
      </c>
      <c r="P695" t="n">
        <v>0</v>
      </c>
      <c r="Q695" t="n">
        <v>0</v>
      </c>
      <c r="R695" s="2" t="inlineStr"/>
    </row>
    <row r="696" ht="15" customHeight="1">
      <c r="A696" t="inlineStr">
        <is>
          <t>A 43930-2019</t>
        </is>
      </c>
      <c r="B696" s="1" t="n">
        <v>43707</v>
      </c>
      <c r="C696" s="1" t="n">
        <v>45571</v>
      </c>
      <c r="D696" t="inlineStr">
        <is>
          <t>STOCKHOLMS LÄN</t>
        </is>
      </c>
      <c r="E696" t="inlineStr">
        <is>
          <t>HANINGE</t>
        </is>
      </c>
      <c r="G696" t="n">
        <v>1</v>
      </c>
      <c r="H696" t="n">
        <v>0</v>
      </c>
      <c r="I696" t="n">
        <v>0</v>
      </c>
      <c r="J696" t="n">
        <v>0</v>
      </c>
      <c r="K696" t="n">
        <v>0</v>
      </c>
      <c r="L696" t="n">
        <v>0</v>
      </c>
      <c r="M696" t="n">
        <v>0</v>
      </c>
      <c r="N696" t="n">
        <v>0</v>
      </c>
      <c r="O696" t="n">
        <v>0</v>
      </c>
      <c r="P696" t="n">
        <v>0</v>
      </c>
      <c r="Q696" t="n">
        <v>0</v>
      </c>
      <c r="R696" s="2" t="inlineStr"/>
    </row>
    <row r="697" ht="15" customHeight="1">
      <c r="A697" t="inlineStr">
        <is>
          <t>A 43809-2019</t>
        </is>
      </c>
      <c r="B697" s="1" t="n">
        <v>43707</v>
      </c>
      <c r="C697" s="1" t="n">
        <v>45571</v>
      </c>
      <c r="D697" t="inlineStr">
        <is>
          <t>STOCKHOLMS LÄN</t>
        </is>
      </c>
      <c r="E697" t="inlineStr">
        <is>
          <t>VALLENTUNA</t>
        </is>
      </c>
      <c r="G697" t="n">
        <v>3.6</v>
      </c>
      <c r="H697" t="n">
        <v>0</v>
      </c>
      <c r="I697" t="n">
        <v>0</v>
      </c>
      <c r="J697" t="n">
        <v>0</v>
      </c>
      <c r="K697" t="n">
        <v>0</v>
      </c>
      <c r="L697" t="n">
        <v>0</v>
      </c>
      <c r="M697" t="n">
        <v>0</v>
      </c>
      <c r="N697" t="n">
        <v>0</v>
      </c>
      <c r="O697" t="n">
        <v>0</v>
      </c>
      <c r="P697" t="n">
        <v>0</v>
      </c>
      <c r="Q697" t="n">
        <v>0</v>
      </c>
      <c r="R697" s="2" t="inlineStr"/>
    </row>
    <row r="698" ht="15" customHeight="1">
      <c r="A698" t="inlineStr">
        <is>
          <t>A 44453-2019</t>
        </is>
      </c>
      <c r="B698" s="1" t="n">
        <v>43711</v>
      </c>
      <c r="C698" s="1" t="n">
        <v>45571</v>
      </c>
      <c r="D698" t="inlineStr">
        <is>
          <t>STOCKHOLMS LÄN</t>
        </is>
      </c>
      <c r="E698" t="inlineStr">
        <is>
          <t>NYNÄSHAMN</t>
        </is>
      </c>
      <c r="G698" t="n">
        <v>8.9</v>
      </c>
      <c r="H698" t="n">
        <v>0</v>
      </c>
      <c r="I698" t="n">
        <v>0</v>
      </c>
      <c r="J698" t="n">
        <v>0</v>
      </c>
      <c r="K698" t="n">
        <v>0</v>
      </c>
      <c r="L698" t="n">
        <v>0</v>
      </c>
      <c r="M698" t="n">
        <v>0</v>
      </c>
      <c r="N698" t="n">
        <v>0</v>
      </c>
      <c r="O698" t="n">
        <v>0</v>
      </c>
      <c r="P698" t="n">
        <v>0</v>
      </c>
      <c r="Q698" t="n">
        <v>0</v>
      </c>
      <c r="R698" s="2" t="inlineStr"/>
    </row>
    <row r="699" ht="15" customHeight="1">
      <c r="A699" t="inlineStr">
        <is>
          <t>A 44643-2019</t>
        </is>
      </c>
      <c r="B699" s="1" t="n">
        <v>43712</v>
      </c>
      <c r="C699" s="1" t="n">
        <v>45571</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44921-2019</t>
        </is>
      </c>
      <c r="B700" s="1" t="n">
        <v>43712</v>
      </c>
      <c r="C700" s="1" t="n">
        <v>45571</v>
      </c>
      <c r="D700" t="inlineStr">
        <is>
          <t>STOCKHOLMS LÄN</t>
        </is>
      </c>
      <c r="E700" t="inlineStr">
        <is>
          <t>SÖDERTÄLJE</t>
        </is>
      </c>
      <c r="G700" t="n">
        <v>4.3</v>
      </c>
      <c r="H700" t="n">
        <v>0</v>
      </c>
      <c r="I700" t="n">
        <v>0</v>
      </c>
      <c r="J700" t="n">
        <v>0</v>
      </c>
      <c r="K700" t="n">
        <v>0</v>
      </c>
      <c r="L700" t="n">
        <v>0</v>
      </c>
      <c r="M700" t="n">
        <v>0</v>
      </c>
      <c r="N700" t="n">
        <v>0</v>
      </c>
      <c r="O700" t="n">
        <v>0</v>
      </c>
      <c r="P700" t="n">
        <v>0</v>
      </c>
      <c r="Q700" t="n">
        <v>0</v>
      </c>
      <c r="R700" s="2" t="inlineStr"/>
    </row>
    <row r="701" ht="15" customHeight="1">
      <c r="A701" t="inlineStr">
        <is>
          <t>A 45306-2019</t>
        </is>
      </c>
      <c r="B701" s="1" t="n">
        <v>43713</v>
      </c>
      <c r="C701" s="1" t="n">
        <v>45571</v>
      </c>
      <c r="D701" t="inlineStr">
        <is>
          <t>STOCKHOLMS LÄN</t>
        </is>
      </c>
      <c r="E701" t="inlineStr">
        <is>
          <t>SÖDERTÄLJE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45463-2019</t>
        </is>
      </c>
      <c r="B702" s="1" t="n">
        <v>43714</v>
      </c>
      <c r="C702" s="1" t="n">
        <v>45571</v>
      </c>
      <c r="D702" t="inlineStr">
        <is>
          <t>STOCKHOLMS LÄN</t>
        </is>
      </c>
      <c r="E702" t="inlineStr">
        <is>
          <t>NORRTÄLJE</t>
        </is>
      </c>
      <c r="F702" t="inlineStr">
        <is>
          <t>Övriga statliga verk och myndigheter</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45477-2019</t>
        </is>
      </c>
      <c r="B703" s="1" t="n">
        <v>43714</v>
      </c>
      <c r="C703" s="1" t="n">
        <v>45571</v>
      </c>
      <c r="D703" t="inlineStr">
        <is>
          <t>STOCKHOLMS LÄN</t>
        </is>
      </c>
      <c r="E703" t="inlineStr">
        <is>
          <t>NORRTÄLJE</t>
        </is>
      </c>
      <c r="F703" t="inlineStr">
        <is>
          <t>Övriga statliga verk och myndigheter</t>
        </is>
      </c>
      <c r="G703" t="n">
        <v>8.9</v>
      </c>
      <c r="H703" t="n">
        <v>0</v>
      </c>
      <c r="I703" t="n">
        <v>0</v>
      </c>
      <c r="J703" t="n">
        <v>0</v>
      </c>
      <c r="K703" t="n">
        <v>0</v>
      </c>
      <c r="L703" t="n">
        <v>0</v>
      </c>
      <c r="M703" t="n">
        <v>0</v>
      </c>
      <c r="N703" t="n">
        <v>0</v>
      </c>
      <c r="O703" t="n">
        <v>0</v>
      </c>
      <c r="P703" t="n">
        <v>0</v>
      </c>
      <c r="Q703" t="n">
        <v>0</v>
      </c>
      <c r="R703" s="2" t="inlineStr"/>
    </row>
    <row r="704" ht="15" customHeight="1">
      <c r="A704" t="inlineStr">
        <is>
          <t>A 46327-2019</t>
        </is>
      </c>
      <c r="B704" s="1" t="n">
        <v>43718</v>
      </c>
      <c r="C704" s="1" t="n">
        <v>45571</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47242-2019</t>
        </is>
      </c>
      <c r="B705" s="1" t="n">
        <v>43721</v>
      </c>
      <c r="C705" s="1" t="n">
        <v>45571</v>
      </c>
      <c r="D705" t="inlineStr">
        <is>
          <t>STOCKHOLMS LÄN</t>
        </is>
      </c>
      <c r="E705" t="inlineStr">
        <is>
          <t>ÖSTERÅKER</t>
        </is>
      </c>
      <c r="G705" t="n">
        <v>3.7</v>
      </c>
      <c r="H705" t="n">
        <v>0</v>
      </c>
      <c r="I705" t="n">
        <v>0</v>
      </c>
      <c r="J705" t="n">
        <v>0</v>
      </c>
      <c r="K705" t="n">
        <v>0</v>
      </c>
      <c r="L705" t="n">
        <v>0</v>
      </c>
      <c r="M705" t="n">
        <v>0</v>
      </c>
      <c r="N705" t="n">
        <v>0</v>
      </c>
      <c r="O705" t="n">
        <v>0</v>
      </c>
      <c r="P705" t="n">
        <v>0</v>
      </c>
      <c r="Q705" t="n">
        <v>0</v>
      </c>
      <c r="R705" s="2" t="inlineStr"/>
    </row>
    <row r="706" ht="15" customHeight="1">
      <c r="A706" t="inlineStr">
        <is>
          <t>A 47583-2019</t>
        </is>
      </c>
      <c r="B706" s="1" t="n">
        <v>43724</v>
      </c>
      <c r="C706" s="1" t="n">
        <v>45571</v>
      </c>
      <c r="D706" t="inlineStr">
        <is>
          <t>STOCKHOLMS LÄN</t>
        </is>
      </c>
      <c r="E706" t="inlineStr">
        <is>
          <t>NYKVARN</t>
        </is>
      </c>
      <c r="G706" t="n">
        <v>2.9</v>
      </c>
      <c r="H706" t="n">
        <v>0</v>
      </c>
      <c r="I706" t="n">
        <v>0</v>
      </c>
      <c r="J706" t="n">
        <v>0</v>
      </c>
      <c r="K706" t="n">
        <v>0</v>
      </c>
      <c r="L706" t="n">
        <v>0</v>
      </c>
      <c r="M706" t="n">
        <v>0</v>
      </c>
      <c r="N706" t="n">
        <v>0</v>
      </c>
      <c r="O706" t="n">
        <v>0</v>
      </c>
      <c r="P706" t="n">
        <v>0</v>
      </c>
      <c r="Q706" t="n">
        <v>0</v>
      </c>
      <c r="R706" s="2" t="inlineStr"/>
    </row>
    <row r="707" ht="15" customHeight="1">
      <c r="A707" t="inlineStr">
        <is>
          <t>A 47876-2019</t>
        </is>
      </c>
      <c r="B707" s="1" t="n">
        <v>43725</v>
      </c>
      <c r="C707" s="1" t="n">
        <v>45571</v>
      </c>
      <c r="D707" t="inlineStr">
        <is>
          <t>STOCKHOLMS LÄN</t>
        </is>
      </c>
      <c r="E707" t="inlineStr">
        <is>
          <t>NORRTÄLJE</t>
        </is>
      </c>
      <c r="G707" t="n">
        <v>11.4</v>
      </c>
      <c r="H707" t="n">
        <v>0</v>
      </c>
      <c r="I707" t="n">
        <v>0</v>
      </c>
      <c r="J707" t="n">
        <v>0</v>
      </c>
      <c r="K707" t="n">
        <v>0</v>
      </c>
      <c r="L707" t="n">
        <v>0</v>
      </c>
      <c r="M707" t="n">
        <v>0</v>
      </c>
      <c r="N707" t="n">
        <v>0</v>
      </c>
      <c r="O707" t="n">
        <v>0</v>
      </c>
      <c r="P707" t="n">
        <v>0</v>
      </c>
      <c r="Q707" t="n">
        <v>0</v>
      </c>
      <c r="R707" s="2" t="inlineStr"/>
    </row>
    <row r="708" ht="15" customHeight="1">
      <c r="A708" t="inlineStr">
        <is>
          <t>A 47877-2019</t>
        </is>
      </c>
      <c r="B708" s="1" t="n">
        <v>43725</v>
      </c>
      <c r="C708" s="1" t="n">
        <v>45571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47903-2019</t>
        </is>
      </c>
      <c r="B709" s="1" t="n">
        <v>43725</v>
      </c>
      <c r="C709" s="1" t="n">
        <v>45571</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47901-2019</t>
        </is>
      </c>
      <c r="B710" s="1" t="n">
        <v>43725</v>
      </c>
      <c r="C710" s="1" t="n">
        <v>45571</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47939-2019</t>
        </is>
      </c>
      <c r="B711" s="1" t="n">
        <v>43725</v>
      </c>
      <c r="C711" s="1" t="n">
        <v>45571</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47941-2019</t>
        </is>
      </c>
      <c r="B712" s="1" t="n">
        <v>43725</v>
      </c>
      <c r="C712" s="1" t="n">
        <v>45571</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47879-2019</t>
        </is>
      </c>
      <c r="B713" s="1" t="n">
        <v>43725</v>
      </c>
      <c r="C713" s="1" t="n">
        <v>45571</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48609-2019</t>
        </is>
      </c>
      <c r="B714" s="1" t="n">
        <v>43727</v>
      </c>
      <c r="C714" s="1" t="n">
        <v>45571</v>
      </c>
      <c r="D714" t="inlineStr">
        <is>
          <t>STOCKHOLMS LÄN</t>
        </is>
      </c>
      <c r="E714" t="inlineStr">
        <is>
          <t>HANINGE</t>
        </is>
      </c>
      <c r="G714" t="n">
        <v>2.5</v>
      </c>
      <c r="H714" t="n">
        <v>0</v>
      </c>
      <c r="I714" t="n">
        <v>0</v>
      </c>
      <c r="J714" t="n">
        <v>0</v>
      </c>
      <c r="K714" t="n">
        <v>0</v>
      </c>
      <c r="L714" t="n">
        <v>0</v>
      </c>
      <c r="M714" t="n">
        <v>0</v>
      </c>
      <c r="N714" t="n">
        <v>0</v>
      </c>
      <c r="O714" t="n">
        <v>0</v>
      </c>
      <c r="P714" t="n">
        <v>0</v>
      </c>
      <c r="Q714" t="n">
        <v>0</v>
      </c>
      <c r="R714" s="2" t="inlineStr"/>
    </row>
    <row r="715" ht="15" customHeight="1">
      <c r="A715" t="inlineStr">
        <is>
          <t>A 48932-2019</t>
        </is>
      </c>
      <c r="B715" s="1" t="n">
        <v>43728</v>
      </c>
      <c r="C715" s="1" t="n">
        <v>45571</v>
      </c>
      <c r="D715" t="inlineStr">
        <is>
          <t>STOCKHOLMS LÄN</t>
        </is>
      </c>
      <c r="E715" t="inlineStr">
        <is>
          <t>ÖSTERÅKER</t>
        </is>
      </c>
      <c r="G715" t="n">
        <v>5.9</v>
      </c>
      <c r="H715" t="n">
        <v>0</v>
      </c>
      <c r="I715" t="n">
        <v>0</v>
      </c>
      <c r="J715" t="n">
        <v>0</v>
      </c>
      <c r="K715" t="n">
        <v>0</v>
      </c>
      <c r="L715" t="n">
        <v>0</v>
      </c>
      <c r="M715" t="n">
        <v>0</v>
      </c>
      <c r="N715" t="n">
        <v>0</v>
      </c>
      <c r="O715" t="n">
        <v>0</v>
      </c>
      <c r="P715" t="n">
        <v>0</v>
      </c>
      <c r="Q715" t="n">
        <v>0</v>
      </c>
      <c r="R715" s="2" t="inlineStr"/>
    </row>
    <row r="716" ht="15" customHeight="1">
      <c r="A716" t="inlineStr">
        <is>
          <t>A 48906-2019</t>
        </is>
      </c>
      <c r="B716" s="1" t="n">
        <v>43728</v>
      </c>
      <c r="C716" s="1" t="n">
        <v>45571</v>
      </c>
      <c r="D716" t="inlineStr">
        <is>
          <t>STOCKHOLMS LÄN</t>
        </is>
      </c>
      <c r="E716" t="inlineStr">
        <is>
          <t>ÖSTERÅKER</t>
        </is>
      </c>
      <c r="G716" t="n">
        <v>6</v>
      </c>
      <c r="H716" t="n">
        <v>0</v>
      </c>
      <c r="I716" t="n">
        <v>0</v>
      </c>
      <c r="J716" t="n">
        <v>0</v>
      </c>
      <c r="K716" t="n">
        <v>0</v>
      </c>
      <c r="L716" t="n">
        <v>0</v>
      </c>
      <c r="M716" t="n">
        <v>0</v>
      </c>
      <c r="N716" t="n">
        <v>0</v>
      </c>
      <c r="O716" t="n">
        <v>0</v>
      </c>
      <c r="P716" t="n">
        <v>0</v>
      </c>
      <c r="Q716" t="n">
        <v>0</v>
      </c>
      <c r="R716" s="2" t="inlineStr"/>
    </row>
    <row r="717" ht="15" customHeight="1">
      <c r="A717" t="inlineStr">
        <is>
          <t>A 48730-2019</t>
        </is>
      </c>
      <c r="B717" s="1" t="n">
        <v>43728</v>
      </c>
      <c r="C717" s="1" t="n">
        <v>45571</v>
      </c>
      <c r="D717" t="inlineStr">
        <is>
          <t>STOCKHOLMS LÄN</t>
        </is>
      </c>
      <c r="E717" t="inlineStr">
        <is>
          <t>NORRTÄLJE</t>
        </is>
      </c>
      <c r="F717" t="inlineStr">
        <is>
          <t>Övriga statliga verk och myndigheter</t>
        </is>
      </c>
      <c r="G717" t="n">
        <v>1.3</v>
      </c>
      <c r="H717" t="n">
        <v>0</v>
      </c>
      <c r="I717" t="n">
        <v>0</v>
      </c>
      <c r="J717" t="n">
        <v>0</v>
      </c>
      <c r="K717" t="n">
        <v>0</v>
      </c>
      <c r="L717" t="n">
        <v>0</v>
      </c>
      <c r="M717" t="n">
        <v>0</v>
      </c>
      <c r="N717" t="n">
        <v>0</v>
      </c>
      <c r="O717" t="n">
        <v>0</v>
      </c>
      <c r="P717" t="n">
        <v>0</v>
      </c>
      <c r="Q717" t="n">
        <v>0</v>
      </c>
      <c r="R717" s="2" t="inlineStr"/>
    </row>
    <row r="718" ht="15" customHeight="1">
      <c r="A718" t="inlineStr">
        <is>
          <t>A 49121-2019</t>
        </is>
      </c>
      <c r="B718" s="1" t="n">
        <v>43731</v>
      </c>
      <c r="C718" s="1" t="n">
        <v>45571</v>
      </c>
      <c r="D718" t="inlineStr">
        <is>
          <t>STOCKHOLMS LÄN</t>
        </is>
      </c>
      <c r="E718" t="inlineStr">
        <is>
          <t>NYKVARN</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49130-2019</t>
        </is>
      </c>
      <c r="B719" s="1" t="n">
        <v>43731</v>
      </c>
      <c r="C719" s="1" t="n">
        <v>45571</v>
      </c>
      <c r="D719" t="inlineStr">
        <is>
          <t>STOCKHOLMS LÄN</t>
        </is>
      </c>
      <c r="E719" t="inlineStr">
        <is>
          <t>SÖDERTÄLJE</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49118-2019</t>
        </is>
      </c>
      <c r="B720" s="1" t="n">
        <v>43731</v>
      </c>
      <c r="C720" s="1" t="n">
        <v>45571</v>
      </c>
      <c r="D720" t="inlineStr">
        <is>
          <t>STOCKHOLMS LÄN</t>
        </is>
      </c>
      <c r="E720" t="inlineStr">
        <is>
          <t>NYKVARN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49131-2019</t>
        </is>
      </c>
      <c r="B721" s="1" t="n">
        <v>43731</v>
      </c>
      <c r="C721" s="1" t="n">
        <v>45571</v>
      </c>
      <c r="D721" t="inlineStr">
        <is>
          <t>STOCKHOLMS LÄN</t>
        </is>
      </c>
      <c r="E721" t="inlineStr">
        <is>
          <t>SÖDERTÄLJE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49096-2019</t>
        </is>
      </c>
      <c r="B722" s="1" t="n">
        <v>43731</v>
      </c>
      <c r="C722" s="1" t="n">
        <v>45571</v>
      </c>
      <c r="D722" t="inlineStr">
        <is>
          <t>STOCKHOLMS LÄN</t>
        </is>
      </c>
      <c r="E722" t="inlineStr">
        <is>
          <t>NYKVARN</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49252-2019</t>
        </is>
      </c>
      <c r="B723" s="1" t="n">
        <v>43731</v>
      </c>
      <c r="C723" s="1" t="n">
        <v>45571</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49268-2019</t>
        </is>
      </c>
      <c r="B724" s="1" t="n">
        <v>43731</v>
      </c>
      <c r="C724" s="1" t="n">
        <v>45571</v>
      </c>
      <c r="D724" t="inlineStr">
        <is>
          <t>STOCKHOLMS LÄN</t>
        </is>
      </c>
      <c r="E724" t="inlineStr">
        <is>
          <t>SIGTUNA</t>
        </is>
      </c>
      <c r="G724" t="n">
        <v>2.1</v>
      </c>
      <c r="H724" t="n">
        <v>0</v>
      </c>
      <c r="I724" t="n">
        <v>0</v>
      </c>
      <c r="J724" t="n">
        <v>0</v>
      </c>
      <c r="K724" t="n">
        <v>0</v>
      </c>
      <c r="L724" t="n">
        <v>0</v>
      </c>
      <c r="M724" t="n">
        <v>0</v>
      </c>
      <c r="N724" t="n">
        <v>0</v>
      </c>
      <c r="O724" t="n">
        <v>0</v>
      </c>
      <c r="P724" t="n">
        <v>0</v>
      </c>
      <c r="Q724" t="n">
        <v>0</v>
      </c>
      <c r="R724" s="2" t="inlineStr"/>
    </row>
    <row r="725" ht="15" customHeight="1">
      <c r="A725" t="inlineStr">
        <is>
          <t>A 49349-2019</t>
        </is>
      </c>
      <c r="B725" s="1" t="n">
        <v>43731</v>
      </c>
      <c r="C725" s="1" t="n">
        <v>45571</v>
      </c>
      <c r="D725" t="inlineStr">
        <is>
          <t>STOCKHOLMS LÄN</t>
        </is>
      </c>
      <c r="E725" t="inlineStr">
        <is>
          <t>HANINGE</t>
        </is>
      </c>
      <c r="G725" t="n">
        <v>2.1</v>
      </c>
      <c r="H725" t="n">
        <v>0</v>
      </c>
      <c r="I725" t="n">
        <v>0</v>
      </c>
      <c r="J725" t="n">
        <v>0</v>
      </c>
      <c r="K725" t="n">
        <v>0</v>
      </c>
      <c r="L725" t="n">
        <v>0</v>
      </c>
      <c r="M725" t="n">
        <v>0</v>
      </c>
      <c r="N725" t="n">
        <v>0</v>
      </c>
      <c r="O725" t="n">
        <v>0</v>
      </c>
      <c r="P725" t="n">
        <v>0</v>
      </c>
      <c r="Q725" t="n">
        <v>0</v>
      </c>
      <c r="R725" s="2" t="inlineStr"/>
    </row>
    <row r="726" ht="15" customHeight="1">
      <c r="A726" t="inlineStr">
        <is>
          <t>A 49840-2019</t>
        </is>
      </c>
      <c r="B726" s="1" t="n">
        <v>43733</v>
      </c>
      <c r="C726" s="1" t="n">
        <v>45571</v>
      </c>
      <c r="D726" t="inlineStr">
        <is>
          <t>STOCKHOLMS LÄN</t>
        </is>
      </c>
      <c r="E726" t="inlineStr">
        <is>
          <t>NYNÄSHAMN</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50396-2019</t>
        </is>
      </c>
      <c r="B727" s="1" t="n">
        <v>43735</v>
      </c>
      <c r="C727" s="1" t="n">
        <v>45571</v>
      </c>
      <c r="D727" t="inlineStr">
        <is>
          <t>STOCKHOLMS LÄN</t>
        </is>
      </c>
      <c r="E727" t="inlineStr">
        <is>
          <t>SÖDERTÄLJE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50435-2019</t>
        </is>
      </c>
      <c r="B728" s="1" t="n">
        <v>43735</v>
      </c>
      <c r="C728" s="1" t="n">
        <v>45571</v>
      </c>
      <c r="D728" t="inlineStr">
        <is>
          <t>STOCKHOLMS LÄN</t>
        </is>
      </c>
      <c r="E728" t="inlineStr">
        <is>
          <t>SÖDERTÄLJE</t>
        </is>
      </c>
      <c r="G728" t="n">
        <v>0.7</v>
      </c>
      <c r="H728" t="n">
        <v>0</v>
      </c>
      <c r="I728" t="n">
        <v>0</v>
      </c>
      <c r="J728" t="n">
        <v>0</v>
      </c>
      <c r="K728" t="n">
        <v>0</v>
      </c>
      <c r="L728" t="n">
        <v>0</v>
      </c>
      <c r="M728" t="n">
        <v>0</v>
      </c>
      <c r="N728" t="n">
        <v>0</v>
      </c>
      <c r="O728" t="n">
        <v>0</v>
      </c>
      <c r="P728" t="n">
        <v>0</v>
      </c>
      <c r="Q728" t="n">
        <v>0</v>
      </c>
      <c r="R728" s="2" t="inlineStr"/>
    </row>
    <row r="729" ht="15" customHeight="1">
      <c r="A729" t="inlineStr">
        <is>
          <t>A 50443-2019</t>
        </is>
      </c>
      <c r="B729" s="1" t="n">
        <v>43735</v>
      </c>
      <c r="C729" s="1" t="n">
        <v>45571</v>
      </c>
      <c r="D729" t="inlineStr">
        <is>
          <t>STOCKHOLMS LÄN</t>
        </is>
      </c>
      <c r="E729" t="inlineStr">
        <is>
          <t>SÖDERTÄLJE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50389-2019</t>
        </is>
      </c>
      <c r="B730" s="1" t="n">
        <v>43735</v>
      </c>
      <c r="C730" s="1" t="n">
        <v>45571</v>
      </c>
      <c r="D730" t="inlineStr">
        <is>
          <t>STOCKHOLMS LÄN</t>
        </is>
      </c>
      <c r="E730" t="inlineStr">
        <is>
          <t>SÖDERTÄLJE</t>
        </is>
      </c>
      <c r="G730" t="n">
        <v>5.9</v>
      </c>
      <c r="H730" t="n">
        <v>0</v>
      </c>
      <c r="I730" t="n">
        <v>0</v>
      </c>
      <c r="J730" t="n">
        <v>0</v>
      </c>
      <c r="K730" t="n">
        <v>0</v>
      </c>
      <c r="L730" t="n">
        <v>0</v>
      </c>
      <c r="M730" t="n">
        <v>0</v>
      </c>
      <c r="N730" t="n">
        <v>0</v>
      </c>
      <c r="O730" t="n">
        <v>0</v>
      </c>
      <c r="P730" t="n">
        <v>0</v>
      </c>
      <c r="Q730" t="n">
        <v>0</v>
      </c>
      <c r="R730" s="2" t="inlineStr"/>
    </row>
    <row r="731" ht="15" customHeight="1">
      <c r="A731" t="inlineStr">
        <is>
          <t>A 50425-2019</t>
        </is>
      </c>
      <c r="B731" s="1" t="n">
        <v>43735</v>
      </c>
      <c r="C731" s="1" t="n">
        <v>45571</v>
      </c>
      <c r="D731" t="inlineStr">
        <is>
          <t>STOCKHOLMS LÄN</t>
        </is>
      </c>
      <c r="E731" t="inlineStr">
        <is>
          <t>SÖDERTÄLJE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50446-2019</t>
        </is>
      </c>
      <c r="B732" s="1" t="n">
        <v>43735</v>
      </c>
      <c r="C732" s="1" t="n">
        <v>45571</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50441-2019</t>
        </is>
      </c>
      <c r="B733" s="1" t="n">
        <v>43735</v>
      </c>
      <c r="C733" s="1" t="n">
        <v>45571</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50419-2019</t>
        </is>
      </c>
      <c r="B734" s="1" t="n">
        <v>43735</v>
      </c>
      <c r="C734" s="1" t="n">
        <v>45571</v>
      </c>
      <c r="D734" t="inlineStr">
        <is>
          <t>STOCKHOLMS LÄN</t>
        </is>
      </c>
      <c r="E734" t="inlineStr">
        <is>
          <t>SÖDERTÄLJE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50737-2019</t>
        </is>
      </c>
      <c r="B735" s="1" t="n">
        <v>43738</v>
      </c>
      <c r="C735" s="1" t="n">
        <v>45571</v>
      </c>
      <c r="D735" t="inlineStr">
        <is>
          <t>STOCKHOLMS LÄN</t>
        </is>
      </c>
      <c r="E735" t="inlineStr">
        <is>
          <t>SIGTUNA</t>
        </is>
      </c>
      <c r="G735" t="n">
        <v>0.8</v>
      </c>
      <c r="H735" t="n">
        <v>0</v>
      </c>
      <c r="I735" t="n">
        <v>0</v>
      </c>
      <c r="J735" t="n">
        <v>0</v>
      </c>
      <c r="K735" t="n">
        <v>0</v>
      </c>
      <c r="L735" t="n">
        <v>0</v>
      </c>
      <c r="M735" t="n">
        <v>0</v>
      </c>
      <c r="N735" t="n">
        <v>0</v>
      </c>
      <c r="O735" t="n">
        <v>0</v>
      </c>
      <c r="P735" t="n">
        <v>0</v>
      </c>
      <c r="Q735" t="n">
        <v>0</v>
      </c>
      <c r="R735" s="2" t="inlineStr"/>
    </row>
    <row r="736" ht="15" customHeight="1">
      <c r="A736" t="inlineStr">
        <is>
          <t>A 50755-2019</t>
        </is>
      </c>
      <c r="B736" s="1" t="n">
        <v>43738</v>
      </c>
      <c r="C736" s="1" t="n">
        <v>45571</v>
      </c>
      <c r="D736" t="inlineStr">
        <is>
          <t>STOCKHOLMS LÄN</t>
        </is>
      </c>
      <c r="E736" t="inlineStr">
        <is>
          <t>SIGTUNA</t>
        </is>
      </c>
      <c r="G736" t="n">
        <v>0.7</v>
      </c>
      <c r="H736" t="n">
        <v>0</v>
      </c>
      <c r="I736" t="n">
        <v>0</v>
      </c>
      <c r="J736" t="n">
        <v>0</v>
      </c>
      <c r="K736" t="n">
        <v>0</v>
      </c>
      <c r="L736" t="n">
        <v>0</v>
      </c>
      <c r="M736" t="n">
        <v>0</v>
      </c>
      <c r="N736" t="n">
        <v>0</v>
      </c>
      <c r="O736" t="n">
        <v>0</v>
      </c>
      <c r="P736" t="n">
        <v>0</v>
      </c>
      <c r="Q736" t="n">
        <v>0</v>
      </c>
      <c r="R736" s="2" t="inlineStr"/>
    </row>
    <row r="737" ht="15" customHeight="1">
      <c r="A737" t="inlineStr">
        <is>
          <t>A 51184-2019</t>
        </is>
      </c>
      <c r="B737" s="1" t="n">
        <v>43739</v>
      </c>
      <c r="C737" s="1" t="n">
        <v>45571</v>
      </c>
      <c r="D737" t="inlineStr">
        <is>
          <t>STOCKHOLMS LÄN</t>
        </is>
      </c>
      <c r="E737" t="inlineStr">
        <is>
          <t>VALLENTUNA</t>
        </is>
      </c>
      <c r="G737" t="n">
        <v>2</v>
      </c>
      <c r="H737" t="n">
        <v>0</v>
      </c>
      <c r="I737" t="n">
        <v>0</v>
      </c>
      <c r="J737" t="n">
        <v>0</v>
      </c>
      <c r="K737" t="n">
        <v>0</v>
      </c>
      <c r="L737" t="n">
        <v>0</v>
      </c>
      <c r="M737" t="n">
        <v>0</v>
      </c>
      <c r="N737" t="n">
        <v>0</v>
      </c>
      <c r="O737" t="n">
        <v>0</v>
      </c>
      <c r="P737" t="n">
        <v>0</v>
      </c>
      <c r="Q737" t="n">
        <v>0</v>
      </c>
      <c r="R737" s="2" t="inlineStr"/>
    </row>
    <row r="738" ht="15" customHeight="1">
      <c r="A738" t="inlineStr">
        <is>
          <t>A 51387-2019</t>
        </is>
      </c>
      <c r="B738" s="1" t="n">
        <v>43740</v>
      </c>
      <c r="C738" s="1" t="n">
        <v>45571</v>
      </c>
      <c r="D738" t="inlineStr">
        <is>
          <t>STOCKHOLMS LÄN</t>
        </is>
      </c>
      <c r="E738" t="inlineStr">
        <is>
          <t>BOTKYRKA</t>
        </is>
      </c>
      <c r="G738" t="n">
        <v>2.3</v>
      </c>
      <c r="H738" t="n">
        <v>0</v>
      </c>
      <c r="I738" t="n">
        <v>0</v>
      </c>
      <c r="J738" t="n">
        <v>0</v>
      </c>
      <c r="K738" t="n">
        <v>0</v>
      </c>
      <c r="L738" t="n">
        <v>0</v>
      </c>
      <c r="M738" t="n">
        <v>0</v>
      </c>
      <c r="N738" t="n">
        <v>0</v>
      </c>
      <c r="O738" t="n">
        <v>0</v>
      </c>
      <c r="P738" t="n">
        <v>0</v>
      </c>
      <c r="Q738" t="n">
        <v>0</v>
      </c>
      <c r="R738" s="2" t="inlineStr"/>
    </row>
    <row r="739" ht="15" customHeight="1">
      <c r="A739" t="inlineStr">
        <is>
          <t>A 51571-2019</t>
        </is>
      </c>
      <c r="B739" s="1" t="n">
        <v>43740</v>
      </c>
      <c r="C739" s="1" t="n">
        <v>45571</v>
      </c>
      <c r="D739" t="inlineStr">
        <is>
          <t>STOCKHOLMS LÄN</t>
        </is>
      </c>
      <c r="E739" t="inlineStr">
        <is>
          <t>NYKVARN</t>
        </is>
      </c>
      <c r="G739" t="n">
        <v>2.5</v>
      </c>
      <c r="H739" t="n">
        <v>0</v>
      </c>
      <c r="I739" t="n">
        <v>0</v>
      </c>
      <c r="J739" t="n">
        <v>0</v>
      </c>
      <c r="K739" t="n">
        <v>0</v>
      </c>
      <c r="L739" t="n">
        <v>0</v>
      </c>
      <c r="M739" t="n">
        <v>0</v>
      </c>
      <c r="N739" t="n">
        <v>0</v>
      </c>
      <c r="O739" t="n">
        <v>0</v>
      </c>
      <c r="P739" t="n">
        <v>0</v>
      </c>
      <c r="Q739" t="n">
        <v>0</v>
      </c>
      <c r="R739" s="2" t="inlineStr"/>
    </row>
    <row r="740" ht="15" customHeight="1">
      <c r="A740" t="inlineStr">
        <is>
          <t>A 51938-2019</t>
        </is>
      </c>
      <c r="B740" s="1" t="n">
        <v>43741</v>
      </c>
      <c r="C740" s="1" t="n">
        <v>45571</v>
      </c>
      <c r="D740" t="inlineStr">
        <is>
          <t>STOCKHOLMS LÄN</t>
        </is>
      </c>
      <c r="E740" t="inlineStr">
        <is>
          <t>VÄRMDÖ</t>
        </is>
      </c>
      <c r="G740" t="n">
        <v>1.1</v>
      </c>
      <c r="H740" t="n">
        <v>0</v>
      </c>
      <c r="I740" t="n">
        <v>0</v>
      </c>
      <c r="J740" t="n">
        <v>0</v>
      </c>
      <c r="K740" t="n">
        <v>0</v>
      </c>
      <c r="L740" t="n">
        <v>0</v>
      </c>
      <c r="M740" t="n">
        <v>0</v>
      </c>
      <c r="N740" t="n">
        <v>0</v>
      </c>
      <c r="O740" t="n">
        <v>0</v>
      </c>
      <c r="P740" t="n">
        <v>0</v>
      </c>
      <c r="Q740" t="n">
        <v>0</v>
      </c>
      <c r="R740" s="2" t="inlineStr"/>
    </row>
    <row r="741" ht="15" customHeight="1">
      <c r="A741" t="inlineStr">
        <is>
          <t>A 51940-2019</t>
        </is>
      </c>
      <c r="B741" s="1" t="n">
        <v>43741</v>
      </c>
      <c r="C741" s="1" t="n">
        <v>45571</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51942-2019</t>
        </is>
      </c>
      <c r="B742" s="1" t="n">
        <v>43741</v>
      </c>
      <c r="C742" s="1" t="n">
        <v>45571</v>
      </c>
      <c r="D742" t="inlineStr">
        <is>
          <t>STOCKHOLMS LÄN</t>
        </is>
      </c>
      <c r="E742" t="inlineStr">
        <is>
          <t>NORRTÄLJE</t>
        </is>
      </c>
      <c r="G742" t="n">
        <v>5.6</v>
      </c>
      <c r="H742" t="n">
        <v>0</v>
      </c>
      <c r="I742" t="n">
        <v>0</v>
      </c>
      <c r="J742" t="n">
        <v>0</v>
      </c>
      <c r="K742" t="n">
        <v>0</v>
      </c>
      <c r="L742" t="n">
        <v>0</v>
      </c>
      <c r="M742" t="n">
        <v>0</v>
      </c>
      <c r="N742" t="n">
        <v>0</v>
      </c>
      <c r="O742" t="n">
        <v>0</v>
      </c>
      <c r="P742" t="n">
        <v>0</v>
      </c>
      <c r="Q742" t="n">
        <v>0</v>
      </c>
      <c r="R742" s="2" t="inlineStr"/>
    </row>
    <row r="743" ht="15" customHeight="1">
      <c r="A743" t="inlineStr">
        <is>
          <t>A 52139-2019</t>
        </is>
      </c>
      <c r="B743" s="1" t="n">
        <v>43742</v>
      </c>
      <c r="C743" s="1" t="n">
        <v>45571</v>
      </c>
      <c r="D743" t="inlineStr">
        <is>
          <t>STOCKHOLMS LÄN</t>
        </is>
      </c>
      <c r="E743" t="inlineStr">
        <is>
          <t>ÖSTERÅKER</t>
        </is>
      </c>
      <c r="G743" t="n">
        <v>2.2</v>
      </c>
      <c r="H743" t="n">
        <v>0</v>
      </c>
      <c r="I743" t="n">
        <v>0</v>
      </c>
      <c r="J743" t="n">
        <v>0</v>
      </c>
      <c r="K743" t="n">
        <v>0</v>
      </c>
      <c r="L743" t="n">
        <v>0</v>
      </c>
      <c r="M743" t="n">
        <v>0</v>
      </c>
      <c r="N743" t="n">
        <v>0</v>
      </c>
      <c r="O743" t="n">
        <v>0</v>
      </c>
      <c r="P743" t="n">
        <v>0</v>
      </c>
      <c r="Q743" t="n">
        <v>0</v>
      </c>
      <c r="R743" s="2" t="inlineStr"/>
    </row>
    <row r="744" ht="15" customHeight="1">
      <c r="A744" t="inlineStr">
        <is>
          <t>A 54466-2019</t>
        </is>
      </c>
      <c r="B744" s="1" t="n">
        <v>43747</v>
      </c>
      <c r="C744" s="1" t="n">
        <v>45571</v>
      </c>
      <c r="D744" t="inlineStr">
        <is>
          <t>STOCKHOLMS LÄN</t>
        </is>
      </c>
      <c r="E744" t="inlineStr">
        <is>
          <t>VAXHOLM</t>
        </is>
      </c>
      <c r="F744" t="inlineStr">
        <is>
          <t>Övriga statliga verk och myndigheter</t>
        </is>
      </c>
      <c r="G744" t="n">
        <v>2.7</v>
      </c>
      <c r="H744" t="n">
        <v>0</v>
      </c>
      <c r="I744" t="n">
        <v>0</v>
      </c>
      <c r="J744" t="n">
        <v>0</v>
      </c>
      <c r="K744" t="n">
        <v>0</v>
      </c>
      <c r="L744" t="n">
        <v>0</v>
      </c>
      <c r="M744" t="n">
        <v>0</v>
      </c>
      <c r="N744" t="n">
        <v>0</v>
      </c>
      <c r="O744" t="n">
        <v>0</v>
      </c>
      <c r="P744" t="n">
        <v>0</v>
      </c>
      <c r="Q744" t="n">
        <v>0</v>
      </c>
      <c r="R744" s="2" t="inlineStr"/>
    </row>
    <row r="745" ht="15" customHeight="1">
      <c r="A745" t="inlineStr">
        <is>
          <t>A 53815-2019</t>
        </is>
      </c>
      <c r="B745" s="1" t="n">
        <v>43752</v>
      </c>
      <c r="C745" s="1" t="n">
        <v>45571</v>
      </c>
      <c r="D745" t="inlineStr">
        <is>
          <t>STOCKHOLMS LÄN</t>
        </is>
      </c>
      <c r="E745" t="inlineStr">
        <is>
          <t>HANINGE</t>
        </is>
      </c>
      <c r="G745" t="n">
        <v>1.3</v>
      </c>
      <c r="H745" t="n">
        <v>0</v>
      </c>
      <c r="I745" t="n">
        <v>0</v>
      </c>
      <c r="J745" t="n">
        <v>0</v>
      </c>
      <c r="K745" t="n">
        <v>0</v>
      </c>
      <c r="L745" t="n">
        <v>0</v>
      </c>
      <c r="M745" t="n">
        <v>0</v>
      </c>
      <c r="N745" t="n">
        <v>0</v>
      </c>
      <c r="O745" t="n">
        <v>0</v>
      </c>
      <c r="P745" t="n">
        <v>0</v>
      </c>
      <c r="Q745" t="n">
        <v>0</v>
      </c>
      <c r="R745" s="2" t="inlineStr"/>
    </row>
    <row r="746" ht="15" customHeight="1">
      <c r="A746" t="inlineStr">
        <is>
          <t>A 54187-2019</t>
        </is>
      </c>
      <c r="B746" s="1" t="n">
        <v>43753</v>
      </c>
      <c r="C746" s="1" t="n">
        <v>45571</v>
      </c>
      <c r="D746" t="inlineStr">
        <is>
          <t>STOCKHOLMS LÄN</t>
        </is>
      </c>
      <c r="E746" t="inlineStr">
        <is>
          <t>EKERÖ</t>
        </is>
      </c>
      <c r="G746" t="n">
        <v>3.7</v>
      </c>
      <c r="H746" t="n">
        <v>0</v>
      </c>
      <c r="I746" t="n">
        <v>0</v>
      </c>
      <c r="J746" t="n">
        <v>0</v>
      </c>
      <c r="K746" t="n">
        <v>0</v>
      </c>
      <c r="L746" t="n">
        <v>0</v>
      </c>
      <c r="M746" t="n">
        <v>0</v>
      </c>
      <c r="N746" t="n">
        <v>0</v>
      </c>
      <c r="O746" t="n">
        <v>0</v>
      </c>
      <c r="P746" t="n">
        <v>0</v>
      </c>
      <c r="Q746" t="n">
        <v>0</v>
      </c>
      <c r="R746" s="2" t="inlineStr"/>
    </row>
    <row r="747" ht="15" customHeight="1">
      <c r="A747" t="inlineStr">
        <is>
          <t>A 54875-2019</t>
        </is>
      </c>
      <c r="B747" s="1" t="n">
        <v>43755</v>
      </c>
      <c r="C747" s="1" t="n">
        <v>45571</v>
      </c>
      <c r="D747" t="inlineStr">
        <is>
          <t>STOCKHOLMS LÄN</t>
        </is>
      </c>
      <c r="E747" t="inlineStr">
        <is>
          <t>SIGTUNA</t>
        </is>
      </c>
      <c r="G747" t="n">
        <v>0.6</v>
      </c>
      <c r="H747" t="n">
        <v>0</v>
      </c>
      <c r="I747" t="n">
        <v>0</v>
      </c>
      <c r="J747" t="n">
        <v>0</v>
      </c>
      <c r="K747" t="n">
        <v>0</v>
      </c>
      <c r="L747" t="n">
        <v>0</v>
      </c>
      <c r="M747" t="n">
        <v>0</v>
      </c>
      <c r="N747" t="n">
        <v>0</v>
      </c>
      <c r="O747" t="n">
        <v>0</v>
      </c>
      <c r="P747" t="n">
        <v>0</v>
      </c>
      <c r="Q747" t="n">
        <v>0</v>
      </c>
      <c r="R747" s="2" t="inlineStr"/>
    </row>
    <row r="748" ht="15" customHeight="1">
      <c r="A748" t="inlineStr">
        <is>
          <t>A 55974-2019</t>
        </is>
      </c>
      <c r="B748" s="1" t="n">
        <v>43759</v>
      </c>
      <c r="C748" s="1" t="n">
        <v>45571</v>
      </c>
      <c r="D748" t="inlineStr">
        <is>
          <t>STOCKHOLMS LÄN</t>
        </is>
      </c>
      <c r="E748" t="inlineStr">
        <is>
          <t>SÖDERTÄLJE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55866-2019</t>
        </is>
      </c>
      <c r="B749" s="1" t="n">
        <v>43759</v>
      </c>
      <c r="C749" s="1" t="n">
        <v>45571</v>
      </c>
      <c r="D749" t="inlineStr">
        <is>
          <t>STOCKHOLMS LÄN</t>
        </is>
      </c>
      <c r="E749" t="inlineStr">
        <is>
          <t>SÖDERTÄLJE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55954-2019</t>
        </is>
      </c>
      <c r="B750" s="1" t="n">
        <v>43759</v>
      </c>
      <c r="C750" s="1" t="n">
        <v>45571</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55965-2019</t>
        </is>
      </c>
      <c r="B751" s="1" t="n">
        <v>43759</v>
      </c>
      <c r="C751" s="1" t="n">
        <v>45571</v>
      </c>
      <c r="D751" t="inlineStr">
        <is>
          <t>STOCKHOLMS LÄN</t>
        </is>
      </c>
      <c r="E751" t="inlineStr">
        <is>
          <t>SÖDERTÄLJE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55870-2019</t>
        </is>
      </c>
      <c r="B752" s="1" t="n">
        <v>43759</v>
      </c>
      <c r="C752" s="1" t="n">
        <v>45571</v>
      </c>
      <c r="D752" t="inlineStr">
        <is>
          <t>STOCKHOLMS LÄN</t>
        </is>
      </c>
      <c r="E752" t="inlineStr">
        <is>
          <t>SÖDERTÄLJE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55848-2019</t>
        </is>
      </c>
      <c r="B753" s="1" t="n">
        <v>43759</v>
      </c>
      <c r="C753" s="1" t="n">
        <v>45571</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55980-2019</t>
        </is>
      </c>
      <c r="B754" s="1" t="n">
        <v>43759</v>
      </c>
      <c r="C754" s="1" t="n">
        <v>45571</v>
      </c>
      <c r="D754" t="inlineStr">
        <is>
          <t>STOCKHOLMS LÄN</t>
        </is>
      </c>
      <c r="E754" t="inlineStr">
        <is>
          <t>SÖDERTÄLJE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55481-2019</t>
        </is>
      </c>
      <c r="B755" s="1" t="n">
        <v>43759</v>
      </c>
      <c r="C755" s="1" t="n">
        <v>45571</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55891-2019</t>
        </is>
      </c>
      <c r="B756" s="1" t="n">
        <v>43761</v>
      </c>
      <c r="C756" s="1" t="n">
        <v>45571</v>
      </c>
      <c r="D756" t="inlineStr">
        <is>
          <t>STOCKHOLMS LÄN</t>
        </is>
      </c>
      <c r="E756" t="inlineStr">
        <is>
          <t>NORRTÄLJE</t>
        </is>
      </c>
      <c r="G756" t="n">
        <v>7.6</v>
      </c>
      <c r="H756" t="n">
        <v>0</v>
      </c>
      <c r="I756" t="n">
        <v>0</v>
      </c>
      <c r="J756" t="n">
        <v>0</v>
      </c>
      <c r="K756" t="n">
        <v>0</v>
      </c>
      <c r="L756" t="n">
        <v>0</v>
      </c>
      <c r="M756" t="n">
        <v>0</v>
      </c>
      <c r="N756" t="n">
        <v>0</v>
      </c>
      <c r="O756" t="n">
        <v>0</v>
      </c>
      <c r="P756" t="n">
        <v>0</v>
      </c>
      <c r="Q756" t="n">
        <v>0</v>
      </c>
      <c r="R756" s="2" t="inlineStr"/>
    </row>
    <row r="757" ht="15" customHeight="1">
      <c r="A757" t="inlineStr">
        <is>
          <t>A 56349-2019</t>
        </is>
      </c>
      <c r="B757" s="1" t="n">
        <v>43762</v>
      </c>
      <c r="C757" s="1" t="n">
        <v>45571</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57759-2019</t>
        </is>
      </c>
      <c r="B758" s="1" t="n">
        <v>43763</v>
      </c>
      <c r="C758" s="1" t="n">
        <v>45571</v>
      </c>
      <c r="D758" t="inlineStr">
        <is>
          <t>STOCKHOLMS LÄN</t>
        </is>
      </c>
      <c r="E758" t="inlineStr">
        <is>
          <t>NORRTÄLJE</t>
        </is>
      </c>
      <c r="F758" t="inlineStr">
        <is>
          <t>Övriga Aktiebolag</t>
        </is>
      </c>
      <c r="G758" t="n">
        <v>7.3</v>
      </c>
      <c r="H758" t="n">
        <v>0</v>
      </c>
      <c r="I758" t="n">
        <v>0</v>
      </c>
      <c r="J758" t="n">
        <v>0</v>
      </c>
      <c r="K758" t="n">
        <v>0</v>
      </c>
      <c r="L758" t="n">
        <v>0</v>
      </c>
      <c r="M758" t="n">
        <v>0</v>
      </c>
      <c r="N758" t="n">
        <v>0</v>
      </c>
      <c r="O758" t="n">
        <v>0</v>
      </c>
      <c r="P758" t="n">
        <v>0</v>
      </c>
      <c r="Q758" t="n">
        <v>0</v>
      </c>
      <c r="R758" s="2" t="inlineStr"/>
    </row>
    <row r="759" ht="15" customHeight="1">
      <c r="A759" t="inlineStr">
        <is>
          <t>A 57063-2019</t>
        </is>
      </c>
      <c r="B759" s="1" t="n">
        <v>43766</v>
      </c>
      <c r="C759" s="1" t="n">
        <v>45571</v>
      </c>
      <c r="D759" t="inlineStr">
        <is>
          <t>STOCKHOLMS LÄN</t>
        </is>
      </c>
      <c r="E759" t="inlineStr">
        <is>
          <t>NORRTÄLJE</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56950-2019</t>
        </is>
      </c>
      <c r="B760" s="1" t="n">
        <v>43766</v>
      </c>
      <c r="C760" s="1" t="n">
        <v>45571</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57461-2019</t>
        </is>
      </c>
      <c r="B761" s="1" t="n">
        <v>43767</v>
      </c>
      <c r="C761" s="1" t="n">
        <v>45571</v>
      </c>
      <c r="D761" t="inlineStr">
        <is>
          <t>STOCKHOLMS LÄN</t>
        </is>
      </c>
      <c r="E761" t="inlineStr">
        <is>
          <t>SIGTUNA</t>
        </is>
      </c>
      <c r="G761" t="n">
        <v>4.1</v>
      </c>
      <c r="H761" t="n">
        <v>0</v>
      </c>
      <c r="I761" t="n">
        <v>0</v>
      </c>
      <c r="J761" t="n">
        <v>0</v>
      </c>
      <c r="K761" t="n">
        <v>0</v>
      </c>
      <c r="L761" t="n">
        <v>0</v>
      </c>
      <c r="M761" t="n">
        <v>0</v>
      </c>
      <c r="N761" t="n">
        <v>0</v>
      </c>
      <c r="O761" t="n">
        <v>0</v>
      </c>
      <c r="P761" t="n">
        <v>0</v>
      </c>
      <c r="Q761" t="n">
        <v>0</v>
      </c>
      <c r="R761" s="2" t="inlineStr"/>
    </row>
    <row r="762" ht="15" customHeight="1">
      <c r="A762" t="inlineStr">
        <is>
          <t>A 57605-2019</t>
        </is>
      </c>
      <c r="B762" s="1" t="n">
        <v>43768</v>
      </c>
      <c r="C762" s="1" t="n">
        <v>45571</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58064-2019</t>
        </is>
      </c>
      <c r="B763" s="1" t="n">
        <v>43769</v>
      </c>
      <c r="C763" s="1" t="n">
        <v>45571</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58631-2019</t>
        </is>
      </c>
      <c r="B764" s="1" t="n">
        <v>43773</v>
      </c>
      <c r="C764" s="1" t="n">
        <v>45571</v>
      </c>
      <c r="D764" t="inlineStr">
        <is>
          <t>STOCKHOLMS LÄN</t>
        </is>
      </c>
      <c r="E764" t="inlineStr">
        <is>
          <t>NORRTÄLJE</t>
        </is>
      </c>
      <c r="G764" t="n">
        <v>6</v>
      </c>
      <c r="H764" t="n">
        <v>0</v>
      </c>
      <c r="I764" t="n">
        <v>0</v>
      </c>
      <c r="J764" t="n">
        <v>0</v>
      </c>
      <c r="K764" t="n">
        <v>0</v>
      </c>
      <c r="L764" t="n">
        <v>0</v>
      </c>
      <c r="M764" t="n">
        <v>0</v>
      </c>
      <c r="N764" t="n">
        <v>0</v>
      </c>
      <c r="O764" t="n">
        <v>0</v>
      </c>
      <c r="P764" t="n">
        <v>0</v>
      </c>
      <c r="Q764" t="n">
        <v>0</v>
      </c>
      <c r="R764" s="2" t="inlineStr"/>
    </row>
    <row r="765" ht="15" customHeight="1">
      <c r="A765" t="inlineStr">
        <is>
          <t>A 59155-2019</t>
        </is>
      </c>
      <c r="B765" s="1" t="n">
        <v>43775</v>
      </c>
      <c r="C765" s="1" t="n">
        <v>45571</v>
      </c>
      <c r="D765" t="inlineStr">
        <is>
          <t>STOCKHOLMS LÄN</t>
        </is>
      </c>
      <c r="E765" t="inlineStr">
        <is>
          <t>SÖDERTÄLJE</t>
        </is>
      </c>
      <c r="F765" t="inlineStr">
        <is>
          <t>Kommuner</t>
        </is>
      </c>
      <c r="G765" t="n">
        <v>4.3</v>
      </c>
      <c r="H765" t="n">
        <v>0</v>
      </c>
      <c r="I765" t="n">
        <v>0</v>
      </c>
      <c r="J765" t="n">
        <v>0</v>
      </c>
      <c r="K765" t="n">
        <v>0</v>
      </c>
      <c r="L765" t="n">
        <v>0</v>
      </c>
      <c r="M765" t="n">
        <v>0</v>
      </c>
      <c r="N765" t="n">
        <v>0</v>
      </c>
      <c r="O765" t="n">
        <v>0</v>
      </c>
      <c r="P765" t="n">
        <v>0</v>
      </c>
      <c r="Q765" t="n">
        <v>0</v>
      </c>
      <c r="R765" s="2" t="inlineStr"/>
    </row>
    <row r="766" ht="15" customHeight="1">
      <c r="A766" t="inlineStr">
        <is>
          <t>A 59790-2019</t>
        </is>
      </c>
      <c r="B766" s="1" t="n">
        <v>43776</v>
      </c>
      <c r="C766" s="1" t="n">
        <v>45571</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60214-2019</t>
        </is>
      </c>
      <c r="B767" s="1" t="n">
        <v>43780</v>
      </c>
      <c r="C767" s="1" t="n">
        <v>45571</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60208-2019</t>
        </is>
      </c>
      <c r="B768" s="1" t="n">
        <v>43780</v>
      </c>
      <c r="C768" s="1" t="n">
        <v>45571</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60842-2019</t>
        </is>
      </c>
      <c r="B769" s="1" t="n">
        <v>43781</v>
      </c>
      <c r="C769" s="1" t="n">
        <v>45571</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60844-2019</t>
        </is>
      </c>
      <c r="B770" s="1" t="n">
        <v>43781</v>
      </c>
      <c r="C770" s="1" t="n">
        <v>45571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61657-2019</t>
        </is>
      </c>
      <c r="B771" s="1" t="n">
        <v>43784</v>
      </c>
      <c r="C771" s="1" t="n">
        <v>45571</v>
      </c>
      <c r="D771" t="inlineStr">
        <is>
          <t>STOCKHOLMS LÄN</t>
        </is>
      </c>
      <c r="E771" t="inlineStr">
        <is>
          <t>NORRTÄLJE</t>
        </is>
      </c>
      <c r="G771" t="n">
        <v>5</v>
      </c>
      <c r="H771" t="n">
        <v>0</v>
      </c>
      <c r="I771" t="n">
        <v>0</v>
      </c>
      <c r="J771" t="n">
        <v>0</v>
      </c>
      <c r="K771" t="n">
        <v>0</v>
      </c>
      <c r="L771" t="n">
        <v>0</v>
      </c>
      <c r="M771" t="n">
        <v>0</v>
      </c>
      <c r="N771" t="n">
        <v>0</v>
      </c>
      <c r="O771" t="n">
        <v>0</v>
      </c>
      <c r="P771" t="n">
        <v>0</v>
      </c>
      <c r="Q771" t="n">
        <v>0</v>
      </c>
      <c r="R771" s="2" t="inlineStr"/>
    </row>
    <row r="772" ht="15" customHeight="1">
      <c r="A772" t="inlineStr">
        <is>
          <t>A 62848-2019</t>
        </is>
      </c>
      <c r="B772" s="1" t="n">
        <v>43790</v>
      </c>
      <c r="C772" s="1" t="n">
        <v>45571</v>
      </c>
      <c r="D772" t="inlineStr">
        <is>
          <t>STOCKHOLMS LÄN</t>
        </is>
      </c>
      <c r="E772" t="inlineStr">
        <is>
          <t>NORRTÄLJE</t>
        </is>
      </c>
      <c r="F772" t="inlineStr">
        <is>
          <t>Holmen skog AB</t>
        </is>
      </c>
      <c r="G772" t="n">
        <v>6.6</v>
      </c>
      <c r="H772" t="n">
        <v>0</v>
      </c>
      <c r="I772" t="n">
        <v>0</v>
      </c>
      <c r="J772" t="n">
        <v>0</v>
      </c>
      <c r="K772" t="n">
        <v>0</v>
      </c>
      <c r="L772" t="n">
        <v>0</v>
      </c>
      <c r="M772" t="n">
        <v>0</v>
      </c>
      <c r="N772" t="n">
        <v>0</v>
      </c>
      <c r="O772" t="n">
        <v>0</v>
      </c>
      <c r="P772" t="n">
        <v>0</v>
      </c>
      <c r="Q772" t="n">
        <v>0</v>
      </c>
      <c r="R772" s="2" t="inlineStr"/>
    </row>
    <row r="773" ht="15" customHeight="1">
      <c r="A773" t="inlineStr">
        <is>
          <t>A 62980-2019</t>
        </is>
      </c>
      <c r="B773" s="1" t="n">
        <v>43790</v>
      </c>
      <c r="C773" s="1" t="n">
        <v>45571</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63513-2019</t>
        </is>
      </c>
      <c r="B774" s="1" t="n">
        <v>43794</v>
      </c>
      <c r="C774" s="1" t="n">
        <v>45571</v>
      </c>
      <c r="D774" t="inlineStr">
        <is>
          <t>STOCKHOLMS LÄN</t>
        </is>
      </c>
      <c r="E774" t="inlineStr">
        <is>
          <t>NORRTÄLJE</t>
        </is>
      </c>
      <c r="G774" t="n">
        <v>9</v>
      </c>
      <c r="H774" t="n">
        <v>0</v>
      </c>
      <c r="I774" t="n">
        <v>0</v>
      </c>
      <c r="J774" t="n">
        <v>0</v>
      </c>
      <c r="K774" t="n">
        <v>0</v>
      </c>
      <c r="L774" t="n">
        <v>0</v>
      </c>
      <c r="M774" t="n">
        <v>0</v>
      </c>
      <c r="N774" t="n">
        <v>0</v>
      </c>
      <c r="O774" t="n">
        <v>0</v>
      </c>
      <c r="P774" t="n">
        <v>0</v>
      </c>
      <c r="Q774" t="n">
        <v>0</v>
      </c>
      <c r="R774" s="2" t="inlineStr"/>
    </row>
    <row r="775" ht="15" customHeight="1">
      <c r="A775" t="inlineStr">
        <is>
          <t>A 63529-2019</t>
        </is>
      </c>
      <c r="B775" s="1" t="n">
        <v>43794</v>
      </c>
      <c r="C775" s="1" t="n">
        <v>45571</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63370-2019</t>
        </is>
      </c>
      <c r="B776" s="1" t="n">
        <v>43794</v>
      </c>
      <c r="C776" s="1" t="n">
        <v>45571</v>
      </c>
      <c r="D776" t="inlineStr">
        <is>
          <t>STOCKHOLMS LÄN</t>
        </is>
      </c>
      <c r="E776" t="inlineStr">
        <is>
          <t>UPPLANDS-BRO</t>
        </is>
      </c>
      <c r="G776" t="n">
        <v>7.2</v>
      </c>
      <c r="H776" t="n">
        <v>0</v>
      </c>
      <c r="I776" t="n">
        <v>0</v>
      </c>
      <c r="J776" t="n">
        <v>0</v>
      </c>
      <c r="K776" t="n">
        <v>0</v>
      </c>
      <c r="L776" t="n">
        <v>0</v>
      </c>
      <c r="M776" t="n">
        <v>0</v>
      </c>
      <c r="N776" t="n">
        <v>0</v>
      </c>
      <c r="O776" t="n">
        <v>0</v>
      </c>
      <c r="P776" t="n">
        <v>0</v>
      </c>
      <c r="Q776" t="n">
        <v>0</v>
      </c>
      <c r="R776" s="2" t="inlineStr"/>
    </row>
    <row r="777" ht="15" customHeight="1">
      <c r="A777" t="inlineStr">
        <is>
          <t>A 63495-2019</t>
        </is>
      </c>
      <c r="B777" s="1" t="n">
        <v>43794</v>
      </c>
      <c r="C777" s="1" t="n">
        <v>45571</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63504-2019</t>
        </is>
      </c>
      <c r="B778" s="1" t="n">
        <v>43794</v>
      </c>
      <c r="C778" s="1" t="n">
        <v>45571</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63528-2019</t>
        </is>
      </c>
      <c r="B779" s="1" t="n">
        <v>43794</v>
      </c>
      <c r="C779" s="1" t="n">
        <v>45571</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63515-2019</t>
        </is>
      </c>
      <c r="B780" s="1" t="n">
        <v>43794</v>
      </c>
      <c r="C780" s="1" t="n">
        <v>45571</v>
      </c>
      <c r="D780" t="inlineStr">
        <is>
          <t>STOCKHOLMS LÄN</t>
        </is>
      </c>
      <c r="E780" t="inlineStr">
        <is>
          <t>NORRTÄLJE</t>
        </is>
      </c>
      <c r="G780" t="n">
        <v>7.1</v>
      </c>
      <c r="H780" t="n">
        <v>0</v>
      </c>
      <c r="I780" t="n">
        <v>0</v>
      </c>
      <c r="J780" t="n">
        <v>0</v>
      </c>
      <c r="K780" t="n">
        <v>0</v>
      </c>
      <c r="L780" t="n">
        <v>0</v>
      </c>
      <c r="M780" t="n">
        <v>0</v>
      </c>
      <c r="N780" t="n">
        <v>0</v>
      </c>
      <c r="O780" t="n">
        <v>0</v>
      </c>
      <c r="P780" t="n">
        <v>0</v>
      </c>
      <c r="Q780" t="n">
        <v>0</v>
      </c>
      <c r="R780" s="2" t="inlineStr"/>
    </row>
    <row r="781" ht="15" customHeight="1">
      <c r="A781" t="inlineStr">
        <is>
          <t>A 63745-2019</t>
        </is>
      </c>
      <c r="B781" s="1" t="n">
        <v>43795</v>
      </c>
      <c r="C781" s="1" t="n">
        <v>45571</v>
      </c>
      <c r="D781" t="inlineStr">
        <is>
          <t>STOCKHOLMS LÄN</t>
        </is>
      </c>
      <c r="E781" t="inlineStr">
        <is>
          <t>UPPLANDS-BRO</t>
        </is>
      </c>
      <c r="F781" t="inlineStr">
        <is>
          <t>Övriga statliga verk och myndigheter</t>
        </is>
      </c>
      <c r="G781" t="n">
        <v>12.9</v>
      </c>
      <c r="H781" t="n">
        <v>0</v>
      </c>
      <c r="I781" t="n">
        <v>0</v>
      </c>
      <c r="J781" t="n">
        <v>0</v>
      </c>
      <c r="K781" t="n">
        <v>0</v>
      </c>
      <c r="L781" t="n">
        <v>0</v>
      </c>
      <c r="M781" t="n">
        <v>0</v>
      </c>
      <c r="N781" t="n">
        <v>0</v>
      </c>
      <c r="O781" t="n">
        <v>0</v>
      </c>
      <c r="P781" t="n">
        <v>0</v>
      </c>
      <c r="Q781" t="n">
        <v>0</v>
      </c>
      <c r="R781" s="2" t="inlineStr"/>
    </row>
    <row r="782" ht="15" customHeight="1">
      <c r="A782" t="inlineStr">
        <is>
          <t>A 64293-2019</t>
        </is>
      </c>
      <c r="B782" s="1" t="n">
        <v>43797</v>
      </c>
      <c r="C782" s="1" t="n">
        <v>45571</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64617-2019</t>
        </is>
      </c>
      <c r="B783" s="1" t="n">
        <v>43798</v>
      </c>
      <c r="C783" s="1" t="n">
        <v>45571</v>
      </c>
      <c r="D783" t="inlineStr">
        <is>
          <t>STOCKHOLMS LÄN</t>
        </is>
      </c>
      <c r="E783" t="inlineStr">
        <is>
          <t>NYNÄSHAMN</t>
        </is>
      </c>
      <c r="G783" t="n">
        <v>1</v>
      </c>
      <c r="H783" t="n">
        <v>0</v>
      </c>
      <c r="I783" t="n">
        <v>0</v>
      </c>
      <c r="J783" t="n">
        <v>0</v>
      </c>
      <c r="K783" t="n">
        <v>0</v>
      </c>
      <c r="L783" t="n">
        <v>0</v>
      </c>
      <c r="M783" t="n">
        <v>0</v>
      </c>
      <c r="N783" t="n">
        <v>0</v>
      </c>
      <c r="O783" t="n">
        <v>0</v>
      </c>
      <c r="P783" t="n">
        <v>0</v>
      </c>
      <c r="Q783" t="n">
        <v>0</v>
      </c>
      <c r="R783" s="2" t="inlineStr"/>
    </row>
    <row r="784" ht="15" customHeight="1">
      <c r="A784" t="inlineStr">
        <is>
          <t>A 64490-2019</t>
        </is>
      </c>
      <c r="B784" s="1" t="n">
        <v>43798</v>
      </c>
      <c r="C784" s="1" t="n">
        <v>45571</v>
      </c>
      <c r="D784" t="inlineStr">
        <is>
          <t>STOCKHOLMS LÄN</t>
        </is>
      </c>
      <c r="E784" t="inlineStr">
        <is>
          <t>NYKVARN</t>
        </is>
      </c>
      <c r="G784" t="n">
        <v>0.8</v>
      </c>
      <c r="H784" t="n">
        <v>0</v>
      </c>
      <c r="I784" t="n">
        <v>0</v>
      </c>
      <c r="J784" t="n">
        <v>0</v>
      </c>
      <c r="K784" t="n">
        <v>0</v>
      </c>
      <c r="L784" t="n">
        <v>0</v>
      </c>
      <c r="M784" t="n">
        <v>0</v>
      </c>
      <c r="N784" t="n">
        <v>0</v>
      </c>
      <c r="O784" t="n">
        <v>0</v>
      </c>
      <c r="P784" t="n">
        <v>0</v>
      </c>
      <c r="Q784" t="n">
        <v>0</v>
      </c>
      <c r="R784" s="2" t="inlineStr"/>
    </row>
    <row r="785" ht="15" customHeight="1">
      <c r="A785" t="inlineStr">
        <is>
          <t>A 64656-2019</t>
        </is>
      </c>
      <c r="B785" s="1" t="n">
        <v>43798</v>
      </c>
      <c r="C785" s="1" t="n">
        <v>45571</v>
      </c>
      <c r="D785" t="inlineStr">
        <is>
          <t>STOCKHOLMS LÄN</t>
        </is>
      </c>
      <c r="E785" t="inlineStr">
        <is>
          <t>EKERÖ</t>
        </is>
      </c>
      <c r="G785" t="n">
        <v>2.1</v>
      </c>
      <c r="H785" t="n">
        <v>0</v>
      </c>
      <c r="I785" t="n">
        <v>0</v>
      </c>
      <c r="J785" t="n">
        <v>0</v>
      </c>
      <c r="K785" t="n">
        <v>0</v>
      </c>
      <c r="L785" t="n">
        <v>0</v>
      </c>
      <c r="M785" t="n">
        <v>0</v>
      </c>
      <c r="N785" t="n">
        <v>0</v>
      </c>
      <c r="O785" t="n">
        <v>0</v>
      </c>
      <c r="P785" t="n">
        <v>0</v>
      </c>
      <c r="Q785" t="n">
        <v>0</v>
      </c>
      <c r="R785" s="2" t="inlineStr"/>
    </row>
    <row r="786" ht="15" customHeight="1">
      <c r="A786" t="inlineStr">
        <is>
          <t>A 65405-2019</t>
        </is>
      </c>
      <c r="B786" s="1" t="n">
        <v>43798</v>
      </c>
      <c r="C786" s="1" t="n">
        <v>45571</v>
      </c>
      <c r="D786" t="inlineStr">
        <is>
          <t>STOCKHOLMS LÄN</t>
        </is>
      </c>
      <c r="E786" t="inlineStr">
        <is>
          <t>UPPLANDS-BRO</t>
        </is>
      </c>
      <c r="G786" t="n">
        <v>6.6</v>
      </c>
      <c r="H786" t="n">
        <v>0</v>
      </c>
      <c r="I786" t="n">
        <v>0</v>
      </c>
      <c r="J786" t="n">
        <v>0</v>
      </c>
      <c r="K786" t="n">
        <v>0</v>
      </c>
      <c r="L786" t="n">
        <v>0</v>
      </c>
      <c r="M786" t="n">
        <v>0</v>
      </c>
      <c r="N786" t="n">
        <v>0</v>
      </c>
      <c r="O786" t="n">
        <v>0</v>
      </c>
      <c r="P786" t="n">
        <v>0</v>
      </c>
      <c r="Q786" t="n">
        <v>0</v>
      </c>
      <c r="R786" s="2" t="inlineStr"/>
    </row>
    <row r="787" ht="15" customHeight="1">
      <c r="A787" t="inlineStr">
        <is>
          <t>A 64901-2019</t>
        </is>
      </c>
      <c r="B787" s="1" t="n">
        <v>43801</v>
      </c>
      <c r="C787" s="1" t="n">
        <v>45571</v>
      </c>
      <c r="D787" t="inlineStr">
        <is>
          <t>STOCKHOLMS LÄN</t>
        </is>
      </c>
      <c r="E787" t="inlineStr">
        <is>
          <t>SIGTUNA</t>
        </is>
      </c>
      <c r="G787" t="n">
        <v>1.3</v>
      </c>
      <c r="H787" t="n">
        <v>0</v>
      </c>
      <c r="I787" t="n">
        <v>0</v>
      </c>
      <c r="J787" t="n">
        <v>0</v>
      </c>
      <c r="K787" t="n">
        <v>0</v>
      </c>
      <c r="L787" t="n">
        <v>0</v>
      </c>
      <c r="M787" t="n">
        <v>0</v>
      </c>
      <c r="N787" t="n">
        <v>0</v>
      </c>
      <c r="O787" t="n">
        <v>0</v>
      </c>
      <c r="P787" t="n">
        <v>0</v>
      </c>
      <c r="Q787" t="n">
        <v>0</v>
      </c>
      <c r="R787" s="2" t="inlineStr"/>
    </row>
    <row r="788" ht="15" customHeight="1">
      <c r="A788" t="inlineStr">
        <is>
          <t>A 64995-2019</t>
        </is>
      </c>
      <c r="B788" s="1" t="n">
        <v>43801</v>
      </c>
      <c r="C788" s="1" t="n">
        <v>45571</v>
      </c>
      <c r="D788" t="inlineStr">
        <is>
          <t>STOCKHOLMS LÄN</t>
        </is>
      </c>
      <c r="E788" t="inlineStr">
        <is>
          <t>SÖDERTÄLJE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64938-2019</t>
        </is>
      </c>
      <c r="B789" s="1" t="n">
        <v>43801</v>
      </c>
      <c r="C789" s="1" t="n">
        <v>45571</v>
      </c>
      <c r="D789" t="inlineStr">
        <is>
          <t>STOCKHOLMS LÄN</t>
        </is>
      </c>
      <c r="E789" t="inlineStr">
        <is>
          <t>SÖDERTÄLJE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64898-2019</t>
        </is>
      </c>
      <c r="B790" s="1" t="n">
        <v>43801</v>
      </c>
      <c r="C790" s="1" t="n">
        <v>45571</v>
      </c>
      <c r="D790" t="inlineStr">
        <is>
          <t>STOCKHOLMS LÄN</t>
        </is>
      </c>
      <c r="E790" t="inlineStr">
        <is>
          <t>SIGTUNA</t>
        </is>
      </c>
      <c r="G790" t="n">
        <v>2.3</v>
      </c>
      <c r="H790" t="n">
        <v>0</v>
      </c>
      <c r="I790" t="n">
        <v>0</v>
      </c>
      <c r="J790" t="n">
        <v>0</v>
      </c>
      <c r="K790" t="n">
        <v>0</v>
      </c>
      <c r="L790" t="n">
        <v>0</v>
      </c>
      <c r="M790" t="n">
        <v>0</v>
      </c>
      <c r="N790" t="n">
        <v>0</v>
      </c>
      <c r="O790" t="n">
        <v>0</v>
      </c>
      <c r="P790" t="n">
        <v>0</v>
      </c>
      <c r="Q790" t="n">
        <v>0</v>
      </c>
      <c r="R790" s="2" t="inlineStr"/>
    </row>
    <row r="791" ht="15" customHeight="1">
      <c r="A791" t="inlineStr">
        <is>
          <t>A 65577-2019</t>
        </is>
      </c>
      <c r="B791" s="1" t="n">
        <v>43803</v>
      </c>
      <c r="C791" s="1" t="n">
        <v>45571</v>
      </c>
      <c r="D791" t="inlineStr">
        <is>
          <t>STOCKHOLMS LÄN</t>
        </is>
      </c>
      <c r="E791" t="inlineStr">
        <is>
          <t>NYKVARN</t>
        </is>
      </c>
      <c r="G791" t="n">
        <v>1.5</v>
      </c>
      <c r="H791" t="n">
        <v>0</v>
      </c>
      <c r="I791" t="n">
        <v>0</v>
      </c>
      <c r="J791" t="n">
        <v>0</v>
      </c>
      <c r="K791" t="n">
        <v>0</v>
      </c>
      <c r="L791" t="n">
        <v>0</v>
      </c>
      <c r="M791" t="n">
        <v>0</v>
      </c>
      <c r="N791" t="n">
        <v>0</v>
      </c>
      <c r="O791" t="n">
        <v>0</v>
      </c>
      <c r="P791" t="n">
        <v>0</v>
      </c>
      <c r="Q791" t="n">
        <v>0</v>
      </c>
      <c r="R791" s="2" t="inlineStr"/>
    </row>
    <row r="792" ht="15" customHeight="1">
      <c r="A792" t="inlineStr">
        <is>
          <t>A 65640-2019</t>
        </is>
      </c>
      <c r="B792" s="1" t="n">
        <v>43804</v>
      </c>
      <c r="C792" s="1" t="n">
        <v>45571</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65998-2019</t>
        </is>
      </c>
      <c r="B793" s="1" t="n">
        <v>43805</v>
      </c>
      <c r="C793" s="1" t="n">
        <v>45571</v>
      </c>
      <c r="D793" t="inlineStr">
        <is>
          <t>STOCKHOLMS LÄN</t>
        </is>
      </c>
      <c r="E793" t="inlineStr">
        <is>
          <t>NORRTÄLJE</t>
        </is>
      </c>
      <c r="G793" t="n">
        <v>6.5</v>
      </c>
      <c r="H793" t="n">
        <v>0</v>
      </c>
      <c r="I793" t="n">
        <v>0</v>
      </c>
      <c r="J793" t="n">
        <v>0</v>
      </c>
      <c r="K793" t="n">
        <v>0</v>
      </c>
      <c r="L793" t="n">
        <v>0</v>
      </c>
      <c r="M793" t="n">
        <v>0</v>
      </c>
      <c r="N793" t="n">
        <v>0</v>
      </c>
      <c r="O793" t="n">
        <v>0</v>
      </c>
      <c r="P793" t="n">
        <v>0</v>
      </c>
      <c r="Q793" t="n">
        <v>0</v>
      </c>
      <c r="R793" s="2" t="inlineStr"/>
    </row>
    <row r="794" ht="15" customHeight="1">
      <c r="A794" t="inlineStr">
        <is>
          <t>A 67111-2019</t>
        </is>
      </c>
      <c r="B794" s="1" t="n">
        <v>43807</v>
      </c>
      <c r="C794" s="1" t="n">
        <v>45571</v>
      </c>
      <c r="D794" t="inlineStr">
        <is>
          <t>STOCKHOLMS LÄN</t>
        </is>
      </c>
      <c r="E794" t="inlineStr">
        <is>
          <t>HANINGE</t>
        </is>
      </c>
      <c r="G794" t="n">
        <v>0.6</v>
      </c>
      <c r="H794" t="n">
        <v>0</v>
      </c>
      <c r="I794" t="n">
        <v>0</v>
      </c>
      <c r="J794" t="n">
        <v>0</v>
      </c>
      <c r="K794" t="n">
        <v>0</v>
      </c>
      <c r="L794" t="n">
        <v>0</v>
      </c>
      <c r="M794" t="n">
        <v>0</v>
      </c>
      <c r="N794" t="n">
        <v>0</v>
      </c>
      <c r="O794" t="n">
        <v>0</v>
      </c>
      <c r="P794" t="n">
        <v>0</v>
      </c>
      <c r="Q794" t="n">
        <v>0</v>
      </c>
      <c r="R794" s="2" t="inlineStr"/>
    </row>
    <row r="795" ht="15" customHeight="1">
      <c r="A795" t="inlineStr">
        <is>
          <t>A 66604-2019</t>
        </is>
      </c>
      <c r="B795" s="1" t="n">
        <v>43809</v>
      </c>
      <c r="C795" s="1" t="n">
        <v>45571</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66603-2019</t>
        </is>
      </c>
      <c r="B796" s="1" t="n">
        <v>43809</v>
      </c>
      <c r="C796" s="1" t="n">
        <v>45571</v>
      </c>
      <c r="D796" t="inlineStr">
        <is>
          <t>STOCKHOLMS LÄN</t>
        </is>
      </c>
      <c r="E796" t="inlineStr">
        <is>
          <t>EKERÖ</t>
        </is>
      </c>
      <c r="G796" t="n">
        <v>2.8</v>
      </c>
      <c r="H796" t="n">
        <v>0</v>
      </c>
      <c r="I796" t="n">
        <v>0</v>
      </c>
      <c r="J796" t="n">
        <v>0</v>
      </c>
      <c r="K796" t="n">
        <v>0</v>
      </c>
      <c r="L796" t="n">
        <v>0</v>
      </c>
      <c r="M796" t="n">
        <v>0</v>
      </c>
      <c r="N796" t="n">
        <v>0</v>
      </c>
      <c r="O796" t="n">
        <v>0</v>
      </c>
      <c r="P796" t="n">
        <v>0</v>
      </c>
      <c r="Q796" t="n">
        <v>0</v>
      </c>
      <c r="R796" s="2" t="inlineStr"/>
    </row>
    <row r="797" ht="15" customHeight="1">
      <c r="A797" t="inlineStr">
        <is>
          <t>A 66599-2019</t>
        </is>
      </c>
      <c r="B797" s="1" t="n">
        <v>43809</v>
      </c>
      <c r="C797" s="1" t="n">
        <v>45571</v>
      </c>
      <c r="D797" t="inlineStr">
        <is>
          <t>STOCKHOLMS LÄN</t>
        </is>
      </c>
      <c r="E797" t="inlineStr">
        <is>
          <t>EKERÖ</t>
        </is>
      </c>
      <c r="G797" t="n">
        <v>4.9</v>
      </c>
      <c r="H797" t="n">
        <v>0</v>
      </c>
      <c r="I797" t="n">
        <v>0</v>
      </c>
      <c r="J797" t="n">
        <v>0</v>
      </c>
      <c r="K797" t="n">
        <v>0</v>
      </c>
      <c r="L797" t="n">
        <v>0</v>
      </c>
      <c r="M797" t="n">
        <v>0</v>
      </c>
      <c r="N797" t="n">
        <v>0</v>
      </c>
      <c r="O797" t="n">
        <v>0</v>
      </c>
      <c r="P797" t="n">
        <v>0</v>
      </c>
      <c r="Q797" t="n">
        <v>0</v>
      </c>
      <c r="R797" s="2" t="inlineStr"/>
    </row>
    <row r="798" ht="15" customHeight="1">
      <c r="A798" t="inlineStr">
        <is>
          <t>A 66589-2019</t>
        </is>
      </c>
      <c r="B798" s="1" t="n">
        <v>43809</v>
      </c>
      <c r="C798" s="1" t="n">
        <v>45571</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67158-2019</t>
        </is>
      </c>
      <c r="B799" s="1" t="n">
        <v>43811</v>
      </c>
      <c r="C799" s="1" t="n">
        <v>45571</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67324-2019</t>
        </is>
      </c>
      <c r="B800" s="1" t="n">
        <v>43812</v>
      </c>
      <c r="C800" s="1" t="n">
        <v>45571</v>
      </c>
      <c r="D800" t="inlineStr">
        <is>
          <t>STOCKHOLMS LÄN</t>
        </is>
      </c>
      <c r="E800" t="inlineStr">
        <is>
          <t>NORRTÄLJE</t>
        </is>
      </c>
      <c r="G800" t="n">
        <v>7.7</v>
      </c>
      <c r="H800" t="n">
        <v>0</v>
      </c>
      <c r="I800" t="n">
        <v>0</v>
      </c>
      <c r="J800" t="n">
        <v>0</v>
      </c>
      <c r="K800" t="n">
        <v>0</v>
      </c>
      <c r="L800" t="n">
        <v>0</v>
      </c>
      <c r="M800" t="n">
        <v>0</v>
      </c>
      <c r="N800" t="n">
        <v>0</v>
      </c>
      <c r="O800" t="n">
        <v>0</v>
      </c>
      <c r="P800" t="n">
        <v>0</v>
      </c>
      <c r="Q800" t="n">
        <v>0</v>
      </c>
      <c r="R800" s="2" t="inlineStr"/>
    </row>
    <row r="801" ht="15" customHeight="1">
      <c r="A801" t="inlineStr">
        <is>
          <t>A 68011-2019</t>
        </is>
      </c>
      <c r="B801" s="1" t="n">
        <v>43816</v>
      </c>
      <c r="C801" s="1" t="n">
        <v>45571</v>
      </c>
      <c r="D801" t="inlineStr">
        <is>
          <t>STOCKHOLMS LÄN</t>
        </is>
      </c>
      <c r="E801" t="inlineStr">
        <is>
          <t>HANINGE</t>
        </is>
      </c>
      <c r="G801" t="n">
        <v>0.1</v>
      </c>
      <c r="H801" t="n">
        <v>0</v>
      </c>
      <c r="I801" t="n">
        <v>0</v>
      </c>
      <c r="J801" t="n">
        <v>0</v>
      </c>
      <c r="K801" t="n">
        <v>0</v>
      </c>
      <c r="L801" t="n">
        <v>0</v>
      </c>
      <c r="M801" t="n">
        <v>0</v>
      </c>
      <c r="N801" t="n">
        <v>0</v>
      </c>
      <c r="O801" t="n">
        <v>0</v>
      </c>
      <c r="P801" t="n">
        <v>0</v>
      </c>
      <c r="Q801" t="n">
        <v>0</v>
      </c>
      <c r="R801" s="2" t="inlineStr"/>
    </row>
    <row r="802" ht="15" customHeight="1">
      <c r="A802" t="inlineStr">
        <is>
          <t>A 68105-2019</t>
        </is>
      </c>
      <c r="B802" s="1" t="n">
        <v>43817</v>
      </c>
      <c r="C802" s="1" t="n">
        <v>45571</v>
      </c>
      <c r="D802" t="inlineStr">
        <is>
          <t>STOCKHOLMS LÄN</t>
        </is>
      </c>
      <c r="E802" t="inlineStr">
        <is>
          <t>ÖSTERÅKER</t>
        </is>
      </c>
      <c r="G802" t="n">
        <v>16.6</v>
      </c>
      <c r="H802" t="n">
        <v>0</v>
      </c>
      <c r="I802" t="n">
        <v>0</v>
      </c>
      <c r="J802" t="n">
        <v>0</v>
      </c>
      <c r="K802" t="n">
        <v>0</v>
      </c>
      <c r="L802" t="n">
        <v>0</v>
      </c>
      <c r="M802" t="n">
        <v>0</v>
      </c>
      <c r="N802" t="n">
        <v>0</v>
      </c>
      <c r="O802" t="n">
        <v>0</v>
      </c>
      <c r="P802" t="n">
        <v>0</v>
      </c>
      <c r="Q802" t="n">
        <v>0</v>
      </c>
      <c r="R802" s="2" t="inlineStr"/>
    </row>
    <row r="803" ht="15" customHeight="1">
      <c r="A803" t="inlineStr">
        <is>
          <t>A 68121-2019</t>
        </is>
      </c>
      <c r="B803" s="1" t="n">
        <v>43817</v>
      </c>
      <c r="C803" s="1" t="n">
        <v>45571</v>
      </c>
      <c r="D803" t="inlineStr">
        <is>
          <t>STOCKHOLMS LÄN</t>
        </is>
      </c>
      <c r="E803" t="inlineStr">
        <is>
          <t>ÖSTERÅKER</t>
        </is>
      </c>
      <c r="G803" t="n">
        <v>4.2</v>
      </c>
      <c r="H803" t="n">
        <v>0</v>
      </c>
      <c r="I803" t="n">
        <v>0</v>
      </c>
      <c r="J803" t="n">
        <v>0</v>
      </c>
      <c r="K803" t="n">
        <v>0</v>
      </c>
      <c r="L803" t="n">
        <v>0</v>
      </c>
      <c r="M803" t="n">
        <v>0</v>
      </c>
      <c r="N803" t="n">
        <v>0</v>
      </c>
      <c r="O803" t="n">
        <v>0</v>
      </c>
      <c r="P803" t="n">
        <v>0</v>
      </c>
      <c r="Q803" t="n">
        <v>0</v>
      </c>
      <c r="R803" s="2" t="inlineStr"/>
    </row>
    <row r="804" ht="15" customHeight="1">
      <c r="A804" t="inlineStr">
        <is>
          <t>A 68129-2019</t>
        </is>
      </c>
      <c r="B804" s="1" t="n">
        <v>43817</v>
      </c>
      <c r="C804" s="1" t="n">
        <v>45571</v>
      </c>
      <c r="D804" t="inlineStr">
        <is>
          <t>STOCKHOLMS LÄN</t>
        </is>
      </c>
      <c r="E804" t="inlineStr">
        <is>
          <t>VALLENTUNA</t>
        </is>
      </c>
      <c r="G804" t="n">
        <v>4.2</v>
      </c>
      <c r="H804" t="n">
        <v>0</v>
      </c>
      <c r="I804" t="n">
        <v>0</v>
      </c>
      <c r="J804" t="n">
        <v>0</v>
      </c>
      <c r="K804" t="n">
        <v>0</v>
      </c>
      <c r="L804" t="n">
        <v>0</v>
      </c>
      <c r="M804" t="n">
        <v>0</v>
      </c>
      <c r="N804" t="n">
        <v>0</v>
      </c>
      <c r="O804" t="n">
        <v>0</v>
      </c>
      <c r="P804" t="n">
        <v>0</v>
      </c>
      <c r="Q804" t="n">
        <v>0</v>
      </c>
      <c r="R804" s="2" t="inlineStr"/>
    </row>
    <row r="805" ht="15" customHeight="1">
      <c r="A805" t="inlineStr">
        <is>
          <t>A 68109-2019</t>
        </is>
      </c>
      <c r="B805" s="1" t="n">
        <v>43817</v>
      </c>
      <c r="C805" s="1" t="n">
        <v>45571</v>
      </c>
      <c r="D805" t="inlineStr">
        <is>
          <t>STOCKHOLMS LÄN</t>
        </is>
      </c>
      <c r="E805" t="inlineStr">
        <is>
          <t>ÖSTERÅKER</t>
        </is>
      </c>
      <c r="G805" t="n">
        <v>5.8</v>
      </c>
      <c r="H805" t="n">
        <v>0</v>
      </c>
      <c r="I805" t="n">
        <v>0</v>
      </c>
      <c r="J805" t="n">
        <v>0</v>
      </c>
      <c r="K805" t="n">
        <v>0</v>
      </c>
      <c r="L805" t="n">
        <v>0</v>
      </c>
      <c r="M805" t="n">
        <v>0</v>
      </c>
      <c r="N805" t="n">
        <v>0</v>
      </c>
      <c r="O805" t="n">
        <v>0</v>
      </c>
      <c r="P805" t="n">
        <v>0</v>
      </c>
      <c r="Q805" t="n">
        <v>0</v>
      </c>
      <c r="R805" s="2" t="inlineStr"/>
    </row>
    <row r="806" ht="15" customHeight="1">
      <c r="A806" t="inlineStr">
        <is>
          <t>A 68123-2019</t>
        </is>
      </c>
      <c r="B806" s="1" t="n">
        <v>43817</v>
      </c>
      <c r="C806" s="1" t="n">
        <v>45571</v>
      </c>
      <c r="D806" t="inlineStr">
        <is>
          <t>STOCKHOLMS LÄN</t>
        </is>
      </c>
      <c r="E806" t="inlineStr">
        <is>
          <t>ÖSTERÅKER</t>
        </is>
      </c>
      <c r="G806" t="n">
        <v>2</v>
      </c>
      <c r="H806" t="n">
        <v>0</v>
      </c>
      <c r="I806" t="n">
        <v>0</v>
      </c>
      <c r="J806" t="n">
        <v>0</v>
      </c>
      <c r="K806" t="n">
        <v>0</v>
      </c>
      <c r="L806" t="n">
        <v>0</v>
      </c>
      <c r="M806" t="n">
        <v>0</v>
      </c>
      <c r="N806" t="n">
        <v>0</v>
      </c>
      <c r="O806" t="n">
        <v>0</v>
      </c>
      <c r="P806" t="n">
        <v>0</v>
      </c>
      <c r="Q806" t="n">
        <v>0</v>
      </c>
      <c r="R806" s="2" t="inlineStr"/>
    </row>
    <row r="807" ht="15" customHeight="1">
      <c r="A807" t="inlineStr">
        <is>
          <t>A 68122-2019</t>
        </is>
      </c>
      <c r="B807" s="1" t="n">
        <v>43817</v>
      </c>
      <c r="C807" s="1" t="n">
        <v>45571</v>
      </c>
      <c r="D807" t="inlineStr">
        <is>
          <t>STOCKHOLMS LÄN</t>
        </is>
      </c>
      <c r="E807" t="inlineStr">
        <is>
          <t>ÖSTERÅKER</t>
        </is>
      </c>
      <c r="G807" t="n">
        <v>4.5</v>
      </c>
      <c r="H807" t="n">
        <v>0</v>
      </c>
      <c r="I807" t="n">
        <v>0</v>
      </c>
      <c r="J807" t="n">
        <v>0</v>
      </c>
      <c r="K807" t="n">
        <v>0</v>
      </c>
      <c r="L807" t="n">
        <v>0</v>
      </c>
      <c r="M807" t="n">
        <v>0</v>
      </c>
      <c r="N807" t="n">
        <v>0</v>
      </c>
      <c r="O807" t="n">
        <v>0</v>
      </c>
      <c r="P807" t="n">
        <v>0</v>
      </c>
      <c r="Q807" t="n">
        <v>0</v>
      </c>
      <c r="R807" s="2" t="inlineStr"/>
    </row>
    <row r="808" ht="15" customHeight="1">
      <c r="A808" t="inlineStr">
        <is>
          <t>A 68236-2019</t>
        </is>
      </c>
      <c r="B808" s="1" t="n">
        <v>43817</v>
      </c>
      <c r="C808" s="1" t="n">
        <v>45571</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68104-2019</t>
        </is>
      </c>
      <c r="B809" s="1" t="n">
        <v>43817</v>
      </c>
      <c r="C809" s="1" t="n">
        <v>45571</v>
      </c>
      <c r="D809" t="inlineStr">
        <is>
          <t>STOCKHOLMS LÄN</t>
        </is>
      </c>
      <c r="E809" t="inlineStr">
        <is>
          <t>ÖSTERÅKER</t>
        </is>
      </c>
      <c r="G809" t="n">
        <v>8.4</v>
      </c>
      <c r="H809" t="n">
        <v>0</v>
      </c>
      <c r="I809" t="n">
        <v>0</v>
      </c>
      <c r="J809" t="n">
        <v>0</v>
      </c>
      <c r="K809" t="n">
        <v>0</v>
      </c>
      <c r="L809" t="n">
        <v>0</v>
      </c>
      <c r="M809" t="n">
        <v>0</v>
      </c>
      <c r="N809" t="n">
        <v>0</v>
      </c>
      <c r="O809" t="n">
        <v>0</v>
      </c>
      <c r="P809" t="n">
        <v>0</v>
      </c>
      <c r="Q809" t="n">
        <v>0</v>
      </c>
      <c r="R809" s="2" t="inlineStr"/>
    </row>
    <row r="810" ht="15" customHeight="1">
      <c r="A810" t="inlineStr">
        <is>
          <t>A 68825-2019</t>
        </is>
      </c>
      <c r="B810" s="1" t="n">
        <v>43819</v>
      </c>
      <c r="C810" s="1" t="n">
        <v>45571</v>
      </c>
      <c r="D810" t="inlineStr">
        <is>
          <t>STOCKHOLMS LÄN</t>
        </is>
      </c>
      <c r="E810" t="inlineStr">
        <is>
          <t>SIGTUNA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68826-2019</t>
        </is>
      </c>
      <c r="B811" s="1" t="n">
        <v>43819</v>
      </c>
      <c r="C811" s="1" t="n">
        <v>45571</v>
      </c>
      <c r="D811" t="inlineStr">
        <is>
          <t>STOCKHOLMS LÄN</t>
        </is>
      </c>
      <c r="E811" t="inlineStr">
        <is>
          <t>SIGTUNA</t>
        </is>
      </c>
      <c r="F811" t="inlineStr">
        <is>
          <t>Kyrkan</t>
        </is>
      </c>
      <c r="G811" t="n">
        <v>4.6</v>
      </c>
      <c r="H811" t="n">
        <v>0</v>
      </c>
      <c r="I811" t="n">
        <v>0</v>
      </c>
      <c r="J811" t="n">
        <v>0</v>
      </c>
      <c r="K811" t="n">
        <v>0</v>
      </c>
      <c r="L811" t="n">
        <v>0</v>
      </c>
      <c r="M811" t="n">
        <v>0</v>
      </c>
      <c r="N811" t="n">
        <v>0</v>
      </c>
      <c r="O811" t="n">
        <v>0</v>
      </c>
      <c r="P811" t="n">
        <v>0</v>
      </c>
      <c r="Q811" t="n">
        <v>0</v>
      </c>
      <c r="R811" s="2" t="inlineStr"/>
    </row>
    <row r="812" ht="15" customHeight="1">
      <c r="A812" t="inlineStr">
        <is>
          <t>A 68829-2019</t>
        </is>
      </c>
      <c r="B812" s="1" t="n">
        <v>43819</v>
      </c>
      <c r="C812" s="1" t="n">
        <v>45571</v>
      </c>
      <c r="D812" t="inlineStr">
        <is>
          <t>STOCKHOLMS LÄN</t>
        </is>
      </c>
      <c r="E812" t="inlineStr">
        <is>
          <t>SIGTUNA</t>
        </is>
      </c>
      <c r="F812" t="inlineStr">
        <is>
          <t>Kyrkan</t>
        </is>
      </c>
      <c r="G812" t="n">
        <v>2.5</v>
      </c>
      <c r="H812" t="n">
        <v>0</v>
      </c>
      <c r="I812" t="n">
        <v>0</v>
      </c>
      <c r="J812" t="n">
        <v>0</v>
      </c>
      <c r="K812" t="n">
        <v>0</v>
      </c>
      <c r="L812" t="n">
        <v>0</v>
      </c>
      <c r="M812" t="n">
        <v>0</v>
      </c>
      <c r="N812" t="n">
        <v>0</v>
      </c>
      <c r="O812" t="n">
        <v>0</v>
      </c>
      <c r="P812" t="n">
        <v>0</v>
      </c>
      <c r="Q812" t="n">
        <v>0</v>
      </c>
      <c r="R812" s="2" t="inlineStr"/>
    </row>
    <row r="813" ht="15" customHeight="1">
      <c r="A813" t="inlineStr">
        <is>
          <t>A 68865-2019</t>
        </is>
      </c>
      <c r="B813" s="1" t="n">
        <v>43821</v>
      </c>
      <c r="C813" s="1" t="n">
        <v>45571</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1099-2020</t>
        </is>
      </c>
      <c r="B814" s="1" t="n">
        <v>43822</v>
      </c>
      <c r="C814" s="1" t="n">
        <v>45571</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292-2020</t>
        </is>
      </c>
      <c r="B815" s="1" t="n">
        <v>43837</v>
      </c>
      <c r="C815" s="1" t="n">
        <v>45571</v>
      </c>
      <c r="D815" t="inlineStr">
        <is>
          <t>STOCKHOLMS LÄN</t>
        </is>
      </c>
      <c r="E815" t="inlineStr">
        <is>
          <t>EKERÖ</t>
        </is>
      </c>
      <c r="G815" t="n">
        <v>4.1</v>
      </c>
      <c r="H815" t="n">
        <v>0</v>
      </c>
      <c r="I815" t="n">
        <v>0</v>
      </c>
      <c r="J815" t="n">
        <v>0</v>
      </c>
      <c r="K815" t="n">
        <v>0</v>
      </c>
      <c r="L815" t="n">
        <v>0</v>
      </c>
      <c r="M815" t="n">
        <v>0</v>
      </c>
      <c r="N815" t="n">
        <v>0</v>
      </c>
      <c r="O815" t="n">
        <v>0</v>
      </c>
      <c r="P815" t="n">
        <v>0</v>
      </c>
      <c r="Q815" t="n">
        <v>0</v>
      </c>
      <c r="R815" s="2" t="inlineStr"/>
    </row>
    <row r="816" ht="15" customHeight="1">
      <c r="A816" t="inlineStr">
        <is>
          <t>A 461-2020</t>
        </is>
      </c>
      <c r="B816" s="1" t="n">
        <v>43837</v>
      </c>
      <c r="C816" s="1" t="n">
        <v>45571</v>
      </c>
      <c r="D816" t="inlineStr">
        <is>
          <t>STOCKHOLMS LÄN</t>
        </is>
      </c>
      <c r="E816" t="inlineStr">
        <is>
          <t>NYNÄSHAMN</t>
        </is>
      </c>
      <c r="G816" t="n">
        <v>1.1</v>
      </c>
      <c r="H816" t="n">
        <v>0</v>
      </c>
      <c r="I816" t="n">
        <v>0</v>
      </c>
      <c r="J816" t="n">
        <v>0</v>
      </c>
      <c r="K816" t="n">
        <v>0</v>
      </c>
      <c r="L816" t="n">
        <v>0</v>
      </c>
      <c r="M816" t="n">
        <v>0</v>
      </c>
      <c r="N816" t="n">
        <v>0</v>
      </c>
      <c r="O816" t="n">
        <v>0</v>
      </c>
      <c r="P816" t="n">
        <v>0</v>
      </c>
      <c r="Q816" t="n">
        <v>0</v>
      </c>
      <c r="R816" s="2" t="inlineStr"/>
    </row>
    <row r="817" ht="15" customHeight="1">
      <c r="A817" t="inlineStr">
        <is>
          <t>A 464-2020</t>
        </is>
      </c>
      <c r="B817" s="1" t="n">
        <v>43837</v>
      </c>
      <c r="C817" s="1" t="n">
        <v>45571</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630-2020</t>
        </is>
      </c>
      <c r="B818" s="1" t="n">
        <v>43838</v>
      </c>
      <c r="C818" s="1" t="n">
        <v>45571</v>
      </c>
      <c r="D818" t="inlineStr">
        <is>
          <t>STOCKHOLMS LÄN</t>
        </is>
      </c>
      <c r="E818" t="inlineStr">
        <is>
          <t>SÖDERTÄLJE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2559-2020</t>
        </is>
      </c>
      <c r="B819" s="1" t="n">
        <v>43843</v>
      </c>
      <c r="C819" s="1" t="n">
        <v>45571</v>
      </c>
      <c r="D819" t="inlineStr">
        <is>
          <t>STOCKHOLMS LÄN</t>
        </is>
      </c>
      <c r="E819" t="inlineStr">
        <is>
          <t>SÖDERTÄLJE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1388-2020</t>
        </is>
      </c>
      <c r="B820" s="1" t="n">
        <v>43843</v>
      </c>
      <c r="C820" s="1" t="n">
        <v>45571</v>
      </c>
      <c r="D820" t="inlineStr">
        <is>
          <t>STOCKHOLMS LÄN</t>
        </is>
      </c>
      <c r="E820" t="inlineStr">
        <is>
          <t>VÄRMDÖ</t>
        </is>
      </c>
      <c r="F820" t="inlineStr">
        <is>
          <t>Övriga statliga verk och myndigheter</t>
        </is>
      </c>
      <c r="G820" t="n">
        <v>2.1</v>
      </c>
      <c r="H820" t="n">
        <v>0</v>
      </c>
      <c r="I820" t="n">
        <v>0</v>
      </c>
      <c r="J820" t="n">
        <v>0</v>
      </c>
      <c r="K820" t="n">
        <v>0</v>
      </c>
      <c r="L820" t="n">
        <v>0</v>
      </c>
      <c r="M820" t="n">
        <v>0</v>
      </c>
      <c r="N820" t="n">
        <v>0</v>
      </c>
      <c r="O820" t="n">
        <v>0</v>
      </c>
      <c r="P820" t="n">
        <v>0</v>
      </c>
      <c r="Q820" t="n">
        <v>0</v>
      </c>
      <c r="R820" s="2" t="inlineStr"/>
    </row>
    <row r="821" ht="15" customHeight="1">
      <c r="A821" t="inlineStr">
        <is>
          <t>A 1669-2020</t>
        </is>
      </c>
      <c r="B821" s="1" t="n">
        <v>43844</v>
      </c>
      <c r="C821" s="1" t="n">
        <v>45571</v>
      </c>
      <c r="D821" t="inlineStr">
        <is>
          <t>STOCKHOLMS LÄN</t>
        </is>
      </c>
      <c r="E821" t="inlineStr">
        <is>
          <t>NYNÄSHAMN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1789-2020</t>
        </is>
      </c>
      <c r="B822" s="1" t="n">
        <v>43844</v>
      </c>
      <c r="C822" s="1" t="n">
        <v>45571</v>
      </c>
      <c r="D822" t="inlineStr">
        <is>
          <t>STOCKHOLMS LÄN</t>
        </is>
      </c>
      <c r="E822" t="inlineStr">
        <is>
          <t>NYNÄSHAMN</t>
        </is>
      </c>
      <c r="F822" t="inlineStr">
        <is>
          <t>Övriga statliga verk och myndigheter</t>
        </is>
      </c>
      <c r="G822" t="n">
        <v>6.4</v>
      </c>
      <c r="H822" t="n">
        <v>0</v>
      </c>
      <c r="I822" t="n">
        <v>0</v>
      </c>
      <c r="J822" t="n">
        <v>0</v>
      </c>
      <c r="K822" t="n">
        <v>0</v>
      </c>
      <c r="L822" t="n">
        <v>0</v>
      </c>
      <c r="M822" t="n">
        <v>0</v>
      </c>
      <c r="N822" t="n">
        <v>0</v>
      </c>
      <c r="O822" t="n">
        <v>0</v>
      </c>
      <c r="P822" t="n">
        <v>0</v>
      </c>
      <c r="Q822" t="n">
        <v>0</v>
      </c>
      <c r="R822" s="2" t="inlineStr"/>
    </row>
    <row r="823" ht="15" customHeight="1">
      <c r="A823" t="inlineStr">
        <is>
          <t>A 1811-2020</t>
        </is>
      </c>
      <c r="B823" s="1" t="n">
        <v>43844</v>
      </c>
      <c r="C823" s="1" t="n">
        <v>45571</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2554-2020</t>
        </is>
      </c>
      <c r="B824" s="1" t="n">
        <v>43847</v>
      </c>
      <c r="C824" s="1" t="n">
        <v>45571</v>
      </c>
      <c r="D824" t="inlineStr">
        <is>
          <t>STOCKHOLMS LÄN</t>
        </is>
      </c>
      <c r="E824" t="inlineStr">
        <is>
          <t>BOTKYRKA</t>
        </is>
      </c>
      <c r="G824" t="n">
        <v>3.3</v>
      </c>
      <c r="H824" t="n">
        <v>0</v>
      </c>
      <c r="I824" t="n">
        <v>0</v>
      </c>
      <c r="J824" t="n">
        <v>0</v>
      </c>
      <c r="K824" t="n">
        <v>0</v>
      </c>
      <c r="L824" t="n">
        <v>0</v>
      </c>
      <c r="M824" t="n">
        <v>0</v>
      </c>
      <c r="N824" t="n">
        <v>0</v>
      </c>
      <c r="O824" t="n">
        <v>0</v>
      </c>
      <c r="P824" t="n">
        <v>0</v>
      </c>
      <c r="Q824" t="n">
        <v>0</v>
      </c>
      <c r="R824" s="2" t="inlineStr"/>
    </row>
    <row r="825" ht="15" customHeight="1">
      <c r="A825" t="inlineStr">
        <is>
          <t>A 2671-2020</t>
        </is>
      </c>
      <c r="B825" s="1" t="n">
        <v>43849</v>
      </c>
      <c r="C825" s="1" t="n">
        <v>45571</v>
      </c>
      <c r="D825" t="inlineStr">
        <is>
          <t>STOCKHOLMS LÄN</t>
        </is>
      </c>
      <c r="E825" t="inlineStr">
        <is>
          <t>NYNÄSHAMN</t>
        </is>
      </c>
      <c r="G825" t="n">
        <v>1.6</v>
      </c>
      <c r="H825" t="n">
        <v>0</v>
      </c>
      <c r="I825" t="n">
        <v>0</v>
      </c>
      <c r="J825" t="n">
        <v>0</v>
      </c>
      <c r="K825" t="n">
        <v>0</v>
      </c>
      <c r="L825" t="n">
        <v>0</v>
      </c>
      <c r="M825" t="n">
        <v>0</v>
      </c>
      <c r="N825" t="n">
        <v>0</v>
      </c>
      <c r="O825" t="n">
        <v>0</v>
      </c>
      <c r="P825" t="n">
        <v>0</v>
      </c>
      <c r="Q825" t="n">
        <v>0</v>
      </c>
      <c r="R825" s="2" t="inlineStr"/>
    </row>
    <row r="826" ht="15" customHeight="1">
      <c r="A826" t="inlineStr">
        <is>
          <t>A 4475-2020</t>
        </is>
      </c>
      <c r="B826" s="1" t="n">
        <v>43849</v>
      </c>
      <c r="C826" s="1" t="n">
        <v>45571</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3144-2020</t>
        </is>
      </c>
      <c r="B827" s="1" t="n">
        <v>43851</v>
      </c>
      <c r="C827" s="1" t="n">
        <v>45571</v>
      </c>
      <c r="D827" t="inlineStr">
        <is>
          <t>STOCKHOLMS LÄN</t>
        </is>
      </c>
      <c r="E827" t="inlineStr">
        <is>
          <t>NYNÄSHAMN</t>
        </is>
      </c>
      <c r="G827" t="n">
        <v>5.9</v>
      </c>
      <c r="H827" t="n">
        <v>0</v>
      </c>
      <c r="I827" t="n">
        <v>0</v>
      </c>
      <c r="J827" t="n">
        <v>0</v>
      </c>
      <c r="K827" t="n">
        <v>0</v>
      </c>
      <c r="L827" t="n">
        <v>0</v>
      </c>
      <c r="M827" t="n">
        <v>0</v>
      </c>
      <c r="N827" t="n">
        <v>0</v>
      </c>
      <c r="O827" t="n">
        <v>0</v>
      </c>
      <c r="P827" t="n">
        <v>0</v>
      </c>
      <c r="Q827" t="n">
        <v>0</v>
      </c>
      <c r="R827" s="2" t="inlineStr"/>
    </row>
    <row r="828" ht="15" customHeight="1">
      <c r="A828" t="inlineStr">
        <is>
          <t>A 3882-2020</t>
        </is>
      </c>
      <c r="B828" s="1" t="n">
        <v>43854</v>
      </c>
      <c r="C828" s="1" t="n">
        <v>45571</v>
      </c>
      <c r="D828" t="inlineStr">
        <is>
          <t>STOCKHOLMS LÄN</t>
        </is>
      </c>
      <c r="E828" t="inlineStr">
        <is>
          <t>NORRTÄLJE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3952-2020</t>
        </is>
      </c>
      <c r="B829" s="1" t="n">
        <v>43854</v>
      </c>
      <c r="C829" s="1" t="n">
        <v>45571</v>
      </c>
      <c r="D829" t="inlineStr">
        <is>
          <t>STOCKHOLMS LÄN</t>
        </is>
      </c>
      <c r="E829" t="inlineStr">
        <is>
          <t>NYNÄSHAMN</t>
        </is>
      </c>
      <c r="F829" t="inlineStr">
        <is>
          <t>Övriga statliga verk och myndigheter</t>
        </is>
      </c>
      <c r="G829" t="n">
        <v>10.1</v>
      </c>
      <c r="H829" t="n">
        <v>0</v>
      </c>
      <c r="I829" t="n">
        <v>0</v>
      </c>
      <c r="J829" t="n">
        <v>0</v>
      </c>
      <c r="K829" t="n">
        <v>0</v>
      </c>
      <c r="L829" t="n">
        <v>0</v>
      </c>
      <c r="M829" t="n">
        <v>0</v>
      </c>
      <c r="N829" t="n">
        <v>0</v>
      </c>
      <c r="O829" t="n">
        <v>0</v>
      </c>
      <c r="P829" t="n">
        <v>0</v>
      </c>
      <c r="Q829" t="n">
        <v>0</v>
      </c>
      <c r="R829" s="2" t="inlineStr"/>
    </row>
    <row r="830" ht="15" customHeight="1">
      <c r="A830" t="inlineStr">
        <is>
          <t>A 4094-2020</t>
        </is>
      </c>
      <c r="B830" s="1" t="n">
        <v>43857</v>
      </c>
      <c r="C830" s="1" t="n">
        <v>45571</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4115-2020</t>
        </is>
      </c>
      <c r="B831" s="1" t="n">
        <v>43857</v>
      </c>
      <c r="C831" s="1" t="n">
        <v>45571</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4353-2020</t>
        </is>
      </c>
      <c r="B832" s="1" t="n">
        <v>43857</v>
      </c>
      <c r="C832" s="1" t="n">
        <v>45571</v>
      </c>
      <c r="D832" t="inlineStr">
        <is>
          <t>STOCKHOLMS LÄN</t>
        </is>
      </c>
      <c r="E832" t="inlineStr">
        <is>
          <t>EKERÖ</t>
        </is>
      </c>
      <c r="G832" t="n">
        <v>6.3</v>
      </c>
      <c r="H832" t="n">
        <v>0</v>
      </c>
      <c r="I832" t="n">
        <v>0</v>
      </c>
      <c r="J832" t="n">
        <v>0</v>
      </c>
      <c r="K832" t="n">
        <v>0</v>
      </c>
      <c r="L832" t="n">
        <v>0</v>
      </c>
      <c r="M832" t="n">
        <v>0</v>
      </c>
      <c r="N832" t="n">
        <v>0</v>
      </c>
      <c r="O832" t="n">
        <v>0</v>
      </c>
      <c r="P832" t="n">
        <v>0</v>
      </c>
      <c r="Q832" t="n">
        <v>0</v>
      </c>
      <c r="R832" s="2" t="inlineStr"/>
    </row>
    <row r="833" ht="15" customHeight="1">
      <c r="A833" t="inlineStr">
        <is>
          <t>A 4300-2020</t>
        </is>
      </c>
      <c r="B833" s="1" t="n">
        <v>43857</v>
      </c>
      <c r="C833" s="1" t="n">
        <v>45571</v>
      </c>
      <c r="D833" t="inlineStr">
        <is>
          <t>STOCKHOLMS LÄN</t>
        </is>
      </c>
      <c r="E833" t="inlineStr">
        <is>
          <t>HANINGE</t>
        </is>
      </c>
      <c r="G833" t="n">
        <v>3</v>
      </c>
      <c r="H833" t="n">
        <v>0</v>
      </c>
      <c r="I833" t="n">
        <v>0</v>
      </c>
      <c r="J833" t="n">
        <v>0</v>
      </c>
      <c r="K833" t="n">
        <v>0</v>
      </c>
      <c r="L833" t="n">
        <v>0</v>
      </c>
      <c r="M833" t="n">
        <v>0</v>
      </c>
      <c r="N833" t="n">
        <v>0</v>
      </c>
      <c r="O833" t="n">
        <v>0</v>
      </c>
      <c r="P833" t="n">
        <v>0</v>
      </c>
      <c r="Q833" t="n">
        <v>0</v>
      </c>
      <c r="R833" s="2" t="inlineStr"/>
    </row>
    <row r="834" ht="15" customHeight="1">
      <c r="A834" t="inlineStr">
        <is>
          <t>A 4431-2020</t>
        </is>
      </c>
      <c r="B834" s="1" t="n">
        <v>43858</v>
      </c>
      <c r="C834" s="1" t="n">
        <v>45571</v>
      </c>
      <c r="D834" t="inlineStr">
        <is>
          <t>STOCKHOLMS LÄN</t>
        </is>
      </c>
      <c r="E834" t="inlineStr">
        <is>
          <t>HANINGE</t>
        </is>
      </c>
      <c r="G834" t="n">
        <v>2.2</v>
      </c>
      <c r="H834" t="n">
        <v>0</v>
      </c>
      <c r="I834" t="n">
        <v>0</v>
      </c>
      <c r="J834" t="n">
        <v>0</v>
      </c>
      <c r="K834" t="n">
        <v>0</v>
      </c>
      <c r="L834" t="n">
        <v>0</v>
      </c>
      <c r="M834" t="n">
        <v>0</v>
      </c>
      <c r="N834" t="n">
        <v>0</v>
      </c>
      <c r="O834" t="n">
        <v>0</v>
      </c>
      <c r="P834" t="n">
        <v>0</v>
      </c>
      <c r="Q834" t="n">
        <v>0</v>
      </c>
      <c r="R834" s="2" t="inlineStr"/>
    </row>
    <row r="835" ht="15" customHeight="1">
      <c r="A835" t="inlineStr">
        <is>
          <t>A 4444-2020</t>
        </is>
      </c>
      <c r="B835" s="1" t="n">
        <v>43858</v>
      </c>
      <c r="C835" s="1" t="n">
        <v>45571</v>
      </c>
      <c r="D835" t="inlineStr">
        <is>
          <t>STOCKHOLMS LÄN</t>
        </is>
      </c>
      <c r="E835" t="inlineStr">
        <is>
          <t>HANINGE</t>
        </is>
      </c>
      <c r="G835" t="n">
        <v>2</v>
      </c>
      <c r="H835" t="n">
        <v>0</v>
      </c>
      <c r="I835" t="n">
        <v>0</v>
      </c>
      <c r="J835" t="n">
        <v>0</v>
      </c>
      <c r="K835" t="n">
        <v>0</v>
      </c>
      <c r="L835" t="n">
        <v>0</v>
      </c>
      <c r="M835" t="n">
        <v>0</v>
      </c>
      <c r="N835" t="n">
        <v>0</v>
      </c>
      <c r="O835" t="n">
        <v>0</v>
      </c>
      <c r="P835" t="n">
        <v>0</v>
      </c>
      <c r="Q835" t="n">
        <v>0</v>
      </c>
      <c r="R835" s="2" t="inlineStr"/>
    </row>
    <row r="836" ht="15" customHeight="1">
      <c r="A836" t="inlineStr">
        <is>
          <t>A 4950-2020</t>
        </is>
      </c>
      <c r="B836" s="1" t="n">
        <v>43859</v>
      </c>
      <c r="C836" s="1" t="n">
        <v>45571</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5084-2020</t>
        </is>
      </c>
      <c r="B837" s="1" t="n">
        <v>43859</v>
      </c>
      <c r="C837" s="1" t="n">
        <v>45571</v>
      </c>
      <c r="D837" t="inlineStr">
        <is>
          <t>STOCKHOLMS LÄN</t>
        </is>
      </c>
      <c r="E837" t="inlineStr">
        <is>
          <t>NORRTÄLJE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4952-2020</t>
        </is>
      </c>
      <c r="B838" s="1" t="n">
        <v>43859</v>
      </c>
      <c r="C838" s="1" t="n">
        <v>45571</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5406-2020</t>
        </is>
      </c>
      <c r="B839" s="1" t="n">
        <v>43860</v>
      </c>
      <c r="C839" s="1" t="n">
        <v>45571</v>
      </c>
      <c r="D839" t="inlineStr">
        <is>
          <t>STOCKHOLMS LÄN</t>
        </is>
      </c>
      <c r="E839" t="inlineStr">
        <is>
          <t>NYNÄSHAMN</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5735-2020</t>
        </is>
      </c>
      <c r="B840" s="1" t="n">
        <v>43863</v>
      </c>
      <c r="C840" s="1" t="n">
        <v>45571</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5733-2020</t>
        </is>
      </c>
      <c r="B841" s="1" t="n">
        <v>43863</v>
      </c>
      <c r="C841" s="1" t="n">
        <v>45571</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5739-2020</t>
        </is>
      </c>
      <c r="B842" s="1" t="n">
        <v>43863</v>
      </c>
      <c r="C842" s="1" t="n">
        <v>45571</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5929-2020</t>
        </is>
      </c>
      <c r="B843" s="1" t="n">
        <v>43864</v>
      </c>
      <c r="C843" s="1" t="n">
        <v>45571</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5953-2020</t>
        </is>
      </c>
      <c r="B844" s="1" t="n">
        <v>43864</v>
      </c>
      <c r="C844" s="1" t="n">
        <v>45571</v>
      </c>
      <c r="D844" t="inlineStr">
        <is>
          <t>STOCKHOLMS LÄN</t>
        </is>
      </c>
      <c r="E844" t="inlineStr">
        <is>
          <t>BOTKYRKA</t>
        </is>
      </c>
      <c r="G844" t="n">
        <v>3.3</v>
      </c>
      <c r="H844" t="n">
        <v>0</v>
      </c>
      <c r="I844" t="n">
        <v>0</v>
      </c>
      <c r="J844" t="n">
        <v>0</v>
      </c>
      <c r="K844" t="n">
        <v>0</v>
      </c>
      <c r="L844" t="n">
        <v>0</v>
      </c>
      <c r="M844" t="n">
        <v>0</v>
      </c>
      <c r="N844" t="n">
        <v>0</v>
      </c>
      <c r="O844" t="n">
        <v>0</v>
      </c>
      <c r="P844" t="n">
        <v>0</v>
      </c>
      <c r="Q844" t="n">
        <v>0</v>
      </c>
      <c r="R844" s="2" t="inlineStr"/>
    </row>
    <row r="845" ht="15" customHeight="1">
      <c r="A845" t="inlineStr">
        <is>
          <t>A 6219-2020</t>
        </is>
      </c>
      <c r="B845" s="1" t="n">
        <v>43865</v>
      </c>
      <c r="C845" s="1" t="n">
        <v>45571</v>
      </c>
      <c r="D845" t="inlineStr">
        <is>
          <t>STOCKHOLMS LÄN</t>
        </is>
      </c>
      <c r="E845" t="inlineStr">
        <is>
          <t>NYNÄSHAMN</t>
        </is>
      </c>
      <c r="G845" t="n">
        <v>0.5</v>
      </c>
      <c r="H845" t="n">
        <v>0</v>
      </c>
      <c r="I845" t="n">
        <v>0</v>
      </c>
      <c r="J845" t="n">
        <v>0</v>
      </c>
      <c r="K845" t="n">
        <v>0</v>
      </c>
      <c r="L845" t="n">
        <v>0</v>
      </c>
      <c r="M845" t="n">
        <v>0</v>
      </c>
      <c r="N845" t="n">
        <v>0</v>
      </c>
      <c r="O845" t="n">
        <v>0</v>
      </c>
      <c r="P845" t="n">
        <v>0</v>
      </c>
      <c r="Q845" t="n">
        <v>0</v>
      </c>
      <c r="R845" s="2" t="inlineStr"/>
    </row>
    <row r="846" ht="15" customHeight="1">
      <c r="A846" t="inlineStr">
        <is>
          <t>A 6370-2020</t>
        </is>
      </c>
      <c r="B846" s="1" t="n">
        <v>43866</v>
      </c>
      <c r="C846" s="1" t="n">
        <v>45571</v>
      </c>
      <c r="D846" t="inlineStr">
        <is>
          <t>STOCKHOLMS LÄN</t>
        </is>
      </c>
      <c r="E846" t="inlineStr">
        <is>
          <t>UPPLANDS-BRO</t>
        </is>
      </c>
      <c r="G846" t="n">
        <v>1</v>
      </c>
      <c r="H846" t="n">
        <v>0</v>
      </c>
      <c r="I846" t="n">
        <v>0</v>
      </c>
      <c r="J846" t="n">
        <v>0</v>
      </c>
      <c r="K846" t="n">
        <v>0</v>
      </c>
      <c r="L846" t="n">
        <v>0</v>
      </c>
      <c r="M846" t="n">
        <v>0</v>
      </c>
      <c r="N846" t="n">
        <v>0</v>
      </c>
      <c r="O846" t="n">
        <v>0</v>
      </c>
      <c r="P846" t="n">
        <v>0</v>
      </c>
      <c r="Q846" t="n">
        <v>0</v>
      </c>
      <c r="R846" s="2" t="inlineStr"/>
    </row>
    <row r="847" ht="15" customHeight="1">
      <c r="A847" t="inlineStr">
        <is>
          <t>A 6357-2020</t>
        </is>
      </c>
      <c r="B847" s="1" t="n">
        <v>43866</v>
      </c>
      <c r="C847" s="1" t="n">
        <v>45571</v>
      </c>
      <c r="D847" t="inlineStr">
        <is>
          <t>STOCKHOLMS LÄN</t>
        </is>
      </c>
      <c r="E847" t="inlineStr">
        <is>
          <t>UPPLANDS-BRO</t>
        </is>
      </c>
      <c r="G847" t="n">
        <v>2.2</v>
      </c>
      <c r="H847" t="n">
        <v>0</v>
      </c>
      <c r="I847" t="n">
        <v>0</v>
      </c>
      <c r="J847" t="n">
        <v>0</v>
      </c>
      <c r="K847" t="n">
        <v>0</v>
      </c>
      <c r="L847" t="n">
        <v>0</v>
      </c>
      <c r="M847" t="n">
        <v>0</v>
      </c>
      <c r="N847" t="n">
        <v>0</v>
      </c>
      <c r="O847" t="n">
        <v>0</v>
      </c>
      <c r="P847" t="n">
        <v>0</v>
      </c>
      <c r="Q847" t="n">
        <v>0</v>
      </c>
      <c r="R847" s="2" t="inlineStr"/>
    </row>
    <row r="848" ht="15" customHeight="1">
      <c r="A848" t="inlineStr">
        <is>
          <t>A 6707-2020</t>
        </is>
      </c>
      <c r="B848" s="1" t="n">
        <v>43867</v>
      </c>
      <c r="C848" s="1" t="n">
        <v>45571</v>
      </c>
      <c r="D848" t="inlineStr">
        <is>
          <t>STOCKHOLMS LÄN</t>
        </is>
      </c>
      <c r="E848" t="inlineStr">
        <is>
          <t>SÖDERTÄLJE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7150-2020</t>
        </is>
      </c>
      <c r="B849" s="1" t="n">
        <v>43869</v>
      </c>
      <c r="C849" s="1" t="n">
        <v>45571</v>
      </c>
      <c r="D849" t="inlineStr">
        <is>
          <t>STOCKHOLMS LÄN</t>
        </is>
      </c>
      <c r="E849" t="inlineStr">
        <is>
          <t>NYNÄSHAMN</t>
        </is>
      </c>
      <c r="F849" t="inlineStr">
        <is>
          <t>Kommuner</t>
        </is>
      </c>
      <c r="G849" t="n">
        <v>1.5</v>
      </c>
      <c r="H849" t="n">
        <v>0</v>
      </c>
      <c r="I849" t="n">
        <v>0</v>
      </c>
      <c r="J849" t="n">
        <v>0</v>
      </c>
      <c r="K849" t="n">
        <v>0</v>
      </c>
      <c r="L849" t="n">
        <v>0</v>
      </c>
      <c r="M849" t="n">
        <v>0</v>
      </c>
      <c r="N849" t="n">
        <v>0</v>
      </c>
      <c r="O849" t="n">
        <v>0</v>
      </c>
      <c r="P849" t="n">
        <v>0</v>
      </c>
      <c r="Q849" t="n">
        <v>0</v>
      </c>
      <c r="R849" s="2" t="inlineStr"/>
    </row>
    <row r="850" ht="15" customHeight="1">
      <c r="A850" t="inlineStr">
        <is>
          <t>A 7151-2020</t>
        </is>
      </c>
      <c r="B850" s="1" t="n">
        <v>43869</v>
      </c>
      <c r="C850" s="1" t="n">
        <v>45571</v>
      </c>
      <c r="D850" t="inlineStr">
        <is>
          <t>STOCKHOLMS LÄN</t>
        </is>
      </c>
      <c r="E850" t="inlineStr">
        <is>
          <t>NYNÄSHAMN</t>
        </is>
      </c>
      <c r="F850" t="inlineStr">
        <is>
          <t>Kommuner</t>
        </is>
      </c>
      <c r="G850" t="n">
        <v>3.6</v>
      </c>
      <c r="H850" t="n">
        <v>0</v>
      </c>
      <c r="I850" t="n">
        <v>0</v>
      </c>
      <c r="J850" t="n">
        <v>0</v>
      </c>
      <c r="K850" t="n">
        <v>0</v>
      </c>
      <c r="L850" t="n">
        <v>0</v>
      </c>
      <c r="M850" t="n">
        <v>0</v>
      </c>
      <c r="N850" t="n">
        <v>0</v>
      </c>
      <c r="O850" t="n">
        <v>0</v>
      </c>
      <c r="P850" t="n">
        <v>0</v>
      </c>
      <c r="Q850" t="n">
        <v>0</v>
      </c>
      <c r="R850" s="2" t="inlineStr"/>
    </row>
    <row r="851" ht="15" customHeight="1">
      <c r="A851" t="inlineStr">
        <is>
          <t>A 7354-2020</t>
        </is>
      </c>
      <c r="B851" s="1" t="n">
        <v>43871</v>
      </c>
      <c r="C851" s="1" t="n">
        <v>45571</v>
      </c>
      <c r="D851" t="inlineStr">
        <is>
          <t>STOCKHOLMS LÄN</t>
        </is>
      </c>
      <c r="E851" t="inlineStr">
        <is>
          <t>VALLENTUNA</t>
        </is>
      </c>
      <c r="G851" t="n">
        <v>1.5</v>
      </c>
      <c r="H851" t="n">
        <v>0</v>
      </c>
      <c r="I851" t="n">
        <v>0</v>
      </c>
      <c r="J851" t="n">
        <v>0</v>
      </c>
      <c r="K851" t="n">
        <v>0</v>
      </c>
      <c r="L851" t="n">
        <v>0</v>
      </c>
      <c r="M851" t="n">
        <v>0</v>
      </c>
      <c r="N851" t="n">
        <v>0</v>
      </c>
      <c r="O851" t="n">
        <v>0</v>
      </c>
      <c r="P851" t="n">
        <v>0</v>
      </c>
      <c r="Q851" t="n">
        <v>0</v>
      </c>
      <c r="R851" s="2" t="inlineStr"/>
    </row>
    <row r="852" ht="15" customHeight="1">
      <c r="A852" t="inlineStr">
        <is>
          <t>A 7479-2020</t>
        </is>
      </c>
      <c r="B852" s="1" t="n">
        <v>43871</v>
      </c>
      <c r="C852" s="1" t="n">
        <v>45571</v>
      </c>
      <c r="D852" t="inlineStr">
        <is>
          <t>STOCKHOLMS LÄN</t>
        </is>
      </c>
      <c r="E852" t="inlineStr">
        <is>
          <t>VALLENTUNA</t>
        </is>
      </c>
      <c r="G852" t="n">
        <v>7.4</v>
      </c>
      <c r="H852" t="n">
        <v>0</v>
      </c>
      <c r="I852" t="n">
        <v>0</v>
      </c>
      <c r="J852" t="n">
        <v>0</v>
      </c>
      <c r="K852" t="n">
        <v>0</v>
      </c>
      <c r="L852" t="n">
        <v>0</v>
      </c>
      <c r="M852" t="n">
        <v>0</v>
      </c>
      <c r="N852" t="n">
        <v>0</v>
      </c>
      <c r="O852" t="n">
        <v>0</v>
      </c>
      <c r="P852" t="n">
        <v>0</v>
      </c>
      <c r="Q852" t="n">
        <v>0</v>
      </c>
      <c r="R852" s="2" t="inlineStr"/>
    </row>
    <row r="853" ht="15" customHeight="1">
      <c r="A853" t="inlineStr">
        <is>
          <t>A 7486-2020</t>
        </is>
      </c>
      <c r="B853" s="1" t="n">
        <v>43871</v>
      </c>
      <c r="C853" s="1" t="n">
        <v>45571</v>
      </c>
      <c r="D853" t="inlineStr">
        <is>
          <t>STOCKHOLMS LÄN</t>
        </is>
      </c>
      <c r="E853" t="inlineStr">
        <is>
          <t>VALLENTUNA</t>
        </is>
      </c>
      <c r="G853" t="n">
        <v>0.9</v>
      </c>
      <c r="H853" t="n">
        <v>0</v>
      </c>
      <c r="I853" t="n">
        <v>0</v>
      </c>
      <c r="J853" t="n">
        <v>0</v>
      </c>
      <c r="K853" t="n">
        <v>0</v>
      </c>
      <c r="L853" t="n">
        <v>0</v>
      </c>
      <c r="M853" t="n">
        <v>0</v>
      </c>
      <c r="N853" t="n">
        <v>0</v>
      </c>
      <c r="O853" t="n">
        <v>0</v>
      </c>
      <c r="P853" t="n">
        <v>0</v>
      </c>
      <c r="Q853" t="n">
        <v>0</v>
      </c>
      <c r="R853" s="2" t="inlineStr"/>
    </row>
    <row r="854" ht="15" customHeight="1">
      <c r="A854" t="inlineStr">
        <is>
          <t>A 7471-2020</t>
        </is>
      </c>
      <c r="B854" s="1" t="n">
        <v>43871</v>
      </c>
      <c r="C854" s="1" t="n">
        <v>45571</v>
      </c>
      <c r="D854" t="inlineStr">
        <is>
          <t>STOCKHOLMS LÄN</t>
        </is>
      </c>
      <c r="E854" t="inlineStr">
        <is>
          <t>NORRTÄLJE</t>
        </is>
      </c>
      <c r="G854" t="n">
        <v>7.8</v>
      </c>
      <c r="H854" t="n">
        <v>0</v>
      </c>
      <c r="I854" t="n">
        <v>0</v>
      </c>
      <c r="J854" t="n">
        <v>0</v>
      </c>
      <c r="K854" t="n">
        <v>0</v>
      </c>
      <c r="L854" t="n">
        <v>0</v>
      </c>
      <c r="M854" t="n">
        <v>0</v>
      </c>
      <c r="N854" t="n">
        <v>0</v>
      </c>
      <c r="O854" t="n">
        <v>0</v>
      </c>
      <c r="P854" t="n">
        <v>0</v>
      </c>
      <c r="Q854" t="n">
        <v>0</v>
      </c>
      <c r="R854" s="2" t="inlineStr"/>
    </row>
    <row r="855" ht="15" customHeight="1">
      <c r="A855" t="inlineStr">
        <is>
          <t>A 7484-2020</t>
        </is>
      </c>
      <c r="B855" s="1" t="n">
        <v>43871</v>
      </c>
      <c r="C855" s="1" t="n">
        <v>45571</v>
      </c>
      <c r="D855" t="inlineStr">
        <is>
          <t>STOCKHOLMS LÄN</t>
        </is>
      </c>
      <c r="E855" t="inlineStr">
        <is>
          <t>VALLENTUNA</t>
        </is>
      </c>
      <c r="G855" t="n">
        <v>2.7</v>
      </c>
      <c r="H855" t="n">
        <v>0</v>
      </c>
      <c r="I855" t="n">
        <v>0</v>
      </c>
      <c r="J855" t="n">
        <v>0</v>
      </c>
      <c r="K855" t="n">
        <v>0</v>
      </c>
      <c r="L855" t="n">
        <v>0</v>
      </c>
      <c r="M855" t="n">
        <v>0</v>
      </c>
      <c r="N855" t="n">
        <v>0</v>
      </c>
      <c r="O855" t="n">
        <v>0</v>
      </c>
      <c r="P855" t="n">
        <v>0</v>
      </c>
      <c r="Q855" t="n">
        <v>0</v>
      </c>
      <c r="R855" s="2" t="inlineStr"/>
    </row>
    <row r="856" ht="15" customHeight="1">
      <c r="A856" t="inlineStr">
        <is>
          <t>A 7812-2020</t>
        </is>
      </c>
      <c r="B856" s="1" t="n">
        <v>43873</v>
      </c>
      <c r="C856" s="1" t="n">
        <v>45571</v>
      </c>
      <c r="D856" t="inlineStr">
        <is>
          <t>STOCKHOLMS LÄN</t>
        </is>
      </c>
      <c r="E856" t="inlineStr">
        <is>
          <t>SALEM</t>
        </is>
      </c>
      <c r="G856" t="n">
        <v>3.9</v>
      </c>
      <c r="H856" t="n">
        <v>0</v>
      </c>
      <c r="I856" t="n">
        <v>0</v>
      </c>
      <c r="J856" t="n">
        <v>0</v>
      </c>
      <c r="K856" t="n">
        <v>0</v>
      </c>
      <c r="L856" t="n">
        <v>0</v>
      </c>
      <c r="M856" t="n">
        <v>0</v>
      </c>
      <c r="N856" t="n">
        <v>0</v>
      </c>
      <c r="O856" t="n">
        <v>0</v>
      </c>
      <c r="P856" t="n">
        <v>0</v>
      </c>
      <c r="Q856" t="n">
        <v>0</v>
      </c>
      <c r="R856" s="2" t="inlineStr"/>
    </row>
    <row r="857" ht="15" customHeight="1">
      <c r="A857" t="inlineStr">
        <is>
          <t>A 7923-2020</t>
        </is>
      </c>
      <c r="B857" s="1" t="n">
        <v>43873</v>
      </c>
      <c r="C857" s="1" t="n">
        <v>45571</v>
      </c>
      <c r="D857" t="inlineStr">
        <is>
          <t>STOCKHOLMS LÄN</t>
        </is>
      </c>
      <c r="E857" t="inlineStr">
        <is>
          <t>NYNÄSHAMN</t>
        </is>
      </c>
      <c r="G857" t="n">
        <v>2</v>
      </c>
      <c r="H857" t="n">
        <v>0</v>
      </c>
      <c r="I857" t="n">
        <v>0</v>
      </c>
      <c r="J857" t="n">
        <v>0</v>
      </c>
      <c r="K857" t="n">
        <v>0</v>
      </c>
      <c r="L857" t="n">
        <v>0</v>
      </c>
      <c r="M857" t="n">
        <v>0</v>
      </c>
      <c r="N857" t="n">
        <v>0</v>
      </c>
      <c r="O857" t="n">
        <v>0</v>
      </c>
      <c r="P857" t="n">
        <v>0</v>
      </c>
      <c r="Q857" t="n">
        <v>0</v>
      </c>
      <c r="R857" s="2" t="inlineStr"/>
    </row>
    <row r="858" ht="15" customHeight="1">
      <c r="A858" t="inlineStr">
        <is>
          <t>A 7820-2020</t>
        </is>
      </c>
      <c r="B858" s="1" t="n">
        <v>43873</v>
      </c>
      <c r="C858" s="1" t="n">
        <v>45571</v>
      </c>
      <c r="D858" t="inlineStr">
        <is>
          <t>STOCKHOLMS LÄN</t>
        </is>
      </c>
      <c r="E858" t="inlineStr">
        <is>
          <t>SALEM</t>
        </is>
      </c>
      <c r="G858" t="n">
        <v>2.8</v>
      </c>
      <c r="H858" t="n">
        <v>0</v>
      </c>
      <c r="I858" t="n">
        <v>0</v>
      </c>
      <c r="J858" t="n">
        <v>0</v>
      </c>
      <c r="K858" t="n">
        <v>0</v>
      </c>
      <c r="L858" t="n">
        <v>0</v>
      </c>
      <c r="M858" t="n">
        <v>0</v>
      </c>
      <c r="N858" t="n">
        <v>0</v>
      </c>
      <c r="O858" t="n">
        <v>0</v>
      </c>
      <c r="P858" t="n">
        <v>0</v>
      </c>
      <c r="Q858" t="n">
        <v>0</v>
      </c>
      <c r="R858" s="2" t="inlineStr"/>
    </row>
    <row r="859" ht="15" customHeight="1">
      <c r="A859" t="inlineStr">
        <is>
          <t>A 8366-2020</t>
        </is>
      </c>
      <c r="B859" s="1" t="n">
        <v>43875</v>
      </c>
      <c r="C859" s="1" t="n">
        <v>45571</v>
      </c>
      <c r="D859" t="inlineStr">
        <is>
          <t>STOCKHOLMS LÄN</t>
        </is>
      </c>
      <c r="E859" t="inlineStr">
        <is>
          <t>SÖDERTÄLJE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9109-2020</t>
        </is>
      </c>
      <c r="B860" s="1" t="n">
        <v>43879</v>
      </c>
      <c r="C860" s="1" t="n">
        <v>45571</v>
      </c>
      <c r="D860" t="inlineStr">
        <is>
          <t>STOCKHOLMS LÄN</t>
        </is>
      </c>
      <c r="E860" t="inlineStr">
        <is>
          <t>SALEM</t>
        </is>
      </c>
      <c r="F860" t="inlineStr">
        <is>
          <t>Kommuner</t>
        </is>
      </c>
      <c r="G860" t="n">
        <v>0.7</v>
      </c>
      <c r="H860" t="n">
        <v>0</v>
      </c>
      <c r="I860" t="n">
        <v>0</v>
      </c>
      <c r="J860" t="n">
        <v>0</v>
      </c>
      <c r="K860" t="n">
        <v>0</v>
      </c>
      <c r="L860" t="n">
        <v>0</v>
      </c>
      <c r="M860" t="n">
        <v>0</v>
      </c>
      <c r="N860" t="n">
        <v>0</v>
      </c>
      <c r="O860" t="n">
        <v>0</v>
      </c>
      <c r="P860" t="n">
        <v>0</v>
      </c>
      <c r="Q860" t="n">
        <v>0</v>
      </c>
      <c r="R860" s="2" t="inlineStr"/>
    </row>
    <row r="861" ht="15" customHeight="1">
      <c r="A861" t="inlineStr">
        <is>
          <t>A 9116-2020</t>
        </is>
      </c>
      <c r="B861" s="1" t="n">
        <v>43879</v>
      </c>
      <c r="C861" s="1" t="n">
        <v>45571</v>
      </c>
      <c r="D861" t="inlineStr">
        <is>
          <t>STOCKHOLMS LÄN</t>
        </is>
      </c>
      <c r="E861" t="inlineStr">
        <is>
          <t>SALEM</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9845-2020</t>
        </is>
      </c>
      <c r="B862" s="1" t="n">
        <v>43881</v>
      </c>
      <c r="C862" s="1" t="n">
        <v>45571</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10007-2020</t>
        </is>
      </c>
      <c r="B863" s="1" t="n">
        <v>43882</v>
      </c>
      <c r="C863" s="1" t="n">
        <v>45571</v>
      </c>
      <c r="D863" t="inlineStr">
        <is>
          <t>STOCKHOLMS LÄN</t>
        </is>
      </c>
      <c r="E863" t="inlineStr">
        <is>
          <t>NYNÄSHAMN</t>
        </is>
      </c>
      <c r="G863" t="n">
        <v>0.7</v>
      </c>
      <c r="H863" t="n">
        <v>0</v>
      </c>
      <c r="I863" t="n">
        <v>0</v>
      </c>
      <c r="J863" t="n">
        <v>0</v>
      </c>
      <c r="K863" t="n">
        <v>0</v>
      </c>
      <c r="L863" t="n">
        <v>0</v>
      </c>
      <c r="M863" t="n">
        <v>0</v>
      </c>
      <c r="N863" t="n">
        <v>0</v>
      </c>
      <c r="O863" t="n">
        <v>0</v>
      </c>
      <c r="P863" t="n">
        <v>0</v>
      </c>
      <c r="Q863" t="n">
        <v>0</v>
      </c>
      <c r="R863" s="2" t="inlineStr"/>
    </row>
    <row r="864" ht="15" customHeight="1">
      <c r="A864" t="inlineStr">
        <is>
          <t>A 10244-2020</t>
        </is>
      </c>
      <c r="B864" s="1" t="n">
        <v>43885</v>
      </c>
      <c r="C864" s="1" t="n">
        <v>45571</v>
      </c>
      <c r="D864" t="inlineStr">
        <is>
          <t>STOCKHOLMS LÄN</t>
        </is>
      </c>
      <c r="E864" t="inlineStr">
        <is>
          <t>SIGTUNA</t>
        </is>
      </c>
      <c r="G864" t="n">
        <v>2.5</v>
      </c>
      <c r="H864" t="n">
        <v>0</v>
      </c>
      <c r="I864" t="n">
        <v>0</v>
      </c>
      <c r="J864" t="n">
        <v>0</v>
      </c>
      <c r="K864" t="n">
        <v>0</v>
      </c>
      <c r="L864" t="n">
        <v>0</v>
      </c>
      <c r="M864" t="n">
        <v>0</v>
      </c>
      <c r="N864" t="n">
        <v>0</v>
      </c>
      <c r="O864" t="n">
        <v>0</v>
      </c>
      <c r="P864" t="n">
        <v>0</v>
      </c>
      <c r="Q864" t="n">
        <v>0</v>
      </c>
      <c r="R864" s="2" t="inlineStr"/>
    </row>
    <row r="865" ht="15" customHeight="1">
      <c r="A865" t="inlineStr">
        <is>
          <t>A 10396-2020</t>
        </is>
      </c>
      <c r="B865" s="1" t="n">
        <v>43885</v>
      </c>
      <c r="C865" s="1" t="n">
        <v>45571</v>
      </c>
      <c r="D865" t="inlineStr">
        <is>
          <t>STOCKHOLMS LÄN</t>
        </is>
      </c>
      <c r="E865" t="inlineStr">
        <is>
          <t>NYNÄSHAMN</t>
        </is>
      </c>
      <c r="G865" t="n">
        <v>5.2</v>
      </c>
      <c r="H865" t="n">
        <v>0</v>
      </c>
      <c r="I865" t="n">
        <v>0</v>
      </c>
      <c r="J865" t="n">
        <v>0</v>
      </c>
      <c r="K865" t="n">
        <v>0</v>
      </c>
      <c r="L865" t="n">
        <v>0</v>
      </c>
      <c r="M865" t="n">
        <v>0</v>
      </c>
      <c r="N865" t="n">
        <v>0</v>
      </c>
      <c r="O865" t="n">
        <v>0</v>
      </c>
      <c r="P865" t="n">
        <v>0</v>
      </c>
      <c r="Q865" t="n">
        <v>0</v>
      </c>
      <c r="R865" s="2" t="inlineStr"/>
    </row>
    <row r="866" ht="15" customHeight="1">
      <c r="A866" t="inlineStr">
        <is>
          <t>A 10395-2020</t>
        </is>
      </c>
      <c r="B866" s="1" t="n">
        <v>43885</v>
      </c>
      <c r="C866" s="1" t="n">
        <v>45571</v>
      </c>
      <c r="D866" t="inlineStr">
        <is>
          <t>STOCKHOLMS LÄN</t>
        </is>
      </c>
      <c r="E866" t="inlineStr">
        <is>
          <t>EKERÖ</t>
        </is>
      </c>
      <c r="G866" t="n">
        <v>2.4</v>
      </c>
      <c r="H866" t="n">
        <v>0</v>
      </c>
      <c r="I866" t="n">
        <v>0</v>
      </c>
      <c r="J866" t="n">
        <v>0</v>
      </c>
      <c r="K866" t="n">
        <v>0</v>
      </c>
      <c r="L866" t="n">
        <v>0</v>
      </c>
      <c r="M866" t="n">
        <v>0</v>
      </c>
      <c r="N866" t="n">
        <v>0</v>
      </c>
      <c r="O866" t="n">
        <v>0</v>
      </c>
      <c r="P866" t="n">
        <v>0</v>
      </c>
      <c r="Q866" t="n">
        <v>0</v>
      </c>
      <c r="R866" s="2" t="inlineStr"/>
    </row>
    <row r="867" ht="15" customHeight="1">
      <c r="A867" t="inlineStr">
        <is>
          <t>A 10551-2020</t>
        </is>
      </c>
      <c r="B867" s="1" t="n">
        <v>43887</v>
      </c>
      <c r="C867" s="1" t="n">
        <v>45571</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10618-2020</t>
        </is>
      </c>
      <c r="B868" s="1" t="n">
        <v>43887</v>
      </c>
      <c r="C868" s="1" t="n">
        <v>45571</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10738-2020</t>
        </is>
      </c>
      <c r="B869" s="1" t="n">
        <v>43888</v>
      </c>
      <c r="C869" s="1" t="n">
        <v>45571</v>
      </c>
      <c r="D869" t="inlineStr">
        <is>
          <t>STOCKHOLMS LÄN</t>
        </is>
      </c>
      <c r="E869" t="inlineStr">
        <is>
          <t>SIGTUNA</t>
        </is>
      </c>
      <c r="G869" t="n">
        <v>4.7</v>
      </c>
      <c r="H869" t="n">
        <v>0</v>
      </c>
      <c r="I869" t="n">
        <v>0</v>
      </c>
      <c r="J869" t="n">
        <v>0</v>
      </c>
      <c r="K869" t="n">
        <v>0</v>
      </c>
      <c r="L869" t="n">
        <v>0</v>
      </c>
      <c r="M869" t="n">
        <v>0</v>
      </c>
      <c r="N869" t="n">
        <v>0</v>
      </c>
      <c r="O869" t="n">
        <v>0</v>
      </c>
      <c r="P869" t="n">
        <v>0</v>
      </c>
      <c r="Q869" t="n">
        <v>0</v>
      </c>
      <c r="R869" s="2" t="inlineStr"/>
    </row>
    <row r="870" ht="15" customHeight="1">
      <c r="A870" t="inlineStr">
        <is>
          <t>A 10744-2020</t>
        </is>
      </c>
      <c r="B870" s="1" t="n">
        <v>43888</v>
      </c>
      <c r="C870" s="1" t="n">
        <v>45571</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10764-2020</t>
        </is>
      </c>
      <c r="B871" s="1" t="n">
        <v>43888</v>
      </c>
      <c r="C871" s="1" t="n">
        <v>45571</v>
      </c>
      <c r="D871" t="inlineStr">
        <is>
          <t>STOCKHOLMS LÄN</t>
        </is>
      </c>
      <c r="E871" t="inlineStr">
        <is>
          <t>ÖSTERÅKER</t>
        </is>
      </c>
      <c r="G871" t="n">
        <v>1.3</v>
      </c>
      <c r="H871" t="n">
        <v>0</v>
      </c>
      <c r="I871" t="n">
        <v>0</v>
      </c>
      <c r="J871" t="n">
        <v>0</v>
      </c>
      <c r="K871" t="n">
        <v>0</v>
      </c>
      <c r="L871" t="n">
        <v>0</v>
      </c>
      <c r="M871" t="n">
        <v>0</v>
      </c>
      <c r="N871" t="n">
        <v>0</v>
      </c>
      <c r="O871" t="n">
        <v>0</v>
      </c>
      <c r="P871" t="n">
        <v>0</v>
      </c>
      <c r="Q871" t="n">
        <v>0</v>
      </c>
      <c r="R871" s="2" t="inlineStr"/>
    </row>
    <row r="872" ht="15" customHeight="1">
      <c r="A872" t="inlineStr">
        <is>
          <t>A 10790-2020</t>
        </is>
      </c>
      <c r="B872" s="1" t="n">
        <v>43888</v>
      </c>
      <c r="C872" s="1" t="n">
        <v>45571</v>
      </c>
      <c r="D872" t="inlineStr">
        <is>
          <t>STOCKHOLMS LÄN</t>
        </is>
      </c>
      <c r="E872" t="inlineStr">
        <is>
          <t>BOTKYRKA</t>
        </is>
      </c>
      <c r="G872" t="n">
        <v>4.3</v>
      </c>
      <c r="H872" t="n">
        <v>0</v>
      </c>
      <c r="I872" t="n">
        <v>0</v>
      </c>
      <c r="J872" t="n">
        <v>0</v>
      </c>
      <c r="K872" t="n">
        <v>0</v>
      </c>
      <c r="L872" t="n">
        <v>0</v>
      </c>
      <c r="M872" t="n">
        <v>0</v>
      </c>
      <c r="N872" t="n">
        <v>0</v>
      </c>
      <c r="O872" t="n">
        <v>0</v>
      </c>
      <c r="P872" t="n">
        <v>0</v>
      </c>
      <c r="Q872" t="n">
        <v>0</v>
      </c>
      <c r="R872" s="2" t="inlineStr"/>
    </row>
    <row r="873" ht="15" customHeight="1">
      <c r="A873" t="inlineStr">
        <is>
          <t>A 10807-2020</t>
        </is>
      </c>
      <c r="B873" s="1" t="n">
        <v>43888</v>
      </c>
      <c r="C873" s="1" t="n">
        <v>45571</v>
      </c>
      <c r="D873" t="inlineStr">
        <is>
          <t>STOCKHOLMS LÄN</t>
        </is>
      </c>
      <c r="E873" t="inlineStr">
        <is>
          <t>BOTKYRKA</t>
        </is>
      </c>
      <c r="G873" t="n">
        <v>1.4</v>
      </c>
      <c r="H873" t="n">
        <v>0</v>
      </c>
      <c r="I873" t="n">
        <v>0</v>
      </c>
      <c r="J873" t="n">
        <v>0</v>
      </c>
      <c r="K873" t="n">
        <v>0</v>
      </c>
      <c r="L873" t="n">
        <v>0</v>
      </c>
      <c r="M873" t="n">
        <v>0</v>
      </c>
      <c r="N873" t="n">
        <v>0</v>
      </c>
      <c r="O873" t="n">
        <v>0</v>
      </c>
      <c r="P873" t="n">
        <v>0</v>
      </c>
      <c r="Q873" t="n">
        <v>0</v>
      </c>
      <c r="R873" s="2" t="inlineStr"/>
    </row>
    <row r="874" ht="15" customHeight="1">
      <c r="A874" t="inlineStr">
        <is>
          <t>A 11184-2020</t>
        </is>
      </c>
      <c r="B874" s="1" t="n">
        <v>43892</v>
      </c>
      <c r="C874" s="1" t="n">
        <v>45571</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17552-2020</t>
        </is>
      </c>
      <c r="B875" s="1" t="n">
        <v>43892</v>
      </c>
      <c r="C875" s="1" t="n">
        <v>45571</v>
      </c>
      <c r="D875" t="inlineStr">
        <is>
          <t>STOCKHOLMS LÄN</t>
        </is>
      </c>
      <c r="E875" t="inlineStr">
        <is>
          <t>EKERÖ</t>
        </is>
      </c>
      <c r="G875" t="n">
        <v>2</v>
      </c>
      <c r="H875" t="n">
        <v>0</v>
      </c>
      <c r="I875" t="n">
        <v>0</v>
      </c>
      <c r="J875" t="n">
        <v>0</v>
      </c>
      <c r="K875" t="n">
        <v>0</v>
      </c>
      <c r="L875" t="n">
        <v>0</v>
      </c>
      <c r="M875" t="n">
        <v>0</v>
      </c>
      <c r="N875" t="n">
        <v>0</v>
      </c>
      <c r="O875" t="n">
        <v>0</v>
      </c>
      <c r="P875" t="n">
        <v>0</v>
      </c>
      <c r="Q875" t="n">
        <v>0</v>
      </c>
      <c r="R875" s="2" t="inlineStr"/>
    </row>
    <row r="876" ht="15" customHeight="1">
      <c r="A876" t="inlineStr">
        <is>
          <t>A 17546-2020</t>
        </is>
      </c>
      <c r="B876" s="1" t="n">
        <v>43892</v>
      </c>
      <c r="C876" s="1" t="n">
        <v>45571</v>
      </c>
      <c r="D876" t="inlineStr">
        <is>
          <t>STOCKHOLMS LÄN</t>
        </is>
      </c>
      <c r="E876" t="inlineStr">
        <is>
          <t>EKERÖ</t>
        </is>
      </c>
      <c r="G876" t="n">
        <v>3.5</v>
      </c>
      <c r="H876" t="n">
        <v>0</v>
      </c>
      <c r="I876" t="n">
        <v>0</v>
      </c>
      <c r="J876" t="n">
        <v>0</v>
      </c>
      <c r="K876" t="n">
        <v>0</v>
      </c>
      <c r="L876" t="n">
        <v>0</v>
      </c>
      <c r="M876" t="n">
        <v>0</v>
      </c>
      <c r="N876" t="n">
        <v>0</v>
      </c>
      <c r="O876" t="n">
        <v>0</v>
      </c>
      <c r="P876" t="n">
        <v>0</v>
      </c>
      <c r="Q876" t="n">
        <v>0</v>
      </c>
      <c r="R876" s="2" t="inlineStr"/>
    </row>
    <row r="877" ht="15" customHeight="1">
      <c r="A877" t="inlineStr">
        <is>
          <t>A 11576-2020</t>
        </is>
      </c>
      <c r="B877" s="1" t="n">
        <v>43893</v>
      </c>
      <c r="C877" s="1" t="n">
        <v>45571</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12321-2020</t>
        </is>
      </c>
      <c r="B878" s="1" t="n">
        <v>43895</v>
      </c>
      <c r="C878" s="1" t="n">
        <v>45571</v>
      </c>
      <c r="D878" t="inlineStr">
        <is>
          <t>STOCKHOLMS LÄN</t>
        </is>
      </c>
      <c r="E878" t="inlineStr">
        <is>
          <t>BOTKYRKA</t>
        </is>
      </c>
      <c r="G878" t="n">
        <v>0.7</v>
      </c>
      <c r="H878" t="n">
        <v>0</v>
      </c>
      <c r="I878" t="n">
        <v>0</v>
      </c>
      <c r="J878" t="n">
        <v>0</v>
      </c>
      <c r="K878" t="n">
        <v>0</v>
      </c>
      <c r="L878" t="n">
        <v>0</v>
      </c>
      <c r="M878" t="n">
        <v>0</v>
      </c>
      <c r="N878" t="n">
        <v>0</v>
      </c>
      <c r="O878" t="n">
        <v>0</v>
      </c>
      <c r="P878" t="n">
        <v>0</v>
      </c>
      <c r="Q878" t="n">
        <v>0</v>
      </c>
      <c r="R878" s="2" t="inlineStr"/>
    </row>
    <row r="879" ht="15" customHeight="1">
      <c r="A879" t="inlineStr">
        <is>
          <t>A 12320-2020</t>
        </is>
      </c>
      <c r="B879" s="1" t="n">
        <v>43895</v>
      </c>
      <c r="C879" s="1" t="n">
        <v>45571</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12113-2020</t>
        </is>
      </c>
      <c r="B880" s="1" t="n">
        <v>43895</v>
      </c>
      <c r="C880" s="1" t="n">
        <v>45571</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12355-2020</t>
        </is>
      </c>
      <c r="B881" s="1" t="n">
        <v>43896</v>
      </c>
      <c r="C881" s="1" t="n">
        <v>45571</v>
      </c>
      <c r="D881" t="inlineStr">
        <is>
          <t>STOCKHOLMS LÄN</t>
        </is>
      </c>
      <c r="E881" t="inlineStr">
        <is>
          <t>HANINGE</t>
        </is>
      </c>
      <c r="G881" t="n">
        <v>4.4</v>
      </c>
      <c r="H881" t="n">
        <v>0</v>
      </c>
      <c r="I881" t="n">
        <v>0</v>
      </c>
      <c r="J881" t="n">
        <v>0</v>
      </c>
      <c r="K881" t="n">
        <v>0</v>
      </c>
      <c r="L881" t="n">
        <v>0</v>
      </c>
      <c r="M881" t="n">
        <v>0</v>
      </c>
      <c r="N881" t="n">
        <v>0</v>
      </c>
      <c r="O881" t="n">
        <v>0</v>
      </c>
      <c r="P881" t="n">
        <v>0</v>
      </c>
      <c r="Q881" t="n">
        <v>0</v>
      </c>
      <c r="R881" s="2" t="inlineStr"/>
    </row>
    <row r="882" ht="15" customHeight="1">
      <c r="A882" t="inlineStr">
        <is>
          <t>A 12620-2020</t>
        </is>
      </c>
      <c r="B882" s="1" t="n">
        <v>43899</v>
      </c>
      <c r="C882" s="1" t="n">
        <v>45571</v>
      </c>
      <c r="D882" t="inlineStr">
        <is>
          <t>STOCKHOLMS LÄN</t>
        </is>
      </c>
      <c r="E882" t="inlineStr">
        <is>
          <t>HANINGE</t>
        </is>
      </c>
      <c r="G882" t="n">
        <v>6</v>
      </c>
      <c r="H882" t="n">
        <v>0</v>
      </c>
      <c r="I882" t="n">
        <v>0</v>
      </c>
      <c r="J882" t="n">
        <v>0</v>
      </c>
      <c r="K882" t="n">
        <v>0</v>
      </c>
      <c r="L882" t="n">
        <v>0</v>
      </c>
      <c r="M882" t="n">
        <v>0</v>
      </c>
      <c r="N882" t="n">
        <v>0</v>
      </c>
      <c r="O882" t="n">
        <v>0</v>
      </c>
      <c r="P882" t="n">
        <v>0</v>
      </c>
      <c r="Q882" t="n">
        <v>0</v>
      </c>
      <c r="R882" s="2" t="inlineStr"/>
    </row>
    <row r="883" ht="15" customHeight="1">
      <c r="A883" t="inlineStr">
        <is>
          <t>A 12571-2020</t>
        </is>
      </c>
      <c r="B883" s="1" t="n">
        <v>43899</v>
      </c>
      <c r="C883" s="1" t="n">
        <v>45571</v>
      </c>
      <c r="D883" t="inlineStr">
        <is>
          <t>STOCKHOLMS LÄN</t>
        </is>
      </c>
      <c r="E883" t="inlineStr">
        <is>
          <t>NYNÄSHAMN</t>
        </is>
      </c>
      <c r="G883" t="n">
        <v>1.5</v>
      </c>
      <c r="H883" t="n">
        <v>0</v>
      </c>
      <c r="I883" t="n">
        <v>0</v>
      </c>
      <c r="J883" t="n">
        <v>0</v>
      </c>
      <c r="K883" t="n">
        <v>0</v>
      </c>
      <c r="L883" t="n">
        <v>0</v>
      </c>
      <c r="M883" t="n">
        <v>0</v>
      </c>
      <c r="N883" t="n">
        <v>0</v>
      </c>
      <c r="O883" t="n">
        <v>0</v>
      </c>
      <c r="P883" t="n">
        <v>0</v>
      </c>
      <c r="Q883" t="n">
        <v>0</v>
      </c>
      <c r="R883" s="2" t="inlineStr"/>
    </row>
    <row r="884" ht="15" customHeight="1">
      <c r="A884" t="inlineStr">
        <is>
          <t>A 12987-2020</t>
        </is>
      </c>
      <c r="B884" s="1" t="n">
        <v>43900</v>
      </c>
      <c r="C884" s="1" t="n">
        <v>45571</v>
      </c>
      <c r="D884" t="inlineStr">
        <is>
          <t>STOCKHOLMS LÄN</t>
        </is>
      </c>
      <c r="E884" t="inlineStr">
        <is>
          <t>UPPLANDS VÄSBY</t>
        </is>
      </c>
      <c r="G884" t="n">
        <v>3.7</v>
      </c>
      <c r="H884" t="n">
        <v>0</v>
      </c>
      <c r="I884" t="n">
        <v>0</v>
      </c>
      <c r="J884" t="n">
        <v>0</v>
      </c>
      <c r="K884" t="n">
        <v>0</v>
      </c>
      <c r="L884" t="n">
        <v>0</v>
      </c>
      <c r="M884" t="n">
        <v>0</v>
      </c>
      <c r="N884" t="n">
        <v>0</v>
      </c>
      <c r="O884" t="n">
        <v>0</v>
      </c>
      <c r="P884" t="n">
        <v>0</v>
      </c>
      <c r="Q884" t="n">
        <v>0</v>
      </c>
      <c r="R884" s="2" t="inlineStr"/>
    </row>
    <row r="885" ht="15" customHeight="1">
      <c r="A885" t="inlineStr">
        <is>
          <t>A 12970-2020</t>
        </is>
      </c>
      <c r="B885" s="1" t="n">
        <v>43900</v>
      </c>
      <c r="C885" s="1" t="n">
        <v>45571</v>
      </c>
      <c r="D885" t="inlineStr">
        <is>
          <t>STOCKHOLMS LÄN</t>
        </is>
      </c>
      <c r="E885" t="inlineStr">
        <is>
          <t>NORRTÄLJE</t>
        </is>
      </c>
      <c r="F885" t="inlineStr">
        <is>
          <t>Kommuner</t>
        </is>
      </c>
      <c r="G885" t="n">
        <v>3</v>
      </c>
      <c r="H885" t="n">
        <v>0</v>
      </c>
      <c r="I885" t="n">
        <v>0</v>
      </c>
      <c r="J885" t="n">
        <v>0</v>
      </c>
      <c r="K885" t="n">
        <v>0</v>
      </c>
      <c r="L885" t="n">
        <v>0</v>
      </c>
      <c r="M885" t="n">
        <v>0</v>
      </c>
      <c r="N885" t="n">
        <v>0</v>
      </c>
      <c r="O885" t="n">
        <v>0</v>
      </c>
      <c r="P885" t="n">
        <v>0</v>
      </c>
      <c r="Q885" t="n">
        <v>0</v>
      </c>
      <c r="R885" s="2" t="inlineStr"/>
    </row>
    <row r="886" ht="15" customHeight="1">
      <c r="A886" t="inlineStr">
        <is>
          <t>A 12984-2020</t>
        </is>
      </c>
      <c r="B886" s="1" t="n">
        <v>43900</v>
      </c>
      <c r="C886" s="1" t="n">
        <v>45571</v>
      </c>
      <c r="D886" t="inlineStr">
        <is>
          <t>STOCKHOLMS LÄN</t>
        </is>
      </c>
      <c r="E886" t="inlineStr">
        <is>
          <t>UPPLANDS VÄSBY</t>
        </is>
      </c>
      <c r="G886" t="n">
        <v>1</v>
      </c>
      <c r="H886" t="n">
        <v>0</v>
      </c>
      <c r="I886" t="n">
        <v>0</v>
      </c>
      <c r="J886" t="n">
        <v>0</v>
      </c>
      <c r="K886" t="n">
        <v>0</v>
      </c>
      <c r="L886" t="n">
        <v>0</v>
      </c>
      <c r="M886" t="n">
        <v>0</v>
      </c>
      <c r="N886" t="n">
        <v>0</v>
      </c>
      <c r="O886" t="n">
        <v>0</v>
      </c>
      <c r="P886" t="n">
        <v>0</v>
      </c>
      <c r="Q886" t="n">
        <v>0</v>
      </c>
      <c r="R886" s="2" t="inlineStr"/>
    </row>
    <row r="887" ht="15" customHeight="1">
      <c r="A887" t="inlineStr">
        <is>
          <t>A 12988-2020</t>
        </is>
      </c>
      <c r="B887" s="1" t="n">
        <v>43900</v>
      </c>
      <c r="C887" s="1" t="n">
        <v>45571</v>
      </c>
      <c r="D887" t="inlineStr">
        <is>
          <t>STOCKHOLMS LÄN</t>
        </is>
      </c>
      <c r="E887" t="inlineStr">
        <is>
          <t>BOTKYRKA</t>
        </is>
      </c>
      <c r="G887" t="n">
        <v>13.7</v>
      </c>
      <c r="H887" t="n">
        <v>0</v>
      </c>
      <c r="I887" t="n">
        <v>0</v>
      </c>
      <c r="J887" t="n">
        <v>0</v>
      </c>
      <c r="K887" t="n">
        <v>0</v>
      </c>
      <c r="L887" t="n">
        <v>0</v>
      </c>
      <c r="M887" t="n">
        <v>0</v>
      </c>
      <c r="N887" t="n">
        <v>0</v>
      </c>
      <c r="O887" t="n">
        <v>0</v>
      </c>
      <c r="P887" t="n">
        <v>0</v>
      </c>
      <c r="Q887" t="n">
        <v>0</v>
      </c>
      <c r="R887" s="2" t="inlineStr"/>
    </row>
    <row r="888" ht="15" customHeight="1">
      <c r="A888" t="inlineStr">
        <is>
          <t>A 13230-2020</t>
        </is>
      </c>
      <c r="B888" s="1" t="n">
        <v>43901</v>
      </c>
      <c r="C888" s="1" t="n">
        <v>45571</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13287-2020</t>
        </is>
      </c>
      <c r="B889" s="1" t="n">
        <v>43901</v>
      </c>
      <c r="C889" s="1" t="n">
        <v>45571</v>
      </c>
      <c r="D889" t="inlineStr">
        <is>
          <t>STOCKHOLMS LÄN</t>
        </is>
      </c>
      <c r="E889" t="inlineStr">
        <is>
          <t>NORRTÄLJE</t>
        </is>
      </c>
      <c r="F889" t="inlineStr">
        <is>
          <t>Kommuner</t>
        </is>
      </c>
      <c r="G889" t="n">
        <v>3.2</v>
      </c>
      <c r="H889" t="n">
        <v>0</v>
      </c>
      <c r="I889" t="n">
        <v>0</v>
      </c>
      <c r="J889" t="n">
        <v>0</v>
      </c>
      <c r="K889" t="n">
        <v>0</v>
      </c>
      <c r="L889" t="n">
        <v>0</v>
      </c>
      <c r="M889" t="n">
        <v>0</v>
      </c>
      <c r="N889" t="n">
        <v>0</v>
      </c>
      <c r="O889" t="n">
        <v>0</v>
      </c>
      <c r="P889" t="n">
        <v>0</v>
      </c>
      <c r="Q889" t="n">
        <v>0</v>
      </c>
      <c r="R889" s="2" t="inlineStr"/>
    </row>
    <row r="890" ht="15" customHeight="1">
      <c r="A890" t="inlineStr">
        <is>
          <t>A 13281-2020</t>
        </is>
      </c>
      <c r="B890" s="1" t="n">
        <v>43901</v>
      </c>
      <c r="C890" s="1" t="n">
        <v>45571</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13501-2020</t>
        </is>
      </c>
      <c r="B891" s="1" t="n">
        <v>43902</v>
      </c>
      <c r="C891" s="1" t="n">
        <v>45571</v>
      </c>
      <c r="D891" t="inlineStr">
        <is>
          <t>STOCKHOLMS LÄN</t>
        </is>
      </c>
      <c r="E891" t="inlineStr">
        <is>
          <t>NORRTÄLJE</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13506-2020</t>
        </is>
      </c>
      <c r="B892" s="1" t="n">
        <v>43902</v>
      </c>
      <c r="C892" s="1" t="n">
        <v>45571</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14637-2020</t>
        </is>
      </c>
      <c r="B893" s="1" t="n">
        <v>43902</v>
      </c>
      <c r="C893" s="1" t="n">
        <v>45571</v>
      </c>
      <c r="D893" t="inlineStr">
        <is>
          <t>STOCKHOLMS LÄN</t>
        </is>
      </c>
      <c r="E893" t="inlineStr">
        <is>
          <t>VALLENTUNA</t>
        </is>
      </c>
      <c r="G893" t="n">
        <v>5.4</v>
      </c>
      <c r="H893" t="n">
        <v>0</v>
      </c>
      <c r="I893" t="n">
        <v>0</v>
      </c>
      <c r="J893" t="n">
        <v>0</v>
      </c>
      <c r="K893" t="n">
        <v>0</v>
      </c>
      <c r="L893" t="n">
        <v>0</v>
      </c>
      <c r="M893" t="n">
        <v>0</v>
      </c>
      <c r="N893" t="n">
        <v>0</v>
      </c>
      <c r="O893" t="n">
        <v>0</v>
      </c>
      <c r="P893" t="n">
        <v>0</v>
      </c>
      <c r="Q893" t="n">
        <v>0</v>
      </c>
      <c r="R893" s="2" t="inlineStr"/>
    </row>
    <row r="894" ht="15" customHeight="1">
      <c r="A894" t="inlineStr">
        <is>
          <t>A 13639-2020</t>
        </is>
      </c>
      <c r="B894" s="1" t="n">
        <v>43903</v>
      </c>
      <c r="C894" s="1" t="n">
        <v>45571</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13679-2020</t>
        </is>
      </c>
      <c r="B895" s="1" t="n">
        <v>43903</v>
      </c>
      <c r="C895" s="1" t="n">
        <v>45571</v>
      </c>
      <c r="D895" t="inlineStr">
        <is>
          <t>STOCKHOLMS LÄN</t>
        </is>
      </c>
      <c r="E895" t="inlineStr">
        <is>
          <t>NYNÄSHAMN</t>
        </is>
      </c>
      <c r="G895" t="n">
        <v>1.3</v>
      </c>
      <c r="H895" t="n">
        <v>0</v>
      </c>
      <c r="I895" t="n">
        <v>0</v>
      </c>
      <c r="J895" t="n">
        <v>0</v>
      </c>
      <c r="K895" t="n">
        <v>0</v>
      </c>
      <c r="L895" t="n">
        <v>0</v>
      </c>
      <c r="M895" t="n">
        <v>0</v>
      </c>
      <c r="N895" t="n">
        <v>0</v>
      </c>
      <c r="O895" t="n">
        <v>0</v>
      </c>
      <c r="P895" t="n">
        <v>0</v>
      </c>
      <c r="Q895" t="n">
        <v>0</v>
      </c>
      <c r="R895" s="2" t="inlineStr"/>
    </row>
    <row r="896" ht="15" customHeight="1">
      <c r="A896" t="inlineStr">
        <is>
          <t>A 13676-2020</t>
        </is>
      </c>
      <c r="B896" s="1" t="n">
        <v>43903</v>
      </c>
      <c r="C896" s="1" t="n">
        <v>45571</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14037-2020</t>
        </is>
      </c>
      <c r="B897" s="1" t="n">
        <v>43906</v>
      </c>
      <c r="C897" s="1" t="n">
        <v>45571</v>
      </c>
      <c r="D897" t="inlineStr">
        <is>
          <t>STOCKHOLMS LÄN</t>
        </is>
      </c>
      <c r="E897" t="inlineStr">
        <is>
          <t>HANINGE</t>
        </is>
      </c>
      <c r="G897" t="n">
        <v>0.8</v>
      </c>
      <c r="H897" t="n">
        <v>0</v>
      </c>
      <c r="I897" t="n">
        <v>0</v>
      </c>
      <c r="J897" t="n">
        <v>0</v>
      </c>
      <c r="K897" t="n">
        <v>0</v>
      </c>
      <c r="L897" t="n">
        <v>0</v>
      </c>
      <c r="M897" t="n">
        <v>0</v>
      </c>
      <c r="N897" t="n">
        <v>0</v>
      </c>
      <c r="O897" t="n">
        <v>0</v>
      </c>
      <c r="P897" t="n">
        <v>0</v>
      </c>
      <c r="Q897" t="n">
        <v>0</v>
      </c>
      <c r="R897" s="2" t="inlineStr"/>
    </row>
    <row r="898" ht="15" customHeight="1">
      <c r="A898" t="inlineStr">
        <is>
          <t>A 14512-2020</t>
        </is>
      </c>
      <c r="B898" s="1" t="n">
        <v>43907</v>
      </c>
      <c r="C898" s="1" t="n">
        <v>45571</v>
      </c>
      <c r="D898" t="inlineStr">
        <is>
          <t>STOCKHOLMS LÄN</t>
        </is>
      </c>
      <c r="E898" t="inlineStr">
        <is>
          <t>SIGTUNA</t>
        </is>
      </c>
      <c r="F898" t="inlineStr">
        <is>
          <t>Övriga statliga verk och myndigheter</t>
        </is>
      </c>
      <c r="G898" t="n">
        <v>0.7</v>
      </c>
      <c r="H898" t="n">
        <v>0</v>
      </c>
      <c r="I898" t="n">
        <v>0</v>
      </c>
      <c r="J898" t="n">
        <v>0</v>
      </c>
      <c r="K898" t="n">
        <v>0</v>
      </c>
      <c r="L898" t="n">
        <v>0</v>
      </c>
      <c r="M898" t="n">
        <v>0</v>
      </c>
      <c r="N898" t="n">
        <v>0</v>
      </c>
      <c r="O898" t="n">
        <v>0</v>
      </c>
      <c r="P898" t="n">
        <v>0</v>
      </c>
      <c r="Q898" t="n">
        <v>0</v>
      </c>
      <c r="R898" s="2" t="inlineStr"/>
    </row>
    <row r="899" ht="15" customHeight="1">
      <c r="A899" t="inlineStr">
        <is>
          <t>A 14525-2020</t>
        </is>
      </c>
      <c r="B899" s="1" t="n">
        <v>43908</v>
      </c>
      <c r="C899" s="1" t="n">
        <v>45571</v>
      </c>
      <c r="D899" t="inlineStr">
        <is>
          <t>STOCKHOLMS LÄN</t>
        </is>
      </c>
      <c r="E899" t="inlineStr">
        <is>
          <t>NORRTÄLJE</t>
        </is>
      </c>
      <c r="G899" t="n">
        <v>10.2</v>
      </c>
      <c r="H899" t="n">
        <v>0</v>
      </c>
      <c r="I899" t="n">
        <v>0</v>
      </c>
      <c r="J899" t="n">
        <v>0</v>
      </c>
      <c r="K899" t="n">
        <v>0</v>
      </c>
      <c r="L899" t="n">
        <v>0</v>
      </c>
      <c r="M899" t="n">
        <v>0</v>
      </c>
      <c r="N899" t="n">
        <v>0</v>
      </c>
      <c r="O899" t="n">
        <v>0</v>
      </c>
      <c r="P899" t="n">
        <v>0</v>
      </c>
      <c r="Q899" t="n">
        <v>0</v>
      </c>
      <c r="R899" s="2" t="inlineStr"/>
    </row>
    <row r="900" ht="15" customHeight="1">
      <c r="A900" t="inlineStr">
        <is>
          <t>A 14565-2020</t>
        </is>
      </c>
      <c r="B900" s="1" t="n">
        <v>43908</v>
      </c>
      <c r="C900" s="1" t="n">
        <v>45571</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14831-2020</t>
        </is>
      </c>
      <c r="B901" s="1" t="n">
        <v>43909</v>
      </c>
      <c r="C901" s="1" t="n">
        <v>45571</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15318-2020</t>
        </is>
      </c>
      <c r="B902" s="1" t="n">
        <v>43913</v>
      </c>
      <c r="C902" s="1" t="n">
        <v>45571</v>
      </c>
      <c r="D902" t="inlineStr">
        <is>
          <t>STOCKHOLMS LÄN</t>
        </is>
      </c>
      <c r="E902" t="inlineStr">
        <is>
          <t>HANINGE</t>
        </is>
      </c>
      <c r="G902" t="n">
        <v>3.8</v>
      </c>
      <c r="H902" t="n">
        <v>0</v>
      </c>
      <c r="I902" t="n">
        <v>0</v>
      </c>
      <c r="J902" t="n">
        <v>0</v>
      </c>
      <c r="K902" t="n">
        <v>0</v>
      </c>
      <c r="L902" t="n">
        <v>0</v>
      </c>
      <c r="M902" t="n">
        <v>0</v>
      </c>
      <c r="N902" t="n">
        <v>0</v>
      </c>
      <c r="O902" t="n">
        <v>0</v>
      </c>
      <c r="P902" t="n">
        <v>0</v>
      </c>
      <c r="Q902" t="n">
        <v>0</v>
      </c>
      <c r="R902" s="2" t="inlineStr"/>
    </row>
    <row r="903" ht="15" customHeight="1">
      <c r="A903" t="inlineStr">
        <is>
          <t>A 15354-2020</t>
        </is>
      </c>
      <c r="B903" s="1" t="n">
        <v>43913</v>
      </c>
      <c r="C903" s="1" t="n">
        <v>45571</v>
      </c>
      <c r="D903" t="inlineStr">
        <is>
          <t>STOCKHOLMS LÄN</t>
        </is>
      </c>
      <c r="E903" t="inlineStr">
        <is>
          <t>NYNÄSHAMN</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15663-2020</t>
        </is>
      </c>
      <c r="B904" s="1" t="n">
        <v>43915</v>
      </c>
      <c r="C904" s="1" t="n">
        <v>45571</v>
      </c>
      <c r="D904" t="inlineStr">
        <is>
          <t>STOCKHOLMS LÄN</t>
        </is>
      </c>
      <c r="E904" t="inlineStr">
        <is>
          <t>NORRTÄLJE</t>
        </is>
      </c>
      <c r="G904" t="n">
        <v>11.1</v>
      </c>
      <c r="H904" t="n">
        <v>0</v>
      </c>
      <c r="I904" t="n">
        <v>0</v>
      </c>
      <c r="J904" t="n">
        <v>0</v>
      </c>
      <c r="K904" t="n">
        <v>0</v>
      </c>
      <c r="L904" t="n">
        <v>0</v>
      </c>
      <c r="M904" t="n">
        <v>0</v>
      </c>
      <c r="N904" t="n">
        <v>0</v>
      </c>
      <c r="O904" t="n">
        <v>0</v>
      </c>
      <c r="P904" t="n">
        <v>0</v>
      </c>
      <c r="Q904" t="n">
        <v>0</v>
      </c>
      <c r="R904" s="2" t="inlineStr"/>
    </row>
    <row r="905" ht="15" customHeight="1">
      <c r="A905" t="inlineStr">
        <is>
          <t>A 15756-2020</t>
        </is>
      </c>
      <c r="B905" s="1" t="n">
        <v>43915</v>
      </c>
      <c r="C905" s="1" t="n">
        <v>45571</v>
      </c>
      <c r="D905" t="inlineStr">
        <is>
          <t>STOCKHOLMS LÄN</t>
        </is>
      </c>
      <c r="E905" t="inlineStr">
        <is>
          <t>EKERÖ</t>
        </is>
      </c>
      <c r="G905" t="n">
        <v>1.4</v>
      </c>
      <c r="H905" t="n">
        <v>0</v>
      </c>
      <c r="I905" t="n">
        <v>0</v>
      </c>
      <c r="J905" t="n">
        <v>0</v>
      </c>
      <c r="K905" t="n">
        <v>0</v>
      </c>
      <c r="L905" t="n">
        <v>0</v>
      </c>
      <c r="M905" t="n">
        <v>0</v>
      </c>
      <c r="N905" t="n">
        <v>0</v>
      </c>
      <c r="O905" t="n">
        <v>0</v>
      </c>
      <c r="P905" t="n">
        <v>0</v>
      </c>
      <c r="Q905" t="n">
        <v>0</v>
      </c>
      <c r="R905" s="2" t="inlineStr"/>
    </row>
    <row r="906" ht="15" customHeight="1">
      <c r="A906" t="inlineStr">
        <is>
          <t>A 15878-2020</t>
        </is>
      </c>
      <c r="B906" s="1" t="n">
        <v>43915</v>
      </c>
      <c r="C906" s="1" t="n">
        <v>45571</v>
      </c>
      <c r="D906" t="inlineStr">
        <is>
          <t>STOCKHOLMS LÄN</t>
        </is>
      </c>
      <c r="E906" t="inlineStr">
        <is>
          <t>NYKVARN</t>
        </is>
      </c>
      <c r="G906" t="n">
        <v>1</v>
      </c>
      <c r="H906" t="n">
        <v>0</v>
      </c>
      <c r="I906" t="n">
        <v>0</v>
      </c>
      <c r="J906" t="n">
        <v>0</v>
      </c>
      <c r="K906" t="n">
        <v>0</v>
      </c>
      <c r="L906" t="n">
        <v>0</v>
      </c>
      <c r="M906" t="n">
        <v>0</v>
      </c>
      <c r="N906" t="n">
        <v>0</v>
      </c>
      <c r="O906" t="n">
        <v>0</v>
      </c>
      <c r="P906" t="n">
        <v>0</v>
      </c>
      <c r="Q906" t="n">
        <v>0</v>
      </c>
      <c r="R906" s="2" t="inlineStr"/>
    </row>
    <row r="907" ht="15" customHeight="1">
      <c r="A907" t="inlineStr">
        <is>
          <t>A 16048-2020</t>
        </is>
      </c>
      <c r="B907" s="1" t="n">
        <v>43916</v>
      </c>
      <c r="C907" s="1" t="n">
        <v>45571</v>
      </c>
      <c r="D907" t="inlineStr">
        <is>
          <t>STOCKHOLMS LÄN</t>
        </is>
      </c>
      <c r="E907" t="inlineStr">
        <is>
          <t>BOTKYRKA</t>
        </is>
      </c>
      <c r="G907" t="n">
        <v>4.7</v>
      </c>
      <c r="H907" t="n">
        <v>0</v>
      </c>
      <c r="I907" t="n">
        <v>0</v>
      </c>
      <c r="J907" t="n">
        <v>0</v>
      </c>
      <c r="K907" t="n">
        <v>0</v>
      </c>
      <c r="L907" t="n">
        <v>0</v>
      </c>
      <c r="M907" t="n">
        <v>0</v>
      </c>
      <c r="N907" t="n">
        <v>0</v>
      </c>
      <c r="O907" t="n">
        <v>0</v>
      </c>
      <c r="P907" t="n">
        <v>0</v>
      </c>
      <c r="Q907" t="n">
        <v>0</v>
      </c>
      <c r="R907" s="2" t="inlineStr"/>
    </row>
    <row r="908" ht="15" customHeight="1">
      <c r="A908" t="inlineStr">
        <is>
          <t>A 16273-2020</t>
        </is>
      </c>
      <c r="B908" s="1" t="n">
        <v>43917</v>
      </c>
      <c r="C908" s="1" t="n">
        <v>45571</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17911-2020</t>
        </is>
      </c>
      <c r="B909" s="1" t="n">
        <v>43924</v>
      </c>
      <c r="C909" s="1" t="n">
        <v>45571</v>
      </c>
      <c r="D909" t="inlineStr">
        <is>
          <t>STOCKHOLMS LÄN</t>
        </is>
      </c>
      <c r="E909" t="inlineStr">
        <is>
          <t>NYKVARN</t>
        </is>
      </c>
      <c r="F909" t="inlineStr">
        <is>
          <t>Kommuner</t>
        </is>
      </c>
      <c r="G909" t="n">
        <v>4.1</v>
      </c>
      <c r="H909" t="n">
        <v>0</v>
      </c>
      <c r="I909" t="n">
        <v>0</v>
      </c>
      <c r="J909" t="n">
        <v>0</v>
      </c>
      <c r="K909" t="n">
        <v>0</v>
      </c>
      <c r="L909" t="n">
        <v>0</v>
      </c>
      <c r="M909" t="n">
        <v>0</v>
      </c>
      <c r="N909" t="n">
        <v>0</v>
      </c>
      <c r="O909" t="n">
        <v>0</v>
      </c>
      <c r="P909" t="n">
        <v>0</v>
      </c>
      <c r="Q909" t="n">
        <v>0</v>
      </c>
      <c r="R909" s="2" t="inlineStr"/>
    </row>
    <row r="910" ht="15" customHeight="1">
      <c r="A910" t="inlineStr">
        <is>
          <t>A 17926-2020</t>
        </is>
      </c>
      <c r="B910" s="1" t="n">
        <v>43924</v>
      </c>
      <c r="C910" s="1" t="n">
        <v>45571</v>
      </c>
      <c r="D910" t="inlineStr">
        <is>
          <t>STOCKHOLMS LÄN</t>
        </is>
      </c>
      <c r="E910" t="inlineStr">
        <is>
          <t>NYKVARN</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17965-2020</t>
        </is>
      </c>
      <c r="B911" s="1" t="n">
        <v>43925</v>
      </c>
      <c r="C911" s="1" t="n">
        <v>45571</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18821-2020</t>
        </is>
      </c>
      <c r="B912" s="1" t="n">
        <v>43935</v>
      </c>
      <c r="C912" s="1" t="n">
        <v>45571</v>
      </c>
      <c r="D912" t="inlineStr">
        <is>
          <t>STOCKHOLMS LÄN</t>
        </is>
      </c>
      <c r="E912" t="inlineStr">
        <is>
          <t>SALEM</t>
        </is>
      </c>
      <c r="G912" t="n">
        <v>5.7</v>
      </c>
      <c r="H912" t="n">
        <v>0</v>
      </c>
      <c r="I912" t="n">
        <v>0</v>
      </c>
      <c r="J912" t="n">
        <v>0</v>
      </c>
      <c r="K912" t="n">
        <v>0</v>
      </c>
      <c r="L912" t="n">
        <v>0</v>
      </c>
      <c r="M912" t="n">
        <v>0</v>
      </c>
      <c r="N912" t="n">
        <v>0</v>
      </c>
      <c r="O912" t="n">
        <v>0</v>
      </c>
      <c r="P912" t="n">
        <v>0</v>
      </c>
      <c r="Q912" t="n">
        <v>0</v>
      </c>
      <c r="R912" s="2" t="inlineStr"/>
    </row>
    <row r="913" ht="15" customHeight="1">
      <c r="A913" t="inlineStr">
        <is>
          <t>A 19258-2020</t>
        </is>
      </c>
      <c r="B913" s="1" t="n">
        <v>43937</v>
      </c>
      <c r="C913" s="1" t="n">
        <v>45571</v>
      </c>
      <c r="D913" t="inlineStr">
        <is>
          <t>STOCKHOLMS LÄN</t>
        </is>
      </c>
      <c r="E913" t="inlineStr">
        <is>
          <t>NORRTÄLJE</t>
        </is>
      </c>
      <c r="F913" t="inlineStr">
        <is>
          <t>Övriga statliga verk och myndigheter</t>
        </is>
      </c>
      <c r="G913" t="n">
        <v>2.9</v>
      </c>
      <c r="H913" t="n">
        <v>0</v>
      </c>
      <c r="I913" t="n">
        <v>0</v>
      </c>
      <c r="J913" t="n">
        <v>0</v>
      </c>
      <c r="K913" t="n">
        <v>0</v>
      </c>
      <c r="L913" t="n">
        <v>0</v>
      </c>
      <c r="M913" t="n">
        <v>0</v>
      </c>
      <c r="N913" t="n">
        <v>0</v>
      </c>
      <c r="O913" t="n">
        <v>0</v>
      </c>
      <c r="P913" t="n">
        <v>0</v>
      </c>
      <c r="Q913" t="n">
        <v>0</v>
      </c>
      <c r="R913" s="2" t="inlineStr"/>
    </row>
    <row r="914" ht="15" customHeight="1">
      <c r="A914" t="inlineStr">
        <is>
          <t>A 19863-2020</t>
        </is>
      </c>
      <c r="B914" s="1" t="n">
        <v>43942</v>
      </c>
      <c r="C914" s="1" t="n">
        <v>45571</v>
      </c>
      <c r="D914" t="inlineStr">
        <is>
          <t>STOCKHOLMS LÄN</t>
        </is>
      </c>
      <c r="E914" t="inlineStr">
        <is>
          <t>VALLENTUNA</t>
        </is>
      </c>
      <c r="G914" t="n">
        <v>1.7</v>
      </c>
      <c r="H914" t="n">
        <v>0</v>
      </c>
      <c r="I914" t="n">
        <v>0</v>
      </c>
      <c r="J914" t="n">
        <v>0</v>
      </c>
      <c r="K914" t="n">
        <v>0</v>
      </c>
      <c r="L914" t="n">
        <v>0</v>
      </c>
      <c r="M914" t="n">
        <v>0</v>
      </c>
      <c r="N914" t="n">
        <v>0</v>
      </c>
      <c r="O914" t="n">
        <v>0</v>
      </c>
      <c r="P914" t="n">
        <v>0</v>
      </c>
      <c r="Q914" t="n">
        <v>0</v>
      </c>
      <c r="R914" s="2" t="inlineStr"/>
    </row>
    <row r="915" ht="15" customHeight="1">
      <c r="A915" t="inlineStr">
        <is>
          <t>A 20196-2020</t>
        </is>
      </c>
      <c r="B915" s="1" t="n">
        <v>43944</v>
      </c>
      <c r="C915" s="1" t="n">
        <v>45571</v>
      </c>
      <c r="D915" t="inlineStr">
        <is>
          <t>STOCKHOLMS LÄN</t>
        </is>
      </c>
      <c r="E915" t="inlineStr">
        <is>
          <t>SÖDERTÄLJE</t>
        </is>
      </c>
      <c r="G915" t="n">
        <v>4</v>
      </c>
      <c r="H915" t="n">
        <v>0</v>
      </c>
      <c r="I915" t="n">
        <v>0</v>
      </c>
      <c r="J915" t="n">
        <v>0</v>
      </c>
      <c r="K915" t="n">
        <v>0</v>
      </c>
      <c r="L915" t="n">
        <v>0</v>
      </c>
      <c r="M915" t="n">
        <v>0</v>
      </c>
      <c r="N915" t="n">
        <v>0</v>
      </c>
      <c r="O915" t="n">
        <v>0</v>
      </c>
      <c r="P915" t="n">
        <v>0</v>
      </c>
      <c r="Q915" t="n">
        <v>0</v>
      </c>
      <c r="R915" s="2" t="inlineStr"/>
    </row>
    <row r="916" ht="15" customHeight="1">
      <c r="A916" t="inlineStr">
        <is>
          <t>A 20257-2020</t>
        </is>
      </c>
      <c r="B916" s="1" t="n">
        <v>43944</v>
      </c>
      <c r="C916" s="1" t="n">
        <v>45571</v>
      </c>
      <c r="D916" t="inlineStr">
        <is>
          <t>STOCKHOLMS LÄN</t>
        </is>
      </c>
      <c r="E916" t="inlineStr">
        <is>
          <t>NORRTÄLJE</t>
        </is>
      </c>
      <c r="G916" t="n">
        <v>80.09999999999999</v>
      </c>
      <c r="H916" t="n">
        <v>0</v>
      </c>
      <c r="I916" t="n">
        <v>0</v>
      </c>
      <c r="J916" t="n">
        <v>0</v>
      </c>
      <c r="K916" t="n">
        <v>0</v>
      </c>
      <c r="L916" t="n">
        <v>0</v>
      </c>
      <c r="M916" t="n">
        <v>0</v>
      </c>
      <c r="N916" t="n">
        <v>0</v>
      </c>
      <c r="O916" t="n">
        <v>0</v>
      </c>
      <c r="P916" t="n">
        <v>0</v>
      </c>
      <c r="Q916" t="n">
        <v>0</v>
      </c>
      <c r="R916" s="2" t="inlineStr"/>
    </row>
    <row r="917" ht="15" customHeight="1">
      <c r="A917" t="inlineStr">
        <is>
          <t>A 20600-2020</t>
        </is>
      </c>
      <c r="B917" s="1" t="n">
        <v>43948</v>
      </c>
      <c r="C917" s="1" t="n">
        <v>45571</v>
      </c>
      <c r="D917" t="inlineStr">
        <is>
          <t>STOCKHOLMS LÄN</t>
        </is>
      </c>
      <c r="E917" t="inlineStr">
        <is>
          <t>NYNÄSHAMN</t>
        </is>
      </c>
      <c r="G917" t="n">
        <v>1.9</v>
      </c>
      <c r="H917" t="n">
        <v>0</v>
      </c>
      <c r="I917" t="n">
        <v>0</v>
      </c>
      <c r="J917" t="n">
        <v>0</v>
      </c>
      <c r="K917" t="n">
        <v>0</v>
      </c>
      <c r="L917" t="n">
        <v>0</v>
      </c>
      <c r="M917" t="n">
        <v>0</v>
      </c>
      <c r="N917" t="n">
        <v>0</v>
      </c>
      <c r="O917" t="n">
        <v>0</v>
      </c>
      <c r="P917" t="n">
        <v>0</v>
      </c>
      <c r="Q917" t="n">
        <v>0</v>
      </c>
      <c r="R917" s="2" t="inlineStr"/>
    </row>
    <row r="918" ht="15" customHeight="1">
      <c r="A918" t="inlineStr">
        <is>
          <t>A 20673-2020</t>
        </is>
      </c>
      <c r="B918" s="1" t="n">
        <v>43949</v>
      </c>
      <c r="C918" s="1" t="n">
        <v>45571</v>
      </c>
      <c r="D918" t="inlineStr">
        <is>
          <t>STOCKHOLMS LÄN</t>
        </is>
      </c>
      <c r="E918" t="inlineStr">
        <is>
          <t>NYNÄSHAMN</t>
        </is>
      </c>
      <c r="G918" t="n">
        <v>1.5</v>
      </c>
      <c r="H918" t="n">
        <v>0</v>
      </c>
      <c r="I918" t="n">
        <v>0</v>
      </c>
      <c r="J918" t="n">
        <v>0</v>
      </c>
      <c r="K918" t="n">
        <v>0</v>
      </c>
      <c r="L918" t="n">
        <v>0</v>
      </c>
      <c r="M918" t="n">
        <v>0</v>
      </c>
      <c r="N918" t="n">
        <v>0</v>
      </c>
      <c r="O918" t="n">
        <v>0</v>
      </c>
      <c r="P918" t="n">
        <v>0</v>
      </c>
      <c r="Q918" t="n">
        <v>0</v>
      </c>
      <c r="R918" s="2" t="inlineStr"/>
    </row>
    <row r="919" ht="15" customHeight="1">
      <c r="A919" t="inlineStr">
        <is>
          <t>A 21374-2020</t>
        </is>
      </c>
      <c r="B919" s="1" t="n">
        <v>43955</v>
      </c>
      <c r="C919" s="1" t="n">
        <v>45571</v>
      </c>
      <c r="D919" t="inlineStr">
        <is>
          <t>STOCKHOLMS LÄN</t>
        </is>
      </c>
      <c r="E919" t="inlineStr">
        <is>
          <t>ÖSTERÅKER</t>
        </is>
      </c>
      <c r="G919" t="n">
        <v>3</v>
      </c>
      <c r="H919" t="n">
        <v>0</v>
      </c>
      <c r="I919" t="n">
        <v>0</v>
      </c>
      <c r="J919" t="n">
        <v>0</v>
      </c>
      <c r="K919" t="n">
        <v>0</v>
      </c>
      <c r="L919" t="n">
        <v>0</v>
      </c>
      <c r="M919" t="n">
        <v>0</v>
      </c>
      <c r="N919" t="n">
        <v>0</v>
      </c>
      <c r="O919" t="n">
        <v>0</v>
      </c>
      <c r="P919" t="n">
        <v>0</v>
      </c>
      <c r="Q919" t="n">
        <v>0</v>
      </c>
      <c r="R919" s="2" t="inlineStr"/>
    </row>
    <row r="920" ht="15" customHeight="1">
      <c r="A920" t="inlineStr">
        <is>
          <t>A 21634-2020</t>
        </is>
      </c>
      <c r="B920" s="1" t="n">
        <v>43956</v>
      </c>
      <c r="C920" s="1" t="n">
        <v>45571</v>
      </c>
      <c r="D920" t="inlineStr">
        <is>
          <t>STOCKHOLMS LÄN</t>
        </is>
      </c>
      <c r="E920" t="inlineStr">
        <is>
          <t>NYKVARN</t>
        </is>
      </c>
      <c r="G920" t="n">
        <v>1.4</v>
      </c>
      <c r="H920" t="n">
        <v>0</v>
      </c>
      <c r="I920" t="n">
        <v>0</v>
      </c>
      <c r="J920" t="n">
        <v>0</v>
      </c>
      <c r="K920" t="n">
        <v>0</v>
      </c>
      <c r="L920" t="n">
        <v>0</v>
      </c>
      <c r="M920" t="n">
        <v>0</v>
      </c>
      <c r="N920" t="n">
        <v>0</v>
      </c>
      <c r="O920" t="n">
        <v>0</v>
      </c>
      <c r="P920" t="n">
        <v>0</v>
      </c>
      <c r="Q920" t="n">
        <v>0</v>
      </c>
      <c r="R920" s="2" t="inlineStr"/>
    </row>
    <row r="921" ht="15" customHeight="1">
      <c r="A921" t="inlineStr">
        <is>
          <t>A 21645-2020</t>
        </is>
      </c>
      <c r="B921" s="1" t="n">
        <v>43956</v>
      </c>
      <c r="C921" s="1" t="n">
        <v>45571</v>
      </c>
      <c r="D921" t="inlineStr">
        <is>
          <t>STOCKHOLMS LÄN</t>
        </is>
      </c>
      <c r="E921" t="inlineStr">
        <is>
          <t>BOTKYRKA</t>
        </is>
      </c>
      <c r="G921" t="n">
        <v>2.4</v>
      </c>
      <c r="H921" t="n">
        <v>0</v>
      </c>
      <c r="I921" t="n">
        <v>0</v>
      </c>
      <c r="J921" t="n">
        <v>0</v>
      </c>
      <c r="K921" t="n">
        <v>0</v>
      </c>
      <c r="L921" t="n">
        <v>0</v>
      </c>
      <c r="M921" t="n">
        <v>0</v>
      </c>
      <c r="N921" t="n">
        <v>0</v>
      </c>
      <c r="O921" t="n">
        <v>0</v>
      </c>
      <c r="P921" t="n">
        <v>0</v>
      </c>
      <c r="Q921" t="n">
        <v>0</v>
      </c>
      <c r="R921" s="2" t="inlineStr"/>
    </row>
    <row r="922" ht="15" customHeight="1">
      <c r="A922" t="inlineStr">
        <is>
          <t>A 21849-2020</t>
        </is>
      </c>
      <c r="B922" s="1" t="n">
        <v>43958</v>
      </c>
      <c r="C922" s="1" t="n">
        <v>45571</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21875-2020</t>
        </is>
      </c>
      <c r="B923" s="1" t="n">
        <v>43958</v>
      </c>
      <c r="C923" s="1" t="n">
        <v>45571</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23098-2020</t>
        </is>
      </c>
      <c r="B924" s="1" t="n">
        <v>43965</v>
      </c>
      <c r="C924" s="1" t="n">
        <v>45571</v>
      </c>
      <c r="D924" t="inlineStr">
        <is>
          <t>STOCKHOLMS LÄN</t>
        </is>
      </c>
      <c r="E924" t="inlineStr">
        <is>
          <t>SIGTUNA</t>
        </is>
      </c>
      <c r="G924" t="n">
        <v>8.6</v>
      </c>
      <c r="H924" t="n">
        <v>0</v>
      </c>
      <c r="I924" t="n">
        <v>0</v>
      </c>
      <c r="J924" t="n">
        <v>0</v>
      </c>
      <c r="K924" t="n">
        <v>0</v>
      </c>
      <c r="L924" t="n">
        <v>0</v>
      </c>
      <c r="M924" t="n">
        <v>0</v>
      </c>
      <c r="N924" t="n">
        <v>0</v>
      </c>
      <c r="O924" t="n">
        <v>0</v>
      </c>
      <c r="P924" t="n">
        <v>0</v>
      </c>
      <c r="Q924" t="n">
        <v>0</v>
      </c>
      <c r="R924" s="2" t="inlineStr"/>
    </row>
    <row r="925" ht="15" customHeight="1">
      <c r="A925" t="inlineStr">
        <is>
          <t>A 23364-2020</t>
        </is>
      </c>
      <c r="B925" s="1" t="n">
        <v>43967</v>
      </c>
      <c r="C925" s="1" t="n">
        <v>45571</v>
      </c>
      <c r="D925" t="inlineStr">
        <is>
          <t>STOCKHOLMS LÄN</t>
        </is>
      </c>
      <c r="E925" t="inlineStr">
        <is>
          <t>NYNÄSHAMN</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23363-2020</t>
        </is>
      </c>
      <c r="B926" s="1" t="n">
        <v>43967</v>
      </c>
      <c r="C926" s="1" t="n">
        <v>45571</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23447-2020</t>
        </is>
      </c>
      <c r="B927" s="1" t="n">
        <v>43969</v>
      </c>
      <c r="C927" s="1" t="n">
        <v>45571</v>
      </c>
      <c r="D927" t="inlineStr">
        <is>
          <t>STOCKHOLMS LÄN</t>
        </is>
      </c>
      <c r="E927" t="inlineStr">
        <is>
          <t>NYNÄSHAMN</t>
        </is>
      </c>
      <c r="F927" t="inlineStr">
        <is>
          <t>Kommuner</t>
        </is>
      </c>
      <c r="G927" t="n">
        <v>1</v>
      </c>
      <c r="H927" t="n">
        <v>0</v>
      </c>
      <c r="I927" t="n">
        <v>0</v>
      </c>
      <c r="J927" t="n">
        <v>0</v>
      </c>
      <c r="K927" t="n">
        <v>0</v>
      </c>
      <c r="L927" t="n">
        <v>0</v>
      </c>
      <c r="M927" t="n">
        <v>0</v>
      </c>
      <c r="N927" t="n">
        <v>0</v>
      </c>
      <c r="O927" t="n">
        <v>0</v>
      </c>
      <c r="P927" t="n">
        <v>0</v>
      </c>
      <c r="Q927" t="n">
        <v>0</v>
      </c>
      <c r="R927" s="2" t="inlineStr"/>
    </row>
    <row r="928" ht="15" customHeight="1">
      <c r="A928" t="inlineStr">
        <is>
          <t>A 23426-2020</t>
        </is>
      </c>
      <c r="B928" s="1" t="n">
        <v>43969</v>
      </c>
      <c r="C928" s="1" t="n">
        <v>45571</v>
      </c>
      <c r="D928" t="inlineStr">
        <is>
          <t>STOCKHOLMS LÄN</t>
        </is>
      </c>
      <c r="E928" t="inlineStr">
        <is>
          <t>BOTKYRKA</t>
        </is>
      </c>
      <c r="G928" t="n">
        <v>1</v>
      </c>
      <c r="H928" t="n">
        <v>0</v>
      </c>
      <c r="I928" t="n">
        <v>0</v>
      </c>
      <c r="J928" t="n">
        <v>0</v>
      </c>
      <c r="K928" t="n">
        <v>0</v>
      </c>
      <c r="L928" t="n">
        <v>0</v>
      </c>
      <c r="M928" t="n">
        <v>0</v>
      </c>
      <c r="N928" t="n">
        <v>0</v>
      </c>
      <c r="O928" t="n">
        <v>0</v>
      </c>
      <c r="P928" t="n">
        <v>0</v>
      </c>
      <c r="Q928" t="n">
        <v>0</v>
      </c>
      <c r="R928" s="2" t="inlineStr"/>
    </row>
    <row r="929" ht="15" customHeight="1">
      <c r="A929" t="inlineStr">
        <is>
          <t>A 23442-2020</t>
        </is>
      </c>
      <c r="B929" s="1" t="n">
        <v>43969</v>
      </c>
      <c r="C929" s="1" t="n">
        <v>45571</v>
      </c>
      <c r="D929" t="inlineStr">
        <is>
          <t>STOCKHOLMS LÄN</t>
        </is>
      </c>
      <c r="E929" t="inlineStr">
        <is>
          <t>NYNÄSHAMN</t>
        </is>
      </c>
      <c r="F929" t="inlineStr">
        <is>
          <t>Kommuner</t>
        </is>
      </c>
      <c r="G929" t="n">
        <v>4.5</v>
      </c>
      <c r="H929" t="n">
        <v>0</v>
      </c>
      <c r="I929" t="n">
        <v>0</v>
      </c>
      <c r="J929" t="n">
        <v>0</v>
      </c>
      <c r="K929" t="n">
        <v>0</v>
      </c>
      <c r="L929" t="n">
        <v>0</v>
      </c>
      <c r="M929" t="n">
        <v>0</v>
      </c>
      <c r="N929" t="n">
        <v>0</v>
      </c>
      <c r="O929" t="n">
        <v>0</v>
      </c>
      <c r="P929" t="n">
        <v>0</v>
      </c>
      <c r="Q929" t="n">
        <v>0</v>
      </c>
      <c r="R929" s="2" t="inlineStr"/>
    </row>
    <row r="930" ht="15" customHeight="1">
      <c r="A930" t="inlineStr">
        <is>
          <t>A 23751-2020</t>
        </is>
      </c>
      <c r="B930" s="1" t="n">
        <v>43970</v>
      </c>
      <c r="C930" s="1" t="n">
        <v>45571</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24136-2020</t>
        </is>
      </c>
      <c r="B931" s="1" t="n">
        <v>43973</v>
      </c>
      <c r="C931" s="1" t="n">
        <v>45571</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25575-2020</t>
        </is>
      </c>
      <c r="B932" s="1" t="n">
        <v>43983</v>
      </c>
      <c r="C932" s="1" t="n">
        <v>45571</v>
      </c>
      <c r="D932" t="inlineStr">
        <is>
          <t>STOCKHOLMS LÄN</t>
        </is>
      </c>
      <c r="E932" t="inlineStr">
        <is>
          <t>VALLENTUNA</t>
        </is>
      </c>
      <c r="G932" t="n">
        <v>6</v>
      </c>
      <c r="H932" t="n">
        <v>0</v>
      </c>
      <c r="I932" t="n">
        <v>0</v>
      </c>
      <c r="J932" t="n">
        <v>0</v>
      </c>
      <c r="K932" t="n">
        <v>0</v>
      </c>
      <c r="L932" t="n">
        <v>0</v>
      </c>
      <c r="M932" t="n">
        <v>0</v>
      </c>
      <c r="N932" t="n">
        <v>0</v>
      </c>
      <c r="O932" t="n">
        <v>0</v>
      </c>
      <c r="P932" t="n">
        <v>0</v>
      </c>
      <c r="Q932" t="n">
        <v>0</v>
      </c>
      <c r="R932" s="2" t="inlineStr"/>
    </row>
    <row r="933" ht="15" customHeight="1">
      <c r="A933" t="inlineStr">
        <is>
          <t>A 25584-2020</t>
        </is>
      </c>
      <c r="B933" s="1" t="n">
        <v>43983</v>
      </c>
      <c r="C933" s="1" t="n">
        <v>45571</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25589-2020</t>
        </is>
      </c>
      <c r="B934" s="1" t="n">
        <v>43983</v>
      </c>
      <c r="C934" s="1" t="n">
        <v>45571</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25745-2020</t>
        </is>
      </c>
      <c r="B935" s="1" t="n">
        <v>43984</v>
      </c>
      <c r="C935" s="1" t="n">
        <v>45571</v>
      </c>
      <c r="D935" t="inlineStr">
        <is>
          <t>STOCKHOLMS LÄN</t>
        </is>
      </c>
      <c r="E935" t="inlineStr">
        <is>
          <t>SIGTUNA</t>
        </is>
      </c>
      <c r="G935" t="n">
        <v>0.7</v>
      </c>
      <c r="H935" t="n">
        <v>0</v>
      </c>
      <c r="I935" t="n">
        <v>0</v>
      </c>
      <c r="J935" t="n">
        <v>0</v>
      </c>
      <c r="K935" t="n">
        <v>0</v>
      </c>
      <c r="L935" t="n">
        <v>0</v>
      </c>
      <c r="M935" t="n">
        <v>0</v>
      </c>
      <c r="N935" t="n">
        <v>0</v>
      </c>
      <c r="O935" t="n">
        <v>0</v>
      </c>
      <c r="P935" t="n">
        <v>0</v>
      </c>
      <c r="Q935" t="n">
        <v>0</v>
      </c>
      <c r="R935" s="2" t="inlineStr"/>
    </row>
    <row r="936" ht="15" customHeight="1">
      <c r="A936" t="inlineStr">
        <is>
          <t>A 25897-2020</t>
        </is>
      </c>
      <c r="B936" s="1" t="n">
        <v>43984</v>
      </c>
      <c r="C936" s="1" t="n">
        <v>45571</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27278-2020</t>
        </is>
      </c>
      <c r="B937" s="1" t="n">
        <v>43992</v>
      </c>
      <c r="C937" s="1" t="n">
        <v>45571</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27621-2020</t>
        </is>
      </c>
      <c r="B938" s="1" t="n">
        <v>43993</v>
      </c>
      <c r="C938" s="1" t="n">
        <v>45571</v>
      </c>
      <c r="D938" t="inlineStr">
        <is>
          <t>STOCKHOLMS LÄN</t>
        </is>
      </c>
      <c r="E938" t="inlineStr">
        <is>
          <t>NYKVARN</t>
        </is>
      </c>
      <c r="G938" t="n">
        <v>35.8</v>
      </c>
      <c r="H938" t="n">
        <v>0</v>
      </c>
      <c r="I938" t="n">
        <v>0</v>
      </c>
      <c r="J938" t="n">
        <v>0</v>
      </c>
      <c r="K938" t="n">
        <v>0</v>
      </c>
      <c r="L938" t="n">
        <v>0</v>
      </c>
      <c r="M938" t="n">
        <v>0</v>
      </c>
      <c r="N938" t="n">
        <v>0</v>
      </c>
      <c r="O938" t="n">
        <v>0</v>
      </c>
      <c r="P938" t="n">
        <v>0</v>
      </c>
      <c r="Q938" t="n">
        <v>0</v>
      </c>
      <c r="R938" s="2" t="inlineStr"/>
    </row>
    <row r="939" ht="15" customHeight="1">
      <c r="A939" t="inlineStr">
        <is>
          <t>A 27794-2020</t>
        </is>
      </c>
      <c r="B939" s="1" t="n">
        <v>43994</v>
      </c>
      <c r="C939" s="1" t="n">
        <v>45571</v>
      </c>
      <c r="D939" t="inlineStr">
        <is>
          <t>STOCKHOLMS LÄN</t>
        </is>
      </c>
      <c r="E939" t="inlineStr">
        <is>
          <t>NYNÄSHAMN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28663-2020</t>
        </is>
      </c>
      <c r="B940" s="1" t="n">
        <v>43999</v>
      </c>
      <c r="C940" s="1" t="n">
        <v>45571</v>
      </c>
      <c r="D940" t="inlineStr">
        <is>
          <t>STOCKHOLMS LÄN</t>
        </is>
      </c>
      <c r="E940" t="inlineStr">
        <is>
          <t>SIGTUNA</t>
        </is>
      </c>
      <c r="G940" t="n">
        <v>2.2</v>
      </c>
      <c r="H940" t="n">
        <v>0</v>
      </c>
      <c r="I940" t="n">
        <v>0</v>
      </c>
      <c r="J940" t="n">
        <v>0</v>
      </c>
      <c r="K940" t="n">
        <v>0</v>
      </c>
      <c r="L940" t="n">
        <v>0</v>
      </c>
      <c r="M940" t="n">
        <v>0</v>
      </c>
      <c r="N940" t="n">
        <v>0</v>
      </c>
      <c r="O940" t="n">
        <v>0</v>
      </c>
      <c r="P940" t="n">
        <v>0</v>
      </c>
      <c r="Q940" t="n">
        <v>0</v>
      </c>
      <c r="R940" s="2" t="inlineStr"/>
    </row>
    <row r="941" ht="15" customHeight="1">
      <c r="A941" t="inlineStr">
        <is>
          <t>A 28923-2020</t>
        </is>
      </c>
      <c r="B941" s="1" t="n">
        <v>44000</v>
      </c>
      <c r="C941" s="1" t="n">
        <v>45571</v>
      </c>
      <c r="D941" t="inlineStr">
        <is>
          <t>STOCKHOLMS LÄN</t>
        </is>
      </c>
      <c r="E941" t="inlineStr">
        <is>
          <t>SIGTUNA</t>
        </is>
      </c>
      <c r="G941" t="n">
        <v>0.4</v>
      </c>
      <c r="H941" t="n">
        <v>0</v>
      </c>
      <c r="I941" t="n">
        <v>0</v>
      </c>
      <c r="J941" t="n">
        <v>0</v>
      </c>
      <c r="K941" t="n">
        <v>0</v>
      </c>
      <c r="L941" t="n">
        <v>0</v>
      </c>
      <c r="M941" t="n">
        <v>0</v>
      </c>
      <c r="N941" t="n">
        <v>0</v>
      </c>
      <c r="O941" t="n">
        <v>0</v>
      </c>
      <c r="P941" t="n">
        <v>0</v>
      </c>
      <c r="Q941" t="n">
        <v>0</v>
      </c>
      <c r="R941" s="2" t="inlineStr"/>
    </row>
    <row r="942" ht="15" customHeight="1">
      <c r="A942" t="inlineStr">
        <is>
          <t>A 29254-2020</t>
        </is>
      </c>
      <c r="B942" s="1" t="n">
        <v>44000</v>
      </c>
      <c r="C942" s="1" t="n">
        <v>45571</v>
      </c>
      <c r="D942" t="inlineStr">
        <is>
          <t>STOCKHOLMS LÄN</t>
        </is>
      </c>
      <c r="E942" t="inlineStr">
        <is>
          <t>NYKVARN</t>
        </is>
      </c>
      <c r="F942" t="inlineStr">
        <is>
          <t>Allmännings- och besparingsskogar</t>
        </is>
      </c>
      <c r="G942" t="n">
        <v>7.1</v>
      </c>
      <c r="H942" t="n">
        <v>0</v>
      </c>
      <c r="I942" t="n">
        <v>0</v>
      </c>
      <c r="J942" t="n">
        <v>0</v>
      </c>
      <c r="K942" t="n">
        <v>0</v>
      </c>
      <c r="L942" t="n">
        <v>0</v>
      </c>
      <c r="M942" t="n">
        <v>0</v>
      </c>
      <c r="N942" t="n">
        <v>0</v>
      </c>
      <c r="O942" t="n">
        <v>0</v>
      </c>
      <c r="P942" t="n">
        <v>0</v>
      </c>
      <c r="Q942" t="n">
        <v>0</v>
      </c>
      <c r="R942" s="2" t="inlineStr"/>
    </row>
    <row r="943" ht="15" customHeight="1">
      <c r="A943" t="inlineStr">
        <is>
          <t>A 29113-2020</t>
        </is>
      </c>
      <c r="B943" s="1" t="n">
        <v>44003</v>
      </c>
      <c r="C943" s="1" t="n">
        <v>45571</v>
      </c>
      <c r="D943" t="inlineStr">
        <is>
          <t>STOCKHOLMS LÄN</t>
        </is>
      </c>
      <c r="E943" t="inlineStr">
        <is>
          <t>NYNÄSHAMN</t>
        </is>
      </c>
      <c r="G943" t="n">
        <v>2.6</v>
      </c>
      <c r="H943" t="n">
        <v>0</v>
      </c>
      <c r="I943" t="n">
        <v>0</v>
      </c>
      <c r="J943" t="n">
        <v>0</v>
      </c>
      <c r="K943" t="n">
        <v>0</v>
      </c>
      <c r="L943" t="n">
        <v>0</v>
      </c>
      <c r="M943" t="n">
        <v>0</v>
      </c>
      <c r="N943" t="n">
        <v>0</v>
      </c>
      <c r="O943" t="n">
        <v>0</v>
      </c>
      <c r="P943" t="n">
        <v>0</v>
      </c>
      <c r="Q943" t="n">
        <v>0</v>
      </c>
      <c r="R943" s="2" t="inlineStr"/>
    </row>
    <row r="944" ht="15" customHeight="1">
      <c r="A944" t="inlineStr">
        <is>
          <t>A 30600-2020</t>
        </is>
      </c>
      <c r="B944" s="1" t="n">
        <v>44008</v>
      </c>
      <c r="C944" s="1" t="n">
        <v>45571</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31196-2020</t>
        </is>
      </c>
      <c r="B945" s="1" t="n">
        <v>44012</v>
      </c>
      <c r="C945" s="1" t="n">
        <v>45571</v>
      </c>
      <c r="D945" t="inlineStr">
        <is>
          <t>STOCKHOLMS LÄN</t>
        </is>
      </c>
      <c r="E945" t="inlineStr">
        <is>
          <t>UPPLANDS-BRO</t>
        </is>
      </c>
      <c r="G945" t="n">
        <v>1.1</v>
      </c>
      <c r="H945" t="n">
        <v>0</v>
      </c>
      <c r="I945" t="n">
        <v>0</v>
      </c>
      <c r="J945" t="n">
        <v>0</v>
      </c>
      <c r="K945" t="n">
        <v>0</v>
      </c>
      <c r="L945" t="n">
        <v>0</v>
      </c>
      <c r="M945" t="n">
        <v>0</v>
      </c>
      <c r="N945" t="n">
        <v>0</v>
      </c>
      <c r="O945" t="n">
        <v>0</v>
      </c>
      <c r="P945" t="n">
        <v>0</v>
      </c>
      <c r="Q945" t="n">
        <v>0</v>
      </c>
      <c r="R945" s="2" t="inlineStr"/>
    </row>
    <row r="946" ht="15" customHeight="1">
      <c r="A946" t="inlineStr">
        <is>
          <t>A 31783-2020</t>
        </is>
      </c>
      <c r="B946" s="1" t="n">
        <v>44014</v>
      </c>
      <c r="C946" s="1" t="n">
        <v>45571</v>
      </c>
      <c r="D946" t="inlineStr">
        <is>
          <t>STOCKHOLMS LÄN</t>
        </is>
      </c>
      <c r="E946" t="inlineStr">
        <is>
          <t>NORRTÄLJE</t>
        </is>
      </c>
      <c r="G946" t="n">
        <v>4.8</v>
      </c>
      <c r="H946" t="n">
        <v>0</v>
      </c>
      <c r="I946" t="n">
        <v>0</v>
      </c>
      <c r="J946" t="n">
        <v>0</v>
      </c>
      <c r="K946" t="n">
        <v>0</v>
      </c>
      <c r="L946" t="n">
        <v>0</v>
      </c>
      <c r="M946" t="n">
        <v>0</v>
      </c>
      <c r="N946" t="n">
        <v>0</v>
      </c>
      <c r="O946" t="n">
        <v>0</v>
      </c>
      <c r="P946" t="n">
        <v>0</v>
      </c>
      <c r="Q946" t="n">
        <v>0</v>
      </c>
      <c r="R946" s="2" t="inlineStr"/>
    </row>
    <row r="947" ht="15" customHeight="1">
      <c r="A947" t="inlineStr">
        <is>
          <t>A 33881-2020</t>
        </is>
      </c>
      <c r="B947" s="1" t="n">
        <v>44025</v>
      </c>
      <c r="C947" s="1" t="n">
        <v>45571</v>
      </c>
      <c r="D947" t="inlineStr">
        <is>
          <t>STOCKHOLMS LÄN</t>
        </is>
      </c>
      <c r="E947" t="inlineStr">
        <is>
          <t>BOTKYRKA</t>
        </is>
      </c>
      <c r="G947" t="n">
        <v>5.9</v>
      </c>
      <c r="H947" t="n">
        <v>0</v>
      </c>
      <c r="I947" t="n">
        <v>0</v>
      </c>
      <c r="J947" t="n">
        <v>0</v>
      </c>
      <c r="K947" t="n">
        <v>0</v>
      </c>
      <c r="L947" t="n">
        <v>0</v>
      </c>
      <c r="M947" t="n">
        <v>0</v>
      </c>
      <c r="N947" t="n">
        <v>0</v>
      </c>
      <c r="O947" t="n">
        <v>0</v>
      </c>
      <c r="P947" t="n">
        <v>0</v>
      </c>
      <c r="Q947" t="n">
        <v>0</v>
      </c>
      <c r="R947" s="2" t="inlineStr"/>
    </row>
    <row r="948" ht="15" customHeight="1">
      <c r="A948" t="inlineStr">
        <is>
          <t>A 33749-2020</t>
        </is>
      </c>
      <c r="B948" s="1" t="n">
        <v>44026</v>
      </c>
      <c r="C948" s="1" t="n">
        <v>45571</v>
      </c>
      <c r="D948" t="inlineStr">
        <is>
          <t>STOCKHOLMS LÄN</t>
        </is>
      </c>
      <c r="E948" t="inlineStr">
        <is>
          <t>NORRTÄLJE</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34185-2020</t>
        </is>
      </c>
      <c r="B949" s="1" t="n">
        <v>44029</v>
      </c>
      <c r="C949" s="1" t="n">
        <v>45571</v>
      </c>
      <c r="D949" t="inlineStr">
        <is>
          <t>STOCKHOLMS LÄN</t>
        </is>
      </c>
      <c r="E949" t="inlineStr">
        <is>
          <t>EKERÖ</t>
        </is>
      </c>
      <c r="G949" t="n">
        <v>7.3</v>
      </c>
      <c r="H949" t="n">
        <v>0</v>
      </c>
      <c r="I949" t="n">
        <v>0</v>
      </c>
      <c r="J949" t="n">
        <v>0</v>
      </c>
      <c r="K949" t="n">
        <v>0</v>
      </c>
      <c r="L949" t="n">
        <v>0</v>
      </c>
      <c r="M949" t="n">
        <v>0</v>
      </c>
      <c r="N949" t="n">
        <v>0</v>
      </c>
      <c r="O949" t="n">
        <v>0</v>
      </c>
      <c r="P949" t="n">
        <v>0</v>
      </c>
      <c r="Q949" t="n">
        <v>0</v>
      </c>
      <c r="R949" s="2" t="inlineStr"/>
    </row>
    <row r="950" ht="15" customHeight="1">
      <c r="A950" t="inlineStr">
        <is>
          <t>A 34651-2020</t>
        </is>
      </c>
      <c r="B950" s="1" t="n">
        <v>44034</v>
      </c>
      <c r="C950" s="1" t="n">
        <v>45571</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34650-2020</t>
        </is>
      </c>
      <c r="B951" s="1" t="n">
        <v>44034</v>
      </c>
      <c r="C951" s="1" t="n">
        <v>45571</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35012-2020</t>
        </is>
      </c>
      <c r="B952" s="1" t="n">
        <v>44039</v>
      </c>
      <c r="C952" s="1" t="n">
        <v>45571</v>
      </c>
      <c r="D952" t="inlineStr">
        <is>
          <t>STOCKHOLMS LÄN</t>
        </is>
      </c>
      <c r="E952" t="inlineStr">
        <is>
          <t>EKERÖ</t>
        </is>
      </c>
      <c r="G952" t="n">
        <v>1.7</v>
      </c>
      <c r="H952" t="n">
        <v>0</v>
      </c>
      <c r="I952" t="n">
        <v>0</v>
      </c>
      <c r="J952" t="n">
        <v>0</v>
      </c>
      <c r="K952" t="n">
        <v>0</v>
      </c>
      <c r="L952" t="n">
        <v>0</v>
      </c>
      <c r="M952" t="n">
        <v>0</v>
      </c>
      <c r="N952" t="n">
        <v>0</v>
      </c>
      <c r="O952" t="n">
        <v>0</v>
      </c>
      <c r="P952" t="n">
        <v>0</v>
      </c>
      <c r="Q952" t="n">
        <v>0</v>
      </c>
      <c r="R952" s="2" t="inlineStr"/>
    </row>
    <row r="953" ht="15" customHeight="1">
      <c r="A953" t="inlineStr">
        <is>
          <t>A 36248-2020</t>
        </is>
      </c>
      <c r="B953" s="1" t="n">
        <v>44049</v>
      </c>
      <c r="C953" s="1" t="n">
        <v>45571</v>
      </c>
      <c r="D953" t="inlineStr">
        <is>
          <t>STOCKHOLMS LÄN</t>
        </is>
      </c>
      <c r="E953" t="inlineStr">
        <is>
          <t>UPPLANDS-BRO</t>
        </is>
      </c>
      <c r="G953" t="n">
        <v>3.6</v>
      </c>
      <c r="H953" t="n">
        <v>0</v>
      </c>
      <c r="I953" t="n">
        <v>0</v>
      </c>
      <c r="J953" t="n">
        <v>0</v>
      </c>
      <c r="K953" t="n">
        <v>0</v>
      </c>
      <c r="L953" t="n">
        <v>0</v>
      </c>
      <c r="M953" t="n">
        <v>0</v>
      </c>
      <c r="N953" t="n">
        <v>0</v>
      </c>
      <c r="O953" t="n">
        <v>0</v>
      </c>
      <c r="P953" t="n">
        <v>0</v>
      </c>
      <c r="Q953" t="n">
        <v>0</v>
      </c>
      <c r="R953" s="2" t="inlineStr"/>
    </row>
    <row r="954" ht="15" customHeight="1">
      <c r="A954" t="inlineStr">
        <is>
          <t>A 36314-2020</t>
        </is>
      </c>
      <c r="B954" s="1" t="n">
        <v>44049</v>
      </c>
      <c r="C954" s="1" t="n">
        <v>45571</v>
      </c>
      <c r="D954" t="inlineStr">
        <is>
          <t>STOCKHOLMS LÄN</t>
        </is>
      </c>
      <c r="E954" t="inlineStr">
        <is>
          <t>NORRTÄLJE</t>
        </is>
      </c>
      <c r="G954" t="n">
        <v>5</v>
      </c>
      <c r="H954" t="n">
        <v>0</v>
      </c>
      <c r="I954" t="n">
        <v>0</v>
      </c>
      <c r="J954" t="n">
        <v>0</v>
      </c>
      <c r="K954" t="n">
        <v>0</v>
      </c>
      <c r="L954" t="n">
        <v>0</v>
      </c>
      <c r="M954" t="n">
        <v>0</v>
      </c>
      <c r="N954" t="n">
        <v>0</v>
      </c>
      <c r="O954" t="n">
        <v>0</v>
      </c>
      <c r="P954" t="n">
        <v>0</v>
      </c>
      <c r="Q954" t="n">
        <v>0</v>
      </c>
      <c r="R954" s="2" t="inlineStr"/>
    </row>
    <row r="955" ht="15" customHeight="1">
      <c r="A955" t="inlineStr">
        <is>
          <t>A 36359-2020</t>
        </is>
      </c>
      <c r="B955" s="1" t="n">
        <v>44049</v>
      </c>
      <c r="C955" s="1" t="n">
        <v>45571</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36865-2020</t>
        </is>
      </c>
      <c r="B956" s="1" t="n">
        <v>44053</v>
      </c>
      <c r="C956" s="1" t="n">
        <v>45571</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38010-2020</t>
        </is>
      </c>
      <c r="B957" s="1" t="n">
        <v>44057</v>
      </c>
      <c r="C957" s="1" t="n">
        <v>45571</v>
      </c>
      <c r="D957" t="inlineStr">
        <is>
          <t>STOCKHOLMS LÄN</t>
        </is>
      </c>
      <c r="E957" t="inlineStr">
        <is>
          <t>SÖDERTÄLJE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39033-2020</t>
        </is>
      </c>
      <c r="B958" s="1" t="n">
        <v>44062</v>
      </c>
      <c r="C958" s="1" t="n">
        <v>45571</v>
      </c>
      <c r="D958" t="inlineStr">
        <is>
          <t>STOCKHOLMS LÄN</t>
        </is>
      </c>
      <c r="E958" t="inlineStr">
        <is>
          <t>VÄRMDÖ</t>
        </is>
      </c>
      <c r="G958" t="n">
        <v>4.3</v>
      </c>
      <c r="H958" t="n">
        <v>0</v>
      </c>
      <c r="I958" t="n">
        <v>0</v>
      </c>
      <c r="J958" t="n">
        <v>0</v>
      </c>
      <c r="K958" t="n">
        <v>0</v>
      </c>
      <c r="L958" t="n">
        <v>0</v>
      </c>
      <c r="M958" t="n">
        <v>0</v>
      </c>
      <c r="N958" t="n">
        <v>0</v>
      </c>
      <c r="O958" t="n">
        <v>0</v>
      </c>
      <c r="P958" t="n">
        <v>0</v>
      </c>
      <c r="Q958" t="n">
        <v>0</v>
      </c>
      <c r="R958" s="2" t="inlineStr"/>
    </row>
    <row r="959" ht="15" customHeight="1">
      <c r="A959" t="inlineStr">
        <is>
          <t>A 39531-2020</t>
        </is>
      </c>
      <c r="B959" s="1" t="n">
        <v>44064</v>
      </c>
      <c r="C959" s="1" t="n">
        <v>45571</v>
      </c>
      <c r="D959" t="inlineStr">
        <is>
          <t>STOCKHOLMS LÄN</t>
        </is>
      </c>
      <c r="E959" t="inlineStr">
        <is>
          <t>BOTKYRKA</t>
        </is>
      </c>
      <c r="G959" t="n">
        <v>3.5</v>
      </c>
      <c r="H959" t="n">
        <v>0</v>
      </c>
      <c r="I959" t="n">
        <v>0</v>
      </c>
      <c r="J959" t="n">
        <v>0</v>
      </c>
      <c r="K959" t="n">
        <v>0</v>
      </c>
      <c r="L959" t="n">
        <v>0</v>
      </c>
      <c r="M959" t="n">
        <v>0</v>
      </c>
      <c r="N959" t="n">
        <v>0</v>
      </c>
      <c r="O959" t="n">
        <v>0</v>
      </c>
      <c r="P959" t="n">
        <v>0</v>
      </c>
      <c r="Q959" t="n">
        <v>0</v>
      </c>
      <c r="R959" s="2" t="inlineStr"/>
    </row>
    <row r="960" ht="15" customHeight="1">
      <c r="A960" t="inlineStr">
        <is>
          <t>A 40037-2020</t>
        </is>
      </c>
      <c r="B960" s="1" t="n">
        <v>44067</v>
      </c>
      <c r="C960" s="1" t="n">
        <v>45571</v>
      </c>
      <c r="D960" t="inlineStr">
        <is>
          <t>STOCKHOLMS LÄN</t>
        </is>
      </c>
      <c r="E960" t="inlineStr">
        <is>
          <t>HANINGE</t>
        </is>
      </c>
      <c r="G960" t="n">
        <v>0.8</v>
      </c>
      <c r="H960" t="n">
        <v>0</v>
      </c>
      <c r="I960" t="n">
        <v>0</v>
      </c>
      <c r="J960" t="n">
        <v>0</v>
      </c>
      <c r="K960" t="n">
        <v>0</v>
      </c>
      <c r="L960" t="n">
        <v>0</v>
      </c>
      <c r="M960" t="n">
        <v>0</v>
      </c>
      <c r="N960" t="n">
        <v>0</v>
      </c>
      <c r="O960" t="n">
        <v>0</v>
      </c>
      <c r="P960" t="n">
        <v>0</v>
      </c>
      <c r="Q960" t="n">
        <v>0</v>
      </c>
      <c r="R960" s="2" t="inlineStr"/>
    </row>
    <row r="961" ht="15" customHeight="1">
      <c r="A961" t="inlineStr">
        <is>
          <t>A 40837-2020</t>
        </is>
      </c>
      <c r="B961" s="1" t="n">
        <v>44067</v>
      </c>
      <c r="C961" s="1" t="n">
        <v>45571</v>
      </c>
      <c r="D961" t="inlineStr">
        <is>
          <t>STOCKHOLMS LÄN</t>
        </is>
      </c>
      <c r="E961" t="inlineStr">
        <is>
          <t>NORRTÄLJE</t>
        </is>
      </c>
      <c r="G961" t="n">
        <v>20.6</v>
      </c>
      <c r="H961" t="n">
        <v>0</v>
      </c>
      <c r="I961" t="n">
        <v>0</v>
      </c>
      <c r="J961" t="n">
        <v>0</v>
      </c>
      <c r="K961" t="n">
        <v>0</v>
      </c>
      <c r="L961" t="n">
        <v>0</v>
      </c>
      <c r="M961" t="n">
        <v>0</v>
      </c>
      <c r="N961" t="n">
        <v>0</v>
      </c>
      <c r="O961" t="n">
        <v>0</v>
      </c>
      <c r="P961" t="n">
        <v>0</v>
      </c>
      <c r="Q961" t="n">
        <v>0</v>
      </c>
      <c r="R961" s="2" t="inlineStr"/>
    </row>
    <row r="962" ht="15" customHeight="1">
      <c r="A962" t="inlineStr">
        <is>
          <t>A 40661-2020</t>
        </is>
      </c>
      <c r="B962" s="1" t="n">
        <v>44069</v>
      </c>
      <c r="C962" s="1" t="n">
        <v>45571</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41080-2020</t>
        </is>
      </c>
      <c r="B963" s="1" t="n">
        <v>44069</v>
      </c>
      <c r="C963" s="1" t="n">
        <v>45571</v>
      </c>
      <c r="D963" t="inlineStr">
        <is>
          <t>STOCKHOLMS LÄN</t>
        </is>
      </c>
      <c r="E963" t="inlineStr">
        <is>
          <t>SÖDERTÄLJE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41718-2020</t>
        </is>
      </c>
      <c r="B964" s="1" t="n">
        <v>44074</v>
      </c>
      <c r="C964" s="1" t="n">
        <v>45571</v>
      </c>
      <c r="D964" t="inlineStr">
        <is>
          <t>STOCKHOLMS LÄN</t>
        </is>
      </c>
      <c r="E964" t="inlineStr">
        <is>
          <t>SALEM</t>
        </is>
      </c>
      <c r="F964" t="inlineStr">
        <is>
          <t>Kommuner</t>
        </is>
      </c>
      <c r="G964" t="n">
        <v>3.3</v>
      </c>
      <c r="H964" t="n">
        <v>0</v>
      </c>
      <c r="I964" t="n">
        <v>0</v>
      </c>
      <c r="J964" t="n">
        <v>0</v>
      </c>
      <c r="K964" t="n">
        <v>0</v>
      </c>
      <c r="L964" t="n">
        <v>0</v>
      </c>
      <c r="M964" t="n">
        <v>0</v>
      </c>
      <c r="N964" t="n">
        <v>0</v>
      </c>
      <c r="O964" t="n">
        <v>0</v>
      </c>
      <c r="P964" t="n">
        <v>0</v>
      </c>
      <c r="Q964" t="n">
        <v>0</v>
      </c>
      <c r="R964" s="2" t="inlineStr"/>
    </row>
    <row r="965" ht="15" customHeight="1">
      <c r="A965" t="inlineStr">
        <is>
          <t>A 42247-2020</t>
        </is>
      </c>
      <c r="B965" s="1" t="n">
        <v>44074</v>
      </c>
      <c r="C965" s="1" t="n">
        <v>45571</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42256-2020</t>
        </is>
      </c>
      <c r="B966" s="1" t="n">
        <v>44074</v>
      </c>
      <c r="C966" s="1" t="n">
        <v>45571</v>
      </c>
      <c r="D966" t="inlineStr">
        <is>
          <t>STOCKHOLMS LÄN</t>
        </is>
      </c>
      <c r="E966" t="inlineStr">
        <is>
          <t>NORRTÄLJE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41694-2020</t>
        </is>
      </c>
      <c r="B967" s="1" t="n">
        <v>44074</v>
      </c>
      <c r="C967" s="1" t="n">
        <v>45571</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41923-2020</t>
        </is>
      </c>
      <c r="B968" s="1" t="n">
        <v>44075</v>
      </c>
      <c r="C968" s="1" t="n">
        <v>45571</v>
      </c>
      <c r="D968" t="inlineStr">
        <is>
          <t>STOCKHOLMS LÄN</t>
        </is>
      </c>
      <c r="E968" t="inlineStr">
        <is>
          <t>SALEM</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42365-2020</t>
        </is>
      </c>
      <c r="B969" s="1" t="n">
        <v>44076</v>
      </c>
      <c r="C969" s="1" t="n">
        <v>45571</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42361-2020</t>
        </is>
      </c>
      <c r="B970" s="1" t="n">
        <v>44076</v>
      </c>
      <c r="C970" s="1" t="n">
        <v>45571</v>
      </c>
      <c r="D970" t="inlineStr">
        <is>
          <t>STOCKHOLMS LÄN</t>
        </is>
      </c>
      <c r="E970" t="inlineStr">
        <is>
          <t>NORRTÄLJE</t>
        </is>
      </c>
      <c r="G970" t="n">
        <v>2.1</v>
      </c>
      <c r="H970" t="n">
        <v>0</v>
      </c>
      <c r="I970" t="n">
        <v>0</v>
      </c>
      <c r="J970" t="n">
        <v>0</v>
      </c>
      <c r="K970" t="n">
        <v>0</v>
      </c>
      <c r="L970" t="n">
        <v>0</v>
      </c>
      <c r="M970" t="n">
        <v>0</v>
      </c>
      <c r="N970" t="n">
        <v>0</v>
      </c>
      <c r="O970" t="n">
        <v>0</v>
      </c>
      <c r="P970" t="n">
        <v>0</v>
      </c>
      <c r="Q970" t="n">
        <v>0</v>
      </c>
      <c r="R970" s="2" t="inlineStr"/>
    </row>
    <row r="971" ht="15" customHeight="1">
      <c r="A971" t="inlineStr">
        <is>
          <t>A 42455-2020</t>
        </is>
      </c>
      <c r="B971" s="1" t="n">
        <v>44076</v>
      </c>
      <c r="C971" s="1" t="n">
        <v>45571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43237-2020</t>
        </is>
      </c>
      <c r="B972" s="1" t="n">
        <v>44076</v>
      </c>
      <c r="C972" s="1" t="n">
        <v>45571</v>
      </c>
      <c r="D972" t="inlineStr">
        <is>
          <t>STOCKHOLMS LÄN</t>
        </is>
      </c>
      <c r="E972" t="inlineStr">
        <is>
          <t>SÖDERTÄLJE</t>
        </is>
      </c>
      <c r="F972" t="inlineStr">
        <is>
          <t>Kommuner</t>
        </is>
      </c>
      <c r="G972" t="n">
        <v>1.4</v>
      </c>
      <c r="H972" t="n">
        <v>0</v>
      </c>
      <c r="I972" t="n">
        <v>0</v>
      </c>
      <c r="J972" t="n">
        <v>0</v>
      </c>
      <c r="K972" t="n">
        <v>0</v>
      </c>
      <c r="L972" t="n">
        <v>0</v>
      </c>
      <c r="M972" t="n">
        <v>0</v>
      </c>
      <c r="N972" t="n">
        <v>0</v>
      </c>
      <c r="O972" t="n">
        <v>0</v>
      </c>
      <c r="P972" t="n">
        <v>0</v>
      </c>
      <c r="Q972" t="n">
        <v>0</v>
      </c>
      <c r="R972" s="2" t="inlineStr"/>
    </row>
    <row r="973" ht="15" customHeight="1">
      <c r="A973" t="inlineStr">
        <is>
          <t>A 42714-2020</t>
        </is>
      </c>
      <c r="B973" s="1" t="n">
        <v>44077</v>
      </c>
      <c r="C973" s="1" t="n">
        <v>45571</v>
      </c>
      <c r="D973" t="inlineStr">
        <is>
          <t>STOCKHOLMS LÄN</t>
        </is>
      </c>
      <c r="E973" t="inlineStr">
        <is>
          <t>SIGTUNA</t>
        </is>
      </c>
      <c r="G973" t="n">
        <v>2.3</v>
      </c>
      <c r="H973" t="n">
        <v>0</v>
      </c>
      <c r="I973" t="n">
        <v>0</v>
      </c>
      <c r="J973" t="n">
        <v>0</v>
      </c>
      <c r="K973" t="n">
        <v>0</v>
      </c>
      <c r="L973" t="n">
        <v>0</v>
      </c>
      <c r="M973" t="n">
        <v>0</v>
      </c>
      <c r="N973" t="n">
        <v>0</v>
      </c>
      <c r="O973" t="n">
        <v>0</v>
      </c>
      <c r="P973" t="n">
        <v>0</v>
      </c>
      <c r="Q973" t="n">
        <v>0</v>
      </c>
      <c r="R973" s="2" t="inlineStr"/>
    </row>
    <row r="974" ht="15" customHeight="1">
      <c r="A974" t="inlineStr">
        <is>
          <t>A 43751-2020</t>
        </is>
      </c>
      <c r="B974" s="1" t="n">
        <v>44082</v>
      </c>
      <c r="C974" s="1" t="n">
        <v>45571</v>
      </c>
      <c r="D974" t="inlineStr">
        <is>
          <t>STOCKHOLMS LÄN</t>
        </is>
      </c>
      <c r="E974" t="inlineStr">
        <is>
          <t>NORRTÄLJE</t>
        </is>
      </c>
      <c r="G974" t="n">
        <v>8</v>
      </c>
      <c r="H974" t="n">
        <v>0</v>
      </c>
      <c r="I974" t="n">
        <v>0</v>
      </c>
      <c r="J974" t="n">
        <v>0</v>
      </c>
      <c r="K974" t="n">
        <v>0</v>
      </c>
      <c r="L974" t="n">
        <v>0</v>
      </c>
      <c r="M974" t="n">
        <v>0</v>
      </c>
      <c r="N974" t="n">
        <v>0</v>
      </c>
      <c r="O974" t="n">
        <v>0</v>
      </c>
      <c r="P974" t="n">
        <v>0</v>
      </c>
      <c r="Q974" t="n">
        <v>0</v>
      </c>
      <c r="R974" s="2" t="inlineStr"/>
    </row>
    <row r="975" ht="15" customHeight="1">
      <c r="A975" t="inlineStr">
        <is>
          <t>A 44096-2020</t>
        </is>
      </c>
      <c r="B975" s="1" t="n">
        <v>44083</v>
      </c>
      <c r="C975" s="1" t="n">
        <v>45571</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44071-2020</t>
        </is>
      </c>
      <c r="B976" s="1" t="n">
        <v>44083</v>
      </c>
      <c r="C976" s="1" t="n">
        <v>45571</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44183-2020</t>
        </is>
      </c>
      <c r="B977" s="1" t="n">
        <v>44083</v>
      </c>
      <c r="C977" s="1" t="n">
        <v>45571</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44577-2020</t>
        </is>
      </c>
      <c r="B978" s="1" t="n">
        <v>44085</v>
      </c>
      <c r="C978" s="1" t="n">
        <v>45571</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44792-2020</t>
        </is>
      </c>
      <c r="B979" s="1" t="n">
        <v>44085</v>
      </c>
      <c r="C979" s="1" t="n">
        <v>45571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45158-2020</t>
        </is>
      </c>
      <c r="B980" s="1" t="n">
        <v>44088</v>
      </c>
      <c r="C980" s="1" t="n">
        <v>45571</v>
      </c>
      <c r="D980" t="inlineStr">
        <is>
          <t>STOCKHOLMS LÄN</t>
        </is>
      </c>
      <c r="E980" t="inlineStr">
        <is>
          <t>SALEM</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45732-2020</t>
        </is>
      </c>
      <c r="B981" s="1" t="n">
        <v>44090</v>
      </c>
      <c r="C981" s="1" t="n">
        <v>45571</v>
      </c>
      <c r="D981" t="inlineStr">
        <is>
          <t>STOCKHOLMS LÄN</t>
        </is>
      </c>
      <c r="E981" t="inlineStr">
        <is>
          <t>NYNÄSHAMN</t>
        </is>
      </c>
      <c r="G981" t="n">
        <v>1</v>
      </c>
      <c r="H981" t="n">
        <v>0</v>
      </c>
      <c r="I981" t="n">
        <v>0</v>
      </c>
      <c r="J981" t="n">
        <v>0</v>
      </c>
      <c r="K981" t="n">
        <v>0</v>
      </c>
      <c r="L981" t="n">
        <v>0</v>
      </c>
      <c r="M981" t="n">
        <v>0</v>
      </c>
      <c r="N981" t="n">
        <v>0</v>
      </c>
      <c r="O981" t="n">
        <v>0</v>
      </c>
      <c r="P981" t="n">
        <v>0</v>
      </c>
      <c r="Q981" t="n">
        <v>0</v>
      </c>
      <c r="R981" s="2" t="inlineStr"/>
    </row>
    <row r="982" ht="15" customHeight="1">
      <c r="A982" t="inlineStr">
        <is>
          <t>A 45859-2020</t>
        </is>
      </c>
      <c r="B982" s="1" t="n">
        <v>44091</v>
      </c>
      <c r="C982" s="1" t="n">
        <v>45571</v>
      </c>
      <c r="D982" t="inlineStr">
        <is>
          <t>STOCKHOLMS LÄN</t>
        </is>
      </c>
      <c r="E982" t="inlineStr">
        <is>
          <t>NYNÄSHAMN</t>
        </is>
      </c>
      <c r="G982" t="n">
        <v>17.7</v>
      </c>
      <c r="H982" t="n">
        <v>0</v>
      </c>
      <c r="I982" t="n">
        <v>0</v>
      </c>
      <c r="J982" t="n">
        <v>0</v>
      </c>
      <c r="K982" t="n">
        <v>0</v>
      </c>
      <c r="L982" t="n">
        <v>0</v>
      </c>
      <c r="M982" t="n">
        <v>0</v>
      </c>
      <c r="N982" t="n">
        <v>0</v>
      </c>
      <c r="O982" t="n">
        <v>0</v>
      </c>
      <c r="P982" t="n">
        <v>0</v>
      </c>
      <c r="Q982" t="n">
        <v>0</v>
      </c>
      <c r="R982" s="2" t="inlineStr"/>
    </row>
    <row r="983" ht="15" customHeight="1">
      <c r="A983" t="inlineStr">
        <is>
          <t>A 45988-2020</t>
        </is>
      </c>
      <c r="B983" s="1" t="n">
        <v>44091</v>
      </c>
      <c r="C983" s="1" t="n">
        <v>45571</v>
      </c>
      <c r="D983" t="inlineStr">
        <is>
          <t>STOCKHOLMS LÄN</t>
        </is>
      </c>
      <c r="E983" t="inlineStr">
        <is>
          <t>NORRTÄLJE</t>
        </is>
      </c>
      <c r="F983" t="inlineStr">
        <is>
          <t>Holmen skog AB</t>
        </is>
      </c>
      <c r="G983" t="n">
        <v>1.6</v>
      </c>
      <c r="H983" t="n">
        <v>0</v>
      </c>
      <c r="I983" t="n">
        <v>0</v>
      </c>
      <c r="J983" t="n">
        <v>0</v>
      </c>
      <c r="K983" t="n">
        <v>0</v>
      </c>
      <c r="L983" t="n">
        <v>0</v>
      </c>
      <c r="M983" t="n">
        <v>0</v>
      </c>
      <c r="N983" t="n">
        <v>0</v>
      </c>
      <c r="O983" t="n">
        <v>0</v>
      </c>
      <c r="P983" t="n">
        <v>0</v>
      </c>
      <c r="Q983" t="n">
        <v>0</v>
      </c>
      <c r="R983" s="2" t="inlineStr"/>
    </row>
    <row r="984" ht="15" customHeight="1">
      <c r="A984" t="inlineStr">
        <is>
          <t>A 46556-2020</t>
        </is>
      </c>
      <c r="B984" s="1" t="n">
        <v>44095</v>
      </c>
      <c r="C984" s="1" t="n">
        <v>45571</v>
      </c>
      <c r="D984" t="inlineStr">
        <is>
          <t>STOCKHOLMS LÄN</t>
        </is>
      </c>
      <c r="E984" t="inlineStr">
        <is>
          <t>NORRTÄLJE</t>
        </is>
      </c>
      <c r="F984" t="inlineStr">
        <is>
          <t>Holmen skog AB</t>
        </is>
      </c>
      <c r="G984" t="n">
        <v>2.1</v>
      </c>
      <c r="H984" t="n">
        <v>0</v>
      </c>
      <c r="I984" t="n">
        <v>0</v>
      </c>
      <c r="J984" t="n">
        <v>0</v>
      </c>
      <c r="K984" t="n">
        <v>0</v>
      </c>
      <c r="L984" t="n">
        <v>0</v>
      </c>
      <c r="M984" t="n">
        <v>0</v>
      </c>
      <c r="N984" t="n">
        <v>0</v>
      </c>
      <c r="O984" t="n">
        <v>0</v>
      </c>
      <c r="P984" t="n">
        <v>0</v>
      </c>
      <c r="Q984" t="n">
        <v>0</v>
      </c>
      <c r="R984" s="2" t="inlineStr"/>
    </row>
    <row r="985" ht="15" customHeight="1">
      <c r="A985" t="inlineStr">
        <is>
          <t>A 46661-2020</t>
        </is>
      </c>
      <c r="B985" s="1" t="n">
        <v>44095</v>
      </c>
      <c r="C985" s="1" t="n">
        <v>45571</v>
      </c>
      <c r="D985" t="inlineStr">
        <is>
          <t>STOCKHOLMS LÄN</t>
        </is>
      </c>
      <c r="E985" t="inlineStr">
        <is>
          <t>SÖDERTÄLJE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46899-2020</t>
        </is>
      </c>
      <c r="B986" s="1" t="n">
        <v>44096</v>
      </c>
      <c r="C986" s="1" t="n">
        <v>45571</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47291-2020</t>
        </is>
      </c>
      <c r="B987" s="1" t="n">
        <v>44097</v>
      </c>
      <c r="C987" s="1" t="n">
        <v>45571</v>
      </c>
      <c r="D987" t="inlineStr">
        <is>
          <t>STOCKHOLMS LÄN</t>
        </is>
      </c>
      <c r="E987" t="inlineStr">
        <is>
          <t>NORRTÄLJE</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48392-2020</t>
        </is>
      </c>
      <c r="B988" s="1" t="n">
        <v>44097</v>
      </c>
      <c r="C988" s="1" t="n">
        <v>45571</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47869-2020</t>
        </is>
      </c>
      <c r="B989" s="1" t="n">
        <v>44098</v>
      </c>
      <c r="C989" s="1" t="n">
        <v>45571</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47868-2020</t>
        </is>
      </c>
      <c r="B990" s="1" t="n">
        <v>44098</v>
      </c>
      <c r="C990" s="1" t="n">
        <v>45571</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48066-2020</t>
        </is>
      </c>
      <c r="B991" s="1" t="n">
        <v>44100</v>
      </c>
      <c r="C991" s="1" t="n">
        <v>45571</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48071-2020</t>
        </is>
      </c>
      <c r="B992" s="1" t="n">
        <v>44100</v>
      </c>
      <c r="C992" s="1" t="n">
        <v>45571</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48496-2020</t>
        </is>
      </c>
      <c r="B993" s="1" t="n">
        <v>44103</v>
      </c>
      <c r="C993" s="1" t="n">
        <v>45571</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48522-2020</t>
        </is>
      </c>
      <c r="B994" s="1" t="n">
        <v>44103</v>
      </c>
      <c r="C994" s="1" t="n">
        <v>45571</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48985-2020</t>
        </is>
      </c>
      <c r="B995" s="1" t="n">
        <v>44104</v>
      </c>
      <c r="C995" s="1" t="n">
        <v>45571</v>
      </c>
      <c r="D995" t="inlineStr">
        <is>
          <t>STOCKHOLMS LÄN</t>
        </is>
      </c>
      <c r="E995" t="inlineStr">
        <is>
          <t>NYKVARN</t>
        </is>
      </c>
      <c r="G995" t="n">
        <v>2</v>
      </c>
      <c r="H995" t="n">
        <v>0</v>
      </c>
      <c r="I995" t="n">
        <v>0</v>
      </c>
      <c r="J995" t="n">
        <v>0</v>
      </c>
      <c r="K995" t="n">
        <v>0</v>
      </c>
      <c r="L995" t="n">
        <v>0</v>
      </c>
      <c r="M995" t="n">
        <v>0</v>
      </c>
      <c r="N995" t="n">
        <v>0</v>
      </c>
      <c r="O995" t="n">
        <v>0</v>
      </c>
      <c r="P995" t="n">
        <v>0</v>
      </c>
      <c r="Q995" t="n">
        <v>0</v>
      </c>
      <c r="R995" s="2" t="inlineStr"/>
    </row>
    <row r="996" ht="15" customHeight="1">
      <c r="A996" t="inlineStr">
        <is>
          <t>A 49334-2020</t>
        </is>
      </c>
      <c r="B996" s="1" t="n">
        <v>44105</v>
      </c>
      <c r="C996" s="1" t="n">
        <v>45571</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49327-2020</t>
        </is>
      </c>
      <c r="B997" s="1" t="n">
        <v>44105</v>
      </c>
      <c r="C997" s="1" t="n">
        <v>45571</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49686-2020</t>
        </is>
      </c>
      <c r="B998" s="1" t="n">
        <v>44106</v>
      </c>
      <c r="C998" s="1" t="n">
        <v>45571</v>
      </c>
      <c r="D998" t="inlineStr">
        <is>
          <t>STOCKHOLMS LÄN</t>
        </is>
      </c>
      <c r="E998" t="inlineStr">
        <is>
          <t>UPPLANDS-BRO</t>
        </is>
      </c>
      <c r="G998" t="n">
        <v>1.5</v>
      </c>
      <c r="H998" t="n">
        <v>0</v>
      </c>
      <c r="I998" t="n">
        <v>0</v>
      </c>
      <c r="J998" t="n">
        <v>0</v>
      </c>
      <c r="K998" t="n">
        <v>0</v>
      </c>
      <c r="L998" t="n">
        <v>0</v>
      </c>
      <c r="M998" t="n">
        <v>0</v>
      </c>
      <c r="N998" t="n">
        <v>0</v>
      </c>
      <c r="O998" t="n">
        <v>0</v>
      </c>
      <c r="P998" t="n">
        <v>0</v>
      </c>
      <c r="Q998" t="n">
        <v>0</v>
      </c>
      <c r="R998" s="2" t="inlineStr"/>
    </row>
    <row r="999" ht="15" customHeight="1">
      <c r="A999" t="inlineStr">
        <is>
          <t>A 49898-2020</t>
        </is>
      </c>
      <c r="B999" s="1" t="n">
        <v>44108</v>
      </c>
      <c r="C999" s="1" t="n">
        <v>45571</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49938-2020</t>
        </is>
      </c>
      <c r="B1000" s="1" t="n">
        <v>44109</v>
      </c>
      <c r="C1000" s="1" t="n">
        <v>45571</v>
      </c>
      <c r="D1000" t="inlineStr">
        <is>
          <t>STOCKHOLMS LÄN</t>
        </is>
      </c>
      <c r="E1000" t="inlineStr">
        <is>
          <t>SÖDERTÄLJE</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50497-2020</t>
        </is>
      </c>
      <c r="B1001" s="1" t="n">
        <v>44110</v>
      </c>
      <c r="C1001" s="1" t="n">
        <v>45571</v>
      </c>
      <c r="D1001" t="inlineStr">
        <is>
          <t>STOCKHOLMS LÄN</t>
        </is>
      </c>
      <c r="E1001" t="inlineStr">
        <is>
          <t>NORRTÄLJE</t>
        </is>
      </c>
      <c r="F1001" t="inlineStr">
        <is>
          <t>Holmen skog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50529-2020</t>
        </is>
      </c>
      <c r="B1002" s="1" t="n">
        <v>44110</v>
      </c>
      <c r="C1002" s="1" t="n">
        <v>45571</v>
      </c>
      <c r="D1002" t="inlineStr">
        <is>
          <t>STOCKHOLMS LÄN</t>
        </is>
      </c>
      <c r="E1002" t="inlineStr">
        <is>
          <t>SÖDERTÄLJE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50524-2020</t>
        </is>
      </c>
      <c r="B1003" s="1" t="n">
        <v>44110</v>
      </c>
      <c r="C1003" s="1" t="n">
        <v>45571</v>
      </c>
      <c r="D1003" t="inlineStr">
        <is>
          <t>STOCKHOLMS LÄN</t>
        </is>
      </c>
      <c r="E1003" t="inlineStr">
        <is>
          <t>SÖDERTÄLJE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50520-2020</t>
        </is>
      </c>
      <c r="B1004" s="1" t="n">
        <v>44110</v>
      </c>
      <c r="C1004" s="1" t="n">
        <v>45571</v>
      </c>
      <c r="D1004" t="inlineStr">
        <is>
          <t>STOCKHOLMS LÄN</t>
        </is>
      </c>
      <c r="E1004" t="inlineStr">
        <is>
          <t>SÖDERTÄLJE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50527-2020</t>
        </is>
      </c>
      <c r="B1005" s="1" t="n">
        <v>44110</v>
      </c>
      <c r="C1005" s="1" t="n">
        <v>45571</v>
      </c>
      <c r="D1005" t="inlineStr">
        <is>
          <t>STOCKHOLMS LÄN</t>
        </is>
      </c>
      <c r="E1005" t="inlineStr">
        <is>
          <t>SÖDERTÄLJE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50585-2020</t>
        </is>
      </c>
      <c r="B1006" s="1" t="n">
        <v>44110</v>
      </c>
      <c r="C1006" s="1" t="n">
        <v>45571</v>
      </c>
      <c r="D1006" t="inlineStr">
        <is>
          <t>STOCKHOLMS LÄN</t>
        </is>
      </c>
      <c r="E1006" t="inlineStr">
        <is>
          <t>SIGTUNA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50523-2020</t>
        </is>
      </c>
      <c r="B1007" s="1" t="n">
        <v>44110</v>
      </c>
      <c r="C1007" s="1" t="n">
        <v>45571</v>
      </c>
      <c r="D1007" t="inlineStr">
        <is>
          <t>STOCKHOLMS LÄN</t>
        </is>
      </c>
      <c r="E1007" t="inlineStr">
        <is>
          <t>SÖDERTÄLJE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50738-2020</t>
        </is>
      </c>
      <c r="B1008" s="1" t="n">
        <v>44111</v>
      </c>
      <c r="C1008" s="1" t="n">
        <v>45571</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50698-2020</t>
        </is>
      </c>
      <c r="B1009" s="1" t="n">
        <v>44111</v>
      </c>
      <c r="C1009" s="1" t="n">
        <v>45571</v>
      </c>
      <c r="D1009" t="inlineStr">
        <is>
          <t>STOCKHOLMS LÄN</t>
        </is>
      </c>
      <c r="E1009" t="inlineStr">
        <is>
          <t>UPPLANDS-BRO</t>
        </is>
      </c>
      <c r="F1009" t="inlineStr">
        <is>
          <t>Övriga statliga verk och myndigheter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50746-2020</t>
        </is>
      </c>
      <c r="B1010" s="1" t="n">
        <v>44111</v>
      </c>
      <c r="C1010" s="1" t="n">
        <v>45571</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50742-2020</t>
        </is>
      </c>
      <c r="B1011" s="1" t="n">
        <v>44111</v>
      </c>
      <c r="C1011" s="1" t="n">
        <v>45571</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51203-2020</t>
        </is>
      </c>
      <c r="B1012" s="1" t="n">
        <v>44112</v>
      </c>
      <c r="C1012" s="1" t="n">
        <v>45571</v>
      </c>
      <c r="D1012" t="inlineStr">
        <is>
          <t>STOCKHOLMS LÄN</t>
        </is>
      </c>
      <c r="E1012" t="inlineStr">
        <is>
          <t>SÖDERTÄLJE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51098-2020</t>
        </is>
      </c>
      <c r="B1013" s="1" t="n">
        <v>44112</v>
      </c>
      <c r="C1013" s="1" t="n">
        <v>45571</v>
      </c>
      <c r="D1013" t="inlineStr">
        <is>
          <t>STOCKHOLMS LÄN</t>
        </is>
      </c>
      <c r="E1013" t="inlineStr">
        <is>
          <t>NACKA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51720-2020</t>
        </is>
      </c>
      <c r="B1014" s="1" t="n">
        <v>44113</v>
      </c>
      <c r="C1014" s="1" t="n">
        <v>45571</v>
      </c>
      <c r="D1014" t="inlineStr">
        <is>
          <t>STOCKHOLMS LÄN</t>
        </is>
      </c>
      <c r="E1014" t="inlineStr">
        <is>
          <t>NORRTÄLJE</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51787-2020</t>
        </is>
      </c>
      <c r="B1015" s="1" t="n">
        <v>44116</v>
      </c>
      <c r="C1015" s="1" t="n">
        <v>45571</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51798-2020</t>
        </is>
      </c>
      <c r="B1016" s="1" t="n">
        <v>44116</v>
      </c>
      <c r="C1016" s="1" t="n">
        <v>45571</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52727-2020</t>
        </is>
      </c>
      <c r="B1017" s="1" t="n">
        <v>44117</v>
      </c>
      <c r="C1017" s="1" t="n">
        <v>45571</v>
      </c>
      <c r="D1017" t="inlineStr">
        <is>
          <t>STOCKHOLMS LÄN</t>
        </is>
      </c>
      <c r="E1017" t="inlineStr">
        <is>
          <t>STOCKHOLM</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52806-2020</t>
        </is>
      </c>
      <c r="B1018" s="1" t="n">
        <v>44119</v>
      </c>
      <c r="C1018" s="1" t="n">
        <v>45571</v>
      </c>
      <c r="D1018" t="inlineStr">
        <is>
          <t>STOCKHOLMS LÄN</t>
        </is>
      </c>
      <c r="E1018" t="inlineStr">
        <is>
          <t>NYNÄSHAMN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53768-2020</t>
        </is>
      </c>
      <c r="B1019" s="1" t="n">
        <v>44123</v>
      </c>
      <c r="C1019" s="1" t="n">
        <v>45571</v>
      </c>
      <c r="D1019" t="inlineStr">
        <is>
          <t>STOCKHOLMS LÄN</t>
        </is>
      </c>
      <c r="E1019" t="inlineStr">
        <is>
          <t>NORRTÄLJE</t>
        </is>
      </c>
      <c r="F1019" t="inlineStr">
        <is>
          <t>Kommuner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53652-2020</t>
        </is>
      </c>
      <c r="B1020" s="1" t="n">
        <v>44124</v>
      </c>
      <c r="C1020" s="1" t="n">
        <v>45571</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53690-2020</t>
        </is>
      </c>
      <c r="B1021" s="1" t="n">
        <v>44124</v>
      </c>
      <c r="C1021" s="1" t="n">
        <v>45571</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53607-2020</t>
        </is>
      </c>
      <c r="B1022" s="1" t="n">
        <v>44124</v>
      </c>
      <c r="C1022" s="1" t="n">
        <v>45571</v>
      </c>
      <c r="D1022" t="inlineStr">
        <is>
          <t>STOCKHOLMS LÄN</t>
        </is>
      </c>
      <c r="E1022" t="inlineStr">
        <is>
          <t>NORRTÄLJE</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53750-2020</t>
        </is>
      </c>
      <c r="B1023" s="1" t="n">
        <v>44124</v>
      </c>
      <c r="C1023" s="1" t="n">
        <v>45571</v>
      </c>
      <c r="D1023" t="inlineStr">
        <is>
          <t>STOCKHOLMS LÄN</t>
        </is>
      </c>
      <c r="E1023" t="inlineStr">
        <is>
          <t>SÖDERTÄLJE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54002-2020</t>
        </is>
      </c>
      <c r="B1024" s="1" t="n">
        <v>44125</v>
      </c>
      <c r="C1024" s="1" t="n">
        <v>45571</v>
      </c>
      <c r="D1024" t="inlineStr">
        <is>
          <t>STOCKHOLMS LÄN</t>
        </is>
      </c>
      <c r="E1024" t="inlineStr">
        <is>
          <t>BOTKYRKA</t>
        </is>
      </c>
      <c r="F1024" t="inlineStr">
        <is>
          <t>Övriga Aktiebolag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53979-2020</t>
        </is>
      </c>
      <c r="B1025" s="1" t="n">
        <v>44125</v>
      </c>
      <c r="C1025" s="1" t="n">
        <v>45571</v>
      </c>
      <c r="D1025" t="inlineStr">
        <is>
          <t>STOCKHOLMS LÄN</t>
        </is>
      </c>
      <c r="E1025" t="inlineStr">
        <is>
          <t>BOTKYRKA</t>
        </is>
      </c>
      <c r="F1025" t="inlineStr">
        <is>
          <t>Övriga Aktiebolag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55200-2020</t>
        </is>
      </c>
      <c r="B1026" s="1" t="n">
        <v>44130</v>
      </c>
      <c r="C1026" s="1" t="n">
        <v>45571</v>
      </c>
      <c r="D1026" t="inlineStr">
        <is>
          <t>STOCKHOLMS LÄN</t>
        </is>
      </c>
      <c r="E1026" t="inlineStr">
        <is>
          <t>BOTKYRKA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55089-2020</t>
        </is>
      </c>
      <c r="B1027" s="1" t="n">
        <v>44130</v>
      </c>
      <c r="C1027" s="1" t="n">
        <v>45571</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55466-2020</t>
        </is>
      </c>
      <c r="B1028" s="1" t="n">
        <v>44130</v>
      </c>
      <c r="C1028" s="1" t="n">
        <v>45571</v>
      </c>
      <c r="D1028" t="inlineStr">
        <is>
          <t>STOCKHOLMS LÄN</t>
        </is>
      </c>
      <c r="E1028" t="inlineStr">
        <is>
          <t>SÖDERTÄLJE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55464-2020</t>
        </is>
      </c>
      <c r="B1029" s="1" t="n">
        <v>44130</v>
      </c>
      <c r="C1029" s="1" t="n">
        <v>45571</v>
      </c>
      <c r="D1029" t="inlineStr">
        <is>
          <t>STOCKHOLMS LÄN</t>
        </is>
      </c>
      <c r="E1029" t="inlineStr">
        <is>
          <t>SÖDERTÄLJE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55541-2020</t>
        </is>
      </c>
      <c r="B1030" s="1" t="n">
        <v>44131</v>
      </c>
      <c r="C1030" s="1" t="n">
        <v>45571</v>
      </c>
      <c r="D1030" t="inlineStr">
        <is>
          <t>STOCKHOLMS LÄN</t>
        </is>
      </c>
      <c r="E1030" t="inlineStr">
        <is>
          <t>UPPLANDS-BRO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55895-2020</t>
        </is>
      </c>
      <c r="B1031" s="1" t="n">
        <v>44132</v>
      </c>
      <c r="C1031" s="1" t="n">
        <v>45571</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55890-2020</t>
        </is>
      </c>
      <c r="B1032" s="1" t="n">
        <v>44132</v>
      </c>
      <c r="C1032" s="1" t="n">
        <v>45571</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55982-2020</t>
        </is>
      </c>
      <c r="B1033" s="1" t="n">
        <v>44132</v>
      </c>
      <c r="C1033" s="1" t="n">
        <v>45571</v>
      </c>
      <c r="D1033" t="inlineStr">
        <is>
          <t>STOCKHOLMS LÄN</t>
        </is>
      </c>
      <c r="E1033" t="inlineStr">
        <is>
          <t>NORRTÄLJE</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56166-2020</t>
        </is>
      </c>
      <c r="B1034" s="1" t="n">
        <v>44133</v>
      </c>
      <c r="C1034" s="1" t="n">
        <v>45571</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56608-2020</t>
        </is>
      </c>
      <c r="B1035" s="1" t="n">
        <v>44133</v>
      </c>
      <c r="C1035" s="1" t="n">
        <v>45571</v>
      </c>
      <c r="D1035" t="inlineStr">
        <is>
          <t>STOCKHOLMS LÄN</t>
        </is>
      </c>
      <c r="E1035" t="inlineStr">
        <is>
          <t>NYNÄSHAMN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56323-2020</t>
        </is>
      </c>
      <c r="B1036" s="1" t="n">
        <v>44134</v>
      </c>
      <c r="C1036" s="1" t="n">
        <v>45571</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57216-2020</t>
        </is>
      </c>
      <c r="B1037" s="1" t="n">
        <v>44139</v>
      </c>
      <c r="C1037" s="1" t="n">
        <v>45571</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57809-2020</t>
        </is>
      </c>
      <c r="B1038" s="1" t="n">
        <v>44141</v>
      </c>
      <c r="C1038" s="1" t="n">
        <v>45571</v>
      </c>
      <c r="D1038" t="inlineStr">
        <is>
          <t>STOCKHOLMS LÄN</t>
        </is>
      </c>
      <c r="E1038" t="inlineStr">
        <is>
          <t>BOTKYRKA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57957-2020</t>
        </is>
      </c>
      <c r="B1039" s="1" t="n">
        <v>44143</v>
      </c>
      <c r="C1039" s="1" t="n">
        <v>45571</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57987-2020</t>
        </is>
      </c>
      <c r="B1040" s="1" t="n">
        <v>44143</v>
      </c>
      <c r="C1040" s="1" t="n">
        <v>45571</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57992-2020</t>
        </is>
      </c>
      <c r="B1041" s="1" t="n">
        <v>44143</v>
      </c>
      <c r="C1041" s="1" t="n">
        <v>45571</v>
      </c>
      <c r="D1041" t="inlineStr">
        <is>
          <t>STOCKHOLMS LÄN</t>
        </is>
      </c>
      <c r="E1041" t="inlineStr">
        <is>
          <t>SÖDERTÄLJE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58260-2020</t>
        </is>
      </c>
      <c r="B1042" s="1" t="n">
        <v>44144</v>
      </c>
      <c r="C1042" s="1" t="n">
        <v>45571</v>
      </c>
      <c r="D1042" t="inlineStr">
        <is>
          <t>STOCKHOLMS LÄN</t>
        </is>
      </c>
      <c r="E1042" t="inlineStr">
        <is>
          <t>HUDDINGE</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58493-2020</t>
        </is>
      </c>
      <c r="B1043" s="1" t="n">
        <v>44145</v>
      </c>
      <c r="C1043" s="1" t="n">
        <v>45571</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58517-2020</t>
        </is>
      </c>
      <c r="B1044" s="1" t="n">
        <v>44145</v>
      </c>
      <c r="C1044" s="1" t="n">
        <v>45571</v>
      </c>
      <c r="D1044" t="inlineStr">
        <is>
          <t>STOCKHOLMS LÄN</t>
        </is>
      </c>
      <c r="E1044" t="inlineStr">
        <is>
          <t>BOTKYRKA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58531-2020</t>
        </is>
      </c>
      <c r="B1045" s="1" t="n">
        <v>44145</v>
      </c>
      <c r="C1045" s="1" t="n">
        <v>45571</v>
      </c>
      <c r="D1045" t="inlineStr">
        <is>
          <t>STOCKHOLMS LÄN</t>
        </is>
      </c>
      <c r="E1045" t="inlineStr">
        <is>
          <t>BOTKYRKA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58661-2020</t>
        </is>
      </c>
      <c r="B1046" s="1" t="n">
        <v>44145</v>
      </c>
      <c r="C1046" s="1" t="n">
        <v>45571</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58665-2020</t>
        </is>
      </c>
      <c r="B1047" s="1" t="n">
        <v>44145</v>
      </c>
      <c r="C1047" s="1" t="n">
        <v>45571</v>
      </c>
      <c r="D1047" t="inlineStr">
        <is>
          <t>STOCKHOLMS LÄN</t>
        </is>
      </c>
      <c r="E1047" t="inlineStr">
        <is>
          <t>NORRTÄLJE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58888-2020</t>
        </is>
      </c>
      <c r="B1048" s="1" t="n">
        <v>44146</v>
      </c>
      <c r="C1048" s="1" t="n">
        <v>45571</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59570-2020</t>
        </is>
      </c>
      <c r="B1049" s="1" t="n">
        <v>44148</v>
      </c>
      <c r="C1049" s="1" t="n">
        <v>45571</v>
      </c>
      <c r="D1049" t="inlineStr">
        <is>
          <t>STOCKHOLMS LÄN</t>
        </is>
      </c>
      <c r="E1049" t="inlineStr">
        <is>
          <t>NYKVARN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60321-2020</t>
        </is>
      </c>
      <c r="B1050" s="1" t="n">
        <v>44152</v>
      </c>
      <c r="C1050" s="1" t="n">
        <v>45571</v>
      </c>
      <c r="D1050" t="inlineStr">
        <is>
          <t>STOCKHOLMS LÄN</t>
        </is>
      </c>
      <c r="E1050" t="inlineStr">
        <is>
          <t>NORRTÄLJE</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60542-2020</t>
        </is>
      </c>
      <c r="B1051" s="1" t="n">
        <v>44153</v>
      </c>
      <c r="C1051" s="1" t="n">
        <v>45571</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61048-2020</t>
        </is>
      </c>
      <c r="B1052" s="1" t="n">
        <v>44153</v>
      </c>
      <c r="C1052" s="1" t="n">
        <v>45571</v>
      </c>
      <c r="D1052" t="inlineStr">
        <is>
          <t>STOCKHOLMS LÄN</t>
        </is>
      </c>
      <c r="E1052" t="inlineStr">
        <is>
          <t>VÄRMDÖ</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60977-2020</t>
        </is>
      </c>
      <c r="B1053" s="1" t="n">
        <v>44154</v>
      </c>
      <c r="C1053" s="1" t="n">
        <v>45571</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60891-2020</t>
        </is>
      </c>
      <c r="B1054" s="1" t="n">
        <v>44154</v>
      </c>
      <c r="C1054" s="1" t="n">
        <v>45571</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60961-2020</t>
        </is>
      </c>
      <c r="B1055" s="1" t="n">
        <v>44154</v>
      </c>
      <c r="C1055" s="1" t="n">
        <v>45571</v>
      </c>
      <c r="D1055" t="inlineStr">
        <is>
          <t>STOCKHOLMS LÄN</t>
        </is>
      </c>
      <c r="E1055" t="inlineStr">
        <is>
          <t>NORRTÄLJE</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61195-2020</t>
        </is>
      </c>
      <c r="B1056" s="1" t="n">
        <v>44155</v>
      </c>
      <c r="C1056" s="1" t="n">
        <v>45571</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61221-2020</t>
        </is>
      </c>
      <c r="B1057" s="1" t="n">
        <v>44155</v>
      </c>
      <c r="C1057" s="1" t="n">
        <v>45571</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61363-2020</t>
        </is>
      </c>
      <c r="B1058" s="1" t="n">
        <v>44155</v>
      </c>
      <c r="C1058" s="1" t="n">
        <v>45571</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61469-2020</t>
        </is>
      </c>
      <c r="B1059" s="1" t="n">
        <v>44155</v>
      </c>
      <c r="C1059" s="1" t="n">
        <v>45571</v>
      </c>
      <c r="D1059" t="inlineStr">
        <is>
          <t>STOCKHOLMS LÄN</t>
        </is>
      </c>
      <c r="E1059" t="inlineStr">
        <is>
          <t>NORRTÄLJE</t>
        </is>
      </c>
      <c r="F1059" t="inlineStr">
        <is>
          <t>Övriga Aktiebolag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61192-2020</t>
        </is>
      </c>
      <c r="B1060" s="1" t="n">
        <v>44155</v>
      </c>
      <c r="C1060" s="1" t="n">
        <v>45571</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61655-2020</t>
        </is>
      </c>
      <c r="B1061" s="1" t="n">
        <v>44158</v>
      </c>
      <c r="C1061" s="1" t="n">
        <v>45571</v>
      </c>
      <c r="D1061" t="inlineStr">
        <is>
          <t>STOCKHOLMS LÄN</t>
        </is>
      </c>
      <c r="E1061" t="inlineStr">
        <is>
          <t>VALLENTUNA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62460-2020</t>
        </is>
      </c>
      <c r="B1062" s="1" t="n">
        <v>44160</v>
      </c>
      <c r="C1062" s="1" t="n">
        <v>45571</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63492-2020</t>
        </is>
      </c>
      <c r="B1063" s="1" t="n">
        <v>44161</v>
      </c>
      <c r="C1063" s="1" t="n">
        <v>45571</v>
      </c>
      <c r="D1063" t="inlineStr">
        <is>
          <t>STOCKHOLMS LÄN</t>
        </is>
      </c>
      <c r="E1063" t="inlineStr">
        <is>
          <t>VÄRMDÖ</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62854-2020</t>
        </is>
      </c>
      <c r="B1064" s="1" t="n">
        <v>44161</v>
      </c>
      <c r="C1064" s="1" t="n">
        <v>45571</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63824-2020</t>
        </is>
      </c>
      <c r="B1065" s="1" t="n">
        <v>44162</v>
      </c>
      <c r="C1065" s="1" t="n">
        <v>45571</v>
      </c>
      <c r="D1065" t="inlineStr">
        <is>
          <t>STOCKHOLMS LÄN</t>
        </is>
      </c>
      <c r="E1065" t="inlineStr">
        <is>
          <t>NORRTÄLJE</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63894-2020</t>
        </is>
      </c>
      <c r="B1066" s="1" t="n">
        <v>44166</v>
      </c>
      <c r="C1066" s="1" t="n">
        <v>45571</v>
      </c>
      <c r="D1066" t="inlineStr">
        <is>
          <t>STOCKHOLMS LÄN</t>
        </is>
      </c>
      <c r="E1066" t="inlineStr">
        <is>
          <t>VALLENTUNA</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64548-2020</t>
        </is>
      </c>
      <c r="B1067" s="1" t="n">
        <v>44166</v>
      </c>
      <c r="C1067" s="1" t="n">
        <v>45571</v>
      </c>
      <c r="D1067" t="inlineStr">
        <is>
          <t>STOCKHOLMS LÄN</t>
        </is>
      </c>
      <c r="E1067" t="inlineStr">
        <is>
          <t>HANINGE</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64015-2020</t>
        </is>
      </c>
      <c r="B1068" s="1" t="n">
        <v>44167</v>
      </c>
      <c r="C1068" s="1" t="n">
        <v>45571</v>
      </c>
      <c r="D1068" t="inlineStr">
        <is>
          <t>STOCKHOLMS LÄN</t>
        </is>
      </c>
      <c r="E1068" t="inlineStr">
        <is>
          <t>UPPLANDS-BRO</t>
        </is>
      </c>
      <c r="F1068" t="inlineStr">
        <is>
          <t>Övriga statliga verk och myndigheter</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64372-2020</t>
        </is>
      </c>
      <c r="B1069" s="1" t="n">
        <v>44168</v>
      </c>
      <c r="C1069" s="1" t="n">
        <v>45571</v>
      </c>
      <c r="D1069" t="inlineStr">
        <is>
          <t>STOCKHOLMS LÄN</t>
        </is>
      </c>
      <c r="E1069" t="inlineStr">
        <is>
          <t>SIGTUNA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64395-2020</t>
        </is>
      </c>
      <c r="B1070" s="1" t="n">
        <v>44168</v>
      </c>
      <c r="C1070" s="1" t="n">
        <v>45571</v>
      </c>
      <c r="D1070" t="inlineStr">
        <is>
          <t>STOCKHOLMS LÄN</t>
        </is>
      </c>
      <c r="E1070" t="inlineStr">
        <is>
          <t>HANINGE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65118-2020</t>
        </is>
      </c>
      <c r="B1071" s="1" t="n">
        <v>44172</v>
      </c>
      <c r="C1071" s="1" t="n">
        <v>45571</v>
      </c>
      <c r="D1071" t="inlineStr">
        <is>
          <t>STOCKHOLMS LÄN</t>
        </is>
      </c>
      <c r="E1071" t="inlineStr">
        <is>
          <t>NYNÄSHAMN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64981-2020</t>
        </is>
      </c>
      <c r="B1072" s="1" t="n">
        <v>44172</v>
      </c>
      <c r="C1072" s="1" t="n">
        <v>45571</v>
      </c>
      <c r="D1072" t="inlineStr">
        <is>
          <t>STOCKHOLMS LÄN</t>
        </is>
      </c>
      <c r="E1072" t="inlineStr">
        <is>
          <t>SIGTUNA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65804-2020</t>
        </is>
      </c>
      <c r="B1073" s="1" t="n">
        <v>44172</v>
      </c>
      <c r="C1073" s="1" t="n">
        <v>45571</v>
      </c>
      <c r="D1073" t="inlineStr">
        <is>
          <t>STOCKHOLMS LÄN</t>
        </is>
      </c>
      <c r="E1073" t="inlineStr">
        <is>
          <t>VALLENTUNA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65954-2020</t>
        </is>
      </c>
      <c r="B1074" s="1" t="n">
        <v>44175</v>
      </c>
      <c r="C1074" s="1" t="n">
        <v>45571</v>
      </c>
      <c r="D1074" t="inlineStr">
        <is>
          <t>STOCKHOLMS LÄN</t>
        </is>
      </c>
      <c r="E1074" t="inlineStr">
        <is>
          <t>UPPLANDS-BRO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65916-2020</t>
        </is>
      </c>
      <c r="B1075" s="1" t="n">
        <v>44175</v>
      </c>
      <c r="C1075" s="1" t="n">
        <v>45571</v>
      </c>
      <c r="D1075" t="inlineStr">
        <is>
          <t>STOCKHOLMS LÄN</t>
        </is>
      </c>
      <c r="E1075" t="inlineStr">
        <is>
          <t>SALEM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66372-2020</t>
        </is>
      </c>
      <c r="B1076" s="1" t="n">
        <v>44176</v>
      </c>
      <c r="C1076" s="1" t="n">
        <v>45571</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66907-2020</t>
        </is>
      </c>
      <c r="B1077" s="1" t="n">
        <v>44176</v>
      </c>
      <c r="C1077" s="1" t="n">
        <v>45571</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66726-2020</t>
        </is>
      </c>
      <c r="B1078" s="1" t="n">
        <v>44179</v>
      </c>
      <c r="C1078" s="1" t="n">
        <v>45571</v>
      </c>
      <c r="D1078" t="inlineStr">
        <is>
          <t>STOCKHOLMS LÄN</t>
        </is>
      </c>
      <c r="E1078" t="inlineStr">
        <is>
          <t>HANINGE</t>
        </is>
      </c>
      <c r="F1078" t="inlineStr">
        <is>
          <t>Övriga statliga verk och myndigheter</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66949-2020</t>
        </is>
      </c>
      <c r="B1079" s="1" t="n">
        <v>44180</v>
      </c>
      <c r="C1079" s="1" t="n">
        <v>45571</v>
      </c>
      <c r="D1079" t="inlineStr">
        <is>
          <t>STOCKHOLMS LÄN</t>
        </is>
      </c>
      <c r="E1079" t="inlineStr">
        <is>
          <t>UPPLANDS-BRO</t>
        </is>
      </c>
      <c r="F1079" t="inlineStr">
        <is>
          <t>Övriga statliga verk och myndigheter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66926-2020</t>
        </is>
      </c>
      <c r="B1080" s="1" t="n">
        <v>44180</v>
      </c>
      <c r="C1080" s="1" t="n">
        <v>45571</v>
      </c>
      <c r="D1080" t="inlineStr">
        <is>
          <t>STOCKHOLMS LÄN</t>
        </is>
      </c>
      <c r="E1080" t="inlineStr">
        <is>
          <t>UPPLANDS-BRO</t>
        </is>
      </c>
      <c r="F1080" t="inlineStr">
        <is>
          <t>Övriga statliga verk och myndigheter</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66960-2020</t>
        </is>
      </c>
      <c r="B1081" s="1" t="n">
        <v>44180</v>
      </c>
      <c r="C1081" s="1" t="n">
        <v>45571</v>
      </c>
      <c r="D1081" t="inlineStr">
        <is>
          <t>STOCKHOLMS LÄN</t>
        </is>
      </c>
      <c r="E1081" t="inlineStr">
        <is>
          <t>UPPLANDS-BRO</t>
        </is>
      </c>
      <c r="F1081" t="inlineStr">
        <is>
          <t>Övriga statliga verk och myndigheter</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67286-2020</t>
        </is>
      </c>
      <c r="B1082" s="1" t="n">
        <v>44181</v>
      </c>
      <c r="C1082" s="1" t="n">
        <v>45571</v>
      </c>
      <c r="D1082" t="inlineStr">
        <is>
          <t>STOCKHOLMS LÄN</t>
        </is>
      </c>
      <c r="E1082" t="inlineStr">
        <is>
          <t>UPPLANDS-BRO</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67393-2020</t>
        </is>
      </c>
      <c r="B1083" s="1" t="n">
        <v>44181</v>
      </c>
      <c r="C1083" s="1" t="n">
        <v>45571</v>
      </c>
      <c r="D1083" t="inlineStr">
        <is>
          <t>STOCKHOLMS LÄN</t>
        </is>
      </c>
      <c r="E1083" t="inlineStr">
        <is>
          <t>NORRTÄLJE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67275-2020</t>
        </is>
      </c>
      <c r="B1084" s="1" t="n">
        <v>44181</v>
      </c>
      <c r="C1084" s="1" t="n">
        <v>45571</v>
      </c>
      <c r="D1084" t="inlineStr">
        <is>
          <t>STOCKHOLMS LÄN</t>
        </is>
      </c>
      <c r="E1084" t="inlineStr">
        <is>
          <t>UPPLANDS-BRO</t>
        </is>
      </c>
      <c r="F1084" t="inlineStr">
        <is>
          <t>Övriga statliga verk och myndigheter</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68081-2020</t>
        </is>
      </c>
      <c r="B1085" s="1" t="n">
        <v>44183</v>
      </c>
      <c r="C1085" s="1" t="n">
        <v>45571</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68268-2020</t>
        </is>
      </c>
      <c r="B1086" s="1" t="n">
        <v>44183</v>
      </c>
      <c r="C1086" s="1" t="n">
        <v>45571</v>
      </c>
      <c r="D1086" t="inlineStr">
        <is>
          <t>STOCKHOLMS LÄN</t>
        </is>
      </c>
      <c r="E1086" t="inlineStr">
        <is>
          <t>NYKVARN</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68721-2020</t>
        </is>
      </c>
      <c r="B1087" s="1" t="n">
        <v>44187</v>
      </c>
      <c r="C1087" s="1" t="n">
        <v>45571</v>
      </c>
      <c r="D1087" t="inlineStr">
        <is>
          <t>STOCKHOLMS LÄN</t>
        </is>
      </c>
      <c r="E1087" t="inlineStr">
        <is>
          <t>SÖDERTÄLJE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68935-2020</t>
        </is>
      </c>
      <c r="B1088" s="1" t="n">
        <v>44187</v>
      </c>
      <c r="C1088" s="1" t="n">
        <v>45571</v>
      </c>
      <c r="D1088" t="inlineStr">
        <is>
          <t>STOCKHOLMS LÄN</t>
        </is>
      </c>
      <c r="E1088" t="inlineStr">
        <is>
          <t>VALLENTUNA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68938-2020</t>
        </is>
      </c>
      <c r="B1089" s="1" t="n">
        <v>44187</v>
      </c>
      <c r="C1089" s="1" t="n">
        <v>45571</v>
      </c>
      <c r="D1089" t="inlineStr">
        <is>
          <t>STOCKHOLMS LÄN</t>
        </is>
      </c>
      <c r="E1089" t="inlineStr">
        <is>
          <t>VALLENTUNA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69183-2020</t>
        </is>
      </c>
      <c r="B1090" s="1" t="n">
        <v>44190</v>
      </c>
      <c r="C1090" s="1" t="n">
        <v>45571</v>
      </c>
      <c r="D1090" t="inlineStr">
        <is>
          <t>STOCKHOLMS LÄN</t>
        </is>
      </c>
      <c r="E1090" t="inlineStr">
        <is>
          <t>NYNÄSHAMN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177-2021</t>
        </is>
      </c>
      <c r="B1091" s="1" t="n">
        <v>44200</v>
      </c>
      <c r="C1091" s="1" t="n">
        <v>45571</v>
      </c>
      <c r="D1091" t="inlineStr">
        <is>
          <t>STOCKHOLMS LÄN</t>
        </is>
      </c>
      <c r="E1091" t="inlineStr">
        <is>
          <t>BOTKYRKA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367-2021</t>
        </is>
      </c>
      <c r="B1092" s="1" t="n">
        <v>44201</v>
      </c>
      <c r="C1092" s="1" t="n">
        <v>45571</v>
      </c>
      <c r="D1092" t="inlineStr">
        <is>
          <t>STOCKHOLMS LÄN</t>
        </is>
      </c>
      <c r="E1092" t="inlineStr">
        <is>
          <t>NORRTÄLJE</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348-2021</t>
        </is>
      </c>
      <c r="B1093" s="1" t="n">
        <v>44201</v>
      </c>
      <c r="C1093" s="1" t="n">
        <v>45571</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1418-2021</t>
        </is>
      </c>
      <c r="B1094" s="1" t="n">
        <v>44208</v>
      </c>
      <c r="C1094" s="1" t="n">
        <v>45571</v>
      </c>
      <c r="D1094" t="inlineStr">
        <is>
          <t>STOCKHOLMS LÄN</t>
        </is>
      </c>
      <c r="E1094" t="inlineStr">
        <is>
          <t>HANINGE</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1438-2021</t>
        </is>
      </c>
      <c r="B1095" s="1" t="n">
        <v>44208</v>
      </c>
      <c r="C1095" s="1" t="n">
        <v>45571</v>
      </c>
      <c r="D1095" t="inlineStr">
        <is>
          <t>STOCKHOLMS LÄN</t>
        </is>
      </c>
      <c r="E1095" t="inlineStr">
        <is>
          <t>HANINGE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1420-2021</t>
        </is>
      </c>
      <c r="B1096" s="1" t="n">
        <v>44208</v>
      </c>
      <c r="C1096" s="1" t="n">
        <v>45571</v>
      </c>
      <c r="D1096" t="inlineStr">
        <is>
          <t>STOCKHOLMS LÄN</t>
        </is>
      </c>
      <c r="E1096" t="inlineStr">
        <is>
          <t>HANINGE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1553-2021</t>
        </is>
      </c>
      <c r="B1097" s="1" t="n">
        <v>44209</v>
      </c>
      <c r="C1097" s="1" t="n">
        <v>45571</v>
      </c>
      <c r="D1097" t="inlineStr">
        <is>
          <t>STOCKHOLMS LÄN</t>
        </is>
      </c>
      <c r="E1097" t="inlineStr">
        <is>
          <t>EKERÖ</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1637-2021</t>
        </is>
      </c>
      <c r="B1098" s="1" t="n">
        <v>44209</v>
      </c>
      <c r="C1098" s="1" t="n">
        <v>45571</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1970-2021</t>
        </is>
      </c>
      <c r="B1099" s="1" t="n">
        <v>44210</v>
      </c>
      <c r="C1099" s="1" t="n">
        <v>45571</v>
      </c>
      <c r="D1099" t="inlineStr">
        <is>
          <t>STOCKHOLMS LÄN</t>
        </is>
      </c>
      <c r="E1099" t="inlineStr">
        <is>
          <t>NORRTÄLJE</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2295-2021</t>
        </is>
      </c>
      <c r="B1100" s="1" t="n">
        <v>44212</v>
      </c>
      <c r="C1100" s="1" t="n">
        <v>45571</v>
      </c>
      <c r="D1100" t="inlineStr">
        <is>
          <t>STOCKHOLMS LÄN</t>
        </is>
      </c>
      <c r="E1100" t="inlineStr">
        <is>
          <t>NYNÄSHAMN</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2447-2021</t>
        </is>
      </c>
      <c r="B1101" s="1" t="n">
        <v>44214</v>
      </c>
      <c r="C1101" s="1" t="n">
        <v>45571</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2751-2021</t>
        </is>
      </c>
      <c r="B1102" s="1" t="n">
        <v>44215</v>
      </c>
      <c r="C1102" s="1" t="n">
        <v>45571</v>
      </c>
      <c r="D1102" t="inlineStr">
        <is>
          <t>STOCKHOLMS LÄN</t>
        </is>
      </c>
      <c r="E1102" t="inlineStr">
        <is>
          <t>NYNÄSHAMN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2976-2021</t>
        </is>
      </c>
      <c r="B1103" s="1" t="n">
        <v>44216</v>
      </c>
      <c r="C1103" s="1" t="n">
        <v>45571</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2867-2021</t>
        </is>
      </c>
      <c r="B1104" s="1" t="n">
        <v>44216</v>
      </c>
      <c r="C1104" s="1" t="n">
        <v>45571</v>
      </c>
      <c r="D1104" t="inlineStr">
        <is>
          <t>STOCKHOLMS LÄN</t>
        </is>
      </c>
      <c r="E1104" t="inlineStr">
        <is>
          <t>NYNÄSHAMN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2858-2021</t>
        </is>
      </c>
      <c r="B1105" s="1" t="n">
        <v>44216</v>
      </c>
      <c r="C1105" s="1" t="n">
        <v>45571</v>
      </c>
      <c r="D1105" t="inlineStr">
        <is>
          <t>STOCKHOLMS LÄN</t>
        </is>
      </c>
      <c r="E1105" t="inlineStr">
        <is>
          <t>NYNÄSHAMN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3143-2021</t>
        </is>
      </c>
      <c r="B1106" s="1" t="n">
        <v>44217</v>
      </c>
      <c r="C1106" s="1" t="n">
        <v>45571</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3386-2021</t>
        </is>
      </c>
      <c r="B1107" s="1" t="n">
        <v>44218</v>
      </c>
      <c r="C1107" s="1" t="n">
        <v>45571</v>
      </c>
      <c r="D1107" t="inlineStr">
        <is>
          <t>STOCKHOLMS LÄN</t>
        </is>
      </c>
      <c r="E1107" t="inlineStr">
        <is>
          <t>NORRTÄLJE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3702-2021</t>
        </is>
      </c>
      <c r="B1108" s="1" t="n">
        <v>44221</v>
      </c>
      <c r="C1108" s="1" t="n">
        <v>45571</v>
      </c>
      <c r="D1108" t="inlineStr">
        <is>
          <t>STOCKHOLMS LÄN</t>
        </is>
      </c>
      <c r="E1108" t="inlineStr">
        <is>
          <t>EKERÖ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4281-2021</t>
        </is>
      </c>
      <c r="B1109" s="1" t="n">
        <v>44223</v>
      </c>
      <c r="C1109" s="1" t="n">
        <v>45571</v>
      </c>
      <c r="D1109" t="inlineStr">
        <is>
          <t>STOCKHOLMS LÄN</t>
        </is>
      </c>
      <c r="E1109" t="inlineStr">
        <is>
          <t>BOTKYRKA</t>
        </is>
      </c>
      <c r="F1109" t="inlineStr">
        <is>
          <t>Övriga Aktiebolag</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4354-2021</t>
        </is>
      </c>
      <c r="B1110" s="1" t="n">
        <v>44223</v>
      </c>
      <c r="C1110" s="1" t="n">
        <v>45571</v>
      </c>
      <c r="D1110" t="inlineStr">
        <is>
          <t>STOCKHOLMS LÄN</t>
        </is>
      </c>
      <c r="E1110" t="inlineStr">
        <is>
          <t>NYNÄSHAMN</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4634-2021</t>
        </is>
      </c>
      <c r="B1111" s="1" t="n">
        <v>44224</v>
      </c>
      <c r="C1111" s="1" t="n">
        <v>45571</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4632-2021</t>
        </is>
      </c>
      <c r="B1112" s="1" t="n">
        <v>44224</v>
      </c>
      <c r="C1112" s="1" t="n">
        <v>45571</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5037-2021</t>
        </is>
      </c>
      <c r="B1113" s="1" t="n">
        <v>44228</v>
      </c>
      <c r="C1113" s="1" t="n">
        <v>45571</v>
      </c>
      <c r="D1113" t="inlineStr">
        <is>
          <t>STOCKHOLMS LÄN</t>
        </is>
      </c>
      <c r="E1113" t="inlineStr">
        <is>
          <t>NORRTÄLJE</t>
        </is>
      </c>
      <c r="F1113" t="inlineStr">
        <is>
          <t>Holmen skog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5562-2021</t>
        </is>
      </c>
      <c r="B1114" s="1" t="n">
        <v>44230</v>
      </c>
      <c r="C1114" s="1" t="n">
        <v>45571</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5566-2021</t>
        </is>
      </c>
      <c r="B1115" s="1" t="n">
        <v>44230</v>
      </c>
      <c r="C1115" s="1" t="n">
        <v>45571</v>
      </c>
      <c r="D1115" t="inlineStr">
        <is>
          <t>STOCKHOLMS LÄN</t>
        </is>
      </c>
      <c r="E1115" t="inlineStr">
        <is>
          <t>NORRTÄLJE</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5950-2021</t>
        </is>
      </c>
      <c r="B1116" s="1" t="n">
        <v>44231</v>
      </c>
      <c r="C1116" s="1" t="n">
        <v>45571</v>
      </c>
      <c r="D1116" t="inlineStr">
        <is>
          <t>STOCKHOLMS LÄN</t>
        </is>
      </c>
      <c r="E1116" t="inlineStr">
        <is>
          <t>NORRTÄLJE</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6049-2021</t>
        </is>
      </c>
      <c r="B1117" s="1" t="n">
        <v>44231</v>
      </c>
      <c r="C1117" s="1" t="n">
        <v>45571</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6080-2021</t>
        </is>
      </c>
      <c r="B1118" s="1" t="n">
        <v>44232</v>
      </c>
      <c r="C1118" s="1" t="n">
        <v>45571</v>
      </c>
      <c r="D1118" t="inlineStr">
        <is>
          <t>STOCKHOLMS LÄN</t>
        </is>
      </c>
      <c r="E1118" t="inlineStr">
        <is>
          <t>ÖSTERÅKER</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6430-2021</t>
        </is>
      </c>
      <c r="B1119" s="1" t="n">
        <v>44235</v>
      </c>
      <c r="C1119" s="1" t="n">
        <v>45571</v>
      </c>
      <c r="D1119" t="inlineStr">
        <is>
          <t>STOCKHOLMS LÄN</t>
        </is>
      </c>
      <c r="E1119" t="inlineStr">
        <is>
          <t>SIGTUNA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6593-2021</t>
        </is>
      </c>
      <c r="B1120" s="1" t="n">
        <v>44236</v>
      </c>
      <c r="C1120" s="1" t="n">
        <v>45571</v>
      </c>
      <c r="D1120" t="inlineStr">
        <is>
          <t>STOCKHOLMS LÄN</t>
        </is>
      </c>
      <c r="E1120" t="inlineStr">
        <is>
          <t>VALLENTUNA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7683-2021</t>
        </is>
      </c>
      <c r="B1121" s="1" t="n">
        <v>44242</v>
      </c>
      <c r="C1121" s="1" t="n">
        <v>45571</v>
      </c>
      <c r="D1121" t="inlineStr">
        <is>
          <t>STOCKHOLMS LÄN</t>
        </is>
      </c>
      <c r="E1121" t="inlineStr">
        <is>
          <t>NYNÄSHAMN</t>
        </is>
      </c>
      <c r="F1121" t="inlineStr">
        <is>
          <t>Kommuner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7903-2021</t>
        </is>
      </c>
      <c r="B1122" s="1" t="n">
        <v>44243</v>
      </c>
      <c r="C1122" s="1" t="n">
        <v>45571</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7999-2021</t>
        </is>
      </c>
      <c r="B1123" s="1" t="n">
        <v>44243</v>
      </c>
      <c r="C1123" s="1" t="n">
        <v>45571</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8338-2021</t>
        </is>
      </c>
      <c r="B1124" s="1" t="n">
        <v>44244</v>
      </c>
      <c r="C1124" s="1" t="n">
        <v>45571</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8791-2021</t>
        </is>
      </c>
      <c r="B1125" s="1" t="n">
        <v>44246</v>
      </c>
      <c r="C1125" s="1" t="n">
        <v>45571</v>
      </c>
      <c r="D1125" t="inlineStr">
        <is>
          <t>STOCKHOLMS LÄN</t>
        </is>
      </c>
      <c r="E1125" t="inlineStr">
        <is>
          <t>VALLENTUNA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9024-2021</t>
        </is>
      </c>
      <c r="B1126" s="1" t="n">
        <v>44249</v>
      </c>
      <c r="C1126" s="1" t="n">
        <v>45571</v>
      </c>
      <c r="D1126" t="inlineStr">
        <is>
          <t>STOCKHOLMS LÄN</t>
        </is>
      </c>
      <c r="E1126" t="inlineStr">
        <is>
          <t>VÄRMDÖ</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9467-2021</t>
        </is>
      </c>
      <c r="B1127" s="1" t="n">
        <v>44251</v>
      </c>
      <c r="C1127" s="1" t="n">
        <v>45571</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9469-2021</t>
        </is>
      </c>
      <c r="B1128" s="1" t="n">
        <v>44251</v>
      </c>
      <c r="C1128" s="1" t="n">
        <v>45571</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9446-2021</t>
        </is>
      </c>
      <c r="B1129" s="1" t="n">
        <v>44251</v>
      </c>
      <c r="C1129" s="1" t="n">
        <v>45571</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9719-2021</t>
        </is>
      </c>
      <c r="B1130" s="1" t="n">
        <v>44252</v>
      </c>
      <c r="C1130" s="1" t="n">
        <v>45571</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9703-2021</t>
        </is>
      </c>
      <c r="B1131" s="1" t="n">
        <v>44252</v>
      </c>
      <c r="C1131" s="1" t="n">
        <v>45571</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9945-2021</t>
        </is>
      </c>
      <c r="B1132" s="1" t="n">
        <v>44253</v>
      </c>
      <c r="C1132" s="1" t="n">
        <v>45571</v>
      </c>
      <c r="D1132" t="inlineStr">
        <is>
          <t>STOCKHOLMS LÄN</t>
        </is>
      </c>
      <c r="E1132" t="inlineStr">
        <is>
          <t>HUDDINGE</t>
        </is>
      </c>
      <c r="F1132" t="inlineStr">
        <is>
          <t>Kommuner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9986-2021</t>
        </is>
      </c>
      <c r="B1133" s="1" t="n">
        <v>44254</v>
      </c>
      <c r="C1133" s="1" t="n">
        <v>45571</v>
      </c>
      <c r="D1133" t="inlineStr">
        <is>
          <t>STOCKHOLMS LÄN</t>
        </is>
      </c>
      <c r="E1133" t="inlineStr">
        <is>
          <t>SÖDERTÄLJE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10527-2021</t>
        </is>
      </c>
      <c r="B1134" s="1" t="n">
        <v>44258</v>
      </c>
      <c r="C1134" s="1" t="n">
        <v>45571</v>
      </c>
      <c r="D1134" t="inlineStr">
        <is>
          <t>STOCKHOLMS LÄN</t>
        </is>
      </c>
      <c r="E1134" t="inlineStr">
        <is>
          <t>NYNÄSHAMN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10525-2021</t>
        </is>
      </c>
      <c r="B1135" s="1" t="n">
        <v>44258</v>
      </c>
      <c r="C1135" s="1" t="n">
        <v>45571</v>
      </c>
      <c r="D1135" t="inlineStr">
        <is>
          <t>STOCKHOLMS LÄN</t>
        </is>
      </c>
      <c r="E1135" t="inlineStr">
        <is>
          <t>NYNÄSHAMN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10687-2021</t>
        </is>
      </c>
      <c r="B1136" s="1" t="n">
        <v>44258</v>
      </c>
      <c r="C1136" s="1" t="n">
        <v>45571</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10684-2021</t>
        </is>
      </c>
      <c r="B1137" s="1" t="n">
        <v>44258</v>
      </c>
      <c r="C1137" s="1" t="n">
        <v>45571</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10677-2021</t>
        </is>
      </c>
      <c r="B1138" s="1" t="n">
        <v>44258</v>
      </c>
      <c r="C1138" s="1" t="n">
        <v>45571</v>
      </c>
      <c r="D1138" t="inlineStr">
        <is>
          <t>STOCKHOLMS LÄN</t>
        </is>
      </c>
      <c r="E1138" t="inlineStr">
        <is>
          <t>HANINGE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10808-2021</t>
        </is>
      </c>
      <c r="B1139" s="1" t="n">
        <v>44259</v>
      </c>
      <c r="C1139" s="1" t="n">
        <v>45571</v>
      </c>
      <c r="D1139" t="inlineStr">
        <is>
          <t>STOCKHOLMS LÄN</t>
        </is>
      </c>
      <c r="E1139" t="inlineStr">
        <is>
          <t>BOTKYRKA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10817-2021</t>
        </is>
      </c>
      <c r="B1140" s="1" t="n">
        <v>44259</v>
      </c>
      <c r="C1140" s="1" t="n">
        <v>45571</v>
      </c>
      <c r="D1140" t="inlineStr">
        <is>
          <t>STOCKHOLMS LÄN</t>
        </is>
      </c>
      <c r="E1140" t="inlineStr">
        <is>
          <t>BOTKYRKA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10815-2021</t>
        </is>
      </c>
      <c r="B1141" s="1" t="n">
        <v>44259</v>
      </c>
      <c r="C1141" s="1" t="n">
        <v>45571</v>
      </c>
      <c r="D1141" t="inlineStr">
        <is>
          <t>STOCKHOLMS LÄN</t>
        </is>
      </c>
      <c r="E1141" t="inlineStr">
        <is>
          <t>BOTKYRKA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11122-2021</t>
        </is>
      </c>
      <c r="B1142" s="1" t="n">
        <v>44260</v>
      </c>
      <c r="C1142" s="1" t="n">
        <v>45571</v>
      </c>
      <c r="D1142" t="inlineStr">
        <is>
          <t>STOCKHOLMS LÄN</t>
        </is>
      </c>
      <c r="E1142" t="inlineStr">
        <is>
          <t>NORRTÄLJE</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11126-2021</t>
        </is>
      </c>
      <c r="B1143" s="1" t="n">
        <v>44260</v>
      </c>
      <c r="C1143" s="1" t="n">
        <v>45571</v>
      </c>
      <c r="D1143" t="inlineStr">
        <is>
          <t>STOCKHOLMS LÄN</t>
        </is>
      </c>
      <c r="E1143" t="inlineStr">
        <is>
          <t>SÖDERTÄLJE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11197-2021</t>
        </is>
      </c>
      <c r="B1144" s="1" t="n">
        <v>44263</v>
      </c>
      <c r="C1144" s="1" t="n">
        <v>45571</v>
      </c>
      <c r="D1144" t="inlineStr">
        <is>
          <t>STOCKHOLMS LÄN</t>
        </is>
      </c>
      <c r="E1144" t="inlineStr">
        <is>
          <t>SIGTUNA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11361-2021</t>
        </is>
      </c>
      <c r="B1145" s="1" t="n">
        <v>44263</v>
      </c>
      <c r="C1145" s="1" t="n">
        <v>45571</v>
      </c>
      <c r="D1145" t="inlineStr">
        <is>
          <t>STOCKHOLMS LÄN</t>
        </is>
      </c>
      <c r="E1145" t="inlineStr">
        <is>
          <t>SÖDERTÄLJE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11195-2021</t>
        </is>
      </c>
      <c r="B1146" s="1" t="n">
        <v>44263</v>
      </c>
      <c r="C1146" s="1" t="n">
        <v>45571</v>
      </c>
      <c r="D1146" t="inlineStr">
        <is>
          <t>STOCKHOLMS LÄN</t>
        </is>
      </c>
      <c r="E1146" t="inlineStr">
        <is>
          <t>SIGTUNA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11360-2021</t>
        </is>
      </c>
      <c r="B1147" s="1" t="n">
        <v>44263</v>
      </c>
      <c r="C1147" s="1" t="n">
        <v>45571</v>
      </c>
      <c r="D1147" t="inlineStr">
        <is>
          <t>STOCKHOLMS LÄN</t>
        </is>
      </c>
      <c r="E1147" t="inlineStr">
        <is>
          <t>SÖDERTÄLJE</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11368-2021</t>
        </is>
      </c>
      <c r="B1148" s="1" t="n">
        <v>44263</v>
      </c>
      <c r="C1148" s="1" t="n">
        <v>45571</v>
      </c>
      <c r="D1148" t="inlineStr">
        <is>
          <t>STOCKHOLMS LÄN</t>
        </is>
      </c>
      <c r="E1148" t="inlineStr">
        <is>
          <t>SÖDERTÄLJE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11267-2021</t>
        </is>
      </c>
      <c r="B1149" s="1" t="n">
        <v>44263</v>
      </c>
      <c r="C1149" s="1" t="n">
        <v>45571</v>
      </c>
      <c r="D1149" t="inlineStr">
        <is>
          <t>STOCKHOLMS LÄN</t>
        </is>
      </c>
      <c r="E1149" t="inlineStr">
        <is>
          <t>NACKA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11438-2021</t>
        </is>
      </c>
      <c r="B1150" s="1" t="n">
        <v>44263</v>
      </c>
      <c r="C1150" s="1" t="n">
        <v>45571</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11477-2021</t>
        </is>
      </c>
      <c r="B1151" s="1" t="n">
        <v>44264</v>
      </c>
      <c r="C1151" s="1" t="n">
        <v>45571</v>
      </c>
      <c r="D1151" t="inlineStr">
        <is>
          <t>STOCKHOLMS LÄN</t>
        </is>
      </c>
      <c r="E1151" t="inlineStr">
        <is>
          <t>SIGTUNA</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11459-2021</t>
        </is>
      </c>
      <c r="B1152" s="1" t="n">
        <v>44264</v>
      </c>
      <c r="C1152" s="1" t="n">
        <v>45571</v>
      </c>
      <c r="D1152" t="inlineStr">
        <is>
          <t>STOCKHOLMS LÄN</t>
        </is>
      </c>
      <c r="E1152" t="inlineStr">
        <is>
          <t>SIGTUNA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11713-2021</t>
        </is>
      </c>
      <c r="B1153" s="1" t="n">
        <v>44265</v>
      </c>
      <c r="C1153" s="1" t="n">
        <v>45571</v>
      </c>
      <c r="D1153" t="inlineStr">
        <is>
          <t>STOCKHOLMS LÄN</t>
        </is>
      </c>
      <c r="E1153" t="inlineStr">
        <is>
          <t>SIGTUNA</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11718-2021</t>
        </is>
      </c>
      <c r="B1154" s="1" t="n">
        <v>44265</v>
      </c>
      <c r="C1154" s="1" t="n">
        <v>45571</v>
      </c>
      <c r="D1154" t="inlineStr">
        <is>
          <t>STOCKHOLMS LÄN</t>
        </is>
      </c>
      <c r="E1154" t="inlineStr">
        <is>
          <t>SIGTUNA</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11841-2021</t>
        </is>
      </c>
      <c r="B1155" s="1" t="n">
        <v>44265</v>
      </c>
      <c r="C1155" s="1" t="n">
        <v>45571</v>
      </c>
      <c r="D1155" t="inlineStr">
        <is>
          <t>STOCKHOLMS LÄN</t>
        </is>
      </c>
      <c r="E1155" t="inlineStr">
        <is>
          <t>NYNÄSHAMN</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11988-2021</t>
        </is>
      </c>
      <c r="B1156" s="1" t="n">
        <v>44266</v>
      </c>
      <c r="C1156" s="1" t="n">
        <v>45571</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12031-2021</t>
        </is>
      </c>
      <c r="B1157" s="1" t="n">
        <v>44266</v>
      </c>
      <c r="C1157" s="1" t="n">
        <v>45571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12111-2021</t>
        </is>
      </c>
      <c r="B1158" s="1" t="n">
        <v>44266</v>
      </c>
      <c r="C1158" s="1" t="n">
        <v>45571</v>
      </c>
      <c r="D1158" t="inlineStr">
        <is>
          <t>STOCKHOLMS LÄN</t>
        </is>
      </c>
      <c r="E1158" t="inlineStr">
        <is>
          <t>NORRTÄLJE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12126-2021</t>
        </is>
      </c>
      <c r="B1159" s="1" t="n">
        <v>44266</v>
      </c>
      <c r="C1159" s="1" t="n">
        <v>45571</v>
      </c>
      <c r="D1159" t="inlineStr">
        <is>
          <t>STOCKHOLMS LÄN</t>
        </is>
      </c>
      <c r="E1159" t="inlineStr">
        <is>
          <t>SÖDERTÄLJE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12132-2021</t>
        </is>
      </c>
      <c r="B1160" s="1" t="n">
        <v>44266</v>
      </c>
      <c r="C1160" s="1" t="n">
        <v>45571</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12564-2021</t>
        </is>
      </c>
      <c r="B1161" s="1" t="n">
        <v>44270</v>
      </c>
      <c r="C1161" s="1" t="n">
        <v>45571</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12779-2021</t>
        </is>
      </c>
      <c r="B1162" s="1" t="n">
        <v>44270</v>
      </c>
      <c r="C1162" s="1" t="n">
        <v>45571</v>
      </c>
      <c r="D1162" t="inlineStr">
        <is>
          <t>STOCKHOLMS LÄN</t>
        </is>
      </c>
      <c r="E1162" t="inlineStr">
        <is>
          <t>NORRTÄLJE</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12782-2021</t>
        </is>
      </c>
      <c r="B1163" s="1" t="n">
        <v>44270</v>
      </c>
      <c r="C1163" s="1" t="n">
        <v>45571</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12874-2021</t>
        </is>
      </c>
      <c r="B1164" s="1" t="n">
        <v>44271</v>
      </c>
      <c r="C1164" s="1" t="n">
        <v>45571</v>
      </c>
      <c r="D1164" t="inlineStr">
        <is>
          <t>STOCKHOLMS LÄN</t>
        </is>
      </c>
      <c r="E1164" t="inlineStr">
        <is>
          <t>SALEM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12901-2021</t>
        </is>
      </c>
      <c r="B1165" s="1" t="n">
        <v>44271</v>
      </c>
      <c r="C1165" s="1" t="n">
        <v>45571</v>
      </c>
      <c r="D1165" t="inlineStr">
        <is>
          <t>STOCKHOLMS LÄN</t>
        </is>
      </c>
      <c r="E1165" t="inlineStr">
        <is>
          <t>SÖDERTÄLJE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13051-2021</t>
        </is>
      </c>
      <c r="B1166" s="1" t="n">
        <v>44272</v>
      </c>
      <c r="C1166" s="1" t="n">
        <v>45571</v>
      </c>
      <c r="D1166" t="inlineStr">
        <is>
          <t>STOCKHOLMS LÄN</t>
        </is>
      </c>
      <c r="E1166" t="inlineStr">
        <is>
          <t>NORRTÄLJE</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13148-2021</t>
        </is>
      </c>
      <c r="B1167" s="1" t="n">
        <v>44272</v>
      </c>
      <c r="C1167" s="1" t="n">
        <v>45571</v>
      </c>
      <c r="D1167" t="inlineStr">
        <is>
          <t>STOCKHOLMS LÄN</t>
        </is>
      </c>
      <c r="E1167" t="inlineStr">
        <is>
          <t>NORRTÄLJE</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13118-2021</t>
        </is>
      </c>
      <c r="B1168" s="1" t="n">
        <v>44272</v>
      </c>
      <c r="C1168" s="1" t="n">
        <v>45571</v>
      </c>
      <c r="D1168" t="inlineStr">
        <is>
          <t>STOCKHOLMS LÄN</t>
        </is>
      </c>
      <c r="E1168" t="inlineStr">
        <is>
          <t>ÖSTERÅKER</t>
        </is>
      </c>
      <c r="F1168" t="inlineStr">
        <is>
          <t>Kyrkan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13351-2021</t>
        </is>
      </c>
      <c r="B1169" s="1" t="n">
        <v>44273</v>
      </c>
      <c r="C1169" s="1" t="n">
        <v>45571</v>
      </c>
      <c r="D1169" t="inlineStr">
        <is>
          <t>STOCKHOLMS LÄN</t>
        </is>
      </c>
      <c r="E1169" t="inlineStr">
        <is>
          <t>SALEM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13736-2021</t>
        </is>
      </c>
      <c r="B1170" s="1" t="n">
        <v>44274</v>
      </c>
      <c r="C1170" s="1" t="n">
        <v>45571</v>
      </c>
      <c r="D1170" t="inlineStr">
        <is>
          <t>STOCKHOLMS LÄN</t>
        </is>
      </c>
      <c r="E1170" t="inlineStr">
        <is>
          <t>NORRTÄLJE</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13752-2021</t>
        </is>
      </c>
      <c r="B1171" s="1" t="n">
        <v>44274</v>
      </c>
      <c r="C1171" s="1" t="n">
        <v>45571</v>
      </c>
      <c r="D1171" t="inlineStr">
        <is>
          <t>STOCKHOLMS LÄN</t>
        </is>
      </c>
      <c r="E1171" t="inlineStr">
        <is>
          <t>NORRTÄLJE</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13921-2021</t>
        </is>
      </c>
      <c r="B1172" s="1" t="n">
        <v>44277</v>
      </c>
      <c r="C1172" s="1" t="n">
        <v>45571</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14008-2021</t>
        </is>
      </c>
      <c r="B1173" s="1" t="n">
        <v>44277</v>
      </c>
      <c r="C1173" s="1" t="n">
        <v>45571</v>
      </c>
      <c r="D1173" t="inlineStr">
        <is>
          <t>STOCKHOLMS LÄN</t>
        </is>
      </c>
      <c r="E1173" t="inlineStr">
        <is>
          <t>VÄRMDÖ</t>
        </is>
      </c>
      <c r="F1173" t="inlineStr">
        <is>
          <t>Övriga statliga verk och myndigheter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14014-2021</t>
        </is>
      </c>
      <c r="B1174" s="1" t="n">
        <v>44277</v>
      </c>
      <c r="C1174" s="1" t="n">
        <v>45571</v>
      </c>
      <c r="D1174" t="inlineStr">
        <is>
          <t>STOCKHOLMS LÄN</t>
        </is>
      </c>
      <c r="E1174" t="inlineStr">
        <is>
          <t>VÄRMDÖ</t>
        </is>
      </c>
      <c r="F1174" t="inlineStr">
        <is>
          <t>Övriga statliga verk och myndigheter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14006-2021</t>
        </is>
      </c>
      <c r="B1175" s="1" t="n">
        <v>44277</v>
      </c>
      <c r="C1175" s="1" t="n">
        <v>45571</v>
      </c>
      <c r="D1175" t="inlineStr">
        <is>
          <t>STOCKHOLMS LÄN</t>
        </is>
      </c>
      <c r="E1175" t="inlineStr">
        <is>
          <t>VÄRMDÖ</t>
        </is>
      </c>
      <c r="F1175" t="inlineStr">
        <is>
          <t>Övriga statliga verk och myndigheter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14381-2021</t>
        </is>
      </c>
      <c r="B1176" s="1" t="n">
        <v>44279</v>
      </c>
      <c r="C1176" s="1" t="n">
        <v>45571</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14430-2021</t>
        </is>
      </c>
      <c r="B1177" s="1" t="n">
        <v>44279</v>
      </c>
      <c r="C1177" s="1" t="n">
        <v>45571</v>
      </c>
      <c r="D1177" t="inlineStr">
        <is>
          <t>STOCKHOLMS LÄN</t>
        </is>
      </c>
      <c r="E1177" t="inlineStr">
        <is>
          <t>VALLENTUNA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14434-2021</t>
        </is>
      </c>
      <c r="B1178" s="1" t="n">
        <v>44279</v>
      </c>
      <c r="C1178" s="1" t="n">
        <v>45571</v>
      </c>
      <c r="D1178" t="inlineStr">
        <is>
          <t>STOCKHOLMS LÄN</t>
        </is>
      </c>
      <c r="E1178" t="inlineStr">
        <is>
          <t>VALLENTUNA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14447-2021</t>
        </is>
      </c>
      <c r="B1179" s="1" t="n">
        <v>44279</v>
      </c>
      <c r="C1179" s="1" t="n">
        <v>45571</v>
      </c>
      <c r="D1179" t="inlineStr">
        <is>
          <t>STOCKHOLMS LÄN</t>
        </is>
      </c>
      <c r="E1179" t="inlineStr">
        <is>
          <t>VALLENTUNA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14443-2021</t>
        </is>
      </c>
      <c r="B1180" s="1" t="n">
        <v>44279</v>
      </c>
      <c r="C1180" s="1" t="n">
        <v>45571</v>
      </c>
      <c r="D1180" t="inlineStr">
        <is>
          <t>STOCKHOLMS LÄN</t>
        </is>
      </c>
      <c r="E1180" t="inlineStr">
        <is>
          <t>VALLENTUNA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14584-2021</t>
        </is>
      </c>
      <c r="B1181" s="1" t="n">
        <v>44279</v>
      </c>
      <c r="C1181" s="1" t="n">
        <v>45571</v>
      </c>
      <c r="D1181" t="inlineStr">
        <is>
          <t>STOCKHOLMS LÄN</t>
        </is>
      </c>
      <c r="E1181" t="inlineStr">
        <is>
          <t>NYKVARN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14664-2021</t>
        </is>
      </c>
      <c r="B1182" s="1" t="n">
        <v>44280</v>
      </c>
      <c r="C1182" s="1" t="n">
        <v>45571</v>
      </c>
      <c r="D1182" t="inlineStr">
        <is>
          <t>STOCKHOLMS LÄN</t>
        </is>
      </c>
      <c r="E1182" t="inlineStr">
        <is>
          <t>SÖDERTÄLJE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14635-2021</t>
        </is>
      </c>
      <c r="B1183" s="1" t="n">
        <v>44280</v>
      </c>
      <c r="C1183" s="1" t="n">
        <v>45571</v>
      </c>
      <c r="D1183" t="inlineStr">
        <is>
          <t>STOCKHOLMS LÄN</t>
        </is>
      </c>
      <c r="E1183" t="inlineStr">
        <is>
          <t>SÖDERTÄLJE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14894-2021</t>
        </is>
      </c>
      <c r="B1184" s="1" t="n">
        <v>44281</v>
      </c>
      <c r="C1184" s="1" t="n">
        <v>45571</v>
      </c>
      <c r="D1184" t="inlineStr">
        <is>
          <t>STOCKHOLMS LÄN</t>
        </is>
      </c>
      <c r="E1184" t="inlineStr">
        <is>
          <t>UPPLANDS-BRO</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14922-2021</t>
        </is>
      </c>
      <c r="B1185" s="1" t="n">
        <v>44281</v>
      </c>
      <c r="C1185" s="1" t="n">
        <v>45571</v>
      </c>
      <c r="D1185" t="inlineStr">
        <is>
          <t>STOCKHOLMS LÄN</t>
        </is>
      </c>
      <c r="E1185" t="inlineStr">
        <is>
          <t>NORRTÄLJE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14897-2021</t>
        </is>
      </c>
      <c r="B1186" s="1" t="n">
        <v>44281</v>
      </c>
      <c r="C1186" s="1" t="n">
        <v>45571</v>
      </c>
      <c r="D1186" t="inlineStr">
        <is>
          <t>STOCKHOLMS LÄN</t>
        </is>
      </c>
      <c r="E1186" t="inlineStr">
        <is>
          <t>UPPLANDS-BRO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14933-2021</t>
        </is>
      </c>
      <c r="B1187" s="1" t="n">
        <v>44281</v>
      </c>
      <c r="C1187" s="1" t="n">
        <v>45571</v>
      </c>
      <c r="D1187" t="inlineStr">
        <is>
          <t>STOCKHOLMS LÄN</t>
        </is>
      </c>
      <c r="E1187" t="inlineStr">
        <is>
          <t>NORRTÄLJE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15289-2021</t>
        </is>
      </c>
      <c r="B1188" s="1" t="n">
        <v>44284</v>
      </c>
      <c r="C1188" s="1" t="n">
        <v>45571</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15441-2021</t>
        </is>
      </c>
      <c r="B1189" s="1" t="n">
        <v>44284</v>
      </c>
      <c r="C1189" s="1" t="n">
        <v>45571</v>
      </c>
      <c r="D1189" t="inlineStr">
        <is>
          <t>STOCKHOLMS LÄN</t>
        </is>
      </c>
      <c r="E1189" t="inlineStr">
        <is>
          <t>NORRTÄLJE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15428-2021</t>
        </is>
      </c>
      <c r="B1190" s="1" t="n">
        <v>44285</v>
      </c>
      <c r="C1190" s="1" t="n">
        <v>45571</v>
      </c>
      <c r="D1190" t="inlineStr">
        <is>
          <t>STOCKHOLMS LÄN</t>
        </is>
      </c>
      <c r="E1190" t="inlineStr">
        <is>
          <t>SIGTUNA</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15560-2021</t>
        </is>
      </c>
      <c r="B1191" s="1" t="n">
        <v>44285</v>
      </c>
      <c r="C1191" s="1" t="n">
        <v>45571</v>
      </c>
      <c r="D1191" t="inlineStr">
        <is>
          <t>STOCKHOLMS LÄN</t>
        </is>
      </c>
      <c r="E1191" t="inlineStr">
        <is>
          <t>NYNÄSHAMN</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15609-2021</t>
        </is>
      </c>
      <c r="B1192" s="1" t="n">
        <v>44285</v>
      </c>
      <c r="C1192" s="1" t="n">
        <v>45571</v>
      </c>
      <c r="D1192" t="inlineStr">
        <is>
          <t>STOCKHOLMS LÄN</t>
        </is>
      </c>
      <c r="E1192" t="inlineStr">
        <is>
          <t>NYNÄSHAMN</t>
        </is>
      </c>
      <c r="F1192" t="inlineStr">
        <is>
          <t>Kommuner</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15552-2021</t>
        </is>
      </c>
      <c r="B1193" s="1" t="n">
        <v>44285</v>
      </c>
      <c r="C1193" s="1" t="n">
        <v>45571</v>
      </c>
      <c r="D1193" t="inlineStr">
        <is>
          <t>STOCKHOLMS LÄN</t>
        </is>
      </c>
      <c r="E1193" t="inlineStr">
        <is>
          <t>NORRTÄLJE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15926-2021</t>
        </is>
      </c>
      <c r="B1194" s="1" t="n">
        <v>44287</v>
      </c>
      <c r="C1194" s="1" t="n">
        <v>45571</v>
      </c>
      <c r="D1194" t="inlineStr">
        <is>
          <t>STOCKHOLMS LÄN</t>
        </is>
      </c>
      <c r="E1194" t="inlineStr">
        <is>
          <t>VÄRMDÖ</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16086-2021</t>
        </is>
      </c>
      <c r="B1195" s="1" t="n">
        <v>44288</v>
      </c>
      <c r="C1195" s="1" t="n">
        <v>45571</v>
      </c>
      <c r="D1195" t="inlineStr">
        <is>
          <t>STOCKHOLMS LÄN</t>
        </is>
      </c>
      <c r="E1195" t="inlineStr">
        <is>
          <t>VÄRMDÖ</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16090-2021</t>
        </is>
      </c>
      <c r="B1196" s="1" t="n">
        <v>44288</v>
      </c>
      <c r="C1196" s="1" t="n">
        <v>45571</v>
      </c>
      <c r="D1196" t="inlineStr">
        <is>
          <t>STOCKHOLMS LÄN</t>
        </is>
      </c>
      <c r="E1196" t="inlineStr">
        <is>
          <t>VÄRMDÖ</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16087-2021</t>
        </is>
      </c>
      <c r="B1197" s="1" t="n">
        <v>44288</v>
      </c>
      <c r="C1197" s="1" t="n">
        <v>45571</v>
      </c>
      <c r="D1197" t="inlineStr">
        <is>
          <t>STOCKHOLMS LÄN</t>
        </is>
      </c>
      <c r="E1197" t="inlineStr">
        <is>
          <t>VÄRMDÖ</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16085-2021</t>
        </is>
      </c>
      <c r="B1198" s="1" t="n">
        <v>44288</v>
      </c>
      <c r="C1198" s="1" t="n">
        <v>45571</v>
      </c>
      <c r="D1198" t="inlineStr">
        <is>
          <t>STOCKHOLMS LÄN</t>
        </is>
      </c>
      <c r="E1198" t="inlineStr">
        <is>
          <t>VÄRMDÖ</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16091-2021</t>
        </is>
      </c>
      <c r="B1199" s="1" t="n">
        <v>44288</v>
      </c>
      <c r="C1199" s="1" t="n">
        <v>45571</v>
      </c>
      <c r="D1199" t="inlineStr">
        <is>
          <t>STOCKHOLMS LÄN</t>
        </is>
      </c>
      <c r="E1199" t="inlineStr">
        <is>
          <t>VÄRMDÖ</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16668-2021</t>
        </is>
      </c>
      <c r="B1200" s="1" t="n">
        <v>44294</v>
      </c>
      <c r="C1200" s="1" t="n">
        <v>45571</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17460-2021</t>
        </is>
      </c>
      <c r="B1201" s="1" t="n">
        <v>44299</v>
      </c>
      <c r="C1201" s="1" t="n">
        <v>45571</v>
      </c>
      <c r="D1201" t="inlineStr">
        <is>
          <t>STOCKHOLMS LÄN</t>
        </is>
      </c>
      <c r="E1201" t="inlineStr">
        <is>
          <t>NORRTÄLJE</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17703-2021</t>
        </is>
      </c>
      <c r="B1202" s="1" t="n">
        <v>44300</v>
      </c>
      <c r="C1202" s="1" t="n">
        <v>45571</v>
      </c>
      <c r="D1202" t="inlineStr">
        <is>
          <t>STOCKHOLMS LÄN</t>
        </is>
      </c>
      <c r="E1202" t="inlineStr">
        <is>
          <t>NORRTÄLJE</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17835-2021</t>
        </is>
      </c>
      <c r="B1203" s="1" t="n">
        <v>44300</v>
      </c>
      <c r="C1203" s="1" t="n">
        <v>45571</v>
      </c>
      <c r="D1203" t="inlineStr">
        <is>
          <t>STOCKHOLMS LÄN</t>
        </is>
      </c>
      <c r="E1203" t="inlineStr">
        <is>
          <t>NYNÄSHAMN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17825-2021</t>
        </is>
      </c>
      <c r="B1204" s="1" t="n">
        <v>44300</v>
      </c>
      <c r="C1204" s="1" t="n">
        <v>45571</v>
      </c>
      <c r="D1204" t="inlineStr">
        <is>
          <t>STOCKHOLMS LÄN</t>
        </is>
      </c>
      <c r="E1204" t="inlineStr">
        <is>
          <t>HANINGE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18172-2021</t>
        </is>
      </c>
      <c r="B1205" s="1" t="n">
        <v>44302</v>
      </c>
      <c r="C1205" s="1" t="n">
        <v>45571</v>
      </c>
      <c r="D1205" t="inlineStr">
        <is>
          <t>STOCKHOLMS LÄN</t>
        </is>
      </c>
      <c r="E1205" t="inlineStr">
        <is>
          <t>ÖSTERÅKER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18580-2021</t>
        </is>
      </c>
      <c r="B1206" s="1" t="n">
        <v>44306</v>
      </c>
      <c r="C1206" s="1" t="n">
        <v>45571</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18609-2021</t>
        </is>
      </c>
      <c r="B1207" s="1" t="n">
        <v>44306</v>
      </c>
      <c r="C1207" s="1" t="n">
        <v>45571</v>
      </c>
      <c r="D1207" t="inlineStr">
        <is>
          <t>STOCKHOLMS LÄN</t>
        </is>
      </c>
      <c r="E1207" t="inlineStr">
        <is>
          <t>NORRTÄLJE</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18539-2021</t>
        </is>
      </c>
      <c r="B1208" s="1" t="n">
        <v>44306</v>
      </c>
      <c r="C1208" s="1" t="n">
        <v>45571</v>
      </c>
      <c r="D1208" t="inlineStr">
        <is>
          <t>STOCKHOLMS LÄN</t>
        </is>
      </c>
      <c r="E1208" t="inlineStr">
        <is>
          <t>NORRTÄLJE</t>
        </is>
      </c>
      <c r="F1208" t="inlineStr">
        <is>
          <t>Holmen skog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18570-2021</t>
        </is>
      </c>
      <c r="B1209" s="1" t="n">
        <v>44306</v>
      </c>
      <c r="C1209" s="1" t="n">
        <v>45571</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18760-2021</t>
        </is>
      </c>
      <c r="B1210" s="1" t="n">
        <v>44307</v>
      </c>
      <c r="C1210" s="1" t="n">
        <v>45571</v>
      </c>
      <c r="D1210" t="inlineStr">
        <is>
          <t>STOCKHOLMS LÄN</t>
        </is>
      </c>
      <c r="E1210" t="inlineStr">
        <is>
          <t>UPPLANDS-BRO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19283-2021</t>
        </is>
      </c>
      <c r="B1211" s="1" t="n">
        <v>44309</v>
      </c>
      <c r="C1211" s="1" t="n">
        <v>45571</v>
      </c>
      <c r="D1211" t="inlineStr">
        <is>
          <t>STOCKHOLMS LÄN</t>
        </is>
      </c>
      <c r="E1211" t="inlineStr">
        <is>
          <t>NORRTÄLJE</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19400-2021</t>
        </is>
      </c>
      <c r="B1212" s="1" t="n">
        <v>44309</v>
      </c>
      <c r="C1212" s="1" t="n">
        <v>45571</v>
      </c>
      <c r="D1212" t="inlineStr">
        <is>
          <t>STOCKHOLMS LÄN</t>
        </is>
      </c>
      <c r="E1212" t="inlineStr">
        <is>
          <t>NORRTÄLJE</t>
        </is>
      </c>
      <c r="F1212" t="inlineStr">
        <is>
          <t>Kommuner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19307-2021</t>
        </is>
      </c>
      <c r="B1213" s="1" t="n">
        <v>44309</v>
      </c>
      <c r="C1213" s="1" t="n">
        <v>45571</v>
      </c>
      <c r="D1213" t="inlineStr">
        <is>
          <t>STOCKHOLMS LÄN</t>
        </is>
      </c>
      <c r="E1213" t="inlineStr">
        <is>
          <t>NORRTÄLJE</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19398-2021</t>
        </is>
      </c>
      <c r="B1214" s="1" t="n">
        <v>44309</v>
      </c>
      <c r="C1214" s="1" t="n">
        <v>45571</v>
      </c>
      <c r="D1214" t="inlineStr">
        <is>
          <t>STOCKHOLMS LÄN</t>
        </is>
      </c>
      <c r="E1214" t="inlineStr">
        <is>
          <t>NORRTÄLJE</t>
        </is>
      </c>
      <c r="F1214" t="inlineStr">
        <is>
          <t>Kommuner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20073-2021</t>
        </is>
      </c>
      <c r="B1215" s="1" t="n">
        <v>44314</v>
      </c>
      <c r="C1215" s="1" t="n">
        <v>45571</v>
      </c>
      <c r="D1215" t="inlineStr">
        <is>
          <t>STOCKHOLMS LÄN</t>
        </is>
      </c>
      <c r="E1215" t="inlineStr">
        <is>
          <t>NORRTÄLJE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20210-2021</t>
        </is>
      </c>
      <c r="B1216" s="1" t="n">
        <v>44314</v>
      </c>
      <c r="C1216" s="1" t="n">
        <v>45571</v>
      </c>
      <c r="D1216" t="inlineStr">
        <is>
          <t>STOCKHOLMS LÄN</t>
        </is>
      </c>
      <c r="E1216" t="inlineStr">
        <is>
          <t>BOTKYRKA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20612-2021</t>
        </is>
      </c>
      <c r="B1217" s="1" t="n">
        <v>44315</v>
      </c>
      <c r="C1217" s="1" t="n">
        <v>45571</v>
      </c>
      <c r="D1217" t="inlineStr">
        <is>
          <t>STOCKHOLMS LÄN</t>
        </is>
      </c>
      <c r="E1217" t="inlineStr">
        <is>
          <t>VALLENTUNA</t>
        </is>
      </c>
      <c r="F1217" t="inlineStr">
        <is>
          <t>Övriga Aktiebolag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20473-2021</t>
        </is>
      </c>
      <c r="B1218" s="1" t="n">
        <v>44315</v>
      </c>
      <c r="C1218" s="1" t="n">
        <v>45571</v>
      </c>
      <c r="D1218" t="inlineStr">
        <is>
          <t>STOCKHOLMS LÄN</t>
        </is>
      </c>
      <c r="E1218" t="inlineStr">
        <is>
          <t>NORRTÄLJE</t>
        </is>
      </c>
      <c r="F1218" t="inlineStr">
        <is>
          <t>Övriga Aktiebolag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20711-2021</t>
        </is>
      </c>
      <c r="B1219" s="1" t="n">
        <v>44316</v>
      </c>
      <c r="C1219" s="1" t="n">
        <v>45571</v>
      </c>
      <c r="D1219" t="inlineStr">
        <is>
          <t>STOCKHOLMS LÄN</t>
        </is>
      </c>
      <c r="E1219" t="inlineStr">
        <is>
          <t>NYKVARN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21291-2021</t>
        </is>
      </c>
      <c r="B1220" s="1" t="n">
        <v>44319</v>
      </c>
      <c r="C1220" s="1" t="n">
        <v>45571</v>
      </c>
      <c r="D1220" t="inlineStr">
        <is>
          <t>STOCKHOLMS LÄN</t>
        </is>
      </c>
      <c r="E1220" t="inlineStr">
        <is>
          <t>NORRTÄLJE</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21529-2021</t>
        </is>
      </c>
      <c r="B1221" s="1" t="n">
        <v>44321</v>
      </c>
      <c r="C1221" s="1" t="n">
        <v>45571</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21560-2021</t>
        </is>
      </c>
      <c r="B1222" s="1" t="n">
        <v>44321</v>
      </c>
      <c r="C1222" s="1" t="n">
        <v>45571</v>
      </c>
      <c r="D1222" t="inlineStr">
        <is>
          <t>STOCKHOLMS LÄN</t>
        </is>
      </c>
      <c r="E1222" t="inlineStr">
        <is>
          <t>UPPLANDS-BRO</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21612-2021</t>
        </is>
      </c>
      <c r="B1223" s="1" t="n">
        <v>44321</v>
      </c>
      <c r="C1223" s="1" t="n">
        <v>45571</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21913-2021</t>
        </is>
      </c>
      <c r="B1224" s="1" t="n">
        <v>44322</v>
      </c>
      <c r="C1224" s="1" t="n">
        <v>45571</v>
      </c>
      <c r="D1224" t="inlineStr">
        <is>
          <t>STOCKHOLMS LÄN</t>
        </is>
      </c>
      <c r="E1224" t="inlineStr">
        <is>
          <t>NYKVARN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22479-2021</t>
        </is>
      </c>
      <c r="B1225" s="1" t="n">
        <v>44322</v>
      </c>
      <c r="C1225" s="1" t="n">
        <v>45571</v>
      </c>
      <c r="D1225" t="inlineStr">
        <is>
          <t>STOCKHOLMS LÄN</t>
        </is>
      </c>
      <c r="E1225" t="inlineStr">
        <is>
          <t>VÄRMDÖ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22060-2021</t>
        </is>
      </c>
      <c r="B1226" s="1" t="n">
        <v>44323</v>
      </c>
      <c r="C1226" s="1" t="n">
        <v>45571</v>
      </c>
      <c r="D1226" t="inlineStr">
        <is>
          <t>STOCKHOLMS LÄN</t>
        </is>
      </c>
      <c r="E1226" t="inlineStr">
        <is>
          <t>VALLENTUNA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22071-2021</t>
        </is>
      </c>
      <c r="B1227" s="1" t="n">
        <v>44323</v>
      </c>
      <c r="C1227" s="1" t="n">
        <v>45571</v>
      </c>
      <c r="D1227" t="inlineStr">
        <is>
          <t>STOCKHOLMS LÄN</t>
        </is>
      </c>
      <c r="E1227" t="inlineStr">
        <is>
          <t>VALLENTUNA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22832-2021</t>
        </is>
      </c>
      <c r="B1228" s="1" t="n">
        <v>44325</v>
      </c>
      <c r="C1228" s="1" t="n">
        <v>45571</v>
      </c>
      <c r="D1228" t="inlineStr">
        <is>
          <t>STOCKHOLMS LÄN</t>
        </is>
      </c>
      <c r="E1228" t="inlineStr">
        <is>
          <t>NORRTÄLJE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22816-2021</t>
        </is>
      </c>
      <c r="B1229" s="1" t="n">
        <v>44325</v>
      </c>
      <c r="C1229" s="1" t="n">
        <v>45571</v>
      </c>
      <c r="D1229" t="inlineStr">
        <is>
          <t>STOCKHOLMS LÄN</t>
        </is>
      </c>
      <c r="E1229" t="inlineStr">
        <is>
          <t>NORRTÄLJE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22369-2021</t>
        </is>
      </c>
      <c r="B1230" s="1" t="n">
        <v>44326</v>
      </c>
      <c r="C1230" s="1" t="n">
        <v>45571</v>
      </c>
      <c r="D1230" t="inlineStr">
        <is>
          <t>STOCKHOLMS LÄN</t>
        </is>
      </c>
      <c r="E1230" t="inlineStr">
        <is>
          <t>NORRTÄLJE</t>
        </is>
      </c>
      <c r="F1230" t="inlineStr">
        <is>
          <t>Holmen skog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22421-2021</t>
        </is>
      </c>
      <c r="B1231" s="1" t="n">
        <v>44326</v>
      </c>
      <c r="C1231" s="1" t="n">
        <v>45571</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22412-2021</t>
        </is>
      </c>
      <c r="B1232" s="1" t="n">
        <v>44326</v>
      </c>
      <c r="C1232" s="1" t="n">
        <v>45571</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22708-2021</t>
        </is>
      </c>
      <c r="B1233" s="1" t="n">
        <v>44327</v>
      </c>
      <c r="C1233" s="1" t="n">
        <v>45571</v>
      </c>
      <c r="D1233" t="inlineStr">
        <is>
          <t>STOCKHOLMS LÄN</t>
        </is>
      </c>
      <c r="E1233" t="inlineStr">
        <is>
          <t>VÄRMDÖ</t>
        </is>
      </c>
      <c r="F1233" t="inlineStr">
        <is>
          <t>Övriga Aktiebolag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23123-2021</t>
        </is>
      </c>
      <c r="B1234" s="1" t="n">
        <v>44330</v>
      </c>
      <c r="C1234" s="1" t="n">
        <v>45571</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23096-2021</t>
        </is>
      </c>
      <c r="B1235" s="1" t="n">
        <v>44330</v>
      </c>
      <c r="C1235" s="1" t="n">
        <v>45571</v>
      </c>
      <c r="D1235" t="inlineStr">
        <is>
          <t>STOCKHOLMS LÄN</t>
        </is>
      </c>
      <c r="E1235" t="inlineStr">
        <is>
          <t>NORRTÄLJE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23122-2021</t>
        </is>
      </c>
      <c r="B1236" s="1" t="n">
        <v>44330</v>
      </c>
      <c r="C1236" s="1" t="n">
        <v>45571</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23152-2021</t>
        </is>
      </c>
      <c r="B1237" s="1" t="n">
        <v>44332</v>
      </c>
      <c r="C1237" s="1" t="n">
        <v>45571</v>
      </c>
      <c r="D1237" t="inlineStr">
        <is>
          <t>STOCKHOLMS LÄN</t>
        </is>
      </c>
      <c r="E1237" t="inlineStr">
        <is>
          <t>NYKVARN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23339-2021</t>
        </is>
      </c>
      <c r="B1238" s="1" t="n">
        <v>44333</v>
      </c>
      <c r="C1238" s="1" t="n">
        <v>45571</v>
      </c>
      <c r="D1238" t="inlineStr">
        <is>
          <t>STOCKHOLMS LÄN</t>
        </is>
      </c>
      <c r="E1238" t="inlineStr">
        <is>
          <t>NYNÄSHAMN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23453-2021</t>
        </is>
      </c>
      <c r="B1239" s="1" t="n">
        <v>44333</v>
      </c>
      <c r="C1239" s="1" t="n">
        <v>45571</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24082-2021</t>
        </is>
      </c>
      <c r="B1240" s="1" t="n">
        <v>44336</v>
      </c>
      <c r="C1240" s="1" t="n">
        <v>45571</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24221-2021</t>
        </is>
      </c>
      <c r="B1241" s="1" t="n">
        <v>44336</v>
      </c>
      <c r="C1241" s="1" t="n">
        <v>45571</v>
      </c>
      <c r="D1241" t="inlineStr">
        <is>
          <t>STOCKHOLMS LÄN</t>
        </is>
      </c>
      <c r="E1241" t="inlineStr">
        <is>
          <t>UPPLANDS VÄSBY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24308-2021</t>
        </is>
      </c>
      <c r="B1242" s="1" t="n">
        <v>44336</v>
      </c>
      <c r="C1242" s="1" t="n">
        <v>45571</v>
      </c>
      <c r="D1242" t="inlineStr">
        <is>
          <t>STOCKHOLMS LÄN</t>
        </is>
      </c>
      <c r="E1242" t="inlineStr">
        <is>
          <t>UPPLANDS-BRO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24805-2021</t>
        </is>
      </c>
      <c r="B1243" s="1" t="n">
        <v>44340</v>
      </c>
      <c r="C1243" s="1" t="n">
        <v>45571</v>
      </c>
      <c r="D1243" t="inlineStr">
        <is>
          <t>STOCKHOLMS LÄN</t>
        </is>
      </c>
      <c r="E1243" t="inlineStr">
        <is>
          <t>NYNÄSHAMN</t>
        </is>
      </c>
      <c r="F1243" t="inlineStr">
        <is>
          <t>Kommuner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24994-2021</t>
        </is>
      </c>
      <c r="B1244" s="1" t="n">
        <v>44341</v>
      </c>
      <c r="C1244" s="1" t="n">
        <v>45571</v>
      </c>
      <c r="D1244" t="inlineStr">
        <is>
          <t>STOCKHOLMS LÄN</t>
        </is>
      </c>
      <c r="E1244" t="inlineStr">
        <is>
          <t>VALLENTUNA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25334-2021</t>
        </is>
      </c>
      <c r="B1245" s="1" t="n">
        <v>44342</v>
      </c>
      <c r="C1245" s="1" t="n">
        <v>45571</v>
      </c>
      <c r="D1245" t="inlineStr">
        <is>
          <t>STOCKHOLMS LÄN</t>
        </is>
      </c>
      <c r="E1245" t="inlineStr">
        <is>
          <t>NYNÄSHAMN</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25463-2021</t>
        </is>
      </c>
      <c r="B1246" s="1" t="n">
        <v>44342</v>
      </c>
      <c r="C1246" s="1" t="n">
        <v>45571</v>
      </c>
      <c r="D1246" t="inlineStr">
        <is>
          <t>STOCKHOLMS LÄN</t>
        </is>
      </c>
      <c r="E1246" t="inlineStr">
        <is>
          <t>NORRTÄLJE</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25871-2021</t>
        </is>
      </c>
      <c r="B1247" s="1" t="n">
        <v>44344</v>
      </c>
      <c r="C1247" s="1" t="n">
        <v>45571</v>
      </c>
      <c r="D1247" t="inlineStr">
        <is>
          <t>STOCKHOLMS LÄN</t>
        </is>
      </c>
      <c r="E1247" t="inlineStr">
        <is>
          <t>SÖDERTÄLJE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25873-2021</t>
        </is>
      </c>
      <c r="B1248" s="1" t="n">
        <v>44344</v>
      </c>
      <c r="C1248" s="1" t="n">
        <v>45571</v>
      </c>
      <c r="D1248" t="inlineStr">
        <is>
          <t>STOCKHOLMS LÄN</t>
        </is>
      </c>
      <c r="E1248" t="inlineStr">
        <is>
          <t>SÖDERTÄLJE</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26757-2021</t>
        </is>
      </c>
      <c r="B1249" s="1" t="n">
        <v>44349</v>
      </c>
      <c r="C1249" s="1" t="n">
        <v>45571</v>
      </c>
      <c r="D1249" t="inlineStr">
        <is>
          <t>STOCKHOLMS LÄN</t>
        </is>
      </c>
      <c r="E1249" t="inlineStr">
        <is>
          <t>NYNÄSHAMN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26750-2021</t>
        </is>
      </c>
      <c r="B1250" s="1" t="n">
        <v>44349</v>
      </c>
      <c r="C1250" s="1" t="n">
        <v>45571</v>
      </c>
      <c r="D1250" t="inlineStr">
        <is>
          <t>STOCKHOLMS LÄN</t>
        </is>
      </c>
      <c r="E1250" t="inlineStr">
        <is>
          <t>NYNÄSHAMN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26767-2021</t>
        </is>
      </c>
      <c r="B1251" s="1" t="n">
        <v>44349</v>
      </c>
      <c r="C1251" s="1" t="n">
        <v>45571</v>
      </c>
      <c r="D1251" t="inlineStr">
        <is>
          <t>STOCKHOLMS LÄN</t>
        </is>
      </c>
      <c r="E1251" t="inlineStr">
        <is>
          <t>NYNÄSHAMN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27217-2021</t>
        </is>
      </c>
      <c r="B1252" s="1" t="n">
        <v>44350</v>
      </c>
      <c r="C1252" s="1" t="n">
        <v>45571</v>
      </c>
      <c r="D1252" t="inlineStr">
        <is>
          <t>STOCKHOLMS LÄN</t>
        </is>
      </c>
      <c r="E1252" t="inlineStr">
        <is>
          <t>NORRTÄLJE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27214-2021</t>
        </is>
      </c>
      <c r="B1253" s="1" t="n">
        <v>44350</v>
      </c>
      <c r="C1253" s="1" t="n">
        <v>45571</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27706-2021</t>
        </is>
      </c>
      <c r="B1254" s="1" t="n">
        <v>44354</v>
      </c>
      <c r="C1254" s="1" t="n">
        <v>45571</v>
      </c>
      <c r="D1254" t="inlineStr">
        <is>
          <t>STOCKHOLMS LÄN</t>
        </is>
      </c>
      <c r="E1254" t="inlineStr">
        <is>
          <t>SÖDERTÄLJE</t>
        </is>
      </c>
      <c r="F1254" t="inlineStr">
        <is>
          <t>Sveaskog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27715-2021</t>
        </is>
      </c>
      <c r="B1255" s="1" t="n">
        <v>44354</v>
      </c>
      <c r="C1255" s="1" t="n">
        <v>45571</v>
      </c>
      <c r="D1255" t="inlineStr">
        <is>
          <t>STOCKHOLMS LÄN</t>
        </is>
      </c>
      <c r="E1255" t="inlineStr">
        <is>
          <t>SÖDERTÄLJE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27747-2021</t>
        </is>
      </c>
      <c r="B1256" s="1" t="n">
        <v>44354</v>
      </c>
      <c r="C1256" s="1" t="n">
        <v>45571</v>
      </c>
      <c r="D1256" t="inlineStr">
        <is>
          <t>STOCKHOLMS LÄN</t>
        </is>
      </c>
      <c r="E1256" t="inlineStr">
        <is>
          <t>SÖDERTÄLJE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27739-2021</t>
        </is>
      </c>
      <c r="B1257" s="1" t="n">
        <v>44354</v>
      </c>
      <c r="C1257" s="1" t="n">
        <v>45571</v>
      </c>
      <c r="D1257" t="inlineStr">
        <is>
          <t>STOCKHOLMS LÄN</t>
        </is>
      </c>
      <c r="E1257" t="inlineStr">
        <is>
          <t>SÖDERTÄLJE</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27750-2021</t>
        </is>
      </c>
      <c r="B1258" s="1" t="n">
        <v>44354</v>
      </c>
      <c r="C1258" s="1" t="n">
        <v>45571</v>
      </c>
      <c r="D1258" t="inlineStr">
        <is>
          <t>STOCKHOLMS LÄN</t>
        </is>
      </c>
      <c r="E1258" t="inlineStr">
        <is>
          <t>SÖDERTÄLJE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27769-2021</t>
        </is>
      </c>
      <c r="B1259" s="1" t="n">
        <v>44354</v>
      </c>
      <c r="C1259" s="1" t="n">
        <v>45571</v>
      </c>
      <c r="D1259" t="inlineStr">
        <is>
          <t>STOCKHOLMS LÄN</t>
        </is>
      </c>
      <c r="E1259" t="inlineStr">
        <is>
          <t>SÖDERTÄLJE</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27740-2021</t>
        </is>
      </c>
      <c r="B1260" s="1" t="n">
        <v>44354</v>
      </c>
      <c r="C1260" s="1" t="n">
        <v>45571</v>
      </c>
      <c r="D1260" t="inlineStr">
        <is>
          <t>STOCKHOLMS LÄN</t>
        </is>
      </c>
      <c r="E1260" t="inlineStr">
        <is>
          <t>SÖDERTÄLJE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27753-2021</t>
        </is>
      </c>
      <c r="B1261" s="1" t="n">
        <v>44354</v>
      </c>
      <c r="C1261" s="1" t="n">
        <v>45571</v>
      </c>
      <c r="D1261" t="inlineStr">
        <is>
          <t>STOCKHOLMS LÄN</t>
        </is>
      </c>
      <c r="E1261" t="inlineStr">
        <is>
          <t>SÖDERTÄLJE</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27771-2021</t>
        </is>
      </c>
      <c r="B1262" s="1" t="n">
        <v>44354</v>
      </c>
      <c r="C1262" s="1" t="n">
        <v>45571</v>
      </c>
      <c r="D1262" t="inlineStr">
        <is>
          <t>STOCKHOLMS LÄN</t>
        </is>
      </c>
      <c r="E1262" t="inlineStr">
        <is>
          <t>SÖDERTÄLJE</t>
        </is>
      </c>
      <c r="F1262" t="inlineStr">
        <is>
          <t>Sveaskog</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27805-2021</t>
        </is>
      </c>
      <c r="B1263" s="1" t="n">
        <v>44354</v>
      </c>
      <c r="C1263" s="1" t="n">
        <v>45571</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27791-2021</t>
        </is>
      </c>
      <c r="B1264" s="1" t="n">
        <v>44354</v>
      </c>
      <c r="C1264" s="1" t="n">
        <v>45571</v>
      </c>
      <c r="D1264" t="inlineStr">
        <is>
          <t>STOCKHOLMS LÄN</t>
        </is>
      </c>
      <c r="E1264" t="inlineStr">
        <is>
          <t>BOTKYRKA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28136-2021</t>
        </is>
      </c>
      <c r="B1265" s="1" t="n">
        <v>44355</v>
      </c>
      <c r="C1265" s="1" t="n">
        <v>45571</v>
      </c>
      <c r="D1265" t="inlineStr">
        <is>
          <t>STOCKHOLMS LÄN</t>
        </is>
      </c>
      <c r="E1265" t="inlineStr">
        <is>
          <t>SÖDERTÄLJE</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28838-2021</t>
        </is>
      </c>
      <c r="B1266" s="1" t="n">
        <v>44357</v>
      </c>
      <c r="C1266" s="1" t="n">
        <v>45571</v>
      </c>
      <c r="D1266" t="inlineStr">
        <is>
          <t>STOCKHOLMS LÄN</t>
        </is>
      </c>
      <c r="E1266" t="inlineStr">
        <is>
          <t>SALEM</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28843-2021</t>
        </is>
      </c>
      <c r="B1267" s="1" t="n">
        <v>44357</v>
      </c>
      <c r="C1267" s="1" t="n">
        <v>45571</v>
      </c>
      <c r="D1267" t="inlineStr">
        <is>
          <t>STOCKHOLMS LÄN</t>
        </is>
      </c>
      <c r="E1267" t="inlineStr">
        <is>
          <t>SALEM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29357-2021</t>
        </is>
      </c>
      <c r="B1268" s="1" t="n">
        <v>44361</v>
      </c>
      <c r="C1268" s="1" t="n">
        <v>45571</v>
      </c>
      <c r="D1268" t="inlineStr">
        <is>
          <t>STOCKHOLMS LÄN</t>
        </is>
      </c>
      <c r="E1268" t="inlineStr">
        <is>
          <t>NORRTÄLJE</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29533-2021</t>
        </is>
      </c>
      <c r="B1269" s="1" t="n">
        <v>44361</v>
      </c>
      <c r="C1269" s="1" t="n">
        <v>45571</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29680-2021</t>
        </is>
      </c>
      <c r="B1270" s="1" t="n">
        <v>44362</v>
      </c>
      <c r="C1270" s="1" t="n">
        <v>45571</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29684-2021</t>
        </is>
      </c>
      <c r="B1271" s="1" t="n">
        <v>44362</v>
      </c>
      <c r="C1271" s="1" t="n">
        <v>45571</v>
      </c>
      <c r="D1271" t="inlineStr">
        <is>
          <t>STOCKHOLMS LÄN</t>
        </is>
      </c>
      <c r="E1271" t="inlineStr">
        <is>
          <t>NORRTÄLJE</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30129-2021</t>
        </is>
      </c>
      <c r="B1272" s="1" t="n">
        <v>44363</v>
      </c>
      <c r="C1272" s="1" t="n">
        <v>45571</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30913-2021</t>
        </is>
      </c>
      <c r="B1273" s="1" t="n">
        <v>44365</v>
      </c>
      <c r="C1273" s="1" t="n">
        <v>45571</v>
      </c>
      <c r="D1273" t="inlineStr">
        <is>
          <t>STOCKHOLMS LÄN</t>
        </is>
      </c>
      <c r="E1273" t="inlineStr">
        <is>
          <t>VALLENTUNA</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31370-2021</t>
        </is>
      </c>
      <c r="B1274" s="1" t="n">
        <v>44368</v>
      </c>
      <c r="C1274" s="1" t="n">
        <v>45571</v>
      </c>
      <c r="D1274" t="inlineStr">
        <is>
          <t>STOCKHOLMS LÄN</t>
        </is>
      </c>
      <c r="E1274" t="inlineStr">
        <is>
          <t>UPPLANDS-BRO</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31075-2021</t>
        </is>
      </c>
      <c r="B1275" s="1" t="n">
        <v>44368</v>
      </c>
      <c r="C1275" s="1" t="n">
        <v>45571</v>
      </c>
      <c r="D1275" t="inlineStr">
        <is>
          <t>STOCKHOLMS LÄN</t>
        </is>
      </c>
      <c r="E1275" t="inlineStr">
        <is>
          <t>ÖSTERÅKER</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31688-2021</t>
        </is>
      </c>
      <c r="B1276" s="1" t="n">
        <v>44369</v>
      </c>
      <c r="C1276" s="1" t="n">
        <v>45571</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31780-2021</t>
        </is>
      </c>
      <c r="B1277" s="1" t="n">
        <v>44369</v>
      </c>
      <c r="C1277" s="1" t="n">
        <v>45571</v>
      </c>
      <c r="D1277" t="inlineStr">
        <is>
          <t>STOCKHOLMS LÄN</t>
        </is>
      </c>
      <c r="E1277" t="inlineStr">
        <is>
          <t>HANINGE</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32002-2021</t>
        </is>
      </c>
      <c r="B1278" s="1" t="n">
        <v>44370</v>
      </c>
      <c r="C1278" s="1" t="n">
        <v>45571</v>
      </c>
      <c r="D1278" t="inlineStr">
        <is>
          <t>STOCKHOLMS LÄN</t>
        </is>
      </c>
      <c r="E1278" t="inlineStr">
        <is>
          <t>NORRTÄLJE</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32051-2021</t>
        </is>
      </c>
      <c r="B1279" s="1" t="n">
        <v>44370</v>
      </c>
      <c r="C1279" s="1" t="n">
        <v>45571</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32055-2021</t>
        </is>
      </c>
      <c r="B1280" s="1" t="n">
        <v>44370</v>
      </c>
      <c r="C1280" s="1" t="n">
        <v>45571</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32561-2021</t>
        </is>
      </c>
      <c r="B1281" s="1" t="n">
        <v>44375</v>
      </c>
      <c r="C1281" s="1" t="n">
        <v>45571</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32857-2021</t>
        </is>
      </c>
      <c r="B1282" s="1" t="n">
        <v>44375</v>
      </c>
      <c r="C1282" s="1" t="n">
        <v>45571</v>
      </c>
      <c r="D1282" t="inlineStr">
        <is>
          <t>STOCKHOLMS LÄN</t>
        </is>
      </c>
      <c r="E1282" t="inlineStr">
        <is>
          <t>NORRTÄLJE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33016-2021</t>
        </is>
      </c>
      <c r="B1283" s="1" t="n">
        <v>44376</v>
      </c>
      <c r="C1283" s="1" t="n">
        <v>45571</v>
      </c>
      <c r="D1283" t="inlineStr">
        <is>
          <t>STOCKHOLMS LÄN</t>
        </is>
      </c>
      <c r="E1283" t="inlineStr">
        <is>
          <t>BOTKYRKA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33053-2021</t>
        </is>
      </c>
      <c r="B1284" s="1" t="n">
        <v>44376</v>
      </c>
      <c r="C1284" s="1" t="n">
        <v>45571</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33046-2021</t>
        </is>
      </c>
      <c r="B1285" s="1" t="n">
        <v>44376</v>
      </c>
      <c r="C1285" s="1" t="n">
        <v>45571</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33015-2021</t>
        </is>
      </c>
      <c r="B1286" s="1" t="n">
        <v>44376</v>
      </c>
      <c r="C1286" s="1" t="n">
        <v>45571</v>
      </c>
      <c r="D1286" t="inlineStr">
        <is>
          <t>STOCKHOLMS LÄN</t>
        </is>
      </c>
      <c r="E1286" t="inlineStr">
        <is>
          <t>BOTKYRKA</t>
        </is>
      </c>
      <c r="G1286" t="n">
        <v>48.7</v>
      </c>
      <c r="H1286" t="n">
        <v>0</v>
      </c>
      <c r="I1286" t="n">
        <v>0</v>
      </c>
      <c r="J1286" t="n">
        <v>0</v>
      </c>
      <c r="K1286" t="n">
        <v>0</v>
      </c>
      <c r="L1286" t="n">
        <v>0</v>
      </c>
      <c r="M1286" t="n">
        <v>0</v>
      </c>
      <c r="N1286" t="n">
        <v>0</v>
      </c>
      <c r="O1286" t="n">
        <v>0</v>
      </c>
      <c r="P1286" t="n">
        <v>0</v>
      </c>
      <c r="Q1286" t="n">
        <v>0</v>
      </c>
      <c r="R1286" s="2" t="inlineStr"/>
    </row>
    <row r="1287" ht="15" customHeight="1">
      <c r="A1287" t="inlineStr">
        <is>
          <t>A 33040-2021</t>
        </is>
      </c>
      <c r="B1287" s="1" t="n">
        <v>44376</v>
      </c>
      <c r="C1287" s="1" t="n">
        <v>45571</v>
      </c>
      <c r="D1287" t="inlineStr">
        <is>
          <t>STOCKHOLMS LÄN</t>
        </is>
      </c>
      <c r="E1287" t="inlineStr">
        <is>
          <t>NORRTÄLJE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33246-2021</t>
        </is>
      </c>
      <c r="B1288" s="1" t="n">
        <v>44377</v>
      </c>
      <c r="C1288" s="1" t="n">
        <v>45571</v>
      </c>
      <c r="D1288" t="inlineStr">
        <is>
          <t>STOCKHOLMS LÄN</t>
        </is>
      </c>
      <c r="E1288" t="inlineStr">
        <is>
          <t>SALEM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33262-2021</t>
        </is>
      </c>
      <c r="B1289" s="1" t="n">
        <v>44377</v>
      </c>
      <c r="C1289" s="1" t="n">
        <v>45571</v>
      </c>
      <c r="D1289" t="inlineStr">
        <is>
          <t>STOCKHOLMS LÄN</t>
        </is>
      </c>
      <c r="E1289" t="inlineStr">
        <is>
          <t>SALEM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33729-2021</t>
        </is>
      </c>
      <c r="B1290" s="1" t="n">
        <v>44378</v>
      </c>
      <c r="C1290" s="1" t="n">
        <v>45571</v>
      </c>
      <c r="D1290" t="inlineStr">
        <is>
          <t>STOCKHOLMS LÄN</t>
        </is>
      </c>
      <c r="E1290" t="inlineStr">
        <is>
          <t>SALEM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34520-2021</t>
        </is>
      </c>
      <c r="B1291" s="1" t="n">
        <v>44379</v>
      </c>
      <c r="C1291" s="1" t="n">
        <v>45571</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34432-2021</t>
        </is>
      </c>
      <c r="B1292" s="1" t="n">
        <v>44380</v>
      </c>
      <c r="C1292" s="1" t="n">
        <v>45571</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34431-2021</t>
        </is>
      </c>
      <c r="B1293" s="1" t="n">
        <v>44380</v>
      </c>
      <c r="C1293" s="1" t="n">
        <v>45571</v>
      </c>
      <c r="D1293" t="inlineStr">
        <is>
          <t>STOCKHOLMS LÄN</t>
        </is>
      </c>
      <c r="E1293" t="inlineStr">
        <is>
          <t>NORRTÄLJE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34436-2021</t>
        </is>
      </c>
      <c r="B1294" s="1" t="n">
        <v>44380</v>
      </c>
      <c r="C1294" s="1" t="n">
        <v>45571</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34449-2021</t>
        </is>
      </c>
      <c r="B1295" s="1" t="n">
        <v>44381</v>
      </c>
      <c r="C1295" s="1" t="n">
        <v>45571</v>
      </c>
      <c r="D1295" t="inlineStr">
        <is>
          <t>STOCKHOLMS LÄN</t>
        </is>
      </c>
      <c r="E1295" t="inlineStr">
        <is>
          <t>SÖDERTÄLJE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34452-2021</t>
        </is>
      </c>
      <c r="B1296" s="1" t="n">
        <v>44381</v>
      </c>
      <c r="C1296" s="1" t="n">
        <v>45571</v>
      </c>
      <c r="D1296" t="inlineStr">
        <is>
          <t>STOCKHOLMS LÄN</t>
        </is>
      </c>
      <c r="E1296" t="inlineStr">
        <is>
          <t>VALLENTUNA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34450-2021</t>
        </is>
      </c>
      <c r="B1297" s="1" t="n">
        <v>44381</v>
      </c>
      <c r="C1297" s="1" t="n">
        <v>45571</v>
      </c>
      <c r="D1297" t="inlineStr">
        <is>
          <t>STOCKHOLMS LÄN</t>
        </is>
      </c>
      <c r="E1297" t="inlineStr">
        <is>
          <t>SÖDERTÄLJE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34731-2021</t>
        </is>
      </c>
      <c r="B1298" s="1" t="n">
        <v>44382</v>
      </c>
      <c r="C1298" s="1" t="n">
        <v>45571</v>
      </c>
      <c r="D1298" t="inlineStr">
        <is>
          <t>STOCKHOLMS LÄN</t>
        </is>
      </c>
      <c r="E1298" t="inlineStr">
        <is>
          <t>NORRTÄLJE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34792-2021</t>
        </is>
      </c>
      <c r="B1299" s="1" t="n">
        <v>44383</v>
      </c>
      <c r="C1299" s="1" t="n">
        <v>45571</v>
      </c>
      <c r="D1299" t="inlineStr">
        <is>
          <t>STOCKHOLMS LÄN</t>
        </is>
      </c>
      <c r="E1299" t="inlineStr">
        <is>
          <t>NORRTÄLJE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34818-2021</t>
        </is>
      </c>
      <c r="B1300" s="1" t="n">
        <v>44383</v>
      </c>
      <c r="C1300" s="1" t="n">
        <v>45571</v>
      </c>
      <c r="D1300" t="inlineStr">
        <is>
          <t>STOCKHOLMS LÄN</t>
        </is>
      </c>
      <c r="E1300" t="inlineStr">
        <is>
          <t>NYNÄSHAMN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35492-2021</t>
        </is>
      </c>
      <c r="B1301" s="1" t="n">
        <v>44385</v>
      </c>
      <c r="C1301" s="1" t="n">
        <v>45571</v>
      </c>
      <c r="D1301" t="inlineStr">
        <is>
          <t>STOCKHOLMS LÄN</t>
        </is>
      </c>
      <c r="E1301" t="inlineStr">
        <is>
          <t>BOTKYRKA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35953-2021</t>
        </is>
      </c>
      <c r="B1302" s="1" t="n">
        <v>44385</v>
      </c>
      <c r="C1302" s="1" t="n">
        <v>45571</v>
      </c>
      <c r="D1302" t="inlineStr">
        <is>
          <t>STOCKHOLMS LÄN</t>
        </is>
      </c>
      <c r="E1302" t="inlineStr">
        <is>
          <t>SIGTUNA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36097-2021</t>
        </is>
      </c>
      <c r="B1303" s="1" t="n">
        <v>44389</v>
      </c>
      <c r="C1303" s="1" t="n">
        <v>45571</v>
      </c>
      <c r="D1303" t="inlineStr">
        <is>
          <t>STOCKHOLMS LÄN</t>
        </is>
      </c>
      <c r="E1303" t="inlineStr">
        <is>
          <t>BOTKYRKA</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36111-2021</t>
        </is>
      </c>
      <c r="B1304" s="1" t="n">
        <v>44389</v>
      </c>
      <c r="C1304" s="1" t="n">
        <v>45571</v>
      </c>
      <c r="D1304" t="inlineStr">
        <is>
          <t>STOCKHOLMS LÄN</t>
        </is>
      </c>
      <c r="E1304" t="inlineStr">
        <is>
          <t>UPPLANDS-BRO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36246-2021</t>
        </is>
      </c>
      <c r="B1305" s="1" t="n">
        <v>44390</v>
      </c>
      <c r="C1305" s="1" t="n">
        <v>45571</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36565-2021</t>
        </is>
      </c>
      <c r="B1306" s="1" t="n">
        <v>44391</v>
      </c>
      <c r="C1306" s="1" t="n">
        <v>45571</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37085-2021</t>
        </is>
      </c>
      <c r="B1307" s="1" t="n">
        <v>44395</v>
      </c>
      <c r="C1307" s="1" t="n">
        <v>45571</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37095-2021</t>
        </is>
      </c>
      <c r="B1308" s="1" t="n">
        <v>44395</v>
      </c>
      <c r="C1308" s="1" t="n">
        <v>45571</v>
      </c>
      <c r="D1308" t="inlineStr">
        <is>
          <t>STOCKHOLMS LÄN</t>
        </is>
      </c>
      <c r="E1308" t="inlineStr">
        <is>
          <t>BOTKYRKA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37097-2021</t>
        </is>
      </c>
      <c r="B1309" s="1" t="n">
        <v>44395</v>
      </c>
      <c r="C1309" s="1" t="n">
        <v>45571</v>
      </c>
      <c r="D1309" t="inlineStr">
        <is>
          <t>STOCKHOLMS LÄN</t>
        </is>
      </c>
      <c r="E1309" t="inlineStr">
        <is>
          <t>NYNÄSHAMN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37098-2021</t>
        </is>
      </c>
      <c r="B1310" s="1" t="n">
        <v>44396</v>
      </c>
      <c r="C1310" s="1" t="n">
        <v>45571</v>
      </c>
      <c r="D1310" t="inlineStr">
        <is>
          <t>STOCKHOLMS LÄN</t>
        </is>
      </c>
      <c r="E1310" t="inlineStr">
        <is>
          <t>NYNÄSHAMN</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37103-2021</t>
        </is>
      </c>
      <c r="B1311" s="1" t="n">
        <v>44396</v>
      </c>
      <c r="C1311" s="1" t="n">
        <v>45571</v>
      </c>
      <c r="D1311" t="inlineStr">
        <is>
          <t>STOCKHOLMS LÄN</t>
        </is>
      </c>
      <c r="E1311" t="inlineStr">
        <is>
          <t>NYNÄSHAMN</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37101-2021</t>
        </is>
      </c>
      <c r="B1312" s="1" t="n">
        <v>44396</v>
      </c>
      <c r="C1312" s="1" t="n">
        <v>45571</v>
      </c>
      <c r="D1312" t="inlineStr">
        <is>
          <t>STOCKHOLMS LÄN</t>
        </is>
      </c>
      <c r="E1312" t="inlineStr">
        <is>
          <t>NYNÄSHAMN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37099-2021</t>
        </is>
      </c>
      <c r="B1313" s="1" t="n">
        <v>44396</v>
      </c>
      <c r="C1313" s="1" t="n">
        <v>45571</v>
      </c>
      <c r="D1313" t="inlineStr">
        <is>
          <t>STOCKHOLMS LÄN</t>
        </is>
      </c>
      <c r="E1313" t="inlineStr">
        <is>
          <t>NYNÄSHAMN</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37104-2021</t>
        </is>
      </c>
      <c r="B1314" s="1" t="n">
        <v>44396</v>
      </c>
      <c r="C1314" s="1" t="n">
        <v>45571</v>
      </c>
      <c r="D1314" t="inlineStr">
        <is>
          <t>STOCKHOLMS LÄN</t>
        </is>
      </c>
      <c r="E1314" t="inlineStr">
        <is>
          <t>NYNÄSHAMN</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37335-2021</t>
        </is>
      </c>
      <c r="B1315" s="1" t="n">
        <v>44397</v>
      </c>
      <c r="C1315" s="1" t="n">
        <v>45571</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37344-2021</t>
        </is>
      </c>
      <c r="B1316" s="1" t="n">
        <v>44397</v>
      </c>
      <c r="C1316" s="1" t="n">
        <v>45571</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37421-2021</t>
        </is>
      </c>
      <c r="B1317" s="1" t="n">
        <v>44397</v>
      </c>
      <c r="C1317" s="1" t="n">
        <v>45571</v>
      </c>
      <c r="D1317" t="inlineStr">
        <is>
          <t>STOCKHOLMS LÄN</t>
        </is>
      </c>
      <c r="E1317" t="inlineStr">
        <is>
          <t>UPPLANDS-BRO</t>
        </is>
      </c>
      <c r="F1317" t="inlineStr">
        <is>
          <t>Allmännings- och besparingsskogar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37415-2021</t>
        </is>
      </c>
      <c r="B1318" s="1" t="n">
        <v>44397</v>
      </c>
      <c r="C1318" s="1" t="n">
        <v>45571</v>
      </c>
      <c r="D1318" t="inlineStr">
        <is>
          <t>STOCKHOLMS LÄN</t>
        </is>
      </c>
      <c r="E1318" t="inlineStr">
        <is>
          <t>NORRTÄLJE</t>
        </is>
      </c>
      <c r="F1318" t="inlineStr">
        <is>
          <t>Övriga Aktiebolag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37444-2021</t>
        </is>
      </c>
      <c r="B1319" s="1" t="n">
        <v>44398</v>
      </c>
      <c r="C1319" s="1" t="n">
        <v>45571</v>
      </c>
      <c r="D1319" t="inlineStr">
        <is>
          <t>STOCKHOLMS LÄN</t>
        </is>
      </c>
      <c r="E1319" t="inlineStr">
        <is>
          <t>NORRTÄLJE</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37462-2021</t>
        </is>
      </c>
      <c r="B1320" s="1" t="n">
        <v>44398</v>
      </c>
      <c r="C1320" s="1" t="n">
        <v>45571</v>
      </c>
      <c r="D1320" t="inlineStr">
        <is>
          <t>STOCKHOLMS LÄN</t>
        </is>
      </c>
      <c r="E1320" t="inlineStr">
        <is>
          <t>NORRTÄLJE</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37422-2021</t>
        </is>
      </c>
      <c r="B1321" s="1" t="n">
        <v>44398</v>
      </c>
      <c r="C1321" s="1" t="n">
        <v>45571</v>
      </c>
      <c r="D1321" t="inlineStr">
        <is>
          <t>STOCKHOLMS LÄN</t>
        </is>
      </c>
      <c r="E1321" t="inlineStr">
        <is>
          <t>NYNÄSHAMN</t>
        </is>
      </c>
      <c r="G1321" t="n">
        <v>25.8</v>
      </c>
      <c r="H1321" t="n">
        <v>0</v>
      </c>
      <c r="I1321" t="n">
        <v>0</v>
      </c>
      <c r="J1321" t="n">
        <v>0</v>
      </c>
      <c r="K1321" t="n">
        <v>0</v>
      </c>
      <c r="L1321" t="n">
        <v>0</v>
      </c>
      <c r="M1321" t="n">
        <v>0</v>
      </c>
      <c r="N1321" t="n">
        <v>0</v>
      </c>
      <c r="O1321" t="n">
        <v>0</v>
      </c>
      <c r="P1321" t="n">
        <v>0</v>
      </c>
      <c r="Q1321" t="n">
        <v>0</v>
      </c>
      <c r="R1321" s="2" t="inlineStr"/>
    </row>
    <row r="1322" ht="15" customHeight="1">
      <c r="A1322" t="inlineStr">
        <is>
          <t>A 37530-2021</t>
        </is>
      </c>
      <c r="B1322" s="1" t="n">
        <v>44399</v>
      </c>
      <c r="C1322" s="1" t="n">
        <v>45571</v>
      </c>
      <c r="D1322" t="inlineStr">
        <is>
          <t>STOCKHOLMS LÄN</t>
        </is>
      </c>
      <c r="E1322" t="inlineStr">
        <is>
          <t>NORRTÄLJE</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37522-2021</t>
        </is>
      </c>
      <c r="B1323" s="1" t="n">
        <v>44399</v>
      </c>
      <c r="C1323" s="1" t="n">
        <v>45571</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37525-2021</t>
        </is>
      </c>
      <c r="B1324" s="1" t="n">
        <v>44399</v>
      </c>
      <c r="C1324" s="1" t="n">
        <v>45571</v>
      </c>
      <c r="D1324" t="inlineStr">
        <is>
          <t>STOCKHOLMS LÄN</t>
        </is>
      </c>
      <c r="E1324" t="inlineStr">
        <is>
          <t>NORRTÄLJE</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37676-2021</t>
        </is>
      </c>
      <c r="B1325" s="1" t="n">
        <v>44400</v>
      </c>
      <c r="C1325" s="1" t="n">
        <v>45571</v>
      </c>
      <c r="D1325" t="inlineStr">
        <is>
          <t>STOCKHOLMS LÄN</t>
        </is>
      </c>
      <c r="E1325" t="inlineStr">
        <is>
          <t>SÖDERTÄLJE</t>
        </is>
      </c>
      <c r="F1325" t="inlineStr">
        <is>
          <t>Sveaskog</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37657-2021</t>
        </is>
      </c>
      <c r="B1326" s="1" t="n">
        <v>44400</v>
      </c>
      <c r="C1326" s="1" t="n">
        <v>45571</v>
      </c>
      <c r="D1326" t="inlineStr">
        <is>
          <t>STOCKHOLMS LÄN</t>
        </is>
      </c>
      <c r="E1326" t="inlineStr">
        <is>
          <t>VALLENTUNA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37681-2021</t>
        </is>
      </c>
      <c r="B1327" s="1" t="n">
        <v>44400</v>
      </c>
      <c r="C1327" s="1" t="n">
        <v>45571</v>
      </c>
      <c r="D1327" t="inlineStr">
        <is>
          <t>STOCKHOLMS LÄN</t>
        </is>
      </c>
      <c r="E1327" t="inlineStr">
        <is>
          <t>SÖDERTÄLJE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37712-2021</t>
        </is>
      </c>
      <c r="B1328" s="1" t="n">
        <v>44400</v>
      </c>
      <c r="C1328" s="1" t="n">
        <v>45571</v>
      </c>
      <c r="D1328" t="inlineStr">
        <is>
          <t>STOCKHOLMS LÄN</t>
        </is>
      </c>
      <c r="E1328" t="inlineStr">
        <is>
          <t>NORRTÄLJE</t>
        </is>
      </c>
      <c r="G1328" t="n">
        <v>22.9</v>
      </c>
      <c r="H1328" t="n">
        <v>0</v>
      </c>
      <c r="I1328" t="n">
        <v>0</v>
      </c>
      <c r="J1328" t="n">
        <v>0</v>
      </c>
      <c r="K1328" t="n">
        <v>0</v>
      </c>
      <c r="L1328" t="n">
        <v>0</v>
      </c>
      <c r="M1328" t="n">
        <v>0</v>
      </c>
      <c r="N1328" t="n">
        <v>0</v>
      </c>
      <c r="O1328" t="n">
        <v>0</v>
      </c>
      <c r="P1328" t="n">
        <v>0</v>
      </c>
      <c r="Q1328" t="n">
        <v>0</v>
      </c>
      <c r="R1328" s="2" t="inlineStr"/>
    </row>
    <row r="1329" ht="15" customHeight="1">
      <c r="A1329" t="inlineStr">
        <is>
          <t>A 37967-2021</t>
        </is>
      </c>
      <c r="B1329" s="1" t="n">
        <v>44403</v>
      </c>
      <c r="C1329" s="1" t="n">
        <v>45571</v>
      </c>
      <c r="D1329" t="inlineStr">
        <is>
          <t>STOCKHOLMS LÄN</t>
        </is>
      </c>
      <c r="E1329" t="inlineStr">
        <is>
          <t>NYKVARN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37859-2021</t>
        </is>
      </c>
      <c r="B1330" s="1" t="n">
        <v>44403</v>
      </c>
      <c r="C1330" s="1" t="n">
        <v>45571</v>
      </c>
      <c r="D1330" t="inlineStr">
        <is>
          <t>STOCKHOLMS LÄN</t>
        </is>
      </c>
      <c r="E1330" t="inlineStr">
        <is>
          <t>NORRTÄLJE</t>
        </is>
      </c>
      <c r="F1330" t="inlineStr">
        <is>
          <t>Holmen skog AB</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38595-2021</t>
        </is>
      </c>
      <c r="B1331" s="1" t="n">
        <v>44407</v>
      </c>
      <c r="C1331" s="1" t="n">
        <v>45571</v>
      </c>
      <c r="D1331" t="inlineStr">
        <is>
          <t>STOCKHOLMS LÄN</t>
        </is>
      </c>
      <c r="E1331" t="inlineStr">
        <is>
          <t>HANINGE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38771-2021</t>
        </is>
      </c>
      <c r="B1332" s="1" t="n">
        <v>44410</v>
      </c>
      <c r="C1332" s="1" t="n">
        <v>45571</v>
      </c>
      <c r="D1332" t="inlineStr">
        <is>
          <t>STOCKHOLMS LÄN</t>
        </is>
      </c>
      <c r="E1332" t="inlineStr">
        <is>
          <t>NYNÄSHAMN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38752-2021</t>
        </is>
      </c>
      <c r="B1333" s="1" t="n">
        <v>44410</v>
      </c>
      <c r="C1333" s="1" t="n">
        <v>45571</v>
      </c>
      <c r="D1333" t="inlineStr">
        <is>
          <t>STOCKHOLMS LÄN</t>
        </is>
      </c>
      <c r="E1333" t="inlineStr">
        <is>
          <t>NYNÄSHAMN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39133-2021</t>
        </is>
      </c>
      <c r="B1334" s="1" t="n">
        <v>44412</v>
      </c>
      <c r="C1334" s="1" t="n">
        <v>45571</v>
      </c>
      <c r="D1334" t="inlineStr">
        <is>
          <t>STOCKHOLMS LÄN</t>
        </is>
      </c>
      <c r="E1334" t="inlineStr">
        <is>
          <t>SÖDERTÄLJE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39073-2021</t>
        </is>
      </c>
      <c r="B1335" s="1" t="n">
        <v>44412</v>
      </c>
      <c r="C1335" s="1" t="n">
        <v>45571</v>
      </c>
      <c r="D1335" t="inlineStr">
        <is>
          <t>STOCKHOLMS LÄN</t>
        </is>
      </c>
      <c r="E1335" t="inlineStr">
        <is>
          <t>VÄRMDÖ</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39109-2021</t>
        </is>
      </c>
      <c r="B1336" s="1" t="n">
        <v>44412</v>
      </c>
      <c r="C1336" s="1" t="n">
        <v>45571</v>
      </c>
      <c r="D1336" t="inlineStr">
        <is>
          <t>STOCKHOLMS LÄN</t>
        </is>
      </c>
      <c r="E1336" t="inlineStr">
        <is>
          <t>VÄRMDÖ</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39082-2021</t>
        </is>
      </c>
      <c r="B1337" s="1" t="n">
        <v>44412</v>
      </c>
      <c r="C1337" s="1" t="n">
        <v>45571</v>
      </c>
      <c r="D1337" t="inlineStr">
        <is>
          <t>STOCKHOLMS LÄN</t>
        </is>
      </c>
      <c r="E1337" t="inlineStr">
        <is>
          <t>VÄRMDÖ</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39070-2021</t>
        </is>
      </c>
      <c r="B1338" s="1" t="n">
        <v>44412</v>
      </c>
      <c r="C1338" s="1" t="n">
        <v>45571</v>
      </c>
      <c r="D1338" t="inlineStr">
        <is>
          <t>STOCKHOLMS LÄN</t>
        </is>
      </c>
      <c r="E1338" t="inlineStr">
        <is>
          <t>VÄRMDÖ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39157-2021</t>
        </is>
      </c>
      <c r="B1339" s="1" t="n">
        <v>44412</v>
      </c>
      <c r="C1339" s="1" t="n">
        <v>45571</v>
      </c>
      <c r="D1339" t="inlineStr">
        <is>
          <t>STOCKHOLMS LÄN</t>
        </is>
      </c>
      <c r="E1339" t="inlineStr">
        <is>
          <t>NORRTÄLJE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39496-2021</t>
        </is>
      </c>
      <c r="B1340" s="1" t="n">
        <v>44414</v>
      </c>
      <c r="C1340" s="1" t="n">
        <v>45571</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39497-2021</t>
        </is>
      </c>
      <c r="B1341" s="1" t="n">
        <v>44414</v>
      </c>
      <c r="C1341" s="1" t="n">
        <v>45571</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39651-2021</t>
        </is>
      </c>
      <c r="B1342" s="1" t="n">
        <v>44417</v>
      </c>
      <c r="C1342" s="1" t="n">
        <v>45571</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40158-2021</t>
        </is>
      </c>
      <c r="B1343" s="1" t="n">
        <v>44418</v>
      </c>
      <c r="C1343" s="1" t="n">
        <v>45571</v>
      </c>
      <c r="D1343" t="inlineStr">
        <is>
          <t>STOCKHOLMS LÄN</t>
        </is>
      </c>
      <c r="E1343" t="inlineStr">
        <is>
          <t>NYNÄSHAMN</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40183-2021</t>
        </is>
      </c>
      <c r="B1344" s="1" t="n">
        <v>44418</v>
      </c>
      <c r="C1344" s="1" t="n">
        <v>45571</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40143-2021</t>
        </is>
      </c>
      <c r="B1345" s="1" t="n">
        <v>44418</v>
      </c>
      <c r="C1345" s="1" t="n">
        <v>45571</v>
      </c>
      <c r="D1345" t="inlineStr">
        <is>
          <t>STOCKHOLMS LÄN</t>
        </is>
      </c>
      <c r="E1345" t="inlineStr">
        <is>
          <t>NYNÄSHAMN</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40425-2021</t>
        </is>
      </c>
      <c r="B1346" s="1" t="n">
        <v>44419</v>
      </c>
      <c r="C1346" s="1" t="n">
        <v>45571</v>
      </c>
      <c r="D1346" t="inlineStr">
        <is>
          <t>STOCKHOLMS LÄN</t>
        </is>
      </c>
      <c r="E1346" t="inlineStr">
        <is>
          <t>NORRTÄLJE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40514-2021</t>
        </is>
      </c>
      <c r="B1347" s="1" t="n">
        <v>44420</v>
      </c>
      <c r="C1347" s="1" t="n">
        <v>45571</v>
      </c>
      <c r="D1347" t="inlineStr">
        <is>
          <t>STOCKHOLMS LÄN</t>
        </is>
      </c>
      <c r="E1347" t="inlineStr">
        <is>
          <t>UPPLANDS-BRO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40542-2021</t>
        </is>
      </c>
      <c r="B1348" s="1" t="n">
        <v>44420</v>
      </c>
      <c r="C1348" s="1" t="n">
        <v>45571</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40510-2021</t>
        </is>
      </c>
      <c r="B1349" s="1" t="n">
        <v>44420</v>
      </c>
      <c r="C1349" s="1" t="n">
        <v>45571</v>
      </c>
      <c r="D1349" t="inlineStr">
        <is>
          <t>STOCKHOLMS LÄN</t>
        </is>
      </c>
      <c r="E1349" t="inlineStr">
        <is>
          <t>UPPLANDS-BRO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40546-2021</t>
        </is>
      </c>
      <c r="B1350" s="1" t="n">
        <v>44420</v>
      </c>
      <c r="C1350" s="1" t="n">
        <v>45571</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40751-2021</t>
        </is>
      </c>
      <c r="B1351" s="1" t="n">
        <v>44420</v>
      </c>
      <c r="C1351" s="1" t="n">
        <v>45571</v>
      </c>
      <c r="D1351" t="inlineStr">
        <is>
          <t>STOCKHOLMS LÄN</t>
        </is>
      </c>
      <c r="E1351" t="inlineStr">
        <is>
          <t>SÖDERTÄLJE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40753-2021</t>
        </is>
      </c>
      <c r="B1352" s="1" t="n">
        <v>44420</v>
      </c>
      <c r="C1352" s="1" t="n">
        <v>45571</v>
      </c>
      <c r="D1352" t="inlineStr">
        <is>
          <t>STOCKHOLMS LÄN</t>
        </is>
      </c>
      <c r="E1352" t="inlineStr">
        <is>
          <t>NYNÄSHAMN</t>
        </is>
      </c>
      <c r="F1352" t="inlineStr">
        <is>
          <t>Kommuner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41378-2021</t>
        </is>
      </c>
      <c r="B1353" s="1" t="n">
        <v>44424</v>
      </c>
      <c r="C1353" s="1" t="n">
        <v>45571</v>
      </c>
      <c r="D1353" t="inlineStr">
        <is>
          <t>STOCKHOLMS LÄN</t>
        </is>
      </c>
      <c r="E1353" t="inlineStr">
        <is>
          <t>NYNÄSHAMN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41281-2021</t>
        </is>
      </c>
      <c r="B1354" s="1" t="n">
        <v>44424</v>
      </c>
      <c r="C1354" s="1" t="n">
        <v>45571</v>
      </c>
      <c r="D1354" t="inlineStr">
        <is>
          <t>STOCKHOLMS LÄN</t>
        </is>
      </c>
      <c r="E1354" t="inlineStr">
        <is>
          <t>NYNÄSHAMN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41465-2021</t>
        </is>
      </c>
      <c r="B1355" s="1" t="n">
        <v>44424</v>
      </c>
      <c r="C1355" s="1" t="n">
        <v>45571</v>
      </c>
      <c r="D1355" t="inlineStr">
        <is>
          <t>STOCKHOLMS LÄN</t>
        </is>
      </c>
      <c r="E1355" t="inlineStr">
        <is>
          <t>UPPLANDS-BRO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41463-2021</t>
        </is>
      </c>
      <c r="B1356" s="1" t="n">
        <v>44424</v>
      </c>
      <c r="C1356" s="1" t="n">
        <v>45571</v>
      </c>
      <c r="D1356" t="inlineStr">
        <is>
          <t>STOCKHOLMS LÄN</t>
        </is>
      </c>
      <c r="E1356" t="inlineStr">
        <is>
          <t>UPPLANDS-BRO</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41595-2021</t>
        </is>
      </c>
      <c r="B1357" s="1" t="n">
        <v>44425</v>
      </c>
      <c r="C1357" s="1" t="n">
        <v>45571</v>
      </c>
      <c r="D1357" t="inlineStr">
        <is>
          <t>STOCKHOLMS LÄN</t>
        </is>
      </c>
      <c r="E1357" t="inlineStr">
        <is>
          <t>NORRTÄLJE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41823-2021</t>
        </is>
      </c>
      <c r="B1358" s="1" t="n">
        <v>44425</v>
      </c>
      <c r="C1358" s="1" t="n">
        <v>45571</v>
      </c>
      <c r="D1358" t="inlineStr">
        <is>
          <t>STOCKHOLMS LÄN</t>
        </is>
      </c>
      <c r="E1358" t="inlineStr">
        <is>
          <t>NORRTÄLJE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41809-2021</t>
        </is>
      </c>
      <c r="B1359" s="1" t="n">
        <v>44425</v>
      </c>
      <c r="C1359" s="1" t="n">
        <v>45571</v>
      </c>
      <c r="D1359" t="inlineStr">
        <is>
          <t>STOCKHOLMS LÄN</t>
        </is>
      </c>
      <c r="E1359" t="inlineStr">
        <is>
          <t>HANINGE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41822-2021</t>
        </is>
      </c>
      <c r="B1360" s="1" t="n">
        <v>44425</v>
      </c>
      <c r="C1360" s="1" t="n">
        <v>45571</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42396-2021</t>
        </is>
      </c>
      <c r="B1361" s="1" t="n">
        <v>44427</v>
      </c>
      <c r="C1361" s="1" t="n">
        <v>45571</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42624-2021</t>
        </is>
      </c>
      <c r="B1362" s="1" t="n">
        <v>44428</v>
      </c>
      <c r="C1362" s="1" t="n">
        <v>45571</v>
      </c>
      <c r="D1362" t="inlineStr">
        <is>
          <t>STOCKHOLMS LÄN</t>
        </is>
      </c>
      <c r="E1362" t="inlineStr">
        <is>
          <t>VALLENTUNA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43478-2021</t>
        </is>
      </c>
      <c r="B1363" s="1" t="n">
        <v>44432</v>
      </c>
      <c r="C1363" s="1" t="n">
        <v>45571</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43709-2021</t>
        </is>
      </c>
      <c r="B1364" s="1" t="n">
        <v>44433</v>
      </c>
      <c r="C1364" s="1" t="n">
        <v>45571</v>
      </c>
      <c r="D1364" t="inlineStr">
        <is>
          <t>STOCKHOLMS LÄN</t>
        </is>
      </c>
      <c r="E1364" t="inlineStr">
        <is>
          <t>HANINGE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43717-2021</t>
        </is>
      </c>
      <c r="B1365" s="1" t="n">
        <v>44433</v>
      </c>
      <c r="C1365" s="1" t="n">
        <v>45571</v>
      </c>
      <c r="D1365" t="inlineStr">
        <is>
          <t>STOCKHOLMS LÄN</t>
        </is>
      </c>
      <c r="E1365" t="inlineStr">
        <is>
          <t>BOTKYRKA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43893-2021</t>
        </is>
      </c>
      <c r="B1366" s="1" t="n">
        <v>44434</v>
      </c>
      <c r="C1366" s="1" t="n">
        <v>45571</v>
      </c>
      <c r="D1366" t="inlineStr">
        <is>
          <t>STOCKHOLMS LÄN</t>
        </is>
      </c>
      <c r="E1366" t="inlineStr">
        <is>
          <t>SALEM</t>
        </is>
      </c>
      <c r="F1366" t="inlineStr">
        <is>
          <t>Kommuner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43922-2021</t>
        </is>
      </c>
      <c r="B1367" s="1" t="n">
        <v>44434</v>
      </c>
      <c r="C1367" s="1" t="n">
        <v>45571</v>
      </c>
      <c r="D1367" t="inlineStr">
        <is>
          <t>STOCKHOLMS LÄN</t>
        </is>
      </c>
      <c r="E1367" t="inlineStr">
        <is>
          <t>NYKVARN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44346-2021</t>
        </is>
      </c>
      <c r="B1368" s="1" t="n">
        <v>44434</v>
      </c>
      <c r="C1368" s="1" t="n">
        <v>45571</v>
      </c>
      <c r="D1368" t="inlineStr">
        <is>
          <t>STOCKHOLMS LÄN</t>
        </is>
      </c>
      <c r="E1368" t="inlineStr">
        <is>
          <t>VALLENTUNA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44274-2021</t>
        </is>
      </c>
      <c r="B1369" s="1" t="n">
        <v>44435</v>
      </c>
      <c r="C1369" s="1" t="n">
        <v>45571</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44650-2021</t>
        </is>
      </c>
      <c r="B1370" s="1" t="n">
        <v>44437</v>
      </c>
      <c r="C1370" s="1" t="n">
        <v>45571</v>
      </c>
      <c r="D1370" t="inlineStr">
        <is>
          <t>STOCKHOLMS LÄN</t>
        </is>
      </c>
      <c r="E1370" t="inlineStr">
        <is>
          <t>SÖDERTÄLJE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44947-2021</t>
        </is>
      </c>
      <c r="B1371" s="1" t="n">
        <v>44438</v>
      </c>
      <c r="C1371" s="1" t="n">
        <v>45571</v>
      </c>
      <c r="D1371" t="inlineStr">
        <is>
          <t>STOCKHOLMS LÄN</t>
        </is>
      </c>
      <c r="E1371" t="inlineStr">
        <is>
          <t>NYKVARN</t>
        </is>
      </c>
      <c r="F1371" t="inlineStr">
        <is>
          <t>Allmännings- och besparingsskogar</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45395-2021</t>
        </is>
      </c>
      <c r="B1372" s="1" t="n">
        <v>44440</v>
      </c>
      <c r="C1372" s="1" t="n">
        <v>45571</v>
      </c>
      <c r="D1372" t="inlineStr">
        <is>
          <t>STOCKHOLMS LÄN</t>
        </is>
      </c>
      <c r="E1372" t="inlineStr">
        <is>
          <t>HANINGE</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45572-2021</t>
        </is>
      </c>
      <c r="B1373" s="1" t="n">
        <v>44440</v>
      </c>
      <c r="C1373" s="1" t="n">
        <v>45571</v>
      </c>
      <c r="D1373" t="inlineStr">
        <is>
          <t>STOCKHOLMS LÄN</t>
        </is>
      </c>
      <c r="E1373" t="inlineStr">
        <is>
          <t>VÄRMDÖ</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45674-2021</t>
        </is>
      </c>
      <c r="B1374" s="1" t="n">
        <v>44441</v>
      </c>
      <c r="C1374" s="1" t="n">
        <v>45571</v>
      </c>
      <c r="D1374" t="inlineStr">
        <is>
          <t>STOCKHOLMS LÄN</t>
        </is>
      </c>
      <c r="E1374" t="inlineStr">
        <is>
          <t>SÖDERTÄLJE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46244-2021</t>
        </is>
      </c>
      <c r="B1375" s="1" t="n">
        <v>44442</v>
      </c>
      <c r="C1375" s="1" t="n">
        <v>45571</v>
      </c>
      <c r="D1375" t="inlineStr">
        <is>
          <t>STOCKHOLMS LÄN</t>
        </is>
      </c>
      <c r="E1375" t="inlineStr">
        <is>
          <t>UPPLANDS-BRO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46688-2021</t>
        </is>
      </c>
      <c r="B1376" s="1" t="n">
        <v>44445</v>
      </c>
      <c r="C1376" s="1" t="n">
        <v>45571</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46671-2021</t>
        </is>
      </c>
      <c r="B1377" s="1" t="n">
        <v>44445</v>
      </c>
      <c r="C1377" s="1" t="n">
        <v>45571</v>
      </c>
      <c r="D1377" t="inlineStr">
        <is>
          <t>STOCKHOLMS LÄN</t>
        </is>
      </c>
      <c r="E1377" t="inlineStr">
        <is>
          <t>SÖDERTÄLJE</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46935-2021</t>
        </is>
      </c>
      <c r="B1378" s="1" t="n">
        <v>44446</v>
      </c>
      <c r="C1378" s="1" t="n">
        <v>45571</v>
      </c>
      <c r="D1378" t="inlineStr">
        <is>
          <t>STOCKHOLMS LÄN</t>
        </is>
      </c>
      <c r="E1378" t="inlineStr">
        <is>
          <t>VALLENTUNA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46924-2021</t>
        </is>
      </c>
      <c r="B1379" s="1" t="n">
        <v>44446</v>
      </c>
      <c r="C1379" s="1" t="n">
        <v>45571</v>
      </c>
      <c r="D1379" t="inlineStr">
        <is>
          <t>STOCKHOLMS LÄN</t>
        </is>
      </c>
      <c r="E1379" t="inlineStr">
        <is>
          <t>VALLENTUNA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47344-2021</t>
        </is>
      </c>
      <c r="B1380" s="1" t="n">
        <v>44447</v>
      </c>
      <c r="C1380" s="1" t="n">
        <v>45571</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47349-2021</t>
        </is>
      </c>
      <c r="B1381" s="1" t="n">
        <v>44447</v>
      </c>
      <c r="C1381" s="1" t="n">
        <v>45571</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47691-2021</t>
        </is>
      </c>
      <c r="B1382" s="1" t="n">
        <v>44448</v>
      </c>
      <c r="C1382" s="1" t="n">
        <v>45571</v>
      </c>
      <c r="D1382" t="inlineStr">
        <is>
          <t>STOCKHOLMS LÄN</t>
        </is>
      </c>
      <c r="E1382" t="inlineStr">
        <is>
          <t>NORRTÄLJE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48068-2021</t>
        </is>
      </c>
      <c r="B1383" s="1" t="n">
        <v>44449</v>
      </c>
      <c r="C1383" s="1" t="n">
        <v>45571</v>
      </c>
      <c r="D1383" t="inlineStr">
        <is>
          <t>STOCKHOLMS LÄN</t>
        </is>
      </c>
      <c r="E1383" t="inlineStr">
        <is>
          <t>VALLENTUNA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48078-2021</t>
        </is>
      </c>
      <c r="B1384" s="1" t="n">
        <v>44449</v>
      </c>
      <c r="C1384" s="1" t="n">
        <v>45571</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48384-2021</t>
        </is>
      </c>
      <c r="B1385" s="1" t="n">
        <v>44451</v>
      </c>
      <c r="C1385" s="1" t="n">
        <v>45571</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48387-2021</t>
        </is>
      </c>
      <c r="B1386" s="1" t="n">
        <v>44451</v>
      </c>
      <c r="C1386" s="1" t="n">
        <v>45571</v>
      </c>
      <c r="D1386" t="inlineStr">
        <is>
          <t>STOCKHOLMS LÄN</t>
        </is>
      </c>
      <c r="E1386" t="inlineStr">
        <is>
          <t>SÖDERTÄLJE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48798-2021</t>
        </is>
      </c>
      <c r="B1387" s="1" t="n">
        <v>44452</v>
      </c>
      <c r="C1387" s="1" t="n">
        <v>45571</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48932-2021</t>
        </is>
      </c>
      <c r="B1388" s="1" t="n">
        <v>44453</v>
      </c>
      <c r="C1388" s="1" t="n">
        <v>45571</v>
      </c>
      <c r="D1388" t="inlineStr">
        <is>
          <t>STOCKHOLMS LÄN</t>
        </is>
      </c>
      <c r="E1388" t="inlineStr">
        <is>
          <t>NORRTÄLJE</t>
        </is>
      </c>
      <c r="G1388" t="n">
        <v>11.2</v>
      </c>
      <c r="H1388" t="n">
        <v>0</v>
      </c>
      <c r="I1388" t="n">
        <v>0</v>
      </c>
      <c r="J1388" t="n">
        <v>0</v>
      </c>
      <c r="K1388" t="n">
        <v>0</v>
      </c>
      <c r="L1388" t="n">
        <v>0</v>
      </c>
      <c r="M1388" t="n">
        <v>0</v>
      </c>
      <c r="N1388" t="n">
        <v>0</v>
      </c>
      <c r="O1388" t="n">
        <v>0</v>
      </c>
      <c r="P1388" t="n">
        <v>0</v>
      </c>
      <c r="Q1388" t="n">
        <v>0</v>
      </c>
      <c r="R1388" s="2" t="inlineStr"/>
    </row>
    <row r="1389" ht="15" customHeight="1">
      <c r="A1389" t="inlineStr">
        <is>
          <t>A 49123-2021</t>
        </is>
      </c>
      <c r="B1389" s="1" t="n">
        <v>44453</v>
      </c>
      <c r="C1389" s="1" t="n">
        <v>45571</v>
      </c>
      <c r="D1389" t="inlineStr">
        <is>
          <t>STOCKHOLMS LÄN</t>
        </is>
      </c>
      <c r="E1389" t="inlineStr">
        <is>
          <t>VÄRMDÖ</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49136-2021</t>
        </is>
      </c>
      <c r="B1390" s="1" t="n">
        <v>44454</v>
      </c>
      <c r="C1390" s="1" t="n">
        <v>45571</v>
      </c>
      <c r="D1390" t="inlineStr">
        <is>
          <t>STOCKHOLMS LÄN</t>
        </is>
      </c>
      <c r="E1390" t="inlineStr">
        <is>
          <t>SÖDERTÄLJE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49113-2021</t>
        </is>
      </c>
      <c r="B1391" s="1" t="n">
        <v>44453</v>
      </c>
      <c r="C1391" s="1" t="n">
        <v>45571</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49622-2021</t>
        </is>
      </c>
      <c r="B1392" s="1" t="n">
        <v>44455</v>
      </c>
      <c r="C1392" s="1" t="n">
        <v>45571</v>
      </c>
      <c r="D1392" t="inlineStr">
        <is>
          <t>STOCKHOLMS LÄN</t>
        </is>
      </c>
      <c r="E1392" t="inlineStr">
        <is>
          <t>UPPLANDS-BRO</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49657-2021</t>
        </is>
      </c>
      <c r="B1393" s="1" t="n">
        <v>44455</v>
      </c>
      <c r="C1393" s="1" t="n">
        <v>45571</v>
      </c>
      <c r="D1393" t="inlineStr">
        <is>
          <t>STOCKHOLMS LÄN</t>
        </is>
      </c>
      <c r="E1393" t="inlineStr">
        <is>
          <t>NYNÄSHAMN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50059-2021</t>
        </is>
      </c>
      <c r="B1394" s="1" t="n">
        <v>44455</v>
      </c>
      <c r="C1394" s="1" t="n">
        <v>45571</v>
      </c>
      <c r="D1394" t="inlineStr">
        <is>
          <t>STOCKHOLMS LÄN</t>
        </is>
      </c>
      <c r="E1394" t="inlineStr">
        <is>
          <t>SÖDERTÄLJE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50038-2021</t>
        </is>
      </c>
      <c r="B1395" s="1" t="n">
        <v>44456</v>
      </c>
      <c r="C1395" s="1" t="n">
        <v>45571</v>
      </c>
      <c r="D1395" t="inlineStr">
        <is>
          <t>STOCKHOLMS LÄN</t>
        </is>
      </c>
      <c r="E1395" t="inlineStr">
        <is>
          <t>NORRTÄLJE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50117-2021</t>
        </is>
      </c>
      <c r="B1396" s="1" t="n">
        <v>44456</v>
      </c>
      <c r="C1396" s="1" t="n">
        <v>45571</v>
      </c>
      <c r="D1396" t="inlineStr">
        <is>
          <t>STOCKHOLMS LÄN</t>
        </is>
      </c>
      <c r="E1396" t="inlineStr">
        <is>
          <t>SÖDERTÄLJE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50108-2021</t>
        </is>
      </c>
      <c r="B1397" s="1" t="n">
        <v>44456</v>
      </c>
      <c r="C1397" s="1" t="n">
        <v>45571</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50252-2021</t>
        </is>
      </c>
      <c r="B1398" s="1" t="n">
        <v>44458</v>
      </c>
      <c r="C1398" s="1" t="n">
        <v>45571</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50602-2021</t>
        </is>
      </c>
      <c r="B1399" s="1" t="n">
        <v>44459</v>
      </c>
      <c r="C1399" s="1" t="n">
        <v>45571</v>
      </c>
      <c r="D1399" t="inlineStr">
        <is>
          <t>STOCKHOLMS LÄN</t>
        </is>
      </c>
      <c r="E1399" t="inlineStr">
        <is>
          <t>NORRTÄLJE</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50692-2021</t>
        </is>
      </c>
      <c r="B1400" s="1" t="n">
        <v>44460</v>
      </c>
      <c r="C1400" s="1" t="n">
        <v>45571</v>
      </c>
      <c r="D1400" t="inlineStr">
        <is>
          <t>STOCKHOLMS LÄN</t>
        </is>
      </c>
      <c r="E1400" t="inlineStr">
        <is>
          <t>SALEM</t>
        </is>
      </c>
      <c r="F1400" t="inlineStr">
        <is>
          <t>Kommuner</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50903-2021</t>
        </is>
      </c>
      <c r="B1401" s="1" t="n">
        <v>44460</v>
      </c>
      <c r="C1401" s="1" t="n">
        <v>45571</v>
      </c>
      <c r="D1401" t="inlineStr">
        <is>
          <t>STOCKHOLMS LÄN</t>
        </is>
      </c>
      <c r="E1401" t="inlineStr">
        <is>
          <t>HANINGE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51482-2021</t>
        </is>
      </c>
      <c r="B1402" s="1" t="n">
        <v>44460</v>
      </c>
      <c r="C1402" s="1" t="n">
        <v>45571</v>
      </c>
      <c r="D1402" t="inlineStr">
        <is>
          <t>STOCKHOLMS LÄN</t>
        </is>
      </c>
      <c r="E1402" t="inlineStr">
        <is>
          <t>SÖDERTÄLJE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51454-2021</t>
        </is>
      </c>
      <c r="B1403" s="1" t="n">
        <v>44460</v>
      </c>
      <c r="C1403" s="1" t="n">
        <v>45571</v>
      </c>
      <c r="D1403" t="inlineStr">
        <is>
          <t>STOCKHOLMS LÄN</t>
        </is>
      </c>
      <c r="E1403" t="inlineStr">
        <is>
          <t>SÖDERTÄLJE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51279-2021</t>
        </is>
      </c>
      <c r="B1404" s="1" t="n">
        <v>44461</v>
      </c>
      <c r="C1404" s="1" t="n">
        <v>45571</v>
      </c>
      <c r="D1404" t="inlineStr">
        <is>
          <t>STOCKHOLMS LÄN</t>
        </is>
      </c>
      <c r="E1404" t="inlineStr">
        <is>
          <t>NORRTÄLJE</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51315-2021</t>
        </is>
      </c>
      <c r="B1405" s="1" t="n">
        <v>44461</v>
      </c>
      <c r="C1405" s="1" t="n">
        <v>45571</v>
      </c>
      <c r="D1405" t="inlineStr">
        <is>
          <t>STOCKHOLMS LÄN</t>
        </is>
      </c>
      <c r="E1405" t="inlineStr">
        <is>
          <t>NORRTÄLJE</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51787-2021</t>
        </is>
      </c>
      <c r="B1406" s="1" t="n">
        <v>44462</v>
      </c>
      <c r="C1406" s="1" t="n">
        <v>45571</v>
      </c>
      <c r="D1406" t="inlineStr">
        <is>
          <t>STOCKHOLMS LÄN</t>
        </is>
      </c>
      <c r="E1406" t="inlineStr">
        <is>
          <t>NYKVARN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52214-2021</t>
        </is>
      </c>
      <c r="B1407" s="1" t="n">
        <v>44462</v>
      </c>
      <c r="C1407" s="1" t="n">
        <v>45571</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52090-2021</t>
        </is>
      </c>
      <c r="B1408" s="1" t="n">
        <v>44463</v>
      </c>
      <c r="C1408" s="1" t="n">
        <v>45571</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52035-2021</t>
        </is>
      </c>
      <c r="B1409" s="1" t="n">
        <v>44463</v>
      </c>
      <c r="C1409" s="1" t="n">
        <v>45571</v>
      </c>
      <c r="D1409" t="inlineStr">
        <is>
          <t>STOCKHOLMS LÄN</t>
        </is>
      </c>
      <c r="E1409" t="inlineStr">
        <is>
          <t>BOTKYRKA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52377-2021</t>
        </is>
      </c>
      <c r="B1410" s="1" t="n">
        <v>44465</v>
      </c>
      <c r="C1410" s="1" t="n">
        <v>45571</v>
      </c>
      <c r="D1410" t="inlineStr">
        <is>
          <t>STOCKHOLMS LÄN</t>
        </is>
      </c>
      <c r="E1410" t="inlineStr">
        <is>
          <t>VALLENTUNA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52449-2021</t>
        </is>
      </c>
      <c r="B1411" s="1" t="n">
        <v>44466</v>
      </c>
      <c r="C1411" s="1" t="n">
        <v>45571</v>
      </c>
      <c r="D1411" t="inlineStr">
        <is>
          <t>STOCKHOLMS LÄN</t>
        </is>
      </c>
      <c r="E1411" t="inlineStr">
        <is>
          <t>NORRTÄLJE</t>
        </is>
      </c>
      <c r="F1411" t="inlineStr">
        <is>
          <t>Holmen skog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53042-2021</t>
        </is>
      </c>
      <c r="B1412" s="1" t="n">
        <v>44467</v>
      </c>
      <c r="C1412" s="1" t="n">
        <v>45571</v>
      </c>
      <c r="D1412" t="inlineStr">
        <is>
          <t>STOCKHOLMS LÄN</t>
        </is>
      </c>
      <c r="E1412" t="inlineStr">
        <is>
          <t>SÖDERTÄLJE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53090-2021</t>
        </is>
      </c>
      <c r="B1413" s="1" t="n">
        <v>44467</v>
      </c>
      <c r="C1413" s="1" t="n">
        <v>45571</v>
      </c>
      <c r="D1413" t="inlineStr">
        <is>
          <t>STOCKHOLMS LÄN</t>
        </is>
      </c>
      <c r="E1413" t="inlineStr">
        <is>
          <t>SIGTUNA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53462-2021</t>
        </is>
      </c>
      <c r="B1414" s="1" t="n">
        <v>44468</v>
      </c>
      <c r="C1414" s="1" t="n">
        <v>45571</v>
      </c>
      <c r="D1414" t="inlineStr">
        <is>
          <t>STOCKHOLMS LÄN</t>
        </is>
      </c>
      <c r="E1414" t="inlineStr">
        <is>
          <t>SIGTUNA</t>
        </is>
      </c>
      <c r="F1414" t="inlineStr">
        <is>
          <t>Kyrkan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54276-2021</t>
        </is>
      </c>
      <c r="B1415" s="1" t="n">
        <v>44470</v>
      </c>
      <c r="C1415" s="1" t="n">
        <v>45571</v>
      </c>
      <c r="D1415" t="inlineStr">
        <is>
          <t>STOCKHOLMS LÄN</t>
        </is>
      </c>
      <c r="E1415" t="inlineStr">
        <is>
          <t>NORRTÄLJE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54273-2021</t>
        </is>
      </c>
      <c r="B1416" s="1" t="n">
        <v>44470</v>
      </c>
      <c r="C1416" s="1" t="n">
        <v>45571</v>
      </c>
      <c r="D1416" t="inlineStr">
        <is>
          <t>STOCKHOLMS LÄN</t>
        </is>
      </c>
      <c r="E1416" t="inlineStr">
        <is>
          <t>NORRTÄLJE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54272-2021</t>
        </is>
      </c>
      <c r="B1417" s="1" t="n">
        <v>44470</v>
      </c>
      <c r="C1417" s="1" t="n">
        <v>45571</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54396-2021</t>
        </is>
      </c>
      <c r="B1418" s="1" t="n">
        <v>44472</v>
      </c>
      <c r="C1418" s="1" t="n">
        <v>45571</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54418-2021</t>
        </is>
      </c>
      <c r="B1419" s="1" t="n">
        <v>44473</v>
      </c>
      <c r="C1419" s="1" t="n">
        <v>45571</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55058-2021</t>
        </is>
      </c>
      <c r="B1420" s="1" t="n">
        <v>44474</v>
      </c>
      <c r="C1420" s="1" t="n">
        <v>45571</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55112-2021</t>
        </is>
      </c>
      <c r="B1421" s="1" t="n">
        <v>44474</v>
      </c>
      <c r="C1421" s="1" t="n">
        <v>45571</v>
      </c>
      <c r="D1421" t="inlineStr">
        <is>
          <t>STOCKHOLMS LÄN</t>
        </is>
      </c>
      <c r="E1421" t="inlineStr">
        <is>
          <t>SIGTUNA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55861-2021</t>
        </is>
      </c>
      <c r="B1422" s="1" t="n">
        <v>44476</v>
      </c>
      <c r="C1422" s="1" t="n">
        <v>45571</v>
      </c>
      <c r="D1422" t="inlineStr">
        <is>
          <t>STOCKHOLMS LÄN</t>
        </is>
      </c>
      <c r="E1422" t="inlineStr">
        <is>
          <t>HANINGE</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55857-2021</t>
        </is>
      </c>
      <c r="B1423" s="1" t="n">
        <v>44476</v>
      </c>
      <c r="C1423" s="1" t="n">
        <v>45571</v>
      </c>
      <c r="D1423" t="inlineStr">
        <is>
          <t>STOCKHOLMS LÄN</t>
        </is>
      </c>
      <c r="E1423" t="inlineStr">
        <is>
          <t>HANINGE</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55853-2021</t>
        </is>
      </c>
      <c r="B1424" s="1" t="n">
        <v>44476</v>
      </c>
      <c r="C1424" s="1" t="n">
        <v>45571</v>
      </c>
      <c r="D1424" t="inlineStr">
        <is>
          <t>STOCKHOLMS LÄN</t>
        </is>
      </c>
      <c r="E1424" t="inlineStr">
        <is>
          <t>HANINGE</t>
        </is>
      </c>
      <c r="F1424" t="inlineStr">
        <is>
          <t>Kommuner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56219-2021</t>
        </is>
      </c>
      <c r="B1425" s="1" t="n">
        <v>44477</v>
      </c>
      <c r="C1425" s="1" t="n">
        <v>45571</v>
      </c>
      <c r="D1425" t="inlineStr">
        <is>
          <t>STOCKHOLMS LÄN</t>
        </is>
      </c>
      <c r="E1425" t="inlineStr">
        <is>
          <t>NORRTÄLJE</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56225-2021</t>
        </is>
      </c>
      <c r="B1426" s="1" t="n">
        <v>44478</v>
      </c>
      <c r="C1426" s="1" t="n">
        <v>45571</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56724-2021</t>
        </is>
      </c>
      <c r="B1427" s="1" t="n">
        <v>44480</v>
      </c>
      <c r="C1427" s="1" t="n">
        <v>45571</v>
      </c>
      <c r="D1427" t="inlineStr">
        <is>
          <t>STOCKHOLMS LÄN</t>
        </is>
      </c>
      <c r="E1427" t="inlineStr">
        <is>
          <t>SIGTUNA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56756-2021</t>
        </is>
      </c>
      <c r="B1428" s="1" t="n">
        <v>44481</v>
      </c>
      <c r="C1428" s="1" t="n">
        <v>45571</v>
      </c>
      <c r="D1428" t="inlineStr">
        <is>
          <t>STOCKHOLMS LÄN</t>
        </is>
      </c>
      <c r="E1428" t="inlineStr">
        <is>
          <t>UPPLANDS-BRO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56878-2021</t>
        </is>
      </c>
      <c r="B1429" s="1" t="n">
        <v>44481</v>
      </c>
      <c r="C1429" s="1" t="n">
        <v>45571</v>
      </c>
      <c r="D1429" t="inlineStr">
        <is>
          <t>STOCKHOLMS LÄN</t>
        </is>
      </c>
      <c r="E1429" t="inlineStr">
        <is>
          <t>NORRTÄLJE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56816-2021</t>
        </is>
      </c>
      <c r="B1430" s="1" t="n">
        <v>44481</v>
      </c>
      <c r="C1430" s="1" t="n">
        <v>45571</v>
      </c>
      <c r="D1430" t="inlineStr">
        <is>
          <t>STOCKHOLMS LÄN</t>
        </is>
      </c>
      <c r="E1430" t="inlineStr">
        <is>
          <t>BOTKYRKA</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57039-2021</t>
        </is>
      </c>
      <c r="B1431" s="1" t="n">
        <v>44482</v>
      </c>
      <c r="C1431" s="1" t="n">
        <v>45571</v>
      </c>
      <c r="D1431" t="inlineStr">
        <is>
          <t>STOCKHOLMS LÄN</t>
        </is>
      </c>
      <c r="E1431" t="inlineStr">
        <is>
          <t>SÖDERTÄLJE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57442-2021</t>
        </is>
      </c>
      <c r="B1432" s="1" t="n">
        <v>44483</v>
      </c>
      <c r="C1432" s="1" t="n">
        <v>45571</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57507-2021</t>
        </is>
      </c>
      <c r="B1433" s="1" t="n">
        <v>44483</v>
      </c>
      <c r="C1433" s="1" t="n">
        <v>45571</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57884-2021</t>
        </is>
      </c>
      <c r="B1434" s="1" t="n">
        <v>44485</v>
      </c>
      <c r="C1434" s="1" t="n">
        <v>45571</v>
      </c>
      <c r="D1434" t="inlineStr">
        <is>
          <t>STOCKHOLMS LÄN</t>
        </is>
      </c>
      <c r="E1434" t="inlineStr">
        <is>
          <t>SÖDERTÄLJE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57993-2021</t>
        </is>
      </c>
      <c r="B1435" s="1" t="n">
        <v>44487</v>
      </c>
      <c r="C1435" s="1" t="n">
        <v>45571</v>
      </c>
      <c r="D1435" t="inlineStr">
        <is>
          <t>STOCKHOLMS LÄN</t>
        </is>
      </c>
      <c r="E1435" t="inlineStr">
        <is>
          <t>UPPLANDS-BRO</t>
        </is>
      </c>
      <c r="F1435" t="inlineStr">
        <is>
          <t>Övriga statliga verk och myndigheter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58011-2021</t>
        </is>
      </c>
      <c r="B1436" s="1" t="n">
        <v>44487</v>
      </c>
      <c r="C1436" s="1" t="n">
        <v>45571</v>
      </c>
      <c r="D1436" t="inlineStr">
        <is>
          <t>STOCKHOLMS LÄN</t>
        </is>
      </c>
      <c r="E1436" t="inlineStr">
        <is>
          <t>UPPLANDS-BRO</t>
        </is>
      </c>
      <c r="F1436" t="inlineStr">
        <is>
          <t>Övriga statliga verk och myndigheter</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58669-2021</t>
        </is>
      </c>
      <c r="B1437" s="1" t="n">
        <v>44489</v>
      </c>
      <c r="C1437" s="1" t="n">
        <v>45571</v>
      </c>
      <c r="D1437" t="inlineStr">
        <is>
          <t>STOCKHOLMS LÄN</t>
        </is>
      </c>
      <c r="E1437" t="inlineStr">
        <is>
          <t>UPPLANDS-BRO</t>
        </is>
      </c>
      <c r="F1437" t="inlineStr">
        <is>
          <t>Övriga statliga verk och myndigheter</t>
        </is>
      </c>
      <c r="G1437" t="n">
        <v>20.7</v>
      </c>
      <c r="H1437" t="n">
        <v>0</v>
      </c>
      <c r="I1437" t="n">
        <v>0</v>
      </c>
      <c r="J1437" t="n">
        <v>0</v>
      </c>
      <c r="K1437" t="n">
        <v>0</v>
      </c>
      <c r="L1437" t="n">
        <v>0</v>
      </c>
      <c r="M1437" t="n">
        <v>0</v>
      </c>
      <c r="N1437" t="n">
        <v>0</v>
      </c>
      <c r="O1437" t="n">
        <v>0</v>
      </c>
      <c r="P1437" t="n">
        <v>0</v>
      </c>
      <c r="Q1437" t="n">
        <v>0</v>
      </c>
      <c r="R1437" s="2" t="inlineStr"/>
    </row>
    <row r="1438" ht="15" customHeight="1">
      <c r="A1438" t="inlineStr">
        <is>
          <t>A 58663-2021</t>
        </is>
      </c>
      <c r="B1438" s="1" t="n">
        <v>44489</v>
      </c>
      <c r="C1438" s="1" t="n">
        <v>45571</v>
      </c>
      <c r="D1438" t="inlineStr">
        <is>
          <t>STOCKHOLMS LÄN</t>
        </is>
      </c>
      <c r="E1438" t="inlineStr">
        <is>
          <t>UPPLANDS-BRO</t>
        </is>
      </c>
      <c r="F1438" t="inlineStr">
        <is>
          <t>Övriga statliga verk och myndigheter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58989-2021</t>
        </is>
      </c>
      <c r="B1439" s="1" t="n">
        <v>44490</v>
      </c>
      <c r="C1439" s="1" t="n">
        <v>45571</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58990-2021</t>
        </is>
      </c>
      <c r="B1440" s="1" t="n">
        <v>44490</v>
      </c>
      <c r="C1440" s="1" t="n">
        <v>45571</v>
      </c>
      <c r="D1440" t="inlineStr">
        <is>
          <t>STOCKHOLMS LÄN</t>
        </is>
      </c>
      <c r="E1440" t="inlineStr">
        <is>
          <t>NORRTÄLJE</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59235-2021</t>
        </is>
      </c>
      <c r="B1441" s="1" t="n">
        <v>44490</v>
      </c>
      <c r="C1441" s="1" t="n">
        <v>45571</v>
      </c>
      <c r="D1441" t="inlineStr">
        <is>
          <t>STOCKHOLMS LÄN</t>
        </is>
      </c>
      <c r="E1441" t="inlineStr">
        <is>
          <t>SÖDERTÄLJE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59732-2021</t>
        </is>
      </c>
      <c r="B1442" s="1" t="n">
        <v>44494</v>
      </c>
      <c r="C1442" s="1" t="n">
        <v>45571</v>
      </c>
      <c r="D1442" t="inlineStr">
        <is>
          <t>STOCKHOLMS LÄN</t>
        </is>
      </c>
      <c r="E1442" t="inlineStr">
        <is>
          <t>UPPLANDS-BRO</t>
        </is>
      </c>
      <c r="F1442" t="inlineStr">
        <is>
          <t>Övriga statliga verk och myndigheter</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59700-2021</t>
        </is>
      </c>
      <c r="B1443" s="1" t="n">
        <v>44494</v>
      </c>
      <c r="C1443" s="1" t="n">
        <v>45571</v>
      </c>
      <c r="D1443" t="inlineStr">
        <is>
          <t>STOCKHOLMS LÄN</t>
        </is>
      </c>
      <c r="E1443" t="inlineStr">
        <is>
          <t>UPPLANDS-BRO</t>
        </is>
      </c>
      <c r="F1443" t="inlineStr">
        <is>
          <t>Övriga statliga verk och myndigheter</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v>
      </c>
      <c r="C1444" s="1" t="n">
        <v>45571</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60184-2021</t>
        </is>
      </c>
      <c r="B1445" s="1" t="n">
        <v>44495</v>
      </c>
      <c r="C1445" s="1" t="n">
        <v>45571</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60186-2021</t>
        </is>
      </c>
      <c r="B1446" s="1" t="n">
        <v>44495</v>
      </c>
      <c r="C1446" s="1" t="n">
        <v>45571</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60209-2021</t>
        </is>
      </c>
      <c r="B1447" s="1" t="n">
        <v>44495</v>
      </c>
      <c r="C1447" s="1" t="n">
        <v>45571</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60671-2021</t>
        </is>
      </c>
      <c r="B1448" s="1" t="n">
        <v>44496</v>
      </c>
      <c r="C1448" s="1" t="n">
        <v>45571</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60733-2021</t>
        </is>
      </c>
      <c r="B1449" s="1" t="n">
        <v>44496</v>
      </c>
      <c r="C1449" s="1" t="n">
        <v>45571</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60813-2021</t>
        </is>
      </c>
      <c r="B1450" s="1" t="n">
        <v>44496</v>
      </c>
      <c r="C1450" s="1" t="n">
        <v>45571</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60822-2021</t>
        </is>
      </c>
      <c r="B1451" s="1" t="n">
        <v>44496</v>
      </c>
      <c r="C1451" s="1" t="n">
        <v>45571</v>
      </c>
      <c r="D1451" t="inlineStr">
        <is>
          <t>STOCKHOLMS LÄN</t>
        </is>
      </c>
      <c r="E1451" t="inlineStr">
        <is>
          <t>NORRTÄLJE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61196-2021</t>
        </is>
      </c>
      <c r="B1452" s="1" t="n">
        <v>44498</v>
      </c>
      <c r="C1452" s="1" t="n">
        <v>45571</v>
      </c>
      <c r="D1452" t="inlineStr">
        <is>
          <t>STOCKHOLMS LÄN</t>
        </is>
      </c>
      <c r="E1452" t="inlineStr">
        <is>
          <t>EKERÖ</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61937-2021</t>
        </is>
      </c>
      <c r="B1453" s="1" t="n">
        <v>44502</v>
      </c>
      <c r="C1453" s="1" t="n">
        <v>45571</v>
      </c>
      <c r="D1453" t="inlineStr">
        <is>
          <t>STOCKHOLMS LÄN</t>
        </is>
      </c>
      <c r="E1453" t="inlineStr">
        <is>
          <t>SIGTUNA</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62030-2021</t>
        </is>
      </c>
      <c r="B1454" s="1" t="n">
        <v>44502</v>
      </c>
      <c r="C1454" s="1" t="n">
        <v>45571</v>
      </c>
      <c r="D1454" t="inlineStr">
        <is>
          <t>STOCKHOLMS LÄN</t>
        </is>
      </c>
      <c r="E1454" t="inlineStr">
        <is>
          <t>NORRTÄLJE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63530-2021</t>
        </is>
      </c>
      <c r="B1455" s="1" t="n">
        <v>44508</v>
      </c>
      <c r="C1455" s="1" t="n">
        <v>45571</v>
      </c>
      <c r="D1455" t="inlineStr">
        <is>
          <t>STOCKHOLMS LÄN</t>
        </is>
      </c>
      <c r="E1455" t="inlineStr">
        <is>
          <t>NORRTÄLJE</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63644-2021</t>
        </is>
      </c>
      <c r="B1456" s="1" t="n">
        <v>44508</v>
      </c>
      <c r="C1456" s="1" t="n">
        <v>45571</v>
      </c>
      <c r="D1456" t="inlineStr">
        <is>
          <t>STOCKHOLMS LÄN</t>
        </is>
      </c>
      <c r="E1456" t="inlineStr">
        <is>
          <t>SÖDERTÄLJE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64111-2021</t>
        </is>
      </c>
      <c r="B1457" s="1" t="n">
        <v>44509</v>
      </c>
      <c r="C1457" s="1" t="n">
        <v>45571</v>
      </c>
      <c r="D1457" t="inlineStr">
        <is>
          <t>STOCKHOLMS LÄN</t>
        </is>
      </c>
      <c r="E1457" t="inlineStr">
        <is>
          <t>SÖDERTÄLJE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63931-2021</t>
        </is>
      </c>
      <c r="B1458" s="1" t="n">
        <v>44509</v>
      </c>
      <c r="C1458" s="1" t="n">
        <v>45571</v>
      </c>
      <c r="D1458" t="inlineStr">
        <is>
          <t>STOCKHOLMS LÄN</t>
        </is>
      </c>
      <c r="E1458" t="inlineStr">
        <is>
          <t>NYNÄSHAMN</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64137-2021</t>
        </is>
      </c>
      <c r="B1459" s="1" t="n">
        <v>44510</v>
      </c>
      <c r="C1459" s="1" t="n">
        <v>45571</v>
      </c>
      <c r="D1459" t="inlineStr">
        <is>
          <t>STOCKHOLMS LÄN</t>
        </is>
      </c>
      <c r="E1459" t="inlineStr">
        <is>
          <t>NORRTÄLJE</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64212-2021</t>
        </is>
      </c>
      <c r="B1460" s="1" t="n">
        <v>44510</v>
      </c>
      <c r="C1460" s="1" t="n">
        <v>45571</v>
      </c>
      <c r="D1460" t="inlineStr">
        <is>
          <t>STOCKHOLMS LÄN</t>
        </is>
      </c>
      <c r="E1460" t="inlineStr">
        <is>
          <t>NORRTÄLJE</t>
        </is>
      </c>
      <c r="G1460" t="n">
        <v>28.7</v>
      </c>
      <c r="H1460" t="n">
        <v>0</v>
      </c>
      <c r="I1460" t="n">
        <v>0</v>
      </c>
      <c r="J1460" t="n">
        <v>0</v>
      </c>
      <c r="K1460" t="n">
        <v>0</v>
      </c>
      <c r="L1460" t="n">
        <v>0</v>
      </c>
      <c r="M1460" t="n">
        <v>0</v>
      </c>
      <c r="N1460" t="n">
        <v>0</v>
      </c>
      <c r="O1460" t="n">
        <v>0</v>
      </c>
      <c r="P1460" t="n">
        <v>0</v>
      </c>
      <c r="Q1460" t="n">
        <v>0</v>
      </c>
      <c r="R1460" s="2" t="inlineStr"/>
    </row>
    <row r="1461" ht="15" customHeight="1">
      <c r="A1461" t="inlineStr">
        <is>
          <t>A 64074-2021</t>
        </is>
      </c>
      <c r="B1461" s="1" t="n">
        <v>44510</v>
      </c>
      <c r="C1461" s="1" t="n">
        <v>45571</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64145-2021</t>
        </is>
      </c>
      <c r="B1462" s="1" t="n">
        <v>44510</v>
      </c>
      <c r="C1462" s="1" t="n">
        <v>45571</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64600-2021</t>
        </is>
      </c>
      <c r="B1463" s="1" t="n">
        <v>44511</v>
      </c>
      <c r="C1463" s="1" t="n">
        <v>45571</v>
      </c>
      <c r="D1463" t="inlineStr">
        <is>
          <t>STOCKHOLMS LÄN</t>
        </is>
      </c>
      <c r="E1463" t="inlineStr">
        <is>
          <t>NORRTÄLJE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64599-2021</t>
        </is>
      </c>
      <c r="B1464" s="1" t="n">
        <v>44511</v>
      </c>
      <c r="C1464" s="1" t="n">
        <v>45571</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64628-2021</t>
        </is>
      </c>
      <c r="B1465" s="1" t="n">
        <v>44511</v>
      </c>
      <c r="C1465" s="1" t="n">
        <v>45571</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64915-2021</t>
        </is>
      </c>
      <c r="B1466" s="1" t="n">
        <v>44512</v>
      </c>
      <c r="C1466" s="1" t="n">
        <v>45571</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65129-2021</t>
        </is>
      </c>
      <c r="B1467" s="1" t="n">
        <v>44515</v>
      </c>
      <c r="C1467" s="1" t="n">
        <v>45571</v>
      </c>
      <c r="D1467" t="inlineStr">
        <is>
          <t>STOCKHOLMS LÄN</t>
        </is>
      </c>
      <c r="E1467" t="inlineStr">
        <is>
          <t>EKERÖ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65340-2021</t>
        </is>
      </c>
      <c r="B1468" s="1" t="n">
        <v>44515</v>
      </c>
      <c r="C1468" s="1" t="n">
        <v>45571</v>
      </c>
      <c r="D1468" t="inlineStr">
        <is>
          <t>STOCKHOLMS LÄN</t>
        </is>
      </c>
      <c r="E1468" t="inlineStr">
        <is>
          <t>SIGTUNA</t>
        </is>
      </c>
      <c r="F1468" t="inlineStr">
        <is>
          <t>Kyrkan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65359-2021</t>
        </is>
      </c>
      <c r="B1469" s="1" t="n">
        <v>44515</v>
      </c>
      <c r="C1469" s="1" t="n">
        <v>45571</v>
      </c>
      <c r="D1469" t="inlineStr">
        <is>
          <t>STOCKHOLMS LÄN</t>
        </is>
      </c>
      <c r="E1469" t="inlineStr">
        <is>
          <t>NORRTÄLJE</t>
        </is>
      </c>
      <c r="F1469" t="inlineStr">
        <is>
          <t>Kyrkan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65499-2021</t>
        </is>
      </c>
      <c r="B1470" s="1" t="n">
        <v>44516</v>
      </c>
      <c r="C1470" s="1" t="n">
        <v>45571</v>
      </c>
      <c r="D1470" t="inlineStr">
        <is>
          <t>STOCKHOLMS LÄN</t>
        </is>
      </c>
      <c r="E1470" t="inlineStr">
        <is>
          <t>NORRTÄLJE</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65513-2021</t>
        </is>
      </c>
      <c r="B1471" s="1" t="n">
        <v>44516</v>
      </c>
      <c r="C1471" s="1" t="n">
        <v>45571</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65511-2021</t>
        </is>
      </c>
      <c r="B1472" s="1" t="n">
        <v>44516</v>
      </c>
      <c r="C1472" s="1" t="n">
        <v>45571</v>
      </c>
      <c r="D1472" t="inlineStr">
        <is>
          <t>STOCKHOLMS LÄN</t>
        </is>
      </c>
      <c r="E1472" t="inlineStr">
        <is>
          <t>NORRTÄLJE</t>
        </is>
      </c>
      <c r="F1472" t="inlineStr">
        <is>
          <t>Kommuner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65501-2021</t>
        </is>
      </c>
      <c r="B1473" s="1" t="n">
        <v>44516</v>
      </c>
      <c r="C1473" s="1" t="n">
        <v>45571</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65509-2021</t>
        </is>
      </c>
      <c r="B1474" s="1" t="n">
        <v>44516</v>
      </c>
      <c r="C1474" s="1" t="n">
        <v>45571</v>
      </c>
      <c r="D1474" t="inlineStr">
        <is>
          <t>STOCKHOLMS LÄN</t>
        </is>
      </c>
      <c r="E1474" t="inlineStr">
        <is>
          <t>NORRTÄLJE</t>
        </is>
      </c>
      <c r="F1474" t="inlineStr">
        <is>
          <t>Kommuner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65611-2021</t>
        </is>
      </c>
      <c r="B1475" s="1" t="n">
        <v>44516</v>
      </c>
      <c r="C1475" s="1" t="n">
        <v>45571</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65737-2021</t>
        </is>
      </c>
      <c r="B1476" s="1" t="n">
        <v>44516</v>
      </c>
      <c r="C1476" s="1" t="n">
        <v>45571</v>
      </c>
      <c r="D1476" t="inlineStr">
        <is>
          <t>STOCKHOLMS LÄN</t>
        </is>
      </c>
      <c r="E1476" t="inlineStr">
        <is>
          <t>NORRTÄLJE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66450-2021</t>
        </is>
      </c>
      <c r="B1477" s="1" t="n">
        <v>44518</v>
      </c>
      <c r="C1477" s="1" t="n">
        <v>45571</v>
      </c>
      <c r="D1477" t="inlineStr">
        <is>
          <t>STOCKHOLMS LÄN</t>
        </is>
      </c>
      <c r="E1477" t="inlineStr">
        <is>
          <t>NORRTÄLJE</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66608-2021</t>
        </is>
      </c>
      <c r="B1478" s="1" t="n">
        <v>44519</v>
      </c>
      <c r="C1478" s="1" t="n">
        <v>45571</v>
      </c>
      <c r="D1478" t="inlineStr">
        <is>
          <t>STOCKHOLMS LÄN</t>
        </is>
      </c>
      <c r="E1478" t="inlineStr">
        <is>
          <t>NORRTÄLJE</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66592-2021</t>
        </is>
      </c>
      <c r="B1479" s="1" t="n">
        <v>44519</v>
      </c>
      <c r="C1479" s="1" t="n">
        <v>45571</v>
      </c>
      <c r="D1479" t="inlineStr">
        <is>
          <t>STOCKHOLMS LÄN</t>
        </is>
      </c>
      <c r="E1479" t="inlineStr">
        <is>
          <t>NORRTÄLJE</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66769-2021</t>
        </is>
      </c>
      <c r="B1480" s="1" t="n">
        <v>44521</v>
      </c>
      <c r="C1480" s="1" t="n">
        <v>45571</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67244-2021</t>
        </is>
      </c>
      <c r="B1481" s="1" t="n">
        <v>44523</v>
      </c>
      <c r="C1481" s="1" t="n">
        <v>45571</v>
      </c>
      <c r="D1481" t="inlineStr">
        <is>
          <t>STOCKHOLMS LÄN</t>
        </is>
      </c>
      <c r="E1481" t="inlineStr">
        <is>
          <t>ÖSTERÅKER</t>
        </is>
      </c>
      <c r="F1481" t="inlineStr">
        <is>
          <t>Kommuner</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67220-2021</t>
        </is>
      </c>
      <c r="B1482" s="1" t="n">
        <v>44523</v>
      </c>
      <c r="C1482" s="1" t="n">
        <v>45571</v>
      </c>
      <c r="D1482" t="inlineStr">
        <is>
          <t>STOCKHOLMS LÄN</t>
        </is>
      </c>
      <c r="E1482" t="inlineStr">
        <is>
          <t>NYKVARN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v>
      </c>
      <c r="C1483" s="1" t="n">
        <v>45571</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67285-2021</t>
        </is>
      </c>
      <c r="B1484" s="1" t="n">
        <v>44523</v>
      </c>
      <c r="C1484" s="1" t="n">
        <v>45571</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67525-2021</t>
        </is>
      </c>
      <c r="B1485" s="1" t="n">
        <v>44524</v>
      </c>
      <c r="C1485" s="1" t="n">
        <v>45571</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67598-2021</t>
        </is>
      </c>
      <c r="B1486" s="1" t="n">
        <v>44524</v>
      </c>
      <c r="C1486" s="1" t="n">
        <v>45571</v>
      </c>
      <c r="D1486" t="inlineStr">
        <is>
          <t>STOCKHOLMS LÄN</t>
        </is>
      </c>
      <c r="E1486" t="inlineStr">
        <is>
          <t>NORRTÄLJE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67756-2021</t>
        </is>
      </c>
      <c r="B1487" s="1" t="n">
        <v>44524</v>
      </c>
      <c r="C1487" s="1" t="n">
        <v>45571</v>
      </c>
      <c r="D1487" t="inlineStr">
        <is>
          <t>STOCKHOLMS LÄN</t>
        </is>
      </c>
      <c r="E1487" t="inlineStr">
        <is>
          <t>VAXHOLM</t>
        </is>
      </c>
      <c r="F1487" t="inlineStr">
        <is>
          <t>Övriga statliga verk och myndigheter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67921-2021</t>
        </is>
      </c>
      <c r="B1488" s="1" t="n">
        <v>44525</v>
      </c>
      <c r="C1488" s="1" t="n">
        <v>45571</v>
      </c>
      <c r="D1488" t="inlineStr">
        <is>
          <t>STOCKHOLMS LÄN</t>
        </is>
      </c>
      <c r="E1488" t="inlineStr">
        <is>
          <t>NORRTÄLJE</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67990-2021</t>
        </is>
      </c>
      <c r="B1489" s="1" t="n">
        <v>44525</v>
      </c>
      <c r="C1489" s="1" t="n">
        <v>45571</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67992-2021</t>
        </is>
      </c>
      <c r="B1490" s="1" t="n">
        <v>44525</v>
      </c>
      <c r="C1490" s="1" t="n">
        <v>45571</v>
      </c>
      <c r="D1490" t="inlineStr">
        <is>
          <t>STOCKHOLMS LÄN</t>
        </is>
      </c>
      <c r="E1490" t="inlineStr">
        <is>
          <t>NORRTÄLJE</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67993-2021</t>
        </is>
      </c>
      <c r="B1491" s="1" t="n">
        <v>44525</v>
      </c>
      <c r="C1491" s="1" t="n">
        <v>45571</v>
      </c>
      <c r="D1491" t="inlineStr">
        <is>
          <t>STOCKHOLMS LÄN</t>
        </is>
      </c>
      <c r="E1491" t="inlineStr">
        <is>
          <t>NORRTÄLJE</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68896-2021</t>
        </is>
      </c>
      <c r="B1492" s="1" t="n">
        <v>44526</v>
      </c>
      <c r="C1492" s="1" t="n">
        <v>45571</v>
      </c>
      <c r="D1492" t="inlineStr">
        <is>
          <t>STOCKHOLMS LÄN</t>
        </is>
      </c>
      <c r="E1492" t="inlineStr">
        <is>
          <t>HANINGE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68894-2021</t>
        </is>
      </c>
      <c r="B1493" s="1" t="n">
        <v>44526</v>
      </c>
      <c r="C1493" s="1" t="n">
        <v>45571</v>
      </c>
      <c r="D1493" t="inlineStr">
        <is>
          <t>STOCKHOLMS LÄN</t>
        </is>
      </c>
      <c r="E1493" t="inlineStr">
        <is>
          <t>HANINGE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68273-2021</t>
        </is>
      </c>
      <c r="B1494" s="1" t="n">
        <v>44526</v>
      </c>
      <c r="C1494" s="1" t="n">
        <v>45571</v>
      </c>
      <c r="D1494" t="inlineStr">
        <is>
          <t>STOCKHOLMS LÄN</t>
        </is>
      </c>
      <c r="E1494" t="inlineStr">
        <is>
          <t>NORRTÄLJE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68904-2021</t>
        </is>
      </c>
      <c r="B1495" s="1" t="n">
        <v>44526</v>
      </c>
      <c r="C1495" s="1" t="n">
        <v>45571</v>
      </c>
      <c r="D1495" t="inlineStr">
        <is>
          <t>STOCKHOLMS LÄN</t>
        </is>
      </c>
      <c r="E1495" t="inlineStr">
        <is>
          <t>HANINGE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68361-2021</t>
        </is>
      </c>
      <c r="B1496" s="1" t="n">
        <v>44528</v>
      </c>
      <c r="C1496" s="1" t="n">
        <v>45571</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68700-2021</t>
        </is>
      </c>
      <c r="B1497" s="1" t="n">
        <v>44529</v>
      </c>
      <c r="C1497" s="1" t="n">
        <v>45571</v>
      </c>
      <c r="D1497" t="inlineStr">
        <is>
          <t>STOCKHOLMS LÄN</t>
        </is>
      </c>
      <c r="E1497" t="inlineStr">
        <is>
          <t>SALEM</t>
        </is>
      </c>
      <c r="F1497" t="inlineStr">
        <is>
          <t>Kommuner</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68554-2021</t>
        </is>
      </c>
      <c r="B1498" s="1" t="n">
        <v>44529</v>
      </c>
      <c r="C1498" s="1" t="n">
        <v>45571</v>
      </c>
      <c r="D1498" t="inlineStr">
        <is>
          <t>STOCKHOLMS LÄN</t>
        </is>
      </c>
      <c r="E1498" t="inlineStr">
        <is>
          <t>UPPLANDS-BRO</t>
        </is>
      </c>
      <c r="F1498" t="inlineStr">
        <is>
          <t>Övriga statliga verk och myndigheter</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68564-2021</t>
        </is>
      </c>
      <c r="B1499" s="1" t="n">
        <v>44529</v>
      </c>
      <c r="C1499" s="1" t="n">
        <v>45571</v>
      </c>
      <c r="D1499" t="inlineStr">
        <is>
          <t>STOCKHOLMS LÄN</t>
        </is>
      </c>
      <c r="E1499" t="inlineStr">
        <is>
          <t>UPPLANDS-BRO</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69034-2021</t>
        </is>
      </c>
      <c r="B1500" s="1" t="n">
        <v>44529</v>
      </c>
      <c r="C1500" s="1" t="n">
        <v>45571</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69539-2021</t>
        </is>
      </c>
      <c r="B1501" s="1" t="n">
        <v>44531</v>
      </c>
      <c r="C1501" s="1" t="n">
        <v>45571</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69723-2021</t>
        </is>
      </c>
      <c r="B1502" s="1" t="n">
        <v>44532</v>
      </c>
      <c r="C1502" s="1" t="n">
        <v>45571</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69816-2021</t>
        </is>
      </c>
      <c r="B1503" s="1" t="n">
        <v>44532</v>
      </c>
      <c r="C1503" s="1" t="n">
        <v>45571</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70170-2021</t>
        </is>
      </c>
      <c r="B1504" s="1" t="n">
        <v>44533</v>
      </c>
      <c r="C1504" s="1" t="n">
        <v>45571</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69988-2021</t>
        </is>
      </c>
      <c r="B1505" s="1" t="n">
        <v>44533</v>
      </c>
      <c r="C1505" s="1" t="n">
        <v>45571</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70201-2021</t>
        </is>
      </c>
      <c r="B1506" s="1" t="n">
        <v>44534</v>
      </c>
      <c r="C1506" s="1" t="n">
        <v>45571</v>
      </c>
      <c r="D1506" t="inlineStr">
        <is>
          <t>STOCKHOLMS LÄN</t>
        </is>
      </c>
      <c r="E1506" t="inlineStr">
        <is>
          <t>SÖDERTÄLJE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70469-2021</t>
        </is>
      </c>
      <c r="B1507" s="1" t="n">
        <v>44536</v>
      </c>
      <c r="C1507" s="1" t="n">
        <v>45571</v>
      </c>
      <c r="D1507" t="inlineStr">
        <is>
          <t>STOCKHOLMS LÄN</t>
        </is>
      </c>
      <c r="E1507" t="inlineStr">
        <is>
          <t>NORRTÄLJE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70608-2021</t>
        </is>
      </c>
      <c r="B1508" s="1" t="n">
        <v>44536</v>
      </c>
      <c r="C1508" s="1" t="n">
        <v>45571</v>
      </c>
      <c r="D1508" t="inlineStr">
        <is>
          <t>STOCKHOLMS LÄN</t>
        </is>
      </c>
      <c r="E1508" t="inlineStr">
        <is>
          <t>VALLENTUNA</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70850-2021</t>
        </is>
      </c>
      <c r="B1509" s="1" t="n">
        <v>44538</v>
      </c>
      <c r="C1509" s="1" t="n">
        <v>45571</v>
      </c>
      <c r="D1509" t="inlineStr">
        <is>
          <t>STOCKHOLMS LÄN</t>
        </is>
      </c>
      <c r="E1509" t="inlineStr">
        <is>
          <t>NYNÄSHAMN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71325-2021</t>
        </is>
      </c>
      <c r="B1510" s="1" t="n">
        <v>44539</v>
      </c>
      <c r="C1510" s="1" t="n">
        <v>45571</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71317-2021</t>
        </is>
      </c>
      <c r="B1511" s="1" t="n">
        <v>44539</v>
      </c>
      <c r="C1511" s="1" t="n">
        <v>45571</v>
      </c>
      <c r="D1511" t="inlineStr">
        <is>
          <t>STOCKHOLMS LÄN</t>
        </is>
      </c>
      <c r="E1511" t="inlineStr">
        <is>
          <t>VÄRMDÖ</t>
        </is>
      </c>
      <c r="F1511" t="inlineStr">
        <is>
          <t>Övriga Aktiebolag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71318-2021</t>
        </is>
      </c>
      <c r="B1512" s="1" t="n">
        <v>44539</v>
      </c>
      <c r="C1512" s="1" t="n">
        <v>45571</v>
      </c>
      <c r="D1512" t="inlineStr">
        <is>
          <t>STOCKHOLMS LÄN</t>
        </is>
      </c>
      <c r="E1512" t="inlineStr">
        <is>
          <t>VÄRMDÖ</t>
        </is>
      </c>
      <c r="F1512" t="inlineStr">
        <is>
          <t>Övriga Aktiebolag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71540-2021</t>
        </is>
      </c>
      <c r="B1513" s="1" t="n">
        <v>44540</v>
      </c>
      <c r="C1513" s="1" t="n">
        <v>45571</v>
      </c>
      <c r="D1513" t="inlineStr">
        <is>
          <t>STOCKHOLMS LÄN</t>
        </is>
      </c>
      <c r="E1513" t="inlineStr">
        <is>
          <t>NYKVARN</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71552-2021</t>
        </is>
      </c>
      <c r="B1514" s="1" t="n">
        <v>44540</v>
      </c>
      <c r="C1514" s="1" t="n">
        <v>45571</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71479-2021</t>
        </is>
      </c>
      <c r="B1515" s="1" t="n">
        <v>44540</v>
      </c>
      <c r="C1515" s="1" t="n">
        <v>45571</v>
      </c>
      <c r="D1515" t="inlineStr">
        <is>
          <t>STOCKHOLMS LÄN</t>
        </is>
      </c>
      <c r="E1515" t="inlineStr">
        <is>
          <t>NORRTÄLJE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71543-2021</t>
        </is>
      </c>
      <c r="B1516" s="1" t="n">
        <v>44540</v>
      </c>
      <c r="C1516" s="1" t="n">
        <v>45571</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71873-2021</t>
        </is>
      </c>
      <c r="B1517" s="1" t="n">
        <v>44543</v>
      </c>
      <c r="C1517" s="1" t="n">
        <v>45571</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71876-2021</t>
        </is>
      </c>
      <c r="B1518" s="1" t="n">
        <v>44543</v>
      </c>
      <c r="C1518" s="1" t="n">
        <v>45571</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71880-2021</t>
        </is>
      </c>
      <c r="B1519" s="1" t="n">
        <v>44543</v>
      </c>
      <c r="C1519" s="1" t="n">
        <v>45571</v>
      </c>
      <c r="D1519" t="inlineStr">
        <is>
          <t>STOCKHOLMS LÄN</t>
        </is>
      </c>
      <c r="E1519" t="inlineStr">
        <is>
          <t>NORRTÄLJE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71871-2021</t>
        </is>
      </c>
      <c r="B1520" s="1" t="n">
        <v>44543</v>
      </c>
      <c r="C1520" s="1" t="n">
        <v>45571</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71878-2021</t>
        </is>
      </c>
      <c r="B1521" s="1" t="n">
        <v>44543</v>
      </c>
      <c r="C1521" s="1" t="n">
        <v>45571</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72097-2021</t>
        </is>
      </c>
      <c r="B1522" s="1" t="n">
        <v>44544</v>
      </c>
      <c r="C1522" s="1" t="n">
        <v>45571</v>
      </c>
      <c r="D1522" t="inlineStr">
        <is>
          <t>STOCKHOLMS LÄN</t>
        </is>
      </c>
      <c r="E1522" t="inlineStr">
        <is>
          <t>VÄRMDÖ</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72085-2021</t>
        </is>
      </c>
      <c r="B1523" s="1" t="n">
        <v>44544</v>
      </c>
      <c r="C1523" s="1" t="n">
        <v>45571</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72108-2021</t>
        </is>
      </c>
      <c r="B1524" s="1" t="n">
        <v>44544</v>
      </c>
      <c r="C1524" s="1" t="n">
        <v>45571</v>
      </c>
      <c r="D1524" t="inlineStr">
        <is>
          <t>STOCKHOLMS LÄN</t>
        </is>
      </c>
      <c r="E1524" t="inlineStr">
        <is>
          <t>VÄRMDÖ</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72176-2021</t>
        </is>
      </c>
      <c r="B1525" s="1" t="n">
        <v>44544</v>
      </c>
      <c r="C1525" s="1" t="n">
        <v>45571</v>
      </c>
      <c r="D1525" t="inlineStr">
        <is>
          <t>STOCKHOLMS LÄN</t>
        </is>
      </c>
      <c r="E1525" t="inlineStr">
        <is>
          <t>VÄRMDÖ</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72202-2021</t>
        </is>
      </c>
      <c r="B1526" s="1" t="n">
        <v>44544</v>
      </c>
      <c r="C1526" s="1" t="n">
        <v>45571</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72218-2021</t>
        </is>
      </c>
      <c r="B1527" s="1" t="n">
        <v>44544</v>
      </c>
      <c r="C1527" s="1" t="n">
        <v>45571</v>
      </c>
      <c r="D1527" t="inlineStr">
        <is>
          <t>STOCKHOLMS LÄN</t>
        </is>
      </c>
      <c r="E1527" t="inlineStr">
        <is>
          <t>SÖDERTÄLJE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72508-2021</t>
        </is>
      </c>
      <c r="B1528" s="1" t="n">
        <v>44544</v>
      </c>
      <c r="C1528" s="1" t="n">
        <v>45571</v>
      </c>
      <c r="D1528" t="inlineStr">
        <is>
          <t>STOCKHOLMS LÄN</t>
        </is>
      </c>
      <c r="E1528" t="inlineStr">
        <is>
          <t>ÖSTERÅKER</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72308-2021</t>
        </is>
      </c>
      <c r="B1529" s="1" t="n">
        <v>44545</v>
      </c>
      <c r="C1529" s="1" t="n">
        <v>45571</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72343-2021</t>
        </is>
      </c>
      <c r="B1530" s="1" t="n">
        <v>44545</v>
      </c>
      <c r="C1530" s="1" t="n">
        <v>45571</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72357-2021</t>
        </is>
      </c>
      <c r="B1531" s="1" t="n">
        <v>44545</v>
      </c>
      <c r="C1531" s="1" t="n">
        <v>45571</v>
      </c>
      <c r="D1531" t="inlineStr">
        <is>
          <t>STOCKHOLMS LÄN</t>
        </is>
      </c>
      <c r="E1531" t="inlineStr">
        <is>
          <t>NORRTÄLJE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72355-2021</t>
        </is>
      </c>
      <c r="B1532" s="1" t="n">
        <v>44545</v>
      </c>
      <c r="C1532" s="1" t="n">
        <v>45571</v>
      </c>
      <c r="D1532" t="inlineStr">
        <is>
          <t>STOCKHOLMS LÄN</t>
        </is>
      </c>
      <c r="E1532" t="inlineStr">
        <is>
          <t>NORRTÄLJE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72353-2021</t>
        </is>
      </c>
      <c r="B1533" s="1" t="n">
        <v>44545</v>
      </c>
      <c r="C1533" s="1" t="n">
        <v>45571</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72515-2021</t>
        </is>
      </c>
      <c r="B1534" s="1" t="n">
        <v>44546</v>
      </c>
      <c r="C1534" s="1" t="n">
        <v>45571</v>
      </c>
      <c r="D1534" t="inlineStr">
        <is>
          <t>STOCKHOLMS LÄN</t>
        </is>
      </c>
      <c r="E1534" t="inlineStr">
        <is>
          <t>ÖSTERÅKER</t>
        </is>
      </c>
      <c r="F1534" t="inlineStr">
        <is>
          <t>Övriga Aktiebolag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72523-2021</t>
        </is>
      </c>
      <c r="B1535" s="1" t="n">
        <v>44546</v>
      </c>
      <c r="C1535" s="1" t="n">
        <v>45571</v>
      </c>
      <c r="D1535" t="inlineStr">
        <is>
          <t>STOCKHOLMS LÄN</t>
        </is>
      </c>
      <c r="E1535" t="inlineStr">
        <is>
          <t>UPPLANDS-BRO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72530-2021</t>
        </is>
      </c>
      <c r="B1536" s="1" t="n">
        <v>44546</v>
      </c>
      <c r="C1536" s="1" t="n">
        <v>45571</v>
      </c>
      <c r="D1536" t="inlineStr">
        <is>
          <t>STOCKHOLMS LÄN</t>
        </is>
      </c>
      <c r="E1536" t="inlineStr">
        <is>
          <t>SIGTUNA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72524-2021</t>
        </is>
      </c>
      <c r="B1537" s="1" t="n">
        <v>44546</v>
      </c>
      <c r="C1537" s="1" t="n">
        <v>45571</v>
      </c>
      <c r="D1537" t="inlineStr">
        <is>
          <t>STOCKHOLMS LÄN</t>
        </is>
      </c>
      <c r="E1537" t="inlineStr">
        <is>
          <t>UPPLANDS-BRO</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72747-2021</t>
        </is>
      </c>
      <c r="B1538" s="1" t="n">
        <v>44546</v>
      </c>
      <c r="C1538" s="1" t="n">
        <v>45571</v>
      </c>
      <c r="D1538" t="inlineStr">
        <is>
          <t>STOCKHOLMS LÄN</t>
        </is>
      </c>
      <c r="E1538" t="inlineStr">
        <is>
          <t>NORRTÄLJE</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72704-2021</t>
        </is>
      </c>
      <c r="B1539" s="1" t="n">
        <v>44546</v>
      </c>
      <c r="C1539" s="1" t="n">
        <v>45571</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72890-2021</t>
        </is>
      </c>
      <c r="B1540" s="1" t="n">
        <v>44547</v>
      </c>
      <c r="C1540" s="1" t="n">
        <v>45571</v>
      </c>
      <c r="D1540" t="inlineStr">
        <is>
          <t>STOCKHOLMS LÄN</t>
        </is>
      </c>
      <c r="E1540" t="inlineStr">
        <is>
          <t>NORRTÄLJE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73300-2021</t>
        </is>
      </c>
      <c r="B1541" s="1" t="n">
        <v>44547</v>
      </c>
      <c r="C1541" s="1" t="n">
        <v>45571</v>
      </c>
      <c r="D1541" t="inlineStr">
        <is>
          <t>STOCKHOLMS LÄN</t>
        </is>
      </c>
      <c r="E1541" t="inlineStr">
        <is>
          <t>VAXHOLM</t>
        </is>
      </c>
      <c r="F1541" t="inlineStr">
        <is>
          <t>Övriga statliga verk och myndigheter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73311-2021</t>
        </is>
      </c>
      <c r="B1542" s="1" t="n">
        <v>44549</v>
      </c>
      <c r="C1542" s="1" t="n">
        <v>45571</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73307-2021</t>
        </is>
      </c>
      <c r="B1543" s="1" t="n">
        <v>44549</v>
      </c>
      <c r="C1543" s="1" t="n">
        <v>45571</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73151-2021</t>
        </is>
      </c>
      <c r="B1544" s="1" t="n">
        <v>44550</v>
      </c>
      <c r="C1544" s="1" t="n">
        <v>45571</v>
      </c>
      <c r="D1544" t="inlineStr">
        <is>
          <t>STOCKHOLMS LÄN</t>
        </is>
      </c>
      <c r="E1544" t="inlineStr">
        <is>
          <t>BOTKYRKA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73155-2021</t>
        </is>
      </c>
      <c r="B1545" s="1" t="n">
        <v>44550</v>
      </c>
      <c r="C1545" s="1" t="n">
        <v>45571</v>
      </c>
      <c r="D1545" t="inlineStr">
        <is>
          <t>STOCKHOLMS LÄN</t>
        </is>
      </c>
      <c r="E1545" t="inlineStr">
        <is>
          <t>BOTKYRKA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73212-2021</t>
        </is>
      </c>
      <c r="B1546" s="1" t="n">
        <v>44550</v>
      </c>
      <c r="C1546" s="1" t="n">
        <v>45571</v>
      </c>
      <c r="D1546" t="inlineStr">
        <is>
          <t>STOCKHOLMS LÄN</t>
        </is>
      </c>
      <c r="E1546" t="inlineStr">
        <is>
          <t>NYKVARN</t>
        </is>
      </c>
      <c r="F1546" t="inlineStr">
        <is>
          <t>Allmännings- och besparingsskogar</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73271-2021</t>
        </is>
      </c>
      <c r="B1547" s="1" t="n">
        <v>44550</v>
      </c>
      <c r="C1547" s="1" t="n">
        <v>45571</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73194-2021</t>
        </is>
      </c>
      <c r="B1548" s="1" t="n">
        <v>44550</v>
      </c>
      <c r="C1548" s="1" t="n">
        <v>45571</v>
      </c>
      <c r="D1548" t="inlineStr">
        <is>
          <t>STOCKHOLMS LÄN</t>
        </is>
      </c>
      <c r="E1548" t="inlineStr">
        <is>
          <t>BOTKYRKA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73504-2021</t>
        </is>
      </c>
      <c r="B1549" s="1" t="n">
        <v>44551</v>
      </c>
      <c r="C1549" s="1" t="n">
        <v>45571</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73772-2021</t>
        </is>
      </c>
      <c r="B1550" s="1" t="n">
        <v>44552</v>
      </c>
      <c r="C1550" s="1" t="n">
        <v>45571</v>
      </c>
      <c r="D1550" t="inlineStr">
        <is>
          <t>STOCKHOLMS LÄN</t>
        </is>
      </c>
      <c r="E1550" t="inlineStr">
        <is>
          <t>BOTKYRKA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73802-2021</t>
        </is>
      </c>
      <c r="B1551" s="1" t="n">
        <v>44552</v>
      </c>
      <c r="C1551" s="1" t="n">
        <v>45571</v>
      </c>
      <c r="D1551" t="inlineStr">
        <is>
          <t>STOCKHOLMS LÄN</t>
        </is>
      </c>
      <c r="E1551" t="inlineStr">
        <is>
          <t>VALLENTUNA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73855-2021</t>
        </is>
      </c>
      <c r="B1552" s="1" t="n">
        <v>44552</v>
      </c>
      <c r="C1552" s="1" t="n">
        <v>45571</v>
      </c>
      <c r="D1552" t="inlineStr">
        <is>
          <t>STOCKHOLMS LÄN</t>
        </is>
      </c>
      <c r="E1552" t="inlineStr">
        <is>
          <t>NORRTÄLJE</t>
        </is>
      </c>
      <c r="F1552" t="inlineStr">
        <is>
          <t>Övriga Aktiebolag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73963-2021</t>
        </is>
      </c>
      <c r="B1553" s="1" t="n">
        <v>44553</v>
      </c>
      <c r="C1553" s="1" t="n">
        <v>45571</v>
      </c>
      <c r="D1553" t="inlineStr">
        <is>
          <t>STOCKHOLMS LÄN</t>
        </is>
      </c>
      <c r="E1553" t="inlineStr">
        <is>
          <t>NYNÄSHAMN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73967-2021</t>
        </is>
      </c>
      <c r="B1554" s="1" t="n">
        <v>44553</v>
      </c>
      <c r="C1554" s="1" t="n">
        <v>45571</v>
      </c>
      <c r="D1554" t="inlineStr">
        <is>
          <t>STOCKHOLMS LÄN</t>
        </is>
      </c>
      <c r="E1554" t="inlineStr">
        <is>
          <t>NYNÄSHAMN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73966-2021</t>
        </is>
      </c>
      <c r="B1555" s="1" t="n">
        <v>44553</v>
      </c>
      <c r="C1555" s="1" t="n">
        <v>45571</v>
      </c>
      <c r="D1555" t="inlineStr">
        <is>
          <t>STOCKHOLMS LÄN</t>
        </is>
      </c>
      <c r="E1555" t="inlineStr">
        <is>
          <t>NYNÄSHAMN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45571</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73993-2021</t>
        </is>
      </c>
      <c r="B1557" s="1" t="n">
        <v>44556</v>
      </c>
      <c r="C1557" s="1" t="n">
        <v>45571</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74170-2021</t>
        </is>
      </c>
      <c r="B1558" s="1" t="n">
        <v>44557</v>
      </c>
      <c r="C1558" s="1" t="n">
        <v>45571</v>
      </c>
      <c r="D1558" t="inlineStr">
        <is>
          <t>STOCKHOLMS LÄN</t>
        </is>
      </c>
      <c r="E1558" t="inlineStr">
        <is>
          <t>SIGTUNA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74167-2021</t>
        </is>
      </c>
      <c r="B1559" s="1" t="n">
        <v>44557</v>
      </c>
      <c r="C1559" s="1" t="n">
        <v>45571</v>
      </c>
      <c r="D1559" t="inlineStr">
        <is>
          <t>STOCKHOLMS LÄN</t>
        </is>
      </c>
      <c r="E1559" t="inlineStr">
        <is>
          <t>SIGTUNA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74173-2021</t>
        </is>
      </c>
      <c r="B1560" s="1" t="n">
        <v>44558</v>
      </c>
      <c r="C1560" s="1" t="n">
        <v>45571</v>
      </c>
      <c r="D1560" t="inlineStr">
        <is>
          <t>STOCKHOLMS LÄN</t>
        </is>
      </c>
      <c r="E1560" t="inlineStr">
        <is>
          <t>NYKVARN</t>
        </is>
      </c>
      <c r="F1560" t="inlineStr">
        <is>
          <t>Allmännings- och besparingsskogar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236-2022</t>
        </is>
      </c>
      <c r="B1561" s="1" t="n">
        <v>44560</v>
      </c>
      <c r="C1561" s="1" t="n">
        <v>45571</v>
      </c>
      <c r="D1561" t="inlineStr">
        <is>
          <t>STOCKHOLMS LÄN</t>
        </is>
      </c>
      <c r="E1561" t="inlineStr">
        <is>
          <t>VALLENTUNA</t>
        </is>
      </c>
      <c r="F1561" t="inlineStr">
        <is>
          <t>Övriga Aktiebolag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178-2022</t>
        </is>
      </c>
      <c r="B1562" s="1" t="n">
        <v>44560</v>
      </c>
      <c r="C1562" s="1" t="n">
        <v>45571</v>
      </c>
      <c r="D1562" t="inlineStr">
        <is>
          <t>STOCKHOLMS LÄN</t>
        </is>
      </c>
      <c r="E1562" t="inlineStr">
        <is>
          <t>VALLENTUNA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242-2022</t>
        </is>
      </c>
      <c r="B1563" s="1" t="n">
        <v>44560</v>
      </c>
      <c r="C1563" s="1" t="n">
        <v>45571</v>
      </c>
      <c r="D1563" t="inlineStr">
        <is>
          <t>STOCKHOLMS LÄN</t>
        </is>
      </c>
      <c r="E1563" t="inlineStr">
        <is>
          <t>VALLENTUNA</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74468-2021</t>
        </is>
      </c>
      <c r="B1564" s="1" t="n">
        <v>44560</v>
      </c>
      <c r="C1564" s="1" t="n">
        <v>45571</v>
      </c>
      <c r="D1564" t="inlineStr">
        <is>
          <t>STOCKHOLMS LÄN</t>
        </is>
      </c>
      <c r="E1564" t="inlineStr">
        <is>
          <t>NORRTÄLJE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185-2022</t>
        </is>
      </c>
      <c r="B1565" s="1" t="n">
        <v>44564</v>
      </c>
      <c r="C1565" s="1" t="n">
        <v>45571</v>
      </c>
      <c r="D1565" t="inlineStr">
        <is>
          <t>STOCKHOLMS LÄN</t>
        </is>
      </c>
      <c r="E1565" t="inlineStr">
        <is>
          <t>NORRTÄLJE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190-2022</t>
        </is>
      </c>
      <c r="B1566" s="1" t="n">
        <v>44564</v>
      </c>
      <c r="C1566" s="1" t="n">
        <v>45571</v>
      </c>
      <c r="D1566" t="inlineStr">
        <is>
          <t>STOCKHOLMS LÄN</t>
        </is>
      </c>
      <c r="E1566" t="inlineStr">
        <is>
          <t>NORRTÄLJE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187-2022</t>
        </is>
      </c>
      <c r="B1567" s="1" t="n">
        <v>44564</v>
      </c>
      <c r="C1567" s="1" t="n">
        <v>45571</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314-2022</t>
        </is>
      </c>
      <c r="B1568" s="1" t="n">
        <v>44564</v>
      </c>
      <c r="C1568" s="1" t="n">
        <v>45571</v>
      </c>
      <c r="D1568" t="inlineStr">
        <is>
          <t>STOCKHOLMS LÄN</t>
        </is>
      </c>
      <c r="E1568" t="inlineStr">
        <is>
          <t>SÖDERTÄLJE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77-2022</t>
        </is>
      </c>
      <c r="B1569" s="1" t="n">
        <v>44564</v>
      </c>
      <c r="C1569" s="1" t="n">
        <v>45571</v>
      </c>
      <c r="D1569" t="inlineStr">
        <is>
          <t>STOCKHOLMS LÄN</t>
        </is>
      </c>
      <c r="E1569" t="inlineStr">
        <is>
          <t>NORRTÄLJE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386-2022</t>
        </is>
      </c>
      <c r="B1570" s="1" t="n">
        <v>44565</v>
      </c>
      <c r="C1570" s="1" t="n">
        <v>45571</v>
      </c>
      <c r="D1570" t="inlineStr">
        <is>
          <t>STOCKHOLMS LÄN</t>
        </is>
      </c>
      <c r="E1570" t="inlineStr">
        <is>
          <t>SÖDERTÄLJE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459-2022</t>
        </is>
      </c>
      <c r="B1571" s="1" t="n">
        <v>44565</v>
      </c>
      <c r="C1571" s="1" t="n">
        <v>45571</v>
      </c>
      <c r="D1571" t="inlineStr">
        <is>
          <t>STOCKHOLMS LÄN</t>
        </is>
      </c>
      <c r="E1571" t="inlineStr">
        <is>
          <t>NORRTÄLJE</t>
        </is>
      </c>
      <c r="F1571" t="inlineStr">
        <is>
          <t>Övriga Aktiebolag</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456-2022</t>
        </is>
      </c>
      <c r="B1572" s="1" t="n">
        <v>44565</v>
      </c>
      <c r="C1572" s="1" t="n">
        <v>45571</v>
      </c>
      <c r="D1572" t="inlineStr">
        <is>
          <t>STOCKHOLMS LÄN</t>
        </is>
      </c>
      <c r="E1572" t="inlineStr">
        <is>
          <t>ÖSTERÅKER</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470-2022</t>
        </is>
      </c>
      <c r="B1573" s="1" t="n">
        <v>44565</v>
      </c>
      <c r="C1573" s="1" t="n">
        <v>45571</v>
      </c>
      <c r="D1573" t="inlineStr">
        <is>
          <t>STOCKHOLMS LÄN</t>
        </is>
      </c>
      <c r="E1573" t="inlineStr">
        <is>
          <t>ÖSTERÅKER</t>
        </is>
      </c>
      <c r="F1573" t="inlineStr">
        <is>
          <t>Övriga Aktiebolag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464-2022</t>
        </is>
      </c>
      <c r="B1574" s="1" t="n">
        <v>44565</v>
      </c>
      <c r="C1574" s="1" t="n">
        <v>45571</v>
      </c>
      <c r="D1574" t="inlineStr">
        <is>
          <t>STOCKHOLMS LÄN</t>
        </is>
      </c>
      <c r="E1574" t="inlineStr">
        <is>
          <t>ÖSTERÅKER</t>
        </is>
      </c>
      <c r="F1574" t="inlineStr">
        <is>
          <t>Övriga Aktiebolag</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838-2022</t>
        </is>
      </c>
      <c r="B1575" s="1" t="n">
        <v>44569</v>
      </c>
      <c r="C1575" s="1" t="n">
        <v>45571</v>
      </c>
      <c r="D1575" t="inlineStr">
        <is>
          <t>STOCKHOLMS LÄN</t>
        </is>
      </c>
      <c r="E1575" t="inlineStr">
        <is>
          <t>ÖSTERÅKER</t>
        </is>
      </c>
      <c r="F1575" t="inlineStr">
        <is>
          <t>Övriga Aktiebolag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865-2022</t>
        </is>
      </c>
      <c r="B1576" s="1" t="n">
        <v>44569</v>
      </c>
      <c r="C1576" s="1" t="n">
        <v>45571</v>
      </c>
      <c r="D1576" t="inlineStr">
        <is>
          <t>STOCKHOLMS LÄN</t>
        </is>
      </c>
      <c r="E1576" t="inlineStr">
        <is>
          <t>ÖSTERÅKER</t>
        </is>
      </c>
      <c r="F1576" t="inlineStr">
        <is>
          <t>Övriga Aktiebolag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848-2022</t>
        </is>
      </c>
      <c r="B1577" s="1" t="n">
        <v>44569</v>
      </c>
      <c r="C1577" s="1" t="n">
        <v>45571</v>
      </c>
      <c r="D1577" t="inlineStr">
        <is>
          <t>STOCKHOLMS LÄN</t>
        </is>
      </c>
      <c r="E1577" t="inlineStr">
        <is>
          <t>ÖSTERÅKER</t>
        </is>
      </c>
      <c r="F1577" t="inlineStr">
        <is>
          <t>Övriga Aktiebolag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844-2022</t>
        </is>
      </c>
      <c r="B1578" s="1" t="n">
        <v>44569</v>
      </c>
      <c r="C1578" s="1" t="n">
        <v>45571</v>
      </c>
      <c r="D1578" t="inlineStr">
        <is>
          <t>STOCKHOLMS LÄN</t>
        </is>
      </c>
      <c r="E1578" t="inlineStr">
        <is>
          <t>ÖSTERÅKER</t>
        </is>
      </c>
      <c r="F1578" t="inlineStr">
        <is>
          <t>Övriga Aktiebolag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1016-2022</t>
        </is>
      </c>
      <c r="B1579" s="1" t="n">
        <v>44571</v>
      </c>
      <c r="C1579" s="1" t="n">
        <v>45571</v>
      </c>
      <c r="D1579" t="inlineStr">
        <is>
          <t>STOCKHOLMS LÄN</t>
        </is>
      </c>
      <c r="E1579" t="inlineStr">
        <is>
          <t>SÖDERTÄLJE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862-2022</t>
        </is>
      </c>
      <c r="B1580" s="1" t="n">
        <v>44571</v>
      </c>
      <c r="C1580" s="1" t="n">
        <v>45571</v>
      </c>
      <c r="D1580" t="inlineStr">
        <is>
          <t>STOCKHOLMS LÄN</t>
        </is>
      </c>
      <c r="E1580" t="inlineStr">
        <is>
          <t>SIGTUNA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1058-2022</t>
        </is>
      </c>
      <c r="B1581" s="1" t="n">
        <v>44571</v>
      </c>
      <c r="C1581" s="1" t="n">
        <v>45571</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1051-2022</t>
        </is>
      </c>
      <c r="B1582" s="1" t="n">
        <v>44571</v>
      </c>
      <c r="C1582" s="1" t="n">
        <v>45571</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1057-2022</t>
        </is>
      </c>
      <c r="B1583" s="1" t="n">
        <v>44571</v>
      </c>
      <c r="C1583" s="1" t="n">
        <v>45571</v>
      </c>
      <c r="D1583" t="inlineStr">
        <is>
          <t>STOCKHOLMS LÄN</t>
        </is>
      </c>
      <c r="E1583" t="inlineStr">
        <is>
          <t>UPPLANDS VÄSBY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1053-2022</t>
        </is>
      </c>
      <c r="B1584" s="1" t="n">
        <v>44571</v>
      </c>
      <c r="C1584" s="1" t="n">
        <v>45571</v>
      </c>
      <c r="D1584" t="inlineStr">
        <is>
          <t>STOCKHOLMS LÄN</t>
        </is>
      </c>
      <c r="E1584" t="inlineStr">
        <is>
          <t>UPPLANDS VÄSBY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1054-2022</t>
        </is>
      </c>
      <c r="B1585" s="1" t="n">
        <v>44571</v>
      </c>
      <c r="C1585" s="1" t="n">
        <v>45571</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1062-2022</t>
        </is>
      </c>
      <c r="B1586" s="1" t="n">
        <v>44571</v>
      </c>
      <c r="C1586" s="1" t="n">
        <v>45571</v>
      </c>
      <c r="D1586" t="inlineStr">
        <is>
          <t>STOCKHOLMS LÄN</t>
        </is>
      </c>
      <c r="E1586" t="inlineStr">
        <is>
          <t>UPPLANDS VÄSBY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1229-2022</t>
        </is>
      </c>
      <c r="B1587" s="1" t="n">
        <v>44572</v>
      </c>
      <c r="C1587" s="1" t="n">
        <v>45571</v>
      </c>
      <c r="D1587" t="inlineStr">
        <is>
          <t>STOCKHOLMS LÄN</t>
        </is>
      </c>
      <c r="E1587" t="inlineStr">
        <is>
          <t>NORRTÄLJE</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1353-2022</t>
        </is>
      </c>
      <c r="B1588" s="1" t="n">
        <v>44572</v>
      </c>
      <c r="C1588" s="1" t="n">
        <v>45571</v>
      </c>
      <c r="D1588" t="inlineStr">
        <is>
          <t>STOCKHOLMS LÄN</t>
        </is>
      </c>
      <c r="E1588" t="inlineStr">
        <is>
          <t>ÖSTERÅKER</t>
        </is>
      </c>
      <c r="F1588" t="inlineStr">
        <is>
          <t>Övriga Aktiebolag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1658-2022</t>
        </is>
      </c>
      <c r="B1589" s="1" t="n">
        <v>44574</v>
      </c>
      <c r="C1589" s="1" t="n">
        <v>45571</v>
      </c>
      <c r="D1589" t="inlineStr">
        <is>
          <t>STOCKHOLMS LÄN</t>
        </is>
      </c>
      <c r="E1589" t="inlineStr">
        <is>
          <t>NYNÄSHAMN</t>
        </is>
      </c>
      <c r="F1589" t="inlineStr">
        <is>
          <t>Kommuner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1704-2022</t>
        </is>
      </c>
      <c r="B1590" s="1" t="n">
        <v>44574</v>
      </c>
      <c r="C1590" s="1" t="n">
        <v>45571</v>
      </c>
      <c r="D1590" t="inlineStr">
        <is>
          <t>STOCKHOLMS LÄN</t>
        </is>
      </c>
      <c r="E1590" t="inlineStr">
        <is>
          <t>NORRTÄLJE</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1968-2022</t>
        </is>
      </c>
      <c r="B1591" s="1" t="n">
        <v>44575</v>
      </c>
      <c r="C1591" s="1" t="n">
        <v>45571</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1910-2022</t>
        </is>
      </c>
      <c r="B1592" s="1" t="n">
        <v>44575</v>
      </c>
      <c r="C1592" s="1" t="n">
        <v>45571</v>
      </c>
      <c r="D1592" t="inlineStr">
        <is>
          <t>STOCKHOLMS LÄN</t>
        </is>
      </c>
      <c r="E1592" t="inlineStr">
        <is>
          <t>ÖSTERÅKER</t>
        </is>
      </c>
      <c r="F1592" t="inlineStr">
        <is>
          <t>Övriga Aktiebolag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1939-2022</t>
        </is>
      </c>
      <c r="B1593" s="1" t="n">
        <v>44575</v>
      </c>
      <c r="C1593" s="1" t="n">
        <v>45571</v>
      </c>
      <c r="D1593" t="inlineStr">
        <is>
          <t>STOCKHOLMS LÄN</t>
        </is>
      </c>
      <c r="E1593" t="inlineStr">
        <is>
          <t>SÖDERTÄLJE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2148-2022</t>
        </is>
      </c>
      <c r="B1594" s="1" t="n">
        <v>44575</v>
      </c>
      <c r="C1594" s="1" t="n">
        <v>45571</v>
      </c>
      <c r="D1594" t="inlineStr">
        <is>
          <t>STOCKHOLMS LÄN</t>
        </is>
      </c>
      <c r="E1594" t="inlineStr">
        <is>
          <t>ÖSTERÅKER</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2180-2022</t>
        </is>
      </c>
      <c r="B1595" s="1" t="n">
        <v>44578</v>
      </c>
      <c r="C1595" s="1" t="n">
        <v>45571</v>
      </c>
      <c r="D1595" t="inlineStr">
        <is>
          <t>STOCKHOLMS LÄN</t>
        </is>
      </c>
      <c r="E1595" t="inlineStr">
        <is>
          <t>VALLENTUNA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2182-2022</t>
        </is>
      </c>
      <c r="B1596" s="1" t="n">
        <v>44578</v>
      </c>
      <c r="C1596" s="1" t="n">
        <v>45571</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2549-2022</t>
        </is>
      </c>
      <c r="B1597" s="1" t="n">
        <v>44580</v>
      </c>
      <c r="C1597" s="1" t="n">
        <v>45571</v>
      </c>
      <c r="D1597" t="inlineStr">
        <is>
          <t>STOCKHOLMS LÄN</t>
        </is>
      </c>
      <c r="E1597" t="inlineStr">
        <is>
          <t>NORRTÄLJE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2677-2022</t>
        </is>
      </c>
      <c r="B1598" s="1" t="n">
        <v>44580</v>
      </c>
      <c r="C1598" s="1" t="n">
        <v>45571</v>
      </c>
      <c r="D1598" t="inlineStr">
        <is>
          <t>STOCKHOLMS LÄN</t>
        </is>
      </c>
      <c r="E1598" t="inlineStr">
        <is>
          <t>NYNÄSHAMN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2688-2022</t>
        </is>
      </c>
      <c r="B1599" s="1" t="n">
        <v>44580</v>
      </c>
      <c r="C1599" s="1" t="n">
        <v>45571</v>
      </c>
      <c r="D1599" t="inlineStr">
        <is>
          <t>STOCKHOLMS LÄN</t>
        </is>
      </c>
      <c r="E1599" t="inlineStr">
        <is>
          <t>NYNÄSHAMN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2570-2022</t>
        </is>
      </c>
      <c r="B1600" s="1" t="n">
        <v>44580</v>
      </c>
      <c r="C1600" s="1" t="n">
        <v>45571</v>
      </c>
      <c r="D1600" t="inlineStr">
        <is>
          <t>STOCKHOLMS LÄN</t>
        </is>
      </c>
      <c r="E1600" t="inlineStr">
        <is>
          <t>ÖSTERÅKER</t>
        </is>
      </c>
      <c r="F1600" t="inlineStr">
        <is>
          <t>Övriga Aktiebolag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2732-2022</t>
        </is>
      </c>
      <c r="B1601" s="1" t="n">
        <v>44580</v>
      </c>
      <c r="C1601" s="1" t="n">
        <v>45571</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2849-2022</t>
        </is>
      </c>
      <c r="B1602" s="1" t="n">
        <v>44581</v>
      </c>
      <c r="C1602" s="1" t="n">
        <v>45571</v>
      </c>
      <c r="D1602" t="inlineStr">
        <is>
          <t>STOCKHOLMS LÄN</t>
        </is>
      </c>
      <c r="E1602" t="inlineStr">
        <is>
          <t>SÖDERTÄLJE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2867-2022</t>
        </is>
      </c>
      <c r="B1603" s="1" t="n">
        <v>44581</v>
      </c>
      <c r="C1603" s="1" t="n">
        <v>45571</v>
      </c>
      <c r="D1603" t="inlineStr">
        <is>
          <t>STOCKHOLMS LÄN</t>
        </is>
      </c>
      <c r="E1603" t="inlineStr">
        <is>
          <t>VALLENTUNA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2888-2022</t>
        </is>
      </c>
      <c r="B1604" s="1" t="n">
        <v>44581</v>
      </c>
      <c r="C1604" s="1" t="n">
        <v>45571</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2977-2022</t>
        </is>
      </c>
      <c r="B1605" s="1" t="n">
        <v>44581</v>
      </c>
      <c r="C1605" s="1" t="n">
        <v>45571</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3057-2022</t>
        </is>
      </c>
      <c r="B1606" s="1" t="n">
        <v>44582</v>
      </c>
      <c r="C1606" s="1" t="n">
        <v>45571</v>
      </c>
      <c r="D1606" t="inlineStr">
        <is>
          <t>STOCKHOLMS LÄN</t>
        </is>
      </c>
      <c r="E1606" t="inlineStr">
        <is>
          <t>VÄRMDÖ</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3154-2022</t>
        </is>
      </c>
      <c r="B1607" s="1" t="n">
        <v>44582</v>
      </c>
      <c r="C1607" s="1" t="n">
        <v>45571</v>
      </c>
      <c r="D1607" t="inlineStr">
        <is>
          <t>STOCKHOLMS LÄN</t>
        </is>
      </c>
      <c r="E1607" t="inlineStr">
        <is>
          <t>ÖSTERÅKER</t>
        </is>
      </c>
      <c r="F1607" t="inlineStr">
        <is>
          <t>Övriga Aktiebolag</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3222-2022</t>
        </is>
      </c>
      <c r="B1608" s="1" t="n">
        <v>44582</v>
      </c>
      <c r="C1608" s="1" t="n">
        <v>45571</v>
      </c>
      <c r="D1608" t="inlineStr">
        <is>
          <t>STOCKHOLMS LÄN</t>
        </is>
      </c>
      <c r="E1608" t="inlineStr">
        <is>
          <t>EKERÖ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3221-2022</t>
        </is>
      </c>
      <c r="B1609" s="1" t="n">
        <v>44582</v>
      </c>
      <c r="C1609" s="1" t="n">
        <v>45571</v>
      </c>
      <c r="D1609" t="inlineStr">
        <is>
          <t>STOCKHOLMS LÄN</t>
        </is>
      </c>
      <c r="E1609" t="inlineStr">
        <is>
          <t>EKERÖ</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3219-2022</t>
        </is>
      </c>
      <c r="B1610" s="1" t="n">
        <v>44582</v>
      </c>
      <c r="C1610" s="1" t="n">
        <v>45571</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3326-2022</t>
        </is>
      </c>
      <c r="B1611" s="1" t="n">
        <v>44583</v>
      </c>
      <c r="C1611" s="1" t="n">
        <v>45571</v>
      </c>
      <c r="D1611" t="inlineStr">
        <is>
          <t>STOCKHOLMS LÄN</t>
        </is>
      </c>
      <c r="E1611" t="inlineStr">
        <is>
          <t>ÖSTERÅKER</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3300-2022</t>
        </is>
      </c>
      <c r="B1612" s="1" t="n">
        <v>44584</v>
      </c>
      <c r="C1612" s="1" t="n">
        <v>45571</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3310-2022</t>
        </is>
      </c>
      <c r="B1613" s="1" t="n">
        <v>44584</v>
      </c>
      <c r="C1613" s="1" t="n">
        <v>45571</v>
      </c>
      <c r="D1613" t="inlineStr">
        <is>
          <t>STOCKHOLMS LÄN</t>
        </is>
      </c>
      <c r="E1613" t="inlineStr">
        <is>
          <t>NORRTÄLJE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3396-2022</t>
        </is>
      </c>
      <c r="B1614" s="1" t="n">
        <v>44585</v>
      </c>
      <c r="C1614" s="1" t="n">
        <v>45571</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3509-2022</t>
        </is>
      </c>
      <c r="B1615" s="1" t="n">
        <v>44585</v>
      </c>
      <c r="C1615" s="1" t="n">
        <v>45571</v>
      </c>
      <c r="D1615" t="inlineStr">
        <is>
          <t>STOCKHOLMS LÄN</t>
        </is>
      </c>
      <c r="E1615" t="inlineStr">
        <is>
          <t>NORRTÄLJE</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3596-2022</t>
        </is>
      </c>
      <c r="B1616" s="1" t="n">
        <v>44586</v>
      </c>
      <c r="C1616" s="1" t="n">
        <v>45571</v>
      </c>
      <c r="D1616" t="inlineStr">
        <is>
          <t>STOCKHOLMS LÄN</t>
        </is>
      </c>
      <c r="E1616" t="inlineStr">
        <is>
          <t>SÖDERTÄLJE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3681-2022</t>
        </is>
      </c>
      <c r="B1617" s="1" t="n">
        <v>44586</v>
      </c>
      <c r="C1617" s="1" t="n">
        <v>45571</v>
      </c>
      <c r="D1617" t="inlineStr">
        <is>
          <t>STOCKHOLMS LÄN</t>
        </is>
      </c>
      <c r="E1617" t="inlineStr">
        <is>
          <t>BOTKYRKA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3686-2022</t>
        </is>
      </c>
      <c r="B1618" s="1" t="n">
        <v>44586</v>
      </c>
      <c r="C1618" s="1" t="n">
        <v>45571</v>
      </c>
      <c r="D1618" t="inlineStr">
        <is>
          <t>STOCKHOLMS LÄN</t>
        </is>
      </c>
      <c r="E1618" t="inlineStr">
        <is>
          <t>BOTKYRKA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3592-2022</t>
        </is>
      </c>
      <c r="B1619" s="1" t="n">
        <v>44586</v>
      </c>
      <c r="C1619" s="1" t="n">
        <v>45571</v>
      </c>
      <c r="D1619" t="inlineStr">
        <is>
          <t>STOCKHOLMS LÄN</t>
        </is>
      </c>
      <c r="E1619" t="inlineStr">
        <is>
          <t>SÖDERTÄLJE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3585-2022</t>
        </is>
      </c>
      <c r="B1620" s="1" t="n">
        <v>44586</v>
      </c>
      <c r="C1620" s="1" t="n">
        <v>45571</v>
      </c>
      <c r="D1620" t="inlineStr">
        <is>
          <t>STOCKHOLMS LÄN</t>
        </is>
      </c>
      <c r="E1620" t="inlineStr">
        <is>
          <t>SÖDERTÄLJE</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3671-2022</t>
        </is>
      </c>
      <c r="B1621" s="1" t="n">
        <v>44586</v>
      </c>
      <c r="C1621" s="1" t="n">
        <v>45571</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3698-2022</t>
        </is>
      </c>
      <c r="B1622" s="1" t="n">
        <v>44586</v>
      </c>
      <c r="C1622" s="1" t="n">
        <v>45571</v>
      </c>
      <c r="D1622" t="inlineStr">
        <is>
          <t>STOCKHOLMS LÄN</t>
        </is>
      </c>
      <c r="E1622" t="inlineStr">
        <is>
          <t>VALLENTUNA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3706-2022</t>
        </is>
      </c>
      <c r="B1623" s="1" t="n">
        <v>44586</v>
      </c>
      <c r="C1623" s="1" t="n">
        <v>45571</v>
      </c>
      <c r="D1623" t="inlineStr">
        <is>
          <t>STOCKHOLMS LÄN</t>
        </is>
      </c>
      <c r="E1623" t="inlineStr">
        <is>
          <t>HANINGE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3726-2022</t>
        </is>
      </c>
      <c r="B1624" s="1" t="n">
        <v>44586</v>
      </c>
      <c r="C1624" s="1" t="n">
        <v>45571</v>
      </c>
      <c r="D1624" t="inlineStr">
        <is>
          <t>STOCKHOLMS LÄN</t>
        </is>
      </c>
      <c r="E1624" t="inlineStr">
        <is>
          <t>BOTKYRKA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3827-2022</t>
        </is>
      </c>
      <c r="B1625" s="1" t="n">
        <v>44587</v>
      </c>
      <c r="C1625" s="1" t="n">
        <v>45571</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3838-2022</t>
        </is>
      </c>
      <c r="B1626" s="1" t="n">
        <v>44587</v>
      </c>
      <c r="C1626" s="1" t="n">
        <v>45571</v>
      </c>
      <c r="D1626" t="inlineStr">
        <is>
          <t>STOCKHOLMS LÄN</t>
        </is>
      </c>
      <c r="E1626" t="inlineStr">
        <is>
          <t>UPPLANDS-BRO</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3937-2022</t>
        </is>
      </c>
      <c r="B1627" s="1" t="n">
        <v>44587</v>
      </c>
      <c r="C1627" s="1" t="n">
        <v>45571</v>
      </c>
      <c r="D1627" t="inlineStr">
        <is>
          <t>STOCKHOLMS LÄN</t>
        </is>
      </c>
      <c r="E1627" t="inlineStr">
        <is>
          <t>VALLENTUNA</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4860-2022</t>
        </is>
      </c>
      <c r="B1628" s="1" t="n">
        <v>44592</v>
      </c>
      <c r="C1628" s="1" t="n">
        <v>45571</v>
      </c>
      <c r="D1628" t="inlineStr">
        <is>
          <t>STOCKHOLMS LÄN</t>
        </is>
      </c>
      <c r="E1628" t="inlineStr">
        <is>
          <t>NORRTÄLJE</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5351-2022</t>
        </is>
      </c>
      <c r="B1629" s="1" t="n">
        <v>44594</v>
      </c>
      <c r="C1629" s="1" t="n">
        <v>45571</v>
      </c>
      <c r="D1629" t="inlineStr">
        <is>
          <t>STOCKHOLMS LÄN</t>
        </is>
      </c>
      <c r="E1629" t="inlineStr">
        <is>
          <t>NORRTÄLJE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5513-2022</t>
        </is>
      </c>
      <c r="B1630" s="1" t="n">
        <v>44595</v>
      </c>
      <c r="C1630" s="1" t="n">
        <v>45571</v>
      </c>
      <c r="D1630" t="inlineStr">
        <is>
          <t>STOCKHOLMS LÄN</t>
        </is>
      </c>
      <c r="E1630" t="inlineStr">
        <is>
          <t>NORRTÄLJE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5611-2022</t>
        </is>
      </c>
      <c r="B1631" s="1" t="n">
        <v>44595</v>
      </c>
      <c r="C1631" s="1" t="n">
        <v>45571</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5831-2022</t>
        </is>
      </c>
      <c r="B1632" s="1" t="n">
        <v>44596</v>
      </c>
      <c r="C1632" s="1" t="n">
        <v>45571</v>
      </c>
      <c r="D1632" t="inlineStr">
        <is>
          <t>STOCKHOLMS LÄN</t>
        </is>
      </c>
      <c r="E1632" t="inlineStr">
        <is>
          <t>NORRTÄLJE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5867-2022</t>
        </is>
      </c>
      <c r="B1633" s="1" t="n">
        <v>44596</v>
      </c>
      <c r="C1633" s="1" t="n">
        <v>45571</v>
      </c>
      <c r="D1633" t="inlineStr">
        <is>
          <t>STOCKHOLMS LÄN</t>
        </is>
      </c>
      <c r="E1633" t="inlineStr">
        <is>
          <t>NORRTÄLJE</t>
        </is>
      </c>
      <c r="F1633" t="inlineStr">
        <is>
          <t>Naturvårdsverket</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5910-2022</t>
        </is>
      </c>
      <c r="B1634" s="1" t="n">
        <v>44597</v>
      </c>
      <c r="C1634" s="1" t="n">
        <v>45571</v>
      </c>
      <c r="D1634" t="inlineStr">
        <is>
          <t>STOCKHOLMS LÄN</t>
        </is>
      </c>
      <c r="E1634" t="inlineStr">
        <is>
          <t>VALLENTUNA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6059-2022</t>
        </is>
      </c>
      <c r="B1635" s="1" t="n">
        <v>44599</v>
      </c>
      <c r="C1635" s="1" t="n">
        <v>45571</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6070-2022</t>
        </is>
      </c>
      <c r="B1636" s="1" t="n">
        <v>44599</v>
      </c>
      <c r="C1636" s="1" t="n">
        <v>45571</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6015-2022</t>
        </is>
      </c>
      <c r="B1637" s="1" t="n">
        <v>44599</v>
      </c>
      <c r="C1637" s="1" t="n">
        <v>45571</v>
      </c>
      <c r="D1637" t="inlineStr">
        <is>
          <t>STOCKHOLMS LÄN</t>
        </is>
      </c>
      <c r="E1637" t="inlineStr">
        <is>
          <t>VAXHOLM</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6295-2022</t>
        </is>
      </c>
      <c r="B1638" s="1" t="n">
        <v>44600</v>
      </c>
      <c r="C1638" s="1" t="n">
        <v>45571</v>
      </c>
      <c r="D1638" t="inlineStr">
        <is>
          <t>STOCKHOLMS LÄN</t>
        </is>
      </c>
      <c r="E1638" t="inlineStr">
        <is>
          <t>SÖDERTÄLJE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6332-2022</t>
        </is>
      </c>
      <c r="B1639" s="1" t="n">
        <v>44600</v>
      </c>
      <c r="C1639" s="1" t="n">
        <v>45571</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6740-2022</t>
        </is>
      </c>
      <c r="B1640" s="1" t="n">
        <v>44602</v>
      </c>
      <c r="C1640" s="1" t="n">
        <v>45571</v>
      </c>
      <c r="D1640" t="inlineStr">
        <is>
          <t>STOCKHOLMS LÄN</t>
        </is>
      </c>
      <c r="E1640" t="inlineStr">
        <is>
          <t>SÖDERTÄLJE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6775-2022</t>
        </is>
      </c>
      <c r="B1641" s="1" t="n">
        <v>44602</v>
      </c>
      <c r="C1641" s="1" t="n">
        <v>45571</v>
      </c>
      <c r="D1641" t="inlineStr">
        <is>
          <t>STOCKHOLMS LÄN</t>
        </is>
      </c>
      <c r="E1641" t="inlineStr">
        <is>
          <t>NYNÄSHAMN</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6846-2022</t>
        </is>
      </c>
      <c r="B1642" s="1" t="n">
        <v>44602</v>
      </c>
      <c r="C1642" s="1" t="n">
        <v>45571</v>
      </c>
      <c r="D1642" t="inlineStr">
        <is>
          <t>STOCKHOLMS LÄN</t>
        </is>
      </c>
      <c r="E1642" t="inlineStr">
        <is>
          <t>NYNÄSHAMN</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6876-2022</t>
        </is>
      </c>
      <c r="B1643" s="1" t="n">
        <v>44602</v>
      </c>
      <c r="C1643" s="1" t="n">
        <v>45571</v>
      </c>
      <c r="D1643" t="inlineStr">
        <is>
          <t>STOCKHOLMS LÄN</t>
        </is>
      </c>
      <c r="E1643" t="inlineStr">
        <is>
          <t>NYKVARN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6854-2022</t>
        </is>
      </c>
      <c r="B1644" s="1" t="n">
        <v>44602</v>
      </c>
      <c r="C1644" s="1" t="n">
        <v>45571</v>
      </c>
      <c r="D1644" t="inlineStr">
        <is>
          <t>STOCKHOLMS LÄN</t>
        </is>
      </c>
      <c r="E1644" t="inlineStr">
        <is>
          <t>NYKVARN</t>
        </is>
      </c>
      <c r="F1644" t="inlineStr">
        <is>
          <t>Kommuner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6867-2022</t>
        </is>
      </c>
      <c r="B1645" s="1" t="n">
        <v>44602</v>
      </c>
      <c r="C1645" s="1" t="n">
        <v>45571</v>
      </c>
      <c r="D1645" t="inlineStr">
        <is>
          <t>STOCKHOLMS LÄN</t>
        </is>
      </c>
      <c r="E1645" t="inlineStr">
        <is>
          <t>NYKVARN</t>
        </is>
      </c>
      <c r="F1645" t="inlineStr">
        <is>
          <t>Kommuner</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6857-2022</t>
        </is>
      </c>
      <c r="B1646" s="1" t="n">
        <v>44602</v>
      </c>
      <c r="C1646" s="1" t="n">
        <v>45571</v>
      </c>
      <c r="D1646" t="inlineStr">
        <is>
          <t>STOCKHOLMS LÄN</t>
        </is>
      </c>
      <c r="E1646" t="inlineStr">
        <is>
          <t>NYKVARN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6861-2022</t>
        </is>
      </c>
      <c r="B1647" s="1" t="n">
        <v>44602</v>
      </c>
      <c r="C1647" s="1" t="n">
        <v>45571</v>
      </c>
      <c r="D1647" t="inlineStr">
        <is>
          <t>STOCKHOLMS LÄN</t>
        </is>
      </c>
      <c r="E1647" t="inlineStr">
        <is>
          <t>NYKVARN</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6886-2022</t>
        </is>
      </c>
      <c r="B1648" s="1" t="n">
        <v>44602</v>
      </c>
      <c r="C1648" s="1" t="n">
        <v>45571</v>
      </c>
      <c r="D1648" t="inlineStr">
        <is>
          <t>STOCKHOLMS LÄN</t>
        </is>
      </c>
      <c r="E1648" t="inlineStr">
        <is>
          <t>SÖDERTÄLJE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7073-2022</t>
        </is>
      </c>
      <c r="B1649" s="1" t="n">
        <v>44603</v>
      </c>
      <c r="C1649" s="1" t="n">
        <v>45571</v>
      </c>
      <c r="D1649" t="inlineStr">
        <is>
          <t>STOCKHOLMS LÄN</t>
        </is>
      </c>
      <c r="E1649" t="inlineStr">
        <is>
          <t>VALLENTUNA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6982-2022</t>
        </is>
      </c>
      <c r="B1650" s="1" t="n">
        <v>44603</v>
      </c>
      <c r="C1650" s="1" t="n">
        <v>45571</v>
      </c>
      <c r="D1650" t="inlineStr">
        <is>
          <t>STOCKHOLMS LÄN</t>
        </is>
      </c>
      <c r="E1650" t="inlineStr">
        <is>
          <t>UPPLANDS-BRO</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7085-2022</t>
        </is>
      </c>
      <c r="B1651" s="1" t="n">
        <v>44603</v>
      </c>
      <c r="C1651" s="1" t="n">
        <v>45571</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7214-2022</t>
        </is>
      </c>
      <c r="B1652" s="1" t="n">
        <v>44606</v>
      </c>
      <c r="C1652" s="1" t="n">
        <v>45571</v>
      </c>
      <c r="D1652" t="inlineStr">
        <is>
          <t>STOCKHOLMS LÄN</t>
        </is>
      </c>
      <c r="E1652" t="inlineStr">
        <is>
          <t>SIGTUNA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7264-2022</t>
        </is>
      </c>
      <c r="B1653" s="1" t="n">
        <v>44606</v>
      </c>
      <c r="C1653" s="1" t="n">
        <v>45571</v>
      </c>
      <c r="D1653" t="inlineStr">
        <is>
          <t>STOCKHOLMS LÄN</t>
        </is>
      </c>
      <c r="E1653" t="inlineStr">
        <is>
          <t>VALLENTUNA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7280-2022</t>
        </is>
      </c>
      <c r="B1654" s="1" t="n">
        <v>44606</v>
      </c>
      <c r="C1654" s="1" t="n">
        <v>45571</v>
      </c>
      <c r="D1654" t="inlineStr">
        <is>
          <t>STOCKHOLMS LÄN</t>
        </is>
      </c>
      <c r="E1654" t="inlineStr">
        <is>
          <t>SIGTUNA</t>
        </is>
      </c>
      <c r="F1654" t="inlineStr">
        <is>
          <t>Övriga statliga verk och myndigheter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7276-2022</t>
        </is>
      </c>
      <c r="B1655" s="1" t="n">
        <v>44606</v>
      </c>
      <c r="C1655" s="1" t="n">
        <v>45571</v>
      </c>
      <c r="D1655" t="inlineStr">
        <is>
          <t>STOCKHOLMS LÄN</t>
        </is>
      </c>
      <c r="E1655" t="inlineStr">
        <is>
          <t>VALLENTUNA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7301-2022</t>
        </is>
      </c>
      <c r="B1656" s="1" t="n">
        <v>44606</v>
      </c>
      <c r="C1656" s="1" t="n">
        <v>45571</v>
      </c>
      <c r="D1656" t="inlineStr">
        <is>
          <t>STOCKHOLMS LÄN</t>
        </is>
      </c>
      <c r="E1656" t="inlineStr">
        <is>
          <t>NORRTÄLJE</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7275-2022</t>
        </is>
      </c>
      <c r="B1657" s="1" t="n">
        <v>44606</v>
      </c>
      <c r="C1657" s="1" t="n">
        <v>45571</v>
      </c>
      <c r="D1657" t="inlineStr">
        <is>
          <t>STOCKHOLMS LÄN</t>
        </is>
      </c>
      <c r="E1657" t="inlineStr">
        <is>
          <t>UPPLANDS-BRO</t>
        </is>
      </c>
      <c r="F1657" t="inlineStr">
        <is>
          <t>Övriga statliga verk och myndigheter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7565-2022</t>
        </is>
      </c>
      <c r="B1658" s="1" t="n">
        <v>44607</v>
      </c>
      <c r="C1658" s="1" t="n">
        <v>45571</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7834-2022</t>
        </is>
      </c>
      <c r="B1659" s="1" t="n">
        <v>44608</v>
      </c>
      <c r="C1659" s="1" t="n">
        <v>45571</v>
      </c>
      <c r="D1659" t="inlineStr">
        <is>
          <t>STOCKHOLMS LÄN</t>
        </is>
      </c>
      <c r="E1659" t="inlineStr">
        <is>
          <t>ÖSTERÅKER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8024-2022</t>
        </is>
      </c>
      <c r="B1660" s="1" t="n">
        <v>44609</v>
      </c>
      <c r="C1660" s="1" t="n">
        <v>45571</v>
      </c>
      <c r="D1660" t="inlineStr">
        <is>
          <t>STOCKHOLMS LÄN</t>
        </is>
      </c>
      <c r="E1660" t="inlineStr">
        <is>
          <t>NORRTÄLJE</t>
        </is>
      </c>
      <c r="F1660" t="inlineStr">
        <is>
          <t>Kyrkan</t>
        </is>
      </c>
      <c r="G1660" t="n">
        <v>28.2</v>
      </c>
      <c r="H1660" t="n">
        <v>0</v>
      </c>
      <c r="I1660" t="n">
        <v>0</v>
      </c>
      <c r="J1660" t="n">
        <v>0</v>
      </c>
      <c r="K1660" t="n">
        <v>0</v>
      </c>
      <c r="L1660" t="n">
        <v>0</v>
      </c>
      <c r="M1660" t="n">
        <v>0</v>
      </c>
      <c r="N1660" t="n">
        <v>0</v>
      </c>
      <c r="O1660" t="n">
        <v>0</v>
      </c>
      <c r="P1660" t="n">
        <v>0</v>
      </c>
      <c r="Q1660" t="n">
        <v>0</v>
      </c>
      <c r="R1660" s="2" t="inlineStr"/>
    </row>
    <row r="1661" ht="15" customHeight="1">
      <c r="A1661" t="inlineStr">
        <is>
          <t>A 8049-2022</t>
        </is>
      </c>
      <c r="B1661" s="1" t="n">
        <v>44609</v>
      </c>
      <c r="C1661" s="1" t="n">
        <v>45571</v>
      </c>
      <c r="D1661" t="inlineStr">
        <is>
          <t>STOCKHOLMS LÄN</t>
        </is>
      </c>
      <c r="E1661" t="inlineStr">
        <is>
          <t>NORRTÄLJE</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8077-2022</t>
        </is>
      </c>
      <c r="B1662" s="1" t="n">
        <v>44609</v>
      </c>
      <c r="C1662" s="1" t="n">
        <v>45571</v>
      </c>
      <c r="D1662" t="inlineStr">
        <is>
          <t>STOCKHOLMS LÄN</t>
        </is>
      </c>
      <c r="E1662" t="inlineStr">
        <is>
          <t>VALLENTUNA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8089-2022</t>
        </is>
      </c>
      <c r="B1663" s="1" t="n">
        <v>44609</v>
      </c>
      <c r="C1663" s="1" t="n">
        <v>45571</v>
      </c>
      <c r="D1663" t="inlineStr">
        <is>
          <t>STOCKHOLMS LÄN</t>
        </is>
      </c>
      <c r="E1663" t="inlineStr">
        <is>
          <t>VALLENTUNA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8065-2022</t>
        </is>
      </c>
      <c r="B1664" s="1" t="n">
        <v>44609</v>
      </c>
      <c r="C1664" s="1" t="n">
        <v>45571</v>
      </c>
      <c r="D1664" t="inlineStr">
        <is>
          <t>STOCKHOLMS LÄN</t>
        </is>
      </c>
      <c r="E1664" t="inlineStr">
        <is>
          <t>VALLENTUNA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8160-2022</t>
        </is>
      </c>
      <c r="B1665" s="1" t="n">
        <v>44609</v>
      </c>
      <c r="C1665" s="1" t="n">
        <v>45571</v>
      </c>
      <c r="D1665" t="inlineStr">
        <is>
          <t>STOCKHOLMS LÄN</t>
        </is>
      </c>
      <c r="E1665" t="inlineStr">
        <is>
          <t>NORRTÄLJE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8261-2022</t>
        </is>
      </c>
      <c r="B1666" s="1" t="n">
        <v>44609</v>
      </c>
      <c r="C1666" s="1" t="n">
        <v>45571</v>
      </c>
      <c r="D1666" t="inlineStr">
        <is>
          <t>STOCKHOLMS LÄN</t>
        </is>
      </c>
      <c r="E1666" t="inlineStr">
        <is>
          <t>UPPLANDS-BRO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8295-2022</t>
        </is>
      </c>
      <c r="B1667" s="1" t="n">
        <v>44610</v>
      </c>
      <c r="C1667" s="1" t="n">
        <v>45571</v>
      </c>
      <c r="D1667" t="inlineStr">
        <is>
          <t>STOCKHOLMS LÄN</t>
        </is>
      </c>
      <c r="E1667" t="inlineStr">
        <is>
          <t>NYKVARN</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8433-2022</t>
        </is>
      </c>
      <c r="B1668" s="1" t="n">
        <v>44611</v>
      </c>
      <c r="C1668" s="1" t="n">
        <v>45571</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8748-2022</t>
        </is>
      </c>
      <c r="B1669" s="1" t="n">
        <v>44613</v>
      </c>
      <c r="C1669" s="1" t="n">
        <v>45571</v>
      </c>
      <c r="D1669" t="inlineStr">
        <is>
          <t>STOCKHOLMS LÄN</t>
        </is>
      </c>
      <c r="E1669" t="inlineStr">
        <is>
          <t>UPPLANDS VÄSBY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8746-2022</t>
        </is>
      </c>
      <c r="B1670" s="1" t="n">
        <v>44613</v>
      </c>
      <c r="C1670" s="1" t="n">
        <v>45571</v>
      </c>
      <c r="D1670" t="inlineStr">
        <is>
          <t>STOCKHOLMS LÄN</t>
        </is>
      </c>
      <c r="E1670" t="inlineStr">
        <is>
          <t>UPPLANDS VÄSBY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9019-2022</t>
        </is>
      </c>
      <c r="B1671" s="1" t="n">
        <v>44615</v>
      </c>
      <c r="C1671" s="1" t="n">
        <v>45571</v>
      </c>
      <c r="D1671" t="inlineStr">
        <is>
          <t>STOCKHOLMS LÄN</t>
        </is>
      </c>
      <c r="E1671" t="inlineStr">
        <is>
          <t>VÄRMDÖ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9408-2022</t>
        </is>
      </c>
      <c r="B1672" s="1" t="n">
        <v>44616</v>
      </c>
      <c r="C1672" s="1" t="n">
        <v>45571</v>
      </c>
      <c r="D1672" t="inlineStr">
        <is>
          <t>STOCKHOLMS LÄN</t>
        </is>
      </c>
      <c r="E1672" t="inlineStr">
        <is>
          <t>NYKVARN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9442-2022</t>
        </is>
      </c>
      <c r="B1673" s="1" t="n">
        <v>44616</v>
      </c>
      <c r="C1673" s="1" t="n">
        <v>45571</v>
      </c>
      <c r="D1673" t="inlineStr">
        <is>
          <t>STOCKHOLMS LÄN</t>
        </is>
      </c>
      <c r="E1673" t="inlineStr">
        <is>
          <t>VALLENTUNA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9668-2022</t>
        </is>
      </c>
      <c r="B1674" s="1" t="n">
        <v>44617</v>
      </c>
      <c r="C1674" s="1" t="n">
        <v>45571</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9654-2022</t>
        </is>
      </c>
      <c r="B1675" s="1" t="n">
        <v>44617</v>
      </c>
      <c r="C1675" s="1" t="n">
        <v>45571</v>
      </c>
      <c r="D1675" t="inlineStr">
        <is>
          <t>STOCKHOLMS LÄN</t>
        </is>
      </c>
      <c r="E1675" t="inlineStr">
        <is>
          <t>NORRTÄLJE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9750-2022</t>
        </is>
      </c>
      <c r="B1676" s="1" t="n">
        <v>44618</v>
      </c>
      <c r="C1676" s="1" t="n">
        <v>45571</v>
      </c>
      <c r="D1676" t="inlineStr">
        <is>
          <t>STOCKHOLMS LÄN</t>
        </is>
      </c>
      <c r="E1676" t="inlineStr">
        <is>
          <t>SIGTUNA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9749-2022</t>
        </is>
      </c>
      <c r="B1677" s="1" t="n">
        <v>44618</v>
      </c>
      <c r="C1677" s="1" t="n">
        <v>45571</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9743-2022</t>
        </is>
      </c>
      <c r="B1678" s="1" t="n">
        <v>44618</v>
      </c>
      <c r="C1678" s="1" t="n">
        <v>45571</v>
      </c>
      <c r="D1678" t="inlineStr">
        <is>
          <t>STOCKHOLMS LÄN</t>
        </is>
      </c>
      <c r="E1678" t="inlineStr">
        <is>
          <t>VALLENTUNA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9767-2022</t>
        </is>
      </c>
      <c r="B1679" s="1" t="n">
        <v>44619</v>
      </c>
      <c r="C1679" s="1" t="n">
        <v>45571</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9988-2022</t>
        </is>
      </c>
      <c r="B1680" s="1" t="n">
        <v>44621</v>
      </c>
      <c r="C1680" s="1" t="n">
        <v>45571</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10082-2022</t>
        </is>
      </c>
      <c r="B1681" s="1" t="n">
        <v>44621</v>
      </c>
      <c r="C1681" s="1" t="n">
        <v>45571</v>
      </c>
      <c r="D1681" t="inlineStr">
        <is>
          <t>STOCKHOLMS LÄN</t>
        </is>
      </c>
      <c r="E1681" t="inlineStr">
        <is>
          <t>ÖSTERÅKER</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9964-2022</t>
        </is>
      </c>
      <c r="B1682" s="1" t="n">
        <v>44621</v>
      </c>
      <c r="C1682" s="1" t="n">
        <v>45571</v>
      </c>
      <c r="D1682" t="inlineStr">
        <is>
          <t>STOCKHOLMS LÄN</t>
        </is>
      </c>
      <c r="E1682" t="inlineStr">
        <is>
          <t>NYNÄSHAMN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10090-2022</t>
        </is>
      </c>
      <c r="B1683" s="1" t="n">
        <v>44621</v>
      </c>
      <c r="C1683" s="1" t="n">
        <v>45571</v>
      </c>
      <c r="D1683" t="inlineStr">
        <is>
          <t>STOCKHOLMS LÄN</t>
        </is>
      </c>
      <c r="E1683" t="inlineStr">
        <is>
          <t>NORRTÄLJE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10098-2022</t>
        </is>
      </c>
      <c r="B1684" s="1" t="n">
        <v>44621</v>
      </c>
      <c r="C1684" s="1" t="n">
        <v>45571</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10521-2022</t>
        </is>
      </c>
      <c r="B1685" s="1" t="n">
        <v>44623</v>
      </c>
      <c r="C1685" s="1" t="n">
        <v>45571</v>
      </c>
      <c r="D1685" t="inlineStr">
        <is>
          <t>STOCKHOLMS LÄN</t>
        </is>
      </c>
      <c r="E1685" t="inlineStr">
        <is>
          <t>NORRTÄLJE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10653-2022</t>
        </is>
      </c>
      <c r="B1686" s="1" t="n">
        <v>44624</v>
      </c>
      <c r="C1686" s="1" t="n">
        <v>45571</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10710-2022</t>
        </is>
      </c>
      <c r="B1687" s="1" t="n">
        <v>44626</v>
      </c>
      <c r="C1687" s="1" t="n">
        <v>45571</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10711-2022</t>
        </is>
      </c>
      <c r="B1688" s="1" t="n">
        <v>44626</v>
      </c>
      <c r="C1688" s="1" t="n">
        <v>45571</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11095-2022</t>
        </is>
      </c>
      <c r="B1689" s="1" t="n">
        <v>44628</v>
      </c>
      <c r="C1689" s="1" t="n">
        <v>45571</v>
      </c>
      <c r="D1689" t="inlineStr">
        <is>
          <t>STOCKHOLMS LÄN</t>
        </is>
      </c>
      <c r="E1689" t="inlineStr">
        <is>
          <t>BOTKYRKA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11150-2022</t>
        </is>
      </c>
      <c r="B1690" s="1" t="n">
        <v>44629</v>
      </c>
      <c r="C1690" s="1" t="n">
        <v>45571</v>
      </c>
      <c r="D1690" t="inlineStr">
        <is>
          <t>STOCKHOLMS LÄN</t>
        </is>
      </c>
      <c r="E1690" t="inlineStr">
        <is>
          <t>NORRTÄLJE</t>
        </is>
      </c>
      <c r="F1690" t="inlineStr">
        <is>
          <t>Övriga Aktiebolag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11229-2022</t>
        </is>
      </c>
      <c r="B1691" s="1" t="n">
        <v>44629</v>
      </c>
      <c r="C1691" s="1" t="n">
        <v>45571</v>
      </c>
      <c r="D1691" t="inlineStr">
        <is>
          <t>STOCKHOLMS LÄN</t>
        </is>
      </c>
      <c r="E1691" t="inlineStr">
        <is>
          <t>NORRTÄLJE</t>
        </is>
      </c>
      <c r="F1691" t="inlineStr">
        <is>
          <t>Övriga Aktiebolag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11393-2022</t>
        </is>
      </c>
      <c r="B1692" s="1" t="n">
        <v>44630</v>
      </c>
      <c r="C1692" s="1" t="n">
        <v>45571</v>
      </c>
      <c r="D1692" t="inlineStr">
        <is>
          <t>STOCKHOLMS LÄN</t>
        </is>
      </c>
      <c r="E1692" t="inlineStr">
        <is>
          <t>NYKVARN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11348-2022</t>
        </is>
      </c>
      <c r="B1693" s="1" t="n">
        <v>44630</v>
      </c>
      <c r="C1693" s="1" t="n">
        <v>45571</v>
      </c>
      <c r="D1693" t="inlineStr">
        <is>
          <t>STOCKHOLMS LÄN</t>
        </is>
      </c>
      <c r="E1693" t="inlineStr">
        <is>
          <t>NYKVARN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11430-2022</t>
        </is>
      </c>
      <c r="B1694" s="1" t="n">
        <v>44630</v>
      </c>
      <c r="C1694" s="1" t="n">
        <v>45571</v>
      </c>
      <c r="D1694" t="inlineStr">
        <is>
          <t>STOCKHOLMS LÄN</t>
        </is>
      </c>
      <c r="E1694" t="inlineStr">
        <is>
          <t>NYKVARN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11533-2022</t>
        </is>
      </c>
      <c r="B1695" s="1" t="n">
        <v>44631</v>
      </c>
      <c r="C1695" s="1" t="n">
        <v>45571</v>
      </c>
      <c r="D1695" t="inlineStr">
        <is>
          <t>STOCKHOLMS LÄN</t>
        </is>
      </c>
      <c r="E1695" t="inlineStr">
        <is>
          <t>NORRTÄLJE</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11821-2022</t>
        </is>
      </c>
      <c r="B1696" s="1" t="n">
        <v>44634</v>
      </c>
      <c r="C1696" s="1" t="n">
        <v>45571</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11900-2022</t>
        </is>
      </c>
      <c r="B1697" s="1" t="n">
        <v>44635</v>
      </c>
      <c r="C1697" s="1" t="n">
        <v>45571</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11996-2022</t>
        </is>
      </c>
      <c r="B1698" s="1" t="n">
        <v>44635</v>
      </c>
      <c r="C1698" s="1" t="n">
        <v>45571</v>
      </c>
      <c r="D1698" t="inlineStr">
        <is>
          <t>STOCKHOLMS LÄN</t>
        </is>
      </c>
      <c r="E1698" t="inlineStr">
        <is>
          <t>NYKVARN</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12355-2022</t>
        </is>
      </c>
      <c r="B1699" s="1" t="n">
        <v>44637</v>
      </c>
      <c r="C1699" s="1" t="n">
        <v>45571</v>
      </c>
      <c r="D1699" t="inlineStr">
        <is>
          <t>STOCKHOLMS LÄN</t>
        </is>
      </c>
      <c r="E1699" t="inlineStr">
        <is>
          <t>NORRTÄLJE</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12234-2022</t>
        </is>
      </c>
      <c r="B1700" s="1" t="n">
        <v>44637</v>
      </c>
      <c r="C1700" s="1" t="n">
        <v>45571</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12270-2022</t>
        </is>
      </c>
      <c r="B1701" s="1" t="n">
        <v>44637</v>
      </c>
      <c r="C1701" s="1" t="n">
        <v>45571</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12314-2022</t>
        </is>
      </c>
      <c r="B1702" s="1" t="n">
        <v>44637</v>
      </c>
      <c r="C1702" s="1" t="n">
        <v>45571</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45571</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12357-2022</t>
        </is>
      </c>
      <c r="B1704" s="1" t="n">
        <v>44637</v>
      </c>
      <c r="C1704" s="1" t="n">
        <v>45571</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12406-2022</t>
        </is>
      </c>
      <c r="B1705" s="1" t="n">
        <v>44638</v>
      </c>
      <c r="C1705" s="1" t="n">
        <v>45571</v>
      </c>
      <c r="D1705" t="inlineStr">
        <is>
          <t>STOCKHOLMS LÄN</t>
        </is>
      </c>
      <c r="E1705" t="inlineStr">
        <is>
          <t>NYKVARN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62765-2022</t>
        </is>
      </c>
      <c r="B1706" s="1" t="n">
        <v>44637</v>
      </c>
      <c r="C1706" s="1" t="n">
        <v>45571</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12578-2022</t>
        </is>
      </c>
      <c r="B1707" s="1" t="n">
        <v>44638</v>
      </c>
      <c r="C1707" s="1" t="n">
        <v>45571</v>
      </c>
      <c r="D1707" t="inlineStr">
        <is>
          <t>STOCKHOLMS LÄN</t>
        </is>
      </c>
      <c r="E1707" t="inlineStr">
        <is>
          <t>NYKVARN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12691-2022</t>
        </is>
      </c>
      <c r="B1708" s="1" t="n">
        <v>44641</v>
      </c>
      <c r="C1708" s="1" t="n">
        <v>45571</v>
      </c>
      <c r="D1708" t="inlineStr">
        <is>
          <t>STOCKHOLMS LÄN</t>
        </is>
      </c>
      <c r="E1708" t="inlineStr">
        <is>
          <t>SÖDERTÄLJE</t>
        </is>
      </c>
      <c r="F1708" t="inlineStr">
        <is>
          <t>Övriga Aktiebolag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12874-2022</t>
        </is>
      </c>
      <c r="B1709" s="1" t="n">
        <v>44642</v>
      </c>
      <c r="C1709" s="1" t="n">
        <v>45571</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12900-2022</t>
        </is>
      </c>
      <c r="B1710" s="1" t="n">
        <v>44642</v>
      </c>
      <c r="C1710" s="1" t="n">
        <v>45571</v>
      </c>
      <c r="D1710" t="inlineStr">
        <is>
          <t>STOCKHOLMS LÄN</t>
        </is>
      </c>
      <c r="E1710" t="inlineStr">
        <is>
          <t>SIGTUNA</t>
        </is>
      </c>
      <c r="G1710" t="n">
        <v>5.6</v>
      </c>
      <c r="H1710" t="n">
        <v>0</v>
      </c>
      <c r="I1710" t="n">
        <v>0</v>
      </c>
      <c r="J1710" t="n">
        <v>0</v>
      </c>
      <c r="K1710" t="n">
        <v>0</v>
      </c>
      <c r="L1710" t="n">
        <v>0</v>
      </c>
      <c r="M1710" t="n">
        <v>0</v>
      </c>
      <c r="N1710" t="n">
        <v>0</v>
      </c>
      <c r="O1710" t="n">
        <v>0</v>
      </c>
      <c r="P1710" t="n">
        <v>0</v>
      </c>
      <c r="Q1710" t="n">
        <v>0</v>
      </c>
      <c r="R1710" s="2" t="inlineStr"/>
      <c r="U1710">
        <f>HYPERLINK("https://klasma.github.io/Logging_0191/knärot/A 12900-2022 karta knärot.png", "A 12900-2022")</f>
        <v/>
      </c>
      <c r="V1710">
        <f>HYPERLINK("https://klasma.github.io/Logging_0191/klagomål/A 12900-2022 FSC-klagomål.docx", "A 12900-2022")</f>
        <v/>
      </c>
      <c r="W1710">
        <f>HYPERLINK("https://klasma.github.io/Logging_0191/klagomålsmail/A 12900-2022 FSC-klagomål mail.docx", "A 12900-2022")</f>
        <v/>
      </c>
      <c r="X1710">
        <f>HYPERLINK("https://klasma.github.io/Logging_0191/tillsyn/A 12900-2022 tillsynsbegäran.docx", "A 12900-2022")</f>
        <v/>
      </c>
      <c r="Y1710">
        <f>HYPERLINK("https://klasma.github.io/Logging_0191/tillsynsmail/A 12900-2022 tillsynsbegäran mail.docx", "A 12900-2022")</f>
        <v/>
      </c>
    </row>
    <row r="1711" ht="15" customHeight="1">
      <c r="A1711" t="inlineStr">
        <is>
          <t>A 12816-2022</t>
        </is>
      </c>
      <c r="B1711" s="1" t="n">
        <v>44642</v>
      </c>
      <c r="C1711" s="1" t="n">
        <v>45571</v>
      </c>
      <c r="D1711" t="inlineStr">
        <is>
          <t>STOCKHOLMS LÄN</t>
        </is>
      </c>
      <c r="E1711" t="inlineStr">
        <is>
          <t>NORRTÄLJE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12877-2022</t>
        </is>
      </c>
      <c r="B1712" s="1" t="n">
        <v>44642</v>
      </c>
      <c r="C1712" s="1" t="n">
        <v>45571</v>
      </c>
      <c r="D1712" t="inlineStr">
        <is>
          <t>STOCKHOLMS LÄN</t>
        </is>
      </c>
      <c r="E1712" t="inlineStr">
        <is>
          <t>NORRTÄLJE</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12931-2022</t>
        </is>
      </c>
      <c r="B1713" s="1" t="n">
        <v>44642</v>
      </c>
      <c r="C1713" s="1" t="n">
        <v>45571</v>
      </c>
      <c r="D1713" t="inlineStr">
        <is>
          <t>STOCKHOLMS LÄN</t>
        </is>
      </c>
      <c r="E1713" t="inlineStr">
        <is>
          <t>SIGTUNA</t>
        </is>
      </c>
      <c r="F1713" t="inlineStr">
        <is>
          <t>Kyrkan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12875-2022</t>
        </is>
      </c>
      <c r="B1714" s="1" t="n">
        <v>44642</v>
      </c>
      <c r="C1714" s="1" t="n">
        <v>45571</v>
      </c>
      <c r="D1714" t="inlineStr">
        <is>
          <t>STOCKHOLMS LÄN</t>
        </is>
      </c>
      <c r="E1714" t="inlineStr">
        <is>
          <t>NORRTÄLJE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13077-2022</t>
        </is>
      </c>
      <c r="B1715" s="1" t="n">
        <v>44643</v>
      </c>
      <c r="C1715" s="1" t="n">
        <v>45571</v>
      </c>
      <c r="D1715" t="inlineStr">
        <is>
          <t>STOCKHOLMS LÄN</t>
        </is>
      </c>
      <c r="E1715" t="inlineStr">
        <is>
          <t>NORRTÄLJE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13053-2022</t>
        </is>
      </c>
      <c r="B1716" s="1" t="n">
        <v>44643</v>
      </c>
      <c r="C1716" s="1" t="n">
        <v>45571</v>
      </c>
      <c r="D1716" t="inlineStr">
        <is>
          <t>STOCKHOLMS LÄN</t>
        </is>
      </c>
      <c r="E1716" t="inlineStr">
        <is>
          <t>NORRTÄLJE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13089-2022</t>
        </is>
      </c>
      <c r="B1717" s="1" t="n">
        <v>44643</v>
      </c>
      <c r="C1717" s="1" t="n">
        <v>45571</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13135-2022</t>
        </is>
      </c>
      <c r="B1718" s="1" t="n">
        <v>44643</v>
      </c>
      <c r="C1718" s="1" t="n">
        <v>45571</v>
      </c>
      <c r="D1718" t="inlineStr">
        <is>
          <t>STOCKHOLMS LÄN</t>
        </is>
      </c>
      <c r="E1718" t="inlineStr">
        <is>
          <t>HANINGE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13106-2022</t>
        </is>
      </c>
      <c r="B1719" s="1" t="n">
        <v>44644</v>
      </c>
      <c r="C1719" s="1" t="n">
        <v>45571</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13278-2022</t>
        </is>
      </c>
      <c r="B1720" s="1" t="n">
        <v>44644</v>
      </c>
      <c r="C1720" s="1" t="n">
        <v>45571</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13276-2022</t>
        </is>
      </c>
      <c r="B1721" s="1" t="n">
        <v>44644</v>
      </c>
      <c r="C1721" s="1" t="n">
        <v>45571</v>
      </c>
      <c r="D1721" t="inlineStr">
        <is>
          <t>STOCKHOLMS LÄN</t>
        </is>
      </c>
      <c r="E1721" t="inlineStr">
        <is>
          <t>NORRTÄLJE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13395-2022</t>
        </is>
      </c>
      <c r="B1722" s="1" t="n">
        <v>44645</v>
      </c>
      <c r="C1722" s="1" t="n">
        <v>45571</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13696-2022</t>
        </is>
      </c>
      <c r="B1723" s="1" t="n">
        <v>44648</v>
      </c>
      <c r="C1723" s="1" t="n">
        <v>45571</v>
      </c>
      <c r="D1723" t="inlineStr">
        <is>
          <t>STOCKHOLMS LÄN</t>
        </is>
      </c>
      <c r="E1723" t="inlineStr">
        <is>
          <t>NORRTÄLJE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13701-2022</t>
        </is>
      </c>
      <c r="B1724" s="1" t="n">
        <v>44648</v>
      </c>
      <c r="C1724" s="1" t="n">
        <v>45571</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13718-2022</t>
        </is>
      </c>
      <c r="B1725" s="1" t="n">
        <v>44649</v>
      </c>
      <c r="C1725" s="1" t="n">
        <v>45571</v>
      </c>
      <c r="D1725" t="inlineStr">
        <is>
          <t>STOCKHOLMS LÄN</t>
        </is>
      </c>
      <c r="E1725" t="inlineStr">
        <is>
          <t>NORRTÄLJE</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13836-2022</t>
        </is>
      </c>
      <c r="B1726" s="1" t="n">
        <v>44649</v>
      </c>
      <c r="C1726" s="1" t="n">
        <v>45571</v>
      </c>
      <c r="D1726" t="inlineStr">
        <is>
          <t>STOCKHOLMS LÄN</t>
        </is>
      </c>
      <c r="E1726" t="inlineStr">
        <is>
          <t>VALLENTUNA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14036-2022</t>
        </is>
      </c>
      <c r="B1727" s="1" t="n">
        <v>44650</v>
      </c>
      <c r="C1727" s="1" t="n">
        <v>45571</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14033-2022</t>
        </is>
      </c>
      <c r="B1728" s="1" t="n">
        <v>44650</v>
      </c>
      <c r="C1728" s="1" t="n">
        <v>45571</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14034-2022</t>
        </is>
      </c>
      <c r="B1729" s="1" t="n">
        <v>44650</v>
      </c>
      <c r="C1729" s="1" t="n">
        <v>45571</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14051-2022</t>
        </is>
      </c>
      <c r="B1730" s="1" t="n">
        <v>44651</v>
      </c>
      <c r="C1730" s="1" t="n">
        <v>45571</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14166-2022</t>
        </is>
      </c>
      <c r="B1731" s="1" t="n">
        <v>44651</v>
      </c>
      <c r="C1731" s="1" t="n">
        <v>45571</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14543-2022</t>
        </is>
      </c>
      <c r="B1732" s="1" t="n">
        <v>44655</v>
      </c>
      <c r="C1732" s="1" t="n">
        <v>45571</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14719-2022</t>
        </is>
      </c>
      <c r="B1733" s="1" t="n">
        <v>44655</v>
      </c>
      <c r="C1733" s="1" t="n">
        <v>45571</v>
      </c>
      <c r="D1733" t="inlineStr">
        <is>
          <t>STOCKHOLMS LÄN</t>
        </is>
      </c>
      <c r="E1733" t="inlineStr">
        <is>
          <t>UPPLANDS-BRO</t>
        </is>
      </c>
      <c r="F1733" t="inlineStr">
        <is>
          <t>Allmännings- och besparingsskogar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14725-2022</t>
        </is>
      </c>
      <c r="B1734" s="1" t="n">
        <v>44655</v>
      </c>
      <c r="C1734" s="1" t="n">
        <v>45571</v>
      </c>
      <c r="D1734" t="inlineStr">
        <is>
          <t>STOCKHOLMS LÄN</t>
        </is>
      </c>
      <c r="E1734" t="inlineStr">
        <is>
          <t>VALLENTUNA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14724-2022</t>
        </is>
      </c>
      <c r="B1735" s="1" t="n">
        <v>44656</v>
      </c>
      <c r="C1735" s="1" t="n">
        <v>45571</v>
      </c>
      <c r="D1735" t="inlineStr">
        <is>
          <t>STOCKHOLMS LÄN</t>
        </is>
      </c>
      <c r="E1735" t="inlineStr">
        <is>
          <t>NORRTÄLJE</t>
        </is>
      </c>
      <c r="F1735" t="inlineStr">
        <is>
          <t>Sveaskog</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14716-2022</t>
        </is>
      </c>
      <c r="B1736" s="1" t="n">
        <v>44656</v>
      </c>
      <c r="C1736" s="1" t="n">
        <v>45571</v>
      </c>
      <c r="D1736" t="inlineStr">
        <is>
          <t>STOCKHOLMS LÄN</t>
        </is>
      </c>
      <c r="E1736" t="inlineStr">
        <is>
          <t>NORRTÄLJE</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14869-2022</t>
        </is>
      </c>
      <c r="B1737" s="1" t="n">
        <v>44656</v>
      </c>
      <c r="C1737" s="1" t="n">
        <v>45571</v>
      </c>
      <c r="D1737" t="inlineStr">
        <is>
          <t>STOCKHOLMS LÄN</t>
        </is>
      </c>
      <c r="E1737" t="inlineStr">
        <is>
          <t>NORRTÄLJE</t>
        </is>
      </c>
      <c r="F1737" t="inlineStr">
        <is>
          <t>Holmen skog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14936-2022</t>
        </is>
      </c>
      <c r="B1738" s="1" t="n">
        <v>44657</v>
      </c>
      <c r="C1738" s="1" t="n">
        <v>45571</v>
      </c>
      <c r="D1738" t="inlineStr">
        <is>
          <t>STOCKHOLMS LÄN</t>
        </is>
      </c>
      <c r="E1738" t="inlineStr">
        <is>
          <t>VÄRMDÖ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15131-2022</t>
        </is>
      </c>
      <c r="B1739" s="1" t="n">
        <v>44658</v>
      </c>
      <c r="C1739" s="1" t="n">
        <v>45571</v>
      </c>
      <c r="D1739" t="inlineStr">
        <is>
          <t>STOCKHOLMS LÄN</t>
        </is>
      </c>
      <c r="E1739" t="inlineStr">
        <is>
          <t>ÖSTERÅKER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15225-2022</t>
        </is>
      </c>
      <c r="B1740" s="1" t="n">
        <v>44658</v>
      </c>
      <c r="C1740" s="1" t="n">
        <v>45571</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15226-2022</t>
        </is>
      </c>
      <c r="B1741" s="1" t="n">
        <v>44658</v>
      </c>
      <c r="C1741" s="1" t="n">
        <v>45571</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15630-2022</t>
        </is>
      </c>
      <c r="B1742" s="1" t="n">
        <v>44662</v>
      </c>
      <c r="C1742" s="1" t="n">
        <v>45571</v>
      </c>
      <c r="D1742" t="inlineStr">
        <is>
          <t>STOCKHOLMS LÄN</t>
        </is>
      </c>
      <c r="E1742" t="inlineStr">
        <is>
          <t>EKERÖ</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15825-2022</t>
        </is>
      </c>
      <c r="B1743" s="1" t="n">
        <v>44664</v>
      </c>
      <c r="C1743" s="1" t="n">
        <v>45571</v>
      </c>
      <c r="D1743" t="inlineStr">
        <is>
          <t>STOCKHOLMS LÄN</t>
        </is>
      </c>
      <c r="E1743" t="inlineStr">
        <is>
          <t>BOTKYRKA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15905-2022</t>
        </is>
      </c>
      <c r="B1744" s="1" t="n">
        <v>44664</v>
      </c>
      <c r="C1744" s="1" t="n">
        <v>45571</v>
      </c>
      <c r="D1744" t="inlineStr">
        <is>
          <t>STOCKHOLMS LÄN</t>
        </is>
      </c>
      <c r="E1744" t="inlineStr">
        <is>
          <t>BOTKYRKA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15861-2022</t>
        </is>
      </c>
      <c r="B1745" s="1" t="n">
        <v>44664</v>
      </c>
      <c r="C1745" s="1" t="n">
        <v>45571</v>
      </c>
      <c r="D1745" t="inlineStr">
        <is>
          <t>STOCKHOLMS LÄN</t>
        </is>
      </c>
      <c r="E1745" t="inlineStr">
        <is>
          <t>NORRTÄLJE</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16117-2022</t>
        </is>
      </c>
      <c r="B1746" s="1" t="n">
        <v>44665</v>
      </c>
      <c r="C1746" s="1" t="n">
        <v>45571</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16119-2022</t>
        </is>
      </c>
      <c r="B1747" s="1" t="n">
        <v>44665</v>
      </c>
      <c r="C1747" s="1" t="n">
        <v>45571</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16132-2022</t>
        </is>
      </c>
      <c r="B1748" s="1" t="n">
        <v>44665</v>
      </c>
      <c r="C1748" s="1" t="n">
        <v>45571</v>
      </c>
      <c r="D1748" t="inlineStr">
        <is>
          <t>STOCKHOLMS LÄN</t>
        </is>
      </c>
      <c r="E1748" t="inlineStr">
        <is>
          <t>NORRTÄLJE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16224-2022</t>
        </is>
      </c>
      <c r="B1749" s="1" t="n">
        <v>44670</v>
      </c>
      <c r="C1749" s="1" t="n">
        <v>45571</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16202-2022</t>
        </is>
      </c>
      <c r="B1750" s="1" t="n">
        <v>44670</v>
      </c>
      <c r="C1750" s="1" t="n">
        <v>45571</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16229-2022</t>
        </is>
      </c>
      <c r="B1751" s="1" t="n">
        <v>44670</v>
      </c>
      <c r="C1751" s="1" t="n">
        <v>45571</v>
      </c>
      <c r="D1751" t="inlineStr">
        <is>
          <t>STOCKHOLMS LÄN</t>
        </is>
      </c>
      <c r="E1751" t="inlineStr">
        <is>
          <t>NORRTÄLJE</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16242-2022</t>
        </is>
      </c>
      <c r="B1752" s="1" t="n">
        <v>44670</v>
      </c>
      <c r="C1752" s="1" t="n">
        <v>45571</v>
      </c>
      <c r="D1752" t="inlineStr">
        <is>
          <t>STOCKHOLMS LÄN</t>
        </is>
      </c>
      <c r="E1752" t="inlineStr">
        <is>
          <t>EKERÖ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16437-2022</t>
        </is>
      </c>
      <c r="B1753" s="1" t="n">
        <v>44671</v>
      </c>
      <c r="C1753" s="1" t="n">
        <v>45571</v>
      </c>
      <c r="D1753" t="inlineStr">
        <is>
          <t>STOCKHOLMS LÄN</t>
        </is>
      </c>
      <c r="E1753" t="inlineStr">
        <is>
          <t>SÖDERTÄLJE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16433-2022</t>
        </is>
      </c>
      <c r="B1754" s="1" t="n">
        <v>44671</v>
      </c>
      <c r="C1754" s="1" t="n">
        <v>45571</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16442-2022</t>
        </is>
      </c>
      <c r="B1755" s="1" t="n">
        <v>44671</v>
      </c>
      <c r="C1755" s="1" t="n">
        <v>45571</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16534-2022</t>
        </is>
      </c>
      <c r="B1756" s="1" t="n">
        <v>44672</v>
      </c>
      <c r="C1756" s="1" t="n">
        <v>45571</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16724-2022</t>
        </is>
      </c>
      <c r="B1757" s="1" t="n">
        <v>44673</v>
      </c>
      <c r="C1757" s="1" t="n">
        <v>45571</v>
      </c>
      <c r="D1757" t="inlineStr">
        <is>
          <t>STOCKHOLMS LÄN</t>
        </is>
      </c>
      <c r="E1757" t="inlineStr">
        <is>
          <t>SÖDERTÄLJE</t>
        </is>
      </c>
      <c r="F1757" t="inlineStr">
        <is>
          <t>Övriga statliga verk och myndigheter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16803-2022</t>
        </is>
      </c>
      <c r="B1758" s="1" t="n">
        <v>44673</v>
      </c>
      <c r="C1758" s="1" t="n">
        <v>45571</v>
      </c>
      <c r="D1758" t="inlineStr">
        <is>
          <t>STOCKHOLMS LÄN</t>
        </is>
      </c>
      <c r="E1758" t="inlineStr">
        <is>
          <t>ÖSTERÅKER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16789-2022</t>
        </is>
      </c>
      <c r="B1759" s="1" t="n">
        <v>44673</v>
      </c>
      <c r="C1759" s="1" t="n">
        <v>45571</v>
      </c>
      <c r="D1759" t="inlineStr">
        <is>
          <t>STOCKHOLMS LÄN</t>
        </is>
      </c>
      <c r="E1759" t="inlineStr">
        <is>
          <t>ÖSTERÅKER</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16824-2022</t>
        </is>
      </c>
      <c r="B1760" s="1" t="n">
        <v>44673</v>
      </c>
      <c r="C1760" s="1" t="n">
        <v>45571</v>
      </c>
      <c r="D1760" t="inlineStr">
        <is>
          <t>STOCKHOLMS LÄN</t>
        </is>
      </c>
      <c r="E1760" t="inlineStr">
        <is>
          <t>ÖSTERÅKER</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16728-2022</t>
        </is>
      </c>
      <c r="B1761" s="1" t="n">
        <v>44673</v>
      </c>
      <c r="C1761" s="1" t="n">
        <v>45571</v>
      </c>
      <c r="D1761" t="inlineStr">
        <is>
          <t>STOCKHOLMS LÄN</t>
        </is>
      </c>
      <c r="E1761" t="inlineStr">
        <is>
          <t>ÖSTERÅKER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16738-2022</t>
        </is>
      </c>
      <c r="B1762" s="1" t="n">
        <v>44673</v>
      </c>
      <c r="C1762" s="1" t="n">
        <v>45571</v>
      </c>
      <c r="D1762" t="inlineStr">
        <is>
          <t>STOCKHOLMS LÄN</t>
        </is>
      </c>
      <c r="E1762" t="inlineStr">
        <is>
          <t>ÖSTERÅKER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16835-2022</t>
        </is>
      </c>
      <c r="B1763" s="1" t="n">
        <v>44673</v>
      </c>
      <c r="C1763" s="1" t="n">
        <v>45571</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17020-2022</t>
        </is>
      </c>
      <c r="B1764" s="1" t="n">
        <v>44676</v>
      </c>
      <c r="C1764" s="1" t="n">
        <v>45571</v>
      </c>
      <c r="D1764" t="inlineStr">
        <is>
          <t>STOCKHOLMS LÄN</t>
        </is>
      </c>
      <c r="E1764" t="inlineStr">
        <is>
          <t>HANINGE</t>
        </is>
      </c>
      <c r="F1764" t="inlineStr">
        <is>
          <t>Övriga statliga verk och myndigheter</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17023-2022</t>
        </is>
      </c>
      <c r="B1765" s="1" t="n">
        <v>44676</v>
      </c>
      <c r="C1765" s="1" t="n">
        <v>45571</v>
      </c>
      <c r="D1765" t="inlineStr">
        <is>
          <t>STOCKHOLMS LÄN</t>
        </is>
      </c>
      <c r="E1765" t="inlineStr">
        <is>
          <t>HANINGE</t>
        </is>
      </c>
      <c r="F1765" t="inlineStr">
        <is>
          <t>Övriga statliga verk och myndigheter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17173-2022</t>
        </is>
      </c>
      <c r="B1766" s="1" t="n">
        <v>44677</v>
      </c>
      <c r="C1766" s="1" t="n">
        <v>45571</v>
      </c>
      <c r="D1766" t="inlineStr">
        <is>
          <t>STOCKHOLMS LÄN</t>
        </is>
      </c>
      <c r="E1766" t="inlineStr">
        <is>
          <t>ÖSTERÅKER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17196-2022</t>
        </is>
      </c>
      <c r="B1767" s="1" t="n">
        <v>44677</v>
      </c>
      <c r="C1767" s="1" t="n">
        <v>45571</v>
      </c>
      <c r="D1767" t="inlineStr">
        <is>
          <t>STOCKHOLMS LÄN</t>
        </is>
      </c>
      <c r="E1767" t="inlineStr">
        <is>
          <t>ÖSTERÅKER</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17184-2022</t>
        </is>
      </c>
      <c r="B1768" s="1" t="n">
        <v>44677</v>
      </c>
      <c r="C1768" s="1" t="n">
        <v>45571</v>
      </c>
      <c r="D1768" t="inlineStr">
        <is>
          <t>STOCKHOLMS LÄN</t>
        </is>
      </c>
      <c r="E1768" t="inlineStr">
        <is>
          <t>ÖSTERÅKER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17263-2022</t>
        </is>
      </c>
      <c r="B1769" s="1" t="n">
        <v>44678</v>
      </c>
      <c r="C1769" s="1" t="n">
        <v>45571</v>
      </c>
      <c r="D1769" t="inlineStr">
        <is>
          <t>STOCKHOLMS LÄN</t>
        </is>
      </c>
      <c r="E1769" t="inlineStr">
        <is>
          <t>ÖSTERÅKER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17391-2022</t>
        </is>
      </c>
      <c r="B1770" s="1" t="n">
        <v>44678</v>
      </c>
      <c r="C1770" s="1" t="n">
        <v>45571</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17286-2022</t>
        </is>
      </c>
      <c r="B1771" s="1" t="n">
        <v>44678</v>
      </c>
      <c r="C1771" s="1" t="n">
        <v>45571</v>
      </c>
      <c r="D1771" t="inlineStr">
        <is>
          <t>STOCKHOLMS LÄN</t>
        </is>
      </c>
      <c r="E1771" t="inlineStr">
        <is>
          <t>SIGTUNA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17388-2022</t>
        </is>
      </c>
      <c r="B1772" s="1" t="n">
        <v>44678</v>
      </c>
      <c r="C1772" s="1" t="n">
        <v>45571</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17390-2022</t>
        </is>
      </c>
      <c r="B1773" s="1" t="n">
        <v>44678</v>
      </c>
      <c r="C1773" s="1" t="n">
        <v>45571</v>
      </c>
      <c r="D1773" t="inlineStr">
        <is>
          <t>STOCKHOLMS LÄN</t>
        </is>
      </c>
      <c r="E1773" t="inlineStr">
        <is>
          <t>NORRTÄLJE</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17634-2022</t>
        </is>
      </c>
      <c r="B1774" s="1" t="n">
        <v>44680</v>
      </c>
      <c r="C1774" s="1" t="n">
        <v>45571</v>
      </c>
      <c r="D1774" t="inlineStr">
        <is>
          <t>STOCKHOLMS LÄN</t>
        </is>
      </c>
      <c r="E1774" t="inlineStr">
        <is>
          <t>NYNÄSHAMN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17612-2022</t>
        </is>
      </c>
      <c r="B1775" s="1" t="n">
        <v>44680</v>
      </c>
      <c r="C1775" s="1" t="n">
        <v>45571</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17629-2022</t>
        </is>
      </c>
      <c r="B1776" s="1" t="n">
        <v>44680</v>
      </c>
      <c r="C1776" s="1" t="n">
        <v>45571</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17789-2022</t>
        </is>
      </c>
      <c r="B1777" s="1" t="n">
        <v>44680</v>
      </c>
      <c r="C1777" s="1" t="n">
        <v>45571</v>
      </c>
      <c r="D1777" t="inlineStr">
        <is>
          <t>STOCKHOLMS LÄN</t>
        </is>
      </c>
      <c r="E1777" t="inlineStr">
        <is>
          <t>BOTKYRKA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17771-2022</t>
        </is>
      </c>
      <c r="B1778" s="1" t="n">
        <v>44682</v>
      </c>
      <c r="C1778" s="1" t="n">
        <v>45571</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17775-2022</t>
        </is>
      </c>
      <c r="B1779" s="1" t="n">
        <v>44682</v>
      </c>
      <c r="C1779" s="1" t="n">
        <v>45571</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17773-2022</t>
        </is>
      </c>
      <c r="B1780" s="1" t="n">
        <v>44682</v>
      </c>
      <c r="C1780" s="1" t="n">
        <v>45571</v>
      </c>
      <c r="D1780" t="inlineStr">
        <is>
          <t>STOCKHOLMS LÄN</t>
        </is>
      </c>
      <c r="E1780" t="inlineStr">
        <is>
          <t>NORRTÄLJE</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17772-2022</t>
        </is>
      </c>
      <c r="B1781" s="1" t="n">
        <v>44682</v>
      </c>
      <c r="C1781" s="1" t="n">
        <v>45571</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17777-2022</t>
        </is>
      </c>
      <c r="B1782" s="1" t="n">
        <v>44682</v>
      </c>
      <c r="C1782" s="1" t="n">
        <v>45571</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17803-2022</t>
        </is>
      </c>
      <c r="B1783" s="1" t="n">
        <v>44683</v>
      </c>
      <c r="C1783" s="1" t="n">
        <v>45571</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17952-2022</t>
        </is>
      </c>
      <c r="B1784" s="1" t="n">
        <v>44683</v>
      </c>
      <c r="C1784" s="1" t="n">
        <v>45571</v>
      </c>
      <c r="D1784" t="inlineStr">
        <is>
          <t>STOCKHOLMS LÄN</t>
        </is>
      </c>
      <c r="E1784" t="inlineStr">
        <is>
          <t>NORRTÄLJE</t>
        </is>
      </c>
      <c r="G1784" t="n">
        <v>51.1</v>
      </c>
      <c r="H1784" t="n">
        <v>0</v>
      </c>
      <c r="I1784" t="n">
        <v>0</v>
      </c>
      <c r="J1784" t="n">
        <v>0</v>
      </c>
      <c r="K1784" t="n">
        <v>0</v>
      </c>
      <c r="L1784" t="n">
        <v>0</v>
      </c>
      <c r="M1784" t="n">
        <v>0</v>
      </c>
      <c r="N1784" t="n">
        <v>0</v>
      </c>
      <c r="O1784" t="n">
        <v>0</v>
      </c>
      <c r="P1784" t="n">
        <v>0</v>
      </c>
      <c r="Q1784" t="n">
        <v>0</v>
      </c>
      <c r="R1784" s="2" t="inlineStr"/>
    </row>
    <row r="1785" ht="15" customHeight="1">
      <c r="A1785" t="inlineStr">
        <is>
          <t>A 18092-2022</t>
        </is>
      </c>
      <c r="B1785" s="1" t="n">
        <v>44684</v>
      </c>
      <c r="C1785" s="1" t="n">
        <v>45571</v>
      </c>
      <c r="D1785" t="inlineStr">
        <is>
          <t>STOCKHOLMS LÄN</t>
        </is>
      </c>
      <c r="E1785" t="inlineStr">
        <is>
          <t>NORRTÄLJE</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18103-2022</t>
        </is>
      </c>
      <c r="B1786" s="1" t="n">
        <v>44684</v>
      </c>
      <c r="C1786" s="1" t="n">
        <v>45571</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18091-2022</t>
        </is>
      </c>
      <c r="B1787" s="1" t="n">
        <v>44684</v>
      </c>
      <c r="C1787" s="1" t="n">
        <v>45571</v>
      </c>
      <c r="D1787" t="inlineStr">
        <is>
          <t>STOCKHOLMS LÄN</t>
        </is>
      </c>
      <c r="E1787" t="inlineStr">
        <is>
          <t>ÖSTERÅKER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18093-2022</t>
        </is>
      </c>
      <c r="B1788" s="1" t="n">
        <v>44684</v>
      </c>
      <c r="C1788" s="1" t="n">
        <v>45571</v>
      </c>
      <c r="D1788" t="inlineStr">
        <is>
          <t>STOCKHOLMS LÄN</t>
        </is>
      </c>
      <c r="E1788" t="inlineStr">
        <is>
          <t>BOTKYRKA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18350-2022</t>
        </is>
      </c>
      <c r="B1789" s="1" t="n">
        <v>44685</v>
      </c>
      <c r="C1789" s="1" t="n">
        <v>45571</v>
      </c>
      <c r="D1789" t="inlineStr">
        <is>
          <t>STOCKHOLMS LÄN</t>
        </is>
      </c>
      <c r="E1789" t="inlineStr">
        <is>
          <t>NORRTÄLJE</t>
        </is>
      </c>
      <c r="F1789" t="inlineStr">
        <is>
          <t>Holmen skog AB</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18546-2022</t>
        </is>
      </c>
      <c r="B1790" s="1" t="n">
        <v>44686</v>
      </c>
      <c r="C1790" s="1" t="n">
        <v>45571</v>
      </c>
      <c r="D1790" t="inlineStr">
        <is>
          <t>STOCKHOLMS LÄN</t>
        </is>
      </c>
      <c r="E1790" t="inlineStr">
        <is>
          <t>NORRTÄLJE</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18665-2022</t>
        </is>
      </c>
      <c r="B1791" s="1" t="n">
        <v>44687</v>
      </c>
      <c r="C1791" s="1" t="n">
        <v>45571</v>
      </c>
      <c r="D1791" t="inlineStr">
        <is>
          <t>STOCKHOLMS LÄN</t>
        </is>
      </c>
      <c r="E1791" t="inlineStr">
        <is>
          <t>NORRTÄLJE</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18787-2022</t>
        </is>
      </c>
      <c r="B1792" s="1" t="n">
        <v>44687</v>
      </c>
      <c r="C1792" s="1" t="n">
        <v>45571</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18846-2022</t>
        </is>
      </c>
      <c r="B1793" s="1" t="n">
        <v>44690</v>
      </c>
      <c r="C1793" s="1" t="n">
        <v>45571</v>
      </c>
      <c r="D1793" t="inlineStr">
        <is>
          <t>STOCKHOLMS LÄN</t>
        </is>
      </c>
      <c r="E1793" t="inlineStr">
        <is>
          <t>NORRTÄLJE</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18905-2022</t>
        </is>
      </c>
      <c r="B1794" s="1" t="n">
        <v>44690</v>
      </c>
      <c r="C1794" s="1" t="n">
        <v>45571</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18894-2022</t>
        </is>
      </c>
      <c r="B1795" s="1" t="n">
        <v>44690</v>
      </c>
      <c r="C1795" s="1" t="n">
        <v>45571</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19116-2022</t>
        </is>
      </c>
      <c r="B1796" s="1" t="n">
        <v>44691</v>
      </c>
      <c r="C1796" s="1" t="n">
        <v>45571</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19118-2022</t>
        </is>
      </c>
      <c r="B1797" s="1" t="n">
        <v>44691</v>
      </c>
      <c r="C1797" s="1" t="n">
        <v>45571</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19337-2022</t>
        </is>
      </c>
      <c r="B1798" s="1" t="n">
        <v>44692</v>
      </c>
      <c r="C1798" s="1" t="n">
        <v>45571</v>
      </c>
      <c r="D1798" t="inlineStr">
        <is>
          <t>STOCKHOLMS LÄN</t>
        </is>
      </c>
      <c r="E1798" t="inlineStr">
        <is>
          <t>UPPLANDS VÄSBY</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19580-2022</t>
        </is>
      </c>
      <c r="B1799" s="1" t="n">
        <v>44693</v>
      </c>
      <c r="C1799" s="1" t="n">
        <v>45571</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19608-2022</t>
        </is>
      </c>
      <c r="B1800" s="1" t="n">
        <v>44694</v>
      </c>
      <c r="C1800" s="1" t="n">
        <v>45571</v>
      </c>
      <c r="D1800" t="inlineStr">
        <is>
          <t>STOCKHOLMS LÄN</t>
        </is>
      </c>
      <c r="E1800" t="inlineStr">
        <is>
          <t>NYKVARN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19729-2022</t>
        </is>
      </c>
      <c r="B1801" s="1" t="n">
        <v>44694</v>
      </c>
      <c r="C1801" s="1" t="n">
        <v>45571</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19652-2022</t>
        </is>
      </c>
      <c r="B1802" s="1" t="n">
        <v>44694</v>
      </c>
      <c r="C1802" s="1" t="n">
        <v>45571</v>
      </c>
      <c r="D1802" t="inlineStr">
        <is>
          <t>STOCKHOLMS LÄN</t>
        </is>
      </c>
      <c r="E1802" t="inlineStr">
        <is>
          <t>HANINGE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19728-2022</t>
        </is>
      </c>
      <c r="B1803" s="1" t="n">
        <v>44694</v>
      </c>
      <c r="C1803" s="1" t="n">
        <v>45571</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19944-2022</t>
        </is>
      </c>
      <c r="B1804" s="1" t="n">
        <v>44697</v>
      </c>
      <c r="C1804" s="1" t="n">
        <v>45571</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19982-2022</t>
        </is>
      </c>
      <c r="B1805" s="1" t="n">
        <v>44697</v>
      </c>
      <c r="C1805" s="1" t="n">
        <v>45571</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20016-2022</t>
        </is>
      </c>
      <c r="B1806" s="1" t="n">
        <v>44697</v>
      </c>
      <c r="C1806" s="1" t="n">
        <v>45571</v>
      </c>
      <c r="D1806" t="inlineStr">
        <is>
          <t>STOCKHOLMS LÄN</t>
        </is>
      </c>
      <c r="E1806" t="inlineStr">
        <is>
          <t>SÖDERTÄLJE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19983-2022</t>
        </is>
      </c>
      <c r="B1807" s="1" t="n">
        <v>44697</v>
      </c>
      <c r="C1807" s="1" t="n">
        <v>45571</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19934-2022</t>
        </is>
      </c>
      <c r="B1808" s="1" t="n">
        <v>44697</v>
      </c>
      <c r="C1808" s="1" t="n">
        <v>45571</v>
      </c>
      <c r="D1808" t="inlineStr">
        <is>
          <t>STOCKHOLMS LÄN</t>
        </is>
      </c>
      <c r="E1808" t="inlineStr">
        <is>
          <t>ÖSTERÅKER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19995-2022</t>
        </is>
      </c>
      <c r="B1809" s="1" t="n">
        <v>44697</v>
      </c>
      <c r="C1809" s="1" t="n">
        <v>45571</v>
      </c>
      <c r="D1809" t="inlineStr">
        <is>
          <t>STOCKHOLMS LÄN</t>
        </is>
      </c>
      <c r="E1809" t="inlineStr">
        <is>
          <t>SIGTUNA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20121-2022</t>
        </is>
      </c>
      <c r="B1810" s="1" t="n">
        <v>44698</v>
      </c>
      <c r="C1810" s="1" t="n">
        <v>45571</v>
      </c>
      <c r="D1810" t="inlineStr">
        <is>
          <t>STOCKHOLMS LÄN</t>
        </is>
      </c>
      <c r="E1810" t="inlineStr">
        <is>
          <t>NORRTÄLJE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20129-2022</t>
        </is>
      </c>
      <c r="B1811" s="1" t="n">
        <v>44698</v>
      </c>
      <c r="C1811" s="1" t="n">
        <v>45571</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20291-2022</t>
        </is>
      </c>
      <c r="B1812" s="1" t="n">
        <v>44698</v>
      </c>
      <c r="C1812" s="1" t="n">
        <v>45571</v>
      </c>
      <c r="D1812" t="inlineStr">
        <is>
          <t>STOCKHOLMS LÄN</t>
        </is>
      </c>
      <c r="E1812" t="inlineStr">
        <is>
          <t>NORRTÄLJE</t>
        </is>
      </c>
      <c r="F1812" t="inlineStr">
        <is>
          <t>Naturvårdsverket</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20294-2022</t>
        </is>
      </c>
      <c r="B1813" s="1" t="n">
        <v>44698</v>
      </c>
      <c r="C1813" s="1" t="n">
        <v>45571</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20295-2022</t>
        </is>
      </c>
      <c r="B1814" s="1" t="n">
        <v>44698</v>
      </c>
      <c r="C1814" s="1" t="n">
        <v>45571</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20411-2022</t>
        </is>
      </c>
      <c r="B1815" s="1" t="n">
        <v>44699</v>
      </c>
      <c r="C1815" s="1" t="n">
        <v>45571</v>
      </c>
      <c r="D1815" t="inlineStr">
        <is>
          <t>STOCKHOLMS LÄN</t>
        </is>
      </c>
      <c r="E1815" t="inlineStr">
        <is>
          <t>SÖDERTÄLJE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20604-2022</t>
        </is>
      </c>
      <c r="B1816" s="1" t="n">
        <v>44700</v>
      </c>
      <c r="C1816" s="1" t="n">
        <v>45571</v>
      </c>
      <c r="D1816" t="inlineStr">
        <is>
          <t>STOCKHOLMS LÄN</t>
        </is>
      </c>
      <c r="E1816" t="inlineStr">
        <is>
          <t>UPPLANDS-BRO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20618-2022</t>
        </is>
      </c>
      <c r="B1817" s="1" t="n">
        <v>44700</v>
      </c>
      <c r="C1817" s="1" t="n">
        <v>45571</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20641-2022</t>
        </is>
      </c>
      <c r="B1818" s="1" t="n">
        <v>44700</v>
      </c>
      <c r="C1818" s="1" t="n">
        <v>45571</v>
      </c>
      <c r="D1818" t="inlineStr">
        <is>
          <t>STOCKHOLMS LÄN</t>
        </is>
      </c>
      <c r="E1818" t="inlineStr">
        <is>
          <t>VÄRMDÖ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20649-2022</t>
        </is>
      </c>
      <c r="B1819" s="1" t="n">
        <v>44700</v>
      </c>
      <c r="C1819" s="1" t="n">
        <v>45571</v>
      </c>
      <c r="D1819" t="inlineStr">
        <is>
          <t>STOCKHOLMS LÄN</t>
        </is>
      </c>
      <c r="E1819" t="inlineStr">
        <is>
          <t>BOTKYRKA</t>
        </is>
      </c>
      <c r="F1819" t="inlineStr">
        <is>
          <t>Övriga Aktiebolag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20607-2022</t>
        </is>
      </c>
      <c r="B1820" s="1" t="n">
        <v>44700</v>
      </c>
      <c r="C1820" s="1" t="n">
        <v>45571</v>
      </c>
      <c r="D1820" t="inlineStr">
        <is>
          <t>STOCKHOLMS LÄN</t>
        </is>
      </c>
      <c r="E1820" t="inlineStr">
        <is>
          <t>UPPLANDS-BRO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21102-2022</t>
        </is>
      </c>
      <c r="B1821" s="1" t="n">
        <v>44704</v>
      </c>
      <c r="C1821" s="1" t="n">
        <v>45571</v>
      </c>
      <c r="D1821" t="inlineStr">
        <is>
          <t>STOCKHOLMS LÄN</t>
        </is>
      </c>
      <c r="E1821" t="inlineStr">
        <is>
          <t>NORRTÄLJE</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21158-2022</t>
        </is>
      </c>
      <c r="B1822" s="1" t="n">
        <v>44704</v>
      </c>
      <c r="C1822" s="1" t="n">
        <v>45571</v>
      </c>
      <c r="D1822" t="inlineStr">
        <is>
          <t>STOCKHOLMS LÄN</t>
        </is>
      </c>
      <c r="E1822" t="inlineStr">
        <is>
          <t>NORRTÄLJE</t>
        </is>
      </c>
      <c r="G1822" t="n">
        <v>17.8</v>
      </c>
      <c r="H1822" t="n">
        <v>0</v>
      </c>
      <c r="I1822" t="n">
        <v>0</v>
      </c>
      <c r="J1822" t="n">
        <v>0</v>
      </c>
      <c r="K1822" t="n">
        <v>0</v>
      </c>
      <c r="L1822" t="n">
        <v>0</v>
      </c>
      <c r="M1822" t="n">
        <v>0</v>
      </c>
      <c r="N1822" t="n">
        <v>0</v>
      </c>
      <c r="O1822" t="n">
        <v>0</v>
      </c>
      <c r="P1822" t="n">
        <v>0</v>
      </c>
      <c r="Q1822" t="n">
        <v>0</v>
      </c>
      <c r="R1822" s="2" t="inlineStr"/>
    </row>
    <row r="1823" ht="15" customHeight="1">
      <c r="A1823" t="inlineStr">
        <is>
          <t>A 21174-2022</t>
        </is>
      </c>
      <c r="B1823" s="1" t="n">
        <v>44704</v>
      </c>
      <c r="C1823" s="1" t="n">
        <v>45571</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21480-2022</t>
        </is>
      </c>
      <c r="B1824" s="1" t="n">
        <v>44704</v>
      </c>
      <c r="C1824" s="1" t="n">
        <v>45571</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21178-2022</t>
        </is>
      </c>
      <c r="B1825" s="1" t="n">
        <v>44704</v>
      </c>
      <c r="C1825" s="1" t="n">
        <v>45571</v>
      </c>
      <c r="D1825" t="inlineStr">
        <is>
          <t>STOCKHOLMS LÄN</t>
        </is>
      </c>
      <c r="E1825" t="inlineStr">
        <is>
          <t>NORRTÄLJE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21329-2022</t>
        </is>
      </c>
      <c r="B1826" s="1" t="n">
        <v>44705</v>
      </c>
      <c r="C1826" s="1" t="n">
        <v>45571</v>
      </c>
      <c r="D1826" t="inlineStr">
        <is>
          <t>STOCKHOLMS LÄN</t>
        </is>
      </c>
      <c r="E1826" t="inlineStr">
        <is>
          <t>NORRTÄLJE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21472-2022</t>
        </is>
      </c>
      <c r="B1827" s="1" t="n">
        <v>44706</v>
      </c>
      <c r="C1827" s="1" t="n">
        <v>45571</v>
      </c>
      <c r="D1827" t="inlineStr">
        <is>
          <t>STOCKHOLMS LÄN</t>
        </is>
      </c>
      <c r="E1827" t="inlineStr">
        <is>
          <t>NACKA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21267-2022</t>
        </is>
      </c>
      <c r="B1828" s="1" t="n">
        <v>44706</v>
      </c>
      <c r="C1828" s="1" t="n">
        <v>45571</v>
      </c>
      <c r="D1828" t="inlineStr">
        <is>
          <t>STOCKHOLMS LÄN</t>
        </is>
      </c>
      <c r="E1828" t="inlineStr">
        <is>
          <t>NACKA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21739-2022</t>
        </is>
      </c>
      <c r="B1829" s="1" t="n">
        <v>44708</v>
      </c>
      <c r="C1829" s="1" t="n">
        <v>45571</v>
      </c>
      <c r="D1829" t="inlineStr">
        <is>
          <t>STOCKHOLMS LÄN</t>
        </is>
      </c>
      <c r="E1829" t="inlineStr">
        <is>
          <t>NORRTÄLJE</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21723-2022</t>
        </is>
      </c>
      <c r="B1830" s="1" t="n">
        <v>44708</v>
      </c>
      <c r="C1830" s="1" t="n">
        <v>45571</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21726-2022</t>
        </is>
      </c>
      <c r="B1831" s="1" t="n">
        <v>44708</v>
      </c>
      <c r="C1831" s="1" t="n">
        <v>45571</v>
      </c>
      <c r="D1831" t="inlineStr">
        <is>
          <t>STOCKHOLMS LÄN</t>
        </is>
      </c>
      <c r="E1831" t="inlineStr">
        <is>
          <t>NORRTÄLJE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21803-2022</t>
        </is>
      </c>
      <c r="B1832" s="1" t="n">
        <v>44708</v>
      </c>
      <c r="C1832" s="1" t="n">
        <v>45571</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21888-2022</t>
        </is>
      </c>
      <c r="B1833" s="1" t="n">
        <v>44709</v>
      </c>
      <c r="C1833" s="1" t="n">
        <v>45571</v>
      </c>
      <c r="D1833" t="inlineStr">
        <is>
          <t>STOCKHOLMS LÄN</t>
        </is>
      </c>
      <c r="E1833" t="inlineStr">
        <is>
          <t>NACKA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21970-2022</t>
        </is>
      </c>
      <c r="B1834" s="1" t="n">
        <v>44711</v>
      </c>
      <c r="C1834" s="1" t="n">
        <v>45571</v>
      </c>
      <c r="D1834" t="inlineStr">
        <is>
          <t>STOCKHOLMS LÄN</t>
        </is>
      </c>
      <c r="E1834" t="inlineStr">
        <is>
          <t>NORRTÄLJE</t>
        </is>
      </c>
      <c r="F1834" t="inlineStr">
        <is>
          <t>Holmen skog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22068-2022</t>
        </is>
      </c>
      <c r="B1835" s="1" t="n">
        <v>44711</v>
      </c>
      <c r="C1835" s="1" t="n">
        <v>45571</v>
      </c>
      <c r="D1835" t="inlineStr">
        <is>
          <t>STOCKHOLMS LÄN</t>
        </is>
      </c>
      <c r="E1835" t="inlineStr">
        <is>
          <t>NACKA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22072-2022</t>
        </is>
      </c>
      <c r="B1836" s="1" t="n">
        <v>44711</v>
      </c>
      <c r="C1836" s="1" t="n">
        <v>45571</v>
      </c>
      <c r="D1836" t="inlineStr">
        <is>
          <t>STOCKHOLMS LÄN</t>
        </is>
      </c>
      <c r="E1836" t="inlineStr">
        <is>
          <t>NORRTÄLJE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22071-2022</t>
        </is>
      </c>
      <c r="B1837" s="1" t="n">
        <v>44711</v>
      </c>
      <c r="C1837" s="1" t="n">
        <v>45571</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22269-2022</t>
        </is>
      </c>
      <c r="B1838" s="1" t="n">
        <v>44712</v>
      </c>
      <c r="C1838" s="1" t="n">
        <v>45571</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22316-2022</t>
        </is>
      </c>
      <c r="B1839" s="1" t="n">
        <v>44712</v>
      </c>
      <c r="C1839" s="1" t="n">
        <v>45571</v>
      </c>
      <c r="D1839" t="inlineStr">
        <is>
          <t>STOCKHOLMS LÄN</t>
        </is>
      </c>
      <c r="E1839" t="inlineStr">
        <is>
          <t>NORRTÄLJE</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22503-2022</t>
        </is>
      </c>
      <c r="B1840" s="1" t="n">
        <v>44713</v>
      </c>
      <c r="C1840" s="1" t="n">
        <v>45571</v>
      </c>
      <c r="D1840" t="inlineStr">
        <is>
          <t>STOCKHOLMS LÄN</t>
        </is>
      </c>
      <c r="E1840" t="inlineStr">
        <is>
          <t>NORRTÄLJE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22531-2022</t>
        </is>
      </c>
      <c r="B1841" s="1" t="n">
        <v>44713</v>
      </c>
      <c r="C1841" s="1" t="n">
        <v>45571</v>
      </c>
      <c r="D1841" t="inlineStr">
        <is>
          <t>STOCKHOLMS LÄN</t>
        </is>
      </c>
      <c r="E1841" t="inlineStr">
        <is>
          <t>NYKVARN</t>
        </is>
      </c>
      <c r="F1841" t="inlineStr">
        <is>
          <t>Allmännings- och besparingsskogar</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22529-2022</t>
        </is>
      </c>
      <c r="B1842" s="1" t="n">
        <v>44713</v>
      </c>
      <c r="C1842" s="1" t="n">
        <v>45571</v>
      </c>
      <c r="D1842" t="inlineStr">
        <is>
          <t>STOCKHOLMS LÄN</t>
        </is>
      </c>
      <c r="E1842" t="inlineStr">
        <is>
          <t>NYKVARN</t>
        </is>
      </c>
      <c r="F1842" t="inlineStr">
        <is>
          <t>Allmännings- och besparingsskogar</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22697-2022</t>
        </is>
      </c>
      <c r="B1843" s="1" t="n">
        <v>44714</v>
      </c>
      <c r="C1843" s="1" t="n">
        <v>45571</v>
      </c>
      <c r="D1843" t="inlineStr">
        <is>
          <t>STOCKHOLMS LÄN</t>
        </is>
      </c>
      <c r="E1843" t="inlineStr">
        <is>
          <t>NORRTÄLJE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22628-2022</t>
        </is>
      </c>
      <c r="B1844" s="1" t="n">
        <v>44714</v>
      </c>
      <c r="C1844" s="1" t="n">
        <v>45571</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22636-2022</t>
        </is>
      </c>
      <c r="B1845" s="1" t="n">
        <v>44714</v>
      </c>
      <c r="C1845" s="1" t="n">
        <v>45571</v>
      </c>
      <c r="D1845" t="inlineStr">
        <is>
          <t>STOCKHOLMS LÄN</t>
        </is>
      </c>
      <c r="E1845" t="inlineStr">
        <is>
          <t>NORRTÄLJE</t>
        </is>
      </c>
      <c r="G1845" t="n">
        <v>16.6</v>
      </c>
      <c r="H1845" t="n">
        <v>0</v>
      </c>
      <c r="I1845" t="n">
        <v>0</v>
      </c>
      <c r="J1845" t="n">
        <v>0</v>
      </c>
      <c r="K1845" t="n">
        <v>0</v>
      </c>
      <c r="L1845" t="n">
        <v>0</v>
      </c>
      <c r="M1845" t="n">
        <v>0</v>
      </c>
      <c r="N1845" t="n">
        <v>0</v>
      </c>
      <c r="O1845" t="n">
        <v>0</v>
      </c>
      <c r="P1845" t="n">
        <v>0</v>
      </c>
      <c r="Q1845" t="n">
        <v>0</v>
      </c>
      <c r="R1845" s="2" t="inlineStr"/>
    </row>
    <row r="1846" ht="15" customHeight="1">
      <c r="A1846" t="inlineStr">
        <is>
          <t>A 22716-2022</t>
        </is>
      </c>
      <c r="B1846" s="1" t="n">
        <v>44714</v>
      </c>
      <c r="C1846" s="1" t="n">
        <v>45571</v>
      </c>
      <c r="D1846" t="inlineStr">
        <is>
          <t>STOCKHOLMS LÄN</t>
        </is>
      </c>
      <c r="E1846" t="inlineStr">
        <is>
          <t>NORRTÄLJE</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22756-2022</t>
        </is>
      </c>
      <c r="B1847" s="1" t="n">
        <v>44715</v>
      </c>
      <c r="C1847" s="1" t="n">
        <v>45571</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23125-2022</t>
        </is>
      </c>
      <c r="B1848" s="1" t="n">
        <v>44719</v>
      </c>
      <c r="C1848" s="1" t="n">
        <v>45571</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23456-2022</t>
        </is>
      </c>
      <c r="B1849" s="1" t="n">
        <v>44720</v>
      </c>
      <c r="C1849" s="1" t="n">
        <v>45571</v>
      </c>
      <c r="D1849" t="inlineStr">
        <is>
          <t>STOCKHOLMS LÄN</t>
        </is>
      </c>
      <c r="E1849" t="inlineStr">
        <is>
          <t>NYKVARN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23770-2022</t>
        </is>
      </c>
      <c r="B1850" s="1" t="n">
        <v>44722</v>
      </c>
      <c r="C1850" s="1" t="n">
        <v>45571</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23801-2022</t>
        </is>
      </c>
      <c r="B1851" s="1" t="n">
        <v>44722</v>
      </c>
      <c r="C1851" s="1" t="n">
        <v>45571</v>
      </c>
      <c r="D1851" t="inlineStr">
        <is>
          <t>STOCKHOLMS LÄN</t>
        </is>
      </c>
      <c r="E1851" t="inlineStr">
        <is>
          <t>NORRTÄLJE</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23956-2022</t>
        </is>
      </c>
      <c r="B1852" s="1" t="n">
        <v>44722</v>
      </c>
      <c r="C1852" s="1" t="n">
        <v>45571</v>
      </c>
      <c r="D1852" t="inlineStr">
        <is>
          <t>STOCKHOLMS LÄN</t>
        </is>
      </c>
      <c r="E1852" t="inlineStr">
        <is>
          <t>SÖDERTÄLJE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24034-2022</t>
        </is>
      </c>
      <c r="B1853" s="1" t="n">
        <v>44724</v>
      </c>
      <c r="C1853" s="1" t="n">
        <v>45571</v>
      </c>
      <c r="D1853" t="inlineStr">
        <is>
          <t>STOCKHOLMS LÄN</t>
        </is>
      </c>
      <c r="E1853" t="inlineStr">
        <is>
          <t>SÖDERTÄLJE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24101-2022</t>
        </is>
      </c>
      <c r="B1854" s="1" t="n">
        <v>44725</v>
      </c>
      <c r="C1854" s="1" t="n">
        <v>45571</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24162-2022</t>
        </is>
      </c>
      <c r="B1855" s="1" t="n">
        <v>44725</v>
      </c>
      <c r="C1855" s="1" t="n">
        <v>45571</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24167-2022</t>
        </is>
      </c>
      <c r="B1856" s="1" t="n">
        <v>44725</v>
      </c>
      <c r="C1856" s="1" t="n">
        <v>45571</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24152-2022</t>
        </is>
      </c>
      <c r="B1857" s="1" t="n">
        <v>44725</v>
      </c>
      <c r="C1857" s="1" t="n">
        <v>45571</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24283-2022</t>
        </is>
      </c>
      <c r="B1858" s="1" t="n">
        <v>44725</v>
      </c>
      <c r="C1858" s="1" t="n">
        <v>45571</v>
      </c>
      <c r="D1858" t="inlineStr">
        <is>
          <t>STOCKHOLMS LÄN</t>
        </is>
      </c>
      <c r="E1858" t="inlineStr">
        <is>
          <t>NYKVARN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24281-2022</t>
        </is>
      </c>
      <c r="B1859" s="1" t="n">
        <v>44725</v>
      </c>
      <c r="C1859" s="1" t="n">
        <v>45571</v>
      </c>
      <c r="D1859" t="inlineStr">
        <is>
          <t>STOCKHOLMS LÄN</t>
        </is>
      </c>
      <c r="E1859" t="inlineStr">
        <is>
          <t>NYKVARN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24656-2022</t>
        </is>
      </c>
      <c r="B1860" s="1" t="n">
        <v>44726</v>
      </c>
      <c r="C1860" s="1" t="n">
        <v>45571</v>
      </c>
      <c r="D1860" t="inlineStr">
        <is>
          <t>STOCKHOLMS LÄN</t>
        </is>
      </c>
      <c r="E1860" t="inlineStr">
        <is>
          <t>NYKVARN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24534-2022</t>
        </is>
      </c>
      <c r="B1861" s="1" t="n">
        <v>44727</v>
      </c>
      <c r="C1861" s="1" t="n">
        <v>45571</v>
      </c>
      <c r="D1861" t="inlineStr">
        <is>
          <t>STOCKHOLMS LÄN</t>
        </is>
      </c>
      <c r="E1861" t="inlineStr">
        <is>
          <t>NORRTÄLJE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24977-2022</t>
        </is>
      </c>
      <c r="B1862" s="1" t="n">
        <v>44728</v>
      </c>
      <c r="C1862" s="1" t="n">
        <v>45571</v>
      </c>
      <c r="D1862" t="inlineStr">
        <is>
          <t>STOCKHOLMS LÄN</t>
        </is>
      </c>
      <c r="E1862" t="inlineStr">
        <is>
          <t>NORRTÄLJE</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25278-2022</t>
        </is>
      </c>
      <c r="B1863" s="1" t="n">
        <v>44730</v>
      </c>
      <c r="C1863" s="1" t="n">
        <v>45571</v>
      </c>
      <c r="D1863" t="inlineStr">
        <is>
          <t>STOCKHOLMS LÄN</t>
        </is>
      </c>
      <c r="E1863" t="inlineStr">
        <is>
          <t>NYKVARN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25525-2022</t>
        </is>
      </c>
      <c r="B1864" s="1" t="n">
        <v>44732</v>
      </c>
      <c r="C1864" s="1" t="n">
        <v>45571</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25621-2022</t>
        </is>
      </c>
      <c r="B1865" s="1" t="n">
        <v>44732</v>
      </c>
      <c r="C1865" s="1" t="n">
        <v>45571</v>
      </c>
      <c r="D1865" t="inlineStr">
        <is>
          <t>STOCKHOLMS LÄN</t>
        </is>
      </c>
      <c r="E1865" t="inlineStr">
        <is>
          <t>NORRTÄLJE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25619-2022</t>
        </is>
      </c>
      <c r="B1866" s="1" t="n">
        <v>44732</v>
      </c>
      <c r="C1866" s="1" t="n">
        <v>45571</v>
      </c>
      <c r="D1866" t="inlineStr">
        <is>
          <t>STOCKHOLMS LÄN</t>
        </is>
      </c>
      <c r="E1866" t="inlineStr">
        <is>
          <t>NORRTÄLJE</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26016-2022</t>
        </is>
      </c>
      <c r="B1867" s="1" t="n">
        <v>44734</v>
      </c>
      <c r="C1867" s="1" t="n">
        <v>45571</v>
      </c>
      <c r="D1867" t="inlineStr">
        <is>
          <t>STOCKHOLMS LÄN</t>
        </is>
      </c>
      <c r="E1867" t="inlineStr">
        <is>
          <t>VALLENTUNA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26190-2022</t>
        </is>
      </c>
      <c r="B1868" s="1" t="n">
        <v>44735</v>
      </c>
      <c r="C1868" s="1" t="n">
        <v>45571</v>
      </c>
      <c r="D1868" t="inlineStr">
        <is>
          <t>STOCKHOLMS LÄN</t>
        </is>
      </c>
      <c r="E1868" t="inlineStr">
        <is>
          <t>NYNÄSHAMN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26328-2022</t>
        </is>
      </c>
      <c r="B1869" s="1" t="n">
        <v>44735</v>
      </c>
      <c r="C1869" s="1" t="n">
        <v>45571</v>
      </c>
      <c r="D1869" t="inlineStr">
        <is>
          <t>STOCKHOLMS LÄN</t>
        </is>
      </c>
      <c r="E1869" t="inlineStr">
        <is>
          <t>NORRTÄLJE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26335-2022</t>
        </is>
      </c>
      <c r="B1870" s="1" t="n">
        <v>44735</v>
      </c>
      <c r="C1870" s="1" t="n">
        <v>45571</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26812-2022</t>
        </is>
      </c>
      <c r="B1871" s="1" t="n">
        <v>44740</v>
      </c>
      <c r="C1871" s="1" t="n">
        <v>45571</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27460-2022</t>
        </is>
      </c>
      <c r="B1872" s="1" t="n">
        <v>44742</v>
      </c>
      <c r="C1872" s="1" t="n">
        <v>45571</v>
      </c>
      <c r="D1872" t="inlineStr">
        <is>
          <t>STOCKHOLMS LÄN</t>
        </is>
      </c>
      <c r="E1872" t="inlineStr">
        <is>
          <t>VALLENTUNA</t>
        </is>
      </c>
      <c r="F1872" t="inlineStr">
        <is>
          <t>Allmännings- och besparingsskogar</t>
        </is>
      </c>
      <c r="G1872" t="n">
        <v>26.6</v>
      </c>
      <c r="H1872" t="n">
        <v>0</v>
      </c>
      <c r="I1872" t="n">
        <v>0</v>
      </c>
      <c r="J1872" t="n">
        <v>0</v>
      </c>
      <c r="K1872" t="n">
        <v>0</v>
      </c>
      <c r="L1872" t="n">
        <v>0</v>
      </c>
      <c r="M1872" t="n">
        <v>0</v>
      </c>
      <c r="N1872" t="n">
        <v>0</v>
      </c>
      <c r="O1872" t="n">
        <v>0</v>
      </c>
      <c r="P1872" t="n">
        <v>0</v>
      </c>
      <c r="Q1872" t="n">
        <v>0</v>
      </c>
      <c r="R1872" s="2" t="inlineStr"/>
    </row>
    <row r="1873" ht="15" customHeight="1">
      <c r="A1873" t="inlineStr">
        <is>
          <t>A 27538-2022</t>
        </is>
      </c>
      <c r="B1873" s="1" t="n">
        <v>44742</v>
      </c>
      <c r="C1873" s="1" t="n">
        <v>45571</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27715-2022</t>
        </is>
      </c>
      <c r="B1874" s="1" t="n">
        <v>44743</v>
      </c>
      <c r="C1874" s="1" t="n">
        <v>45571</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27724-2022</t>
        </is>
      </c>
      <c r="B1875" s="1" t="n">
        <v>44743</v>
      </c>
      <c r="C1875" s="1" t="n">
        <v>45571</v>
      </c>
      <c r="D1875" t="inlineStr">
        <is>
          <t>STOCKHOLMS LÄN</t>
        </is>
      </c>
      <c r="E1875" t="inlineStr">
        <is>
          <t>UPPLANDS VÄSBY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27827-2022</t>
        </is>
      </c>
      <c r="B1876" s="1" t="n">
        <v>44743</v>
      </c>
      <c r="C1876" s="1" t="n">
        <v>45571</v>
      </c>
      <c r="D1876" t="inlineStr">
        <is>
          <t>STOCKHOLMS LÄN</t>
        </is>
      </c>
      <c r="E1876" t="inlineStr">
        <is>
          <t>NORRTÄLJE</t>
        </is>
      </c>
      <c r="F1876" t="inlineStr">
        <is>
          <t>Holmen skog AB</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27870-2022</t>
        </is>
      </c>
      <c r="B1877" s="1" t="n">
        <v>44743</v>
      </c>
      <c r="C1877" s="1" t="n">
        <v>45571</v>
      </c>
      <c r="D1877" t="inlineStr">
        <is>
          <t>STOCKHOLMS LÄN</t>
        </is>
      </c>
      <c r="E1877" t="inlineStr">
        <is>
          <t>NORRTÄLJE</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27828-2022</t>
        </is>
      </c>
      <c r="B1878" s="1" t="n">
        <v>44743</v>
      </c>
      <c r="C1878" s="1" t="n">
        <v>45571</v>
      </c>
      <c r="D1878" t="inlineStr">
        <is>
          <t>STOCKHOLMS LÄN</t>
        </is>
      </c>
      <c r="E1878" t="inlineStr">
        <is>
          <t>NORRTÄLJE</t>
        </is>
      </c>
      <c r="F1878" t="inlineStr">
        <is>
          <t>Kommuner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27824-2022</t>
        </is>
      </c>
      <c r="B1879" s="1" t="n">
        <v>44743</v>
      </c>
      <c r="C1879" s="1" t="n">
        <v>45571</v>
      </c>
      <c r="D1879" t="inlineStr">
        <is>
          <t>STOCKHOLMS LÄN</t>
        </is>
      </c>
      <c r="E1879" t="inlineStr">
        <is>
          <t>NORRTÄLJE</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27831-2022</t>
        </is>
      </c>
      <c r="B1880" s="1" t="n">
        <v>44743</v>
      </c>
      <c r="C1880" s="1" t="n">
        <v>45571</v>
      </c>
      <c r="D1880" t="inlineStr">
        <is>
          <t>STOCKHOLMS LÄN</t>
        </is>
      </c>
      <c r="E1880" t="inlineStr">
        <is>
          <t>NORRTÄLJE</t>
        </is>
      </c>
      <c r="F1880" t="inlineStr">
        <is>
          <t>Kommuner</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27885-2022</t>
        </is>
      </c>
      <c r="B1881" s="1" t="n">
        <v>44743</v>
      </c>
      <c r="C1881" s="1" t="n">
        <v>45571</v>
      </c>
      <c r="D1881" t="inlineStr">
        <is>
          <t>STOCKHOLMS LÄN</t>
        </is>
      </c>
      <c r="E1881" t="inlineStr">
        <is>
          <t>NORRTÄLJE</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27867-2022</t>
        </is>
      </c>
      <c r="B1882" s="1" t="n">
        <v>44743</v>
      </c>
      <c r="C1882" s="1" t="n">
        <v>45571</v>
      </c>
      <c r="D1882" t="inlineStr">
        <is>
          <t>STOCKHOLMS LÄN</t>
        </is>
      </c>
      <c r="E1882" t="inlineStr">
        <is>
          <t>NORRTÄLJE</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27970-2022</t>
        </is>
      </c>
      <c r="B1883" s="1" t="n">
        <v>44744</v>
      </c>
      <c r="C1883" s="1" t="n">
        <v>45571</v>
      </c>
      <c r="D1883" t="inlineStr">
        <is>
          <t>STOCKHOLMS LÄN</t>
        </is>
      </c>
      <c r="E1883" t="inlineStr">
        <is>
          <t>SÖDERTÄLJE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28042-2022</t>
        </is>
      </c>
      <c r="B1884" s="1" t="n">
        <v>44744</v>
      </c>
      <c r="C1884" s="1" t="n">
        <v>45571</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27969-2022</t>
        </is>
      </c>
      <c r="B1885" s="1" t="n">
        <v>44744</v>
      </c>
      <c r="C1885" s="1" t="n">
        <v>45571</v>
      </c>
      <c r="D1885" t="inlineStr">
        <is>
          <t>STOCKHOLMS LÄN</t>
        </is>
      </c>
      <c r="E1885" t="inlineStr">
        <is>
          <t>SÖDERTÄLJE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27971-2022</t>
        </is>
      </c>
      <c r="B1886" s="1" t="n">
        <v>44744</v>
      </c>
      <c r="C1886" s="1" t="n">
        <v>45571</v>
      </c>
      <c r="D1886" t="inlineStr">
        <is>
          <t>STOCKHOLMS LÄN</t>
        </is>
      </c>
      <c r="E1886" t="inlineStr">
        <is>
          <t>SÖDERTÄLJE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27972-2022</t>
        </is>
      </c>
      <c r="B1887" s="1" t="n">
        <v>44744</v>
      </c>
      <c r="C1887" s="1" t="n">
        <v>45571</v>
      </c>
      <c r="D1887" t="inlineStr">
        <is>
          <t>STOCKHOLMS LÄN</t>
        </is>
      </c>
      <c r="E1887" t="inlineStr">
        <is>
          <t>SÖDERTÄLJE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28100-2022</t>
        </is>
      </c>
      <c r="B1888" s="1" t="n">
        <v>44746</v>
      </c>
      <c r="C1888" s="1" t="n">
        <v>45571</v>
      </c>
      <c r="D1888" t="inlineStr">
        <is>
          <t>STOCKHOLMS LÄN</t>
        </is>
      </c>
      <c r="E1888" t="inlineStr">
        <is>
          <t>NORRTÄLJE</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28182-2022</t>
        </is>
      </c>
      <c r="B1889" s="1" t="n">
        <v>44746</v>
      </c>
      <c r="C1889" s="1" t="n">
        <v>45571</v>
      </c>
      <c r="D1889" t="inlineStr">
        <is>
          <t>STOCKHOLMS LÄN</t>
        </is>
      </c>
      <c r="E1889" t="inlineStr">
        <is>
          <t>NORRTÄLJE</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28209-2022</t>
        </is>
      </c>
      <c r="B1890" s="1" t="n">
        <v>44746</v>
      </c>
      <c r="C1890" s="1" t="n">
        <v>45571</v>
      </c>
      <c r="D1890" t="inlineStr">
        <is>
          <t>STOCKHOLMS LÄN</t>
        </is>
      </c>
      <c r="E1890" t="inlineStr">
        <is>
          <t>NORRTÄLJE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28365-2022</t>
        </is>
      </c>
      <c r="B1891" s="1" t="n">
        <v>44747</v>
      </c>
      <c r="C1891" s="1" t="n">
        <v>45571</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28399-2022</t>
        </is>
      </c>
      <c r="B1892" s="1" t="n">
        <v>44747</v>
      </c>
      <c r="C1892" s="1" t="n">
        <v>45571</v>
      </c>
      <c r="D1892" t="inlineStr">
        <is>
          <t>STOCKHOLMS LÄN</t>
        </is>
      </c>
      <c r="E1892" t="inlineStr">
        <is>
          <t>ÖSTERÅKER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28405-2022</t>
        </is>
      </c>
      <c r="B1893" s="1" t="n">
        <v>44747</v>
      </c>
      <c r="C1893" s="1" t="n">
        <v>45571</v>
      </c>
      <c r="D1893" t="inlineStr">
        <is>
          <t>STOCKHOLMS LÄN</t>
        </is>
      </c>
      <c r="E1893" t="inlineStr">
        <is>
          <t>ÖSTERÅKER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28851-2022</t>
        </is>
      </c>
      <c r="B1894" s="1" t="n">
        <v>44749</v>
      </c>
      <c r="C1894" s="1" t="n">
        <v>45571</v>
      </c>
      <c r="D1894" t="inlineStr">
        <is>
          <t>STOCKHOLMS LÄN</t>
        </is>
      </c>
      <c r="E1894" t="inlineStr">
        <is>
          <t>SIGTUNA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28900-2022</t>
        </is>
      </c>
      <c r="B1895" s="1" t="n">
        <v>44749</v>
      </c>
      <c r="C1895" s="1" t="n">
        <v>45571</v>
      </c>
      <c r="D1895" t="inlineStr">
        <is>
          <t>STOCKHOLMS LÄN</t>
        </is>
      </c>
      <c r="E1895" t="inlineStr">
        <is>
          <t>NORRTÄLJE</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28861-2022</t>
        </is>
      </c>
      <c r="B1896" s="1" t="n">
        <v>44749</v>
      </c>
      <c r="C1896" s="1" t="n">
        <v>45571</v>
      </c>
      <c r="D1896" t="inlineStr">
        <is>
          <t>STOCKHOLMS LÄN</t>
        </is>
      </c>
      <c r="E1896" t="inlineStr">
        <is>
          <t>SIGTUNA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28964-2022</t>
        </is>
      </c>
      <c r="B1897" s="1" t="n">
        <v>44749</v>
      </c>
      <c r="C1897" s="1" t="n">
        <v>45571</v>
      </c>
      <c r="D1897" t="inlineStr">
        <is>
          <t>STOCKHOLMS LÄN</t>
        </is>
      </c>
      <c r="E1897" t="inlineStr">
        <is>
          <t>ÖSTERÅKER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28959-2022</t>
        </is>
      </c>
      <c r="B1898" s="1" t="n">
        <v>44749</v>
      </c>
      <c r="C1898" s="1" t="n">
        <v>45571</v>
      </c>
      <c r="D1898" t="inlineStr">
        <is>
          <t>STOCKHOLMS LÄN</t>
        </is>
      </c>
      <c r="E1898" t="inlineStr">
        <is>
          <t>NORRTÄLJE</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28843-2022</t>
        </is>
      </c>
      <c r="B1899" s="1" t="n">
        <v>44749</v>
      </c>
      <c r="C1899" s="1" t="n">
        <v>45571</v>
      </c>
      <c r="D1899" t="inlineStr">
        <is>
          <t>STOCKHOLMS LÄN</t>
        </is>
      </c>
      <c r="E1899" t="inlineStr">
        <is>
          <t>SIGTUNA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29070-2022</t>
        </is>
      </c>
      <c r="B1900" s="1" t="n">
        <v>44750</v>
      </c>
      <c r="C1900" s="1" t="n">
        <v>45571</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29266-2022</t>
        </is>
      </c>
      <c r="B1901" s="1" t="n">
        <v>44750</v>
      </c>
      <c r="C1901" s="1" t="n">
        <v>45571</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29278-2022</t>
        </is>
      </c>
      <c r="B1902" s="1" t="n">
        <v>44750</v>
      </c>
      <c r="C1902" s="1" t="n">
        <v>45571</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29362-2022</t>
        </is>
      </c>
      <c r="B1903" s="1" t="n">
        <v>44753</v>
      </c>
      <c r="C1903" s="1" t="n">
        <v>45571</v>
      </c>
      <c r="D1903" t="inlineStr">
        <is>
          <t>STOCKHOLMS LÄN</t>
        </is>
      </c>
      <c r="E1903" t="inlineStr">
        <is>
          <t>NORRTÄLJE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29395-2022</t>
        </is>
      </c>
      <c r="B1904" s="1" t="n">
        <v>44753</v>
      </c>
      <c r="C1904" s="1" t="n">
        <v>45571</v>
      </c>
      <c r="D1904" t="inlineStr">
        <is>
          <t>STOCKHOLMS LÄN</t>
        </is>
      </c>
      <c r="E1904" t="inlineStr">
        <is>
          <t>NORRTÄLJE</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29646-2022</t>
        </is>
      </c>
      <c r="B1905" s="1" t="n">
        <v>44754</v>
      </c>
      <c r="C1905" s="1" t="n">
        <v>45571</v>
      </c>
      <c r="D1905" t="inlineStr">
        <is>
          <t>STOCKHOLMS LÄN</t>
        </is>
      </c>
      <c r="E1905" t="inlineStr">
        <is>
          <t>SIGTUNA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29786-2022</t>
        </is>
      </c>
      <c r="B1906" s="1" t="n">
        <v>44755</v>
      </c>
      <c r="C1906" s="1" t="n">
        <v>45571</v>
      </c>
      <c r="D1906" t="inlineStr">
        <is>
          <t>STOCKHOLMS LÄN</t>
        </is>
      </c>
      <c r="E1906" t="inlineStr">
        <is>
          <t>UPPLANDS-BRO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29784-2022</t>
        </is>
      </c>
      <c r="B1907" s="1" t="n">
        <v>44755</v>
      </c>
      <c r="C1907" s="1" t="n">
        <v>45571</v>
      </c>
      <c r="D1907" t="inlineStr">
        <is>
          <t>STOCKHOLMS LÄN</t>
        </is>
      </c>
      <c r="E1907" t="inlineStr">
        <is>
          <t>UPPLANDS-BRO</t>
        </is>
      </c>
      <c r="F1907" t="inlineStr">
        <is>
          <t>Allmännings- och besparingsskogar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29868-2022</t>
        </is>
      </c>
      <c r="B1908" s="1" t="n">
        <v>44756</v>
      </c>
      <c r="C1908" s="1" t="n">
        <v>45571</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30151-2022</t>
        </is>
      </c>
      <c r="B1909" s="1" t="n">
        <v>44757</v>
      </c>
      <c r="C1909" s="1" t="n">
        <v>45571</v>
      </c>
      <c r="D1909" t="inlineStr">
        <is>
          <t>STOCKHOLMS LÄN</t>
        </is>
      </c>
      <c r="E1909" t="inlineStr">
        <is>
          <t>NORRTÄLJE</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30164-2022</t>
        </is>
      </c>
      <c r="B1910" s="1" t="n">
        <v>44757</v>
      </c>
      <c r="C1910" s="1" t="n">
        <v>45571</v>
      </c>
      <c r="D1910" t="inlineStr">
        <is>
          <t>STOCKHOLMS LÄN</t>
        </is>
      </c>
      <c r="E1910" t="inlineStr">
        <is>
          <t>NORRTÄLJE</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30171-2022</t>
        </is>
      </c>
      <c r="B1911" s="1" t="n">
        <v>44757</v>
      </c>
      <c r="C1911" s="1" t="n">
        <v>45571</v>
      </c>
      <c r="D1911" t="inlineStr">
        <is>
          <t>STOCKHOLMS LÄN</t>
        </is>
      </c>
      <c r="E1911" t="inlineStr">
        <is>
          <t>NORRTÄLJE</t>
        </is>
      </c>
      <c r="F1911" t="inlineStr">
        <is>
          <t>Holmen skog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30283-2022</t>
        </is>
      </c>
      <c r="B1912" s="1" t="n">
        <v>44760</v>
      </c>
      <c r="C1912" s="1" t="n">
        <v>45571</v>
      </c>
      <c r="D1912" t="inlineStr">
        <is>
          <t>STOCKHOLMS LÄN</t>
        </is>
      </c>
      <c r="E1912" t="inlineStr">
        <is>
          <t>NORRTÄLJE</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30338-2022</t>
        </is>
      </c>
      <c r="B1913" s="1" t="n">
        <v>44760</v>
      </c>
      <c r="C1913" s="1" t="n">
        <v>45571</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30286-2022</t>
        </is>
      </c>
      <c r="B1914" s="1" t="n">
        <v>44760</v>
      </c>
      <c r="C1914" s="1" t="n">
        <v>45571</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30290-2022</t>
        </is>
      </c>
      <c r="B1915" s="1" t="n">
        <v>44760</v>
      </c>
      <c r="C1915" s="1" t="n">
        <v>45571</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30419-2022</t>
        </is>
      </c>
      <c r="B1916" s="1" t="n">
        <v>44761</v>
      </c>
      <c r="C1916" s="1" t="n">
        <v>45571</v>
      </c>
      <c r="D1916" t="inlineStr">
        <is>
          <t>STOCKHOLMS LÄN</t>
        </is>
      </c>
      <c r="E1916" t="inlineStr">
        <is>
          <t>HANINGE</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30620-2022</t>
        </is>
      </c>
      <c r="B1917" s="1" t="n">
        <v>44763</v>
      </c>
      <c r="C1917" s="1" t="n">
        <v>45571</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30624-2022</t>
        </is>
      </c>
      <c r="B1918" s="1" t="n">
        <v>44763</v>
      </c>
      <c r="C1918" s="1" t="n">
        <v>45571</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30758-2022</t>
        </is>
      </c>
      <c r="B1919" s="1" t="n">
        <v>44764</v>
      </c>
      <c r="C1919" s="1" t="n">
        <v>45571</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30740-2022</t>
        </is>
      </c>
      <c r="B1920" s="1" t="n">
        <v>44764</v>
      </c>
      <c r="C1920" s="1" t="n">
        <v>45571</v>
      </c>
      <c r="D1920" t="inlineStr">
        <is>
          <t>STOCKHOLMS LÄN</t>
        </is>
      </c>
      <c r="E1920" t="inlineStr">
        <is>
          <t>NORRTÄLJE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30750-2022</t>
        </is>
      </c>
      <c r="B1921" s="1" t="n">
        <v>44764</v>
      </c>
      <c r="C1921" s="1" t="n">
        <v>45571</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30802-2022</t>
        </is>
      </c>
      <c r="B1922" s="1" t="n">
        <v>44764</v>
      </c>
      <c r="C1922" s="1" t="n">
        <v>45571</v>
      </c>
      <c r="D1922" t="inlineStr">
        <is>
          <t>STOCKHOLMS LÄN</t>
        </is>
      </c>
      <c r="E1922" t="inlineStr">
        <is>
          <t>NORRTÄLJE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30886-2022</t>
        </is>
      </c>
      <c r="B1923" s="1" t="n">
        <v>44767</v>
      </c>
      <c r="C1923" s="1" t="n">
        <v>45571</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31102-2022</t>
        </is>
      </c>
      <c r="B1924" s="1" t="n">
        <v>44769</v>
      </c>
      <c r="C1924" s="1" t="n">
        <v>45571</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31092-2022</t>
        </is>
      </c>
      <c r="B1925" s="1" t="n">
        <v>44769</v>
      </c>
      <c r="C1925" s="1" t="n">
        <v>45571</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31052-2022</t>
        </is>
      </c>
      <c r="B1926" s="1" t="n">
        <v>44769</v>
      </c>
      <c r="C1926" s="1" t="n">
        <v>45571</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v>
      </c>
      <c r="C1927" s="1" t="n">
        <v>45571</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31107-2022</t>
        </is>
      </c>
      <c r="B1928" s="1" t="n">
        <v>44769</v>
      </c>
      <c r="C1928" s="1" t="n">
        <v>45571</v>
      </c>
      <c r="D1928" t="inlineStr">
        <is>
          <t>STOCKHOLMS LÄN</t>
        </is>
      </c>
      <c r="E1928" t="inlineStr">
        <is>
          <t>NORRTÄLJE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31057-2022</t>
        </is>
      </c>
      <c r="B1929" s="1" t="n">
        <v>44769</v>
      </c>
      <c r="C1929" s="1" t="n">
        <v>45571</v>
      </c>
      <c r="D1929" t="inlineStr">
        <is>
          <t>STOCKHOLMS LÄN</t>
        </is>
      </c>
      <c r="E1929" t="inlineStr">
        <is>
          <t>NORRTÄLJE</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31160-2022</t>
        </is>
      </c>
      <c r="B1930" s="1" t="n">
        <v>44770</v>
      </c>
      <c r="C1930" s="1" t="n">
        <v>45571</v>
      </c>
      <c r="D1930" t="inlineStr">
        <is>
          <t>STOCKHOLMS LÄN</t>
        </is>
      </c>
      <c r="E1930" t="inlineStr">
        <is>
          <t>UPPLANDS-BRO</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31236-2022</t>
        </is>
      </c>
      <c r="B1931" s="1" t="n">
        <v>44771</v>
      </c>
      <c r="C1931" s="1" t="n">
        <v>45571</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31246-2022</t>
        </is>
      </c>
      <c r="B1932" s="1" t="n">
        <v>44771</v>
      </c>
      <c r="C1932" s="1" t="n">
        <v>45571</v>
      </c>
      <c r="D1932" t="inlineStr">
        <is>
          <t>STOCKHOLMS LÄN</t>
        </is>
      </c>
      <c r="E1932" t="inlineStr">
        <is>
          <t>HUDDINGE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31281-2022</t>
        </is>
      </c>
      <c r="B1933" s="1" t="n">
        <v>44771</v>
      </c>
      <c r="C1933" s="1" t="n">
        <v>45571</v>
      </c>
      <c r="D1933" t="inlineStr">
        <is>
          <t>STOCKHOLMS LÄN</t>
        </is>
      </c>
      <c r="E1933" t="inlineStr">
        <is>
          <t>NORRTÄLJE</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31283-2022</t>
        </is>
      </c>
      <c r="B1934" s="1" t="n">
        <v>44771</v>
      </c>
      <c r="C1934" s="1" t="n">
        <v>45571</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31428-2022</t>
        </is>
      </c>
      <c r="B1935" s="1" t="n">
        <v>44774</v>
      </c>
      <c r="C1935" s="1" t="n">
        <v>45571</v>
      </c>
      <c r="D1935" t="inlineStr">
        <is>
          <t>STOCKHOLMS LÄN</t>
        </is>
      </c>
      <c r="E1935" t="inlineStr">
        <is>
          <t>SÖDERTÄLJE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31429-2022</t>
        </is>
      </c>
      <c r="B1936" s="1" t="n">
        <v>44774</v>
      </c>
      <c r="C1936" s="1" t="n">
        <v>45571</v>
      </c>
      <c r="D1936" t="inlineStr">
        <is>
          <t>STOCKHOLMS LÄN</t>
        </is>
      </c>
      <c r="E1936" t="inlineStr">
        <is>
          <t>SÖDERTÄLJE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31559-2022</t>
        </is>
      </c>
      <c r="B1937" s="1" t="n">
        <v>44775</v>
      </c>
      <c r="C1937" s="1" t="n">
        <v>45571</v>
      </c>
      <c r="D1937" t="inlineStr">
        <is>
          <t>STOCKHOLMS LÄN</t>
        </is>
      </c>
      <c r="E1937" t="inlineStr">
        <is>
          <t>NORRTÄLJE</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31575-2022</t>
        </is>
      </c>
      <c r="B1938" s="1" t="n">
        <v>44775</v>
      </c>
      <c r="C1938" s="1" t="n">
        <v>45571</v>
      </c>
      <c r="D1938" t="inlineStr">
        <is>
          <t>STOCKHOLMS LÄN</t>
        </is>
      </c>
      <c r="E1938" t="inlineStr">
        <is>
          <t>ÖSTERÅKER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31695-2022</t>
        </is>
      </c>
      <c r="B1939" s="1" t="n">
        <v>44776</v>
      </c>
      <c r="C1939" s="1" t="n">
        <v>45571</v>
      </c>
      <c r="D1939" t="inlineStr">
        <is>
          <t>STOCKHOLMS LÄN</t>
        </is>
      </c>
      <c r="E1939" t="inlineStr">
        <is>
          <t>SIGTUNA</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31684-2022</t>
        </is>
      </c>
      <c r="B1940" s="1" t="n">
        <v>44776</v>
      </c>
      <c r="C1940" s="1" t="n">
        <v>45571</v>
      </c>
      <c r="D1940" t="inlineStr">
        <is>
          <t>STOCKHOLMS LÄN</t>
        </is>
      </c>
      <c r="E1940" t="inlineStr">
        <is>
          <t>SIGTUNA</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31697-2022</t>
        </is>
      </c>
      <c r="B1941" s="1" t="n">
        <v>44776</v>
      </c>
      <c r="C1941" s="1" t="n">
        <v>45571</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31807-2022</t>
        </is>
      </c>
      <c r="B1942" s="1" t="n">
        <v>44776</v>
      </c>
      <c r="C1942" s="1" t="n">
        <v>45571</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31938-2022</t>
        </is>
      </c>
      <c r="B1943" s="1" t="n">
        <v>44777</v>
      </c>
      <c r="C1943" s="1" t="n">
        <v>45571</v>
      </c>
      <c r="D1943" t="inlineStr">
        <is>
          <t>STOCKHOLMS LÄN</t>
        </is>
      </c>
      <c r="E1943" t="inlineStr">
        <is>
          <t>NORRTÄLJE</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31936-2022</t>
        </is>
      </c>
      <c r="B1944" s="1" t="n">
        <v>44777</v>
      </c>
      <c r="C1944" s="1" t="n">
        <v>45571</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31924-2022</t>
        </is>
      </c>
      <c r="B1945" s="1" t="n">
        <v>44777</v>
      </c>
      <c r="C1945" s="1" t="n">
        <v>45571</v>
      </c>
      <c r="D1945" t="inlineStr">
        <is>
          <t>STOCKHOLMS LÄN</t>
        </is>
      </c>
      <c r="E1945" t="inlineStr">
        <is>
          <t>NORRTÄLJE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31939-2022</t>
        </is>
      </c>
      <c r="B1946" s="1" t="n">
        <v>44777</v>
      </c>
      <c r="C1946" s="1" t="n">
        <v>45571</v>
      </c>
      <c r="D1946" t="inlineStr">
        <is>
          <t>STOCKHOLMS LÄN</t>
        </is>
      </c>
      <c r="E1946" t="inlineStr">
        <is>
          <t>NORRTÄLJE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31926-2022</t>
        </is>
      </c>
      <c r="B1947" s="1" t="n">
        <v>44777</v>
      </c>
      <c r="C1947" s="1" t="n">
        <v>45571</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31934-2022</t>
        </is>
      </c>
      <c r="B1948" s="1" t="n">
        <v>44777</v>
      </c>
      <c r="C1948" s="1" t="n">
        <v>45571</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32103-2022</t>
        </is>
      </c>
      <c r="B1949" s="1" t="n">
        <v>44778</v>
      </c>
      <c r="C1949" s="1" t="n">
        <v>45571</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32111-2022</t>
        </is>
      </c>
      <c r="B1950" s="1" t="n">
        <v>44779</v>
      </c>
      <c r="C1950" s="1" t="n">
        <v>45571</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32101-2022</t>
        </is>
      </c>
      <c r="B1951" s="1" t="n">
        <v>44778</v>
      </c>
      <c r="C1951" s="1" t="n">
        <v>45571</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32100-2022</t>
        </is>
      </c>
      <c r="B1952" s="1" t="n">
        <v>44778</v>
      </c>
      <c r="C1952" s="1" t="n">
        <v>45571</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32102-2022</t>
        </is>
      </c>
      <c r="B1953" s="1" t="n">
        <v>44778</v>
      </c>
      <c r="C1953" s="1" t="n">
        <v>45571</v>
      </c>
      <c r="D1953" t="inlineStr">
        <is>
          <t>STOCKHOLMS LÄN</t>
        </is>
      </c>
      <c r="E1953" t="inlineStr">
        <is>
          <t>NORRTÄLJE</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32514-2022</t>
        </is>
      </c>
      <c r="B1954" s="1" t="n">
        <v>44782</v>
      </c>
      <c r="C1954" s="1" t="n">
        <v>45571</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32508-2022</t>
        </is>
      </c>
      <c r="B1955" s="1" t="n">
        <v>44782</v>
      </c>
      <c r="C1955" s="1" t="n">
        <v>45571</v>
      </c>
      <c r="D1955" t="inlineStr">
        <is>
          <t>STOCKHOLMS LÄN</t>
        </is>
      </c>
      <c r="E1955" t="inlineStr">
        <is>
          <t>HUDDINGE</t>
        </is>
      </c>
      <c r="F1955" t="inlineStr">
        <is>
          <t>Kommuner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32705-2022</t>
        </is>
      </c>
      <c r="B1956" s="1" t="n">
        <v>44783</v>
      </c>
      <c r="C1956" s="1" t="n">
        <v>45571</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32828-2022</t>
        </is>
      </c>
      <c r="B1957" s="1" t="n">
        <v>44784</v>
      </c>
      <c r="C1957" s="1" t="n">
        <v>45571</v>
      </c>
      <c r="D1957" t="inlineStr">
        <is>
          <t>STOCKHOLMS LÄN</t>
        </is>
      </c>
      <c r="E1957" t="inlineStr">
        <is>
          <t>BOTKYRKA</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33055-2022</t>
        </is>
      </c>
      <c r="B1958" s="1" t="n">
        <v>44785</v>
      </c>
      <c r="C1958" s="1" t="n">
        <v>45571</v>
      </c>
      <c r="D1958" t="inlineStr">
        <is>
          <t>STOCKHOLMS LÄN</t>
        </is>
      </c>
      <c r="E1958" t="inlineStr">
        <is>
          <t>NORRTÄLJE</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33046-2022</t>
        </is>
      </c>
      <c r="B1959" s="1" t="n">
        <v>44785</v>
      </c>
      <c r="C1959" s="1" t="n">
        <v>45571</v>
      </c>
      <c r="D1959" t="inlineStr">
        <is>
          <t>STOCKHOLMS LÄN</t>
        </is>
      </c>
      <c r="E1959" t="inlineStr">
        <is>
          <t>VÄRMDÖ</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33149-2022</t>
        </is>
      </c>
      <c r="B1960" s="1" t="n">
        <v>44785</v>
      </c>
      <c r="C1960" s="1" t="n">
        <v>45571</v>
      </c>
      <c r="D1960" t="inlineStr">
        <is>
          <t>STOCKHOLMS LÄN</t>
        </is>
      </c>
      <c r="E1960" t="inlineStr">
        <is>
          <t>NORRTÄLJE</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33445-2022</t>
        </is>
      </c>
      <c r="B1961" s="1" t="n">
        <v>44788</v>
      </c>
      <c r="C1961" s="1" t="n">
        <v>45571</v>
      </c>
      <c r="D1961" t="inlineStr">
        <is>
          <t>STOCKHOLMS LÄN</t>
        </is>
      </c>
      <c r="E1961" t="inlineStr">
        <is>
          <t>NORRTÄLJE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33667-2022</t>
        </is>
      </c>
      <c r="B1962" s="1" t="n">
        <v>44789</v>
      </c>
      <c r="C1962" s="1" t="n">
        <v>45571</v>
      </c>
      <c r="D1962" t="inlineStr">
        <is>
          <t>STOCKHOLMS LÄN</t>
        </is>
      </c>
      <c r="E1962" t="inlineStr">
        <is>
          <t>NYNÄSHAMN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33892-2022</t>
        </is>
      </c>
      <c r="B1963" s="1" t="n">
        <v>44790</v>
      </c>
      <c r="C1963" s="1" t="n">
        <v>45571</v>
      </c>
      <c r="D1963" t="inlineStr">
        <is>
          <t>STOCKHOLMS LÄN</t>
        </is>
      </c>
      <c r="E1963" t="inlineStr">
        <is>
          <t>SÖDERTÄLJE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33793-2022</t>
        </is>
      </c>
      <c r="B1964" s="1" t="n">
        <v>44790</v>
      </c>
      <c r="C1964" s="1" t="n">
        <v>45571</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33902-2022</t>
        </is>
      </c>
      <c r="B1965" s="1" t="n">
        <v>44790</v>
      </c>
      <c r="C1965" s="1" t="n">
        <v>45571</v>
      </c>
      <c r="D1965" t="inlineStr">
        <is>
          <t>STOCKHOLMS LÄN</t>
        </is>
      </c>
      <c r="E1965" t="inlineStr">
        <is>
          <t>SÖDERTÄLJE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33895-2022</t>
        </is>
      </c>
      <c r="B1966" s="1" t="n">
        <v>44790</v>
      </c>
      <c r="C1966" s="1" t="n">
        <v>45571</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34773-2022</t>
        </is>
      </c>
      <c r="B1967" s="1" t="n">
        <v>44795</v>
      </c>
      <c r="C1967" s="1" t="n">
        <v>45571</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34926-2022</t>
        </is>
      </c>
      <c r="B1968" s="1" t="n">
        <v>44796</v>
      </c>
      <c r="C1968" s="1" t="n">
        <v>45571</v>
      </c>
      <c r="D1968" t="inlineStr">
        <is>
          <t>STOCKHOLMS LÄN</t>
        </is>
      </c>
      <c r="E1968" t="inlineStr">
        <is>
          <t>VAXHOLM</t>
        </is>
      </c>
      <c r="F1968" t="inlineStr">
        <is>
          <t>Övriga statliga verk och myndigheter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35121-2022</t>
        </is>
      </c>
      <c r="B1969" s="1" t="n">
        <v>44797</v>
      </c>
      <c r="C1969" s="1" t="n">
        <v>45571</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35161-2022</t>
        </is>
      </c>
      <c r="B1970" s="1" t="n">
        <v>44797</v>
      </c>
      <c r="C1970" s="1" t="n">
        <v>45571</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35156-2022</t>
        </is>
      </c>
      <c r="B1971" s="1" t="n">
        <v>44797</v>
      </c>
      <c r="C1971" s="1" t="n">
        <v>45571</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35404-2022</t>
        </is>
      </c>
      <c r="B1972" s="1" t="n">
        <v>44798</v>
      </c>
      <c r="C1972" s="1" t="n">
        <v>45571</v>
      </c>
      <c r="D1972" t="inlineStr">
        <is>
          <t>STOCKHOLMS LÄN</t>
        </is>
      </c>
      <c r="E1972" t="inlineStr">
        <is>
          <t>HUDDINGE</t>
        </is>
      </c>
      <c r="F1972" t="inlineStr">
        <is>
          <t>Kommuner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35708-2022</t>
        </is>
      </c>
      <c r="B1973" s="1" t="n">
        <v>44799</v>
      </c>
      <c r="C1973" s="1" t="n">
        <v>45571</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35906-2022</t>
        </is>
      </c>
      <c r="B1974" s="1" t="n">
        <v>44802</v>
      </c>
      <c r="C1974" s="1" t="n">
        <v>45571</v>
      </c>
      <c r="D1974" t="inlineStr">
        <is>
          <t>STOCKHOLMS LÄN</t>
        </is>
      </c>
      <c r="E1974" t="inlineStr">
        <is>
          <t>SÖDERTÄLJE</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35918-2022</t>
        </is>
      </c>
      <c r="B1975" s="1" t="n">
        <v>44802</v>
      </c>
      <c r="C1975" s="1" t="n">
        <v>45571</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35882-2022</t>
        </is>
      </c>
      <c r="B1976" s="1" t="n">
        <v>44802</v>
      </c>
      <c r="C1976" s="1" t="n">
        <v>45571</v>
      </c>
      <c r="D1976" t="inlineStr">
        <is>
          <t>STOCKHOLMS LÄN</t>
        </is>
      </c>
      <c r="E1976" t="inlineStr">
        <is>
          <t>SÖDERTÄLJE</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35942-2022</t>
        </is>
      </c>
      <c r="B1977" s="1" t="n">
        <v>44802</v>
      </c>
      <c r="C1977" s="1" t="n">
        <v>45571</v>
      </c>
      <c r="D1977" t="inlineStr">
        <is>
          <t>STOCKHOLMS LÄN</t>
        </is>
      </c>
      <c r="E1977" t="inlineStr">
        <is>
          <t>SÖDERTÄLJE</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36063-2022</t>
        </is>
      </c>
      <c r="B1978" s="1" t="n">
        <v>44802</v>
      </c>
      <c r="C1978" s="1" t="n">
        <v>45571</v>
      </c>
      <c r="D1978" t="inlineStr">
        <is>
          <t>STOCKHOLMS LÄN</t>
        </is>
      </c>
      <c r="E1978" t="inlineStr">
        <is>
          <t>EKERÖ</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36112-2022</t>
        </is>
      </c>
      <c r="B1979" s="1" t="n">
        <v>44802</v>
      </c>
      <c r="C1979" s="1" t="n">
        <v>45571</v>
      </c>
      <c r="D1979" t="inlineStr">
        <is>
          <t>STOCKHOLMS LÄN</t>
        </is>
      </c>
      <c r="E1979" t="inlineStr">
        <is>
          <t>SÖDERTÄLJE</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36113-2022</t>
        </is>
      </c>
      <c r="B1980" s="1" t="n">
        <v>44802</v>
      </c>
      <c r="C1980" s="1" t="n">
        <v>45571</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36181-2022</t>
        </is>
      </c>
      <c r="B1981" s="1" t="n">
        <v>44803</v>
      </c>
      <c r="C1981" s="1" t="n">
        <v>45571</v>
      </c>
      <c r="D1981" t="inlineStr">
        <is>
          <t>STOCKHOLMS LÄN</t>
        </is>
      </c>
      <c r="E1981" t="inlineStr">
        <is>
          <t>SIGTUNA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36179-2022</t>
        </is>
      </c>
      <c r="B1982" s="1" t="n">
        <v>44803</v>
      </c>
      <c r="C1982" s="1" t="n">
        <v>45571</v>
      </c>
      <c r="D1982" t="inlineStr">
        <is>
          <t>STOCKHOLMS LÄN</t>
        </is>
      </c>
      <c r="E1982" t="inlineStr">
        <is>
          <t>SIGTUNA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36269-2022</t>
        </is>
      </c>
      <c r="B1983" s="1" t="n">
        <v>44803</v>
      </c>
      <c r="C1983" s="1" t="n">
        <v>45571</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36308-2022</t>
        </is>
      </c>
      <c r="B1984" s="1" t="n">
        <v>44803</v>
      </c>
      <c r="C1984" s="1" t="n">
        <v>45571</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36905-2022</t>
        </is>
      </c>
      <c r="B1985" s="1" t="n">
        <v>44805</v>
      </c>
      <c r="C1985" s="1" t="n">
        <v>45571</v>
      </c>
      <c r="D1985" t="inlineStr">
        <is>
          <t>STOCKHOLMS LÄN</t>
        </is>
      </c>
      <c r="E1985" t="inlineStr">
        <is>
          <t>TÄBY</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36975-2022</t>
        </is>
      </c>
      <c r="B1986" s="1" t="n">
        <v>44806</v>
      </c>
      <c r="C1986" s="1" t="n">
        <v>45571</v>
      </c>
      <c r="D1986" t="inlineStr">
        <is>
          <t>STOCKHOLMS LÄN</t>
        </is>
      </c>
      <c r="E1986" t="inlineStr">
        <is>
          <t>NORRTÄLJE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37000-2022</t>
        </is>
      </c>
      <c r="B1987" s="1" t="n">
        <v>44806</v>
      </c>
      <c r="C1987" s="1" t="n">
        <v>45571</v>
      </c>
      <c r="D1987" t="inlineStr">
        <is>
          <t>STOCKHOLMS LÄN</t>
        </is>
      </c>
      <c r="E1987" t="inlineStr">
        <is>
          <t>HANINGE</t>
        </is>
      </c>
      <c r="F1987" t="inlineStr">
        <is>
          <t>Övriga statliga verk och myndigheter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37444-2022</t>
        </is>
      </c>
      <c r="B1988" s="1" t="n">
        <v>44809</v>
      </c>
      <c r="C1988" s="1" t="n">
        <v>45571</v>
      </c>
      <c r="D1988" t="inlineStr">
        <is>
          <t>STOCKHOLMS LÄN</t>
        </is>
      </c>
      <c r="E1988" t="inlineStr">
        <is>
          <t>SIGTUNA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37442-2022</t>
        </is>
      </c>
      <c r="B1989" s="1" t="n">
        <v>44809</v>
      </c>
      <c r="C1989" s="1" t="n">
        <v>45571</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37550-2022</t>
        </is>
      </c>
      <c r="B1990" s="1" t="n">
        <v>44809</v>
      </c>
      <c r="C1990" s="1" t="n">
        <v>45571</v>
      </c>
      <c r="D1990" t="inlineStr">
        <is>
          <t>STOCKHOLMS LÄN</t>
        </is>
      </c>
      <c r="E1990" t="inlineStr">
        <is>
          <t>NORRTÄLJE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37563-2022</t>
        </is>
      </c>
      <c r="B1991" s="1" t="n">
        <v>44809</v>
      </c>
      <c r="C1991" s="1" t="n">
        <v>45571</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37491-2022</t>
        </is>
      </c>
      <c r="B1992" s="1" t="n">
        <v>44809</v>
      </c>
      <c r="C1992" s="1" t="n">
        <v>45571</v>
      </c>
      <c r="D1992" t="inlineStr">
        <is>
          <t>STOCKHOLMS LÄN</t>
        </is>
      </c>
      <c r="E1992" t="inlineStr">
        <is>
          <t>NYNÄSHAMN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37679-2022</t>
        </is>
      </c>
      <c r="B1993" s="1" t="n">
        <v>44810</v>
      </c>
      <c r="C1993" s="1" t="n">
        <v>45571</v>
      </c>
      <c r="D1993" t="inlineStr">
        <is>
          <t>STOCKHOLMS LÄN</t>
        </is>
      </c>
      <c r="E1993" t="inlineStr">
        <is>
          <t>NORRTÄLJE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37815-2022</t>
        </is>
      </c>
      <c r="B1994" s="1" t="n">
        <v>44810</v>
      </c>
      <c r="C1994" s="1" t="n">
        <v>45571</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37843-2022</t>
        </is>
      </c>
      <c r="B1995" s="1" t="n">
        <v>44810</v>
      </c>
      <c r="C1995" s="1" t="n">
        <v>45571</v>
      </c>
      <c r="D1995" t="inlineStr">
        <is>
          <t>STOCKHOLMS LÄN</t>
        </is>
      </c>
      <c r="E1995" t="inlineStr">
        <is>
          <t>SÖDERTÄLJE</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37844-2022</t>
        </is>
      </c>
      <c r="B1996" s="1" t="n">
        <v>44810</v>
      </c>
      <c r="C1996" s="1" t="n">
        <v>45571</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45571</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38079-2022</t>
        </is>
      </c>
      <c r="B1998" s="1" t="n">
        <v>44811</v>
      </c>
      <c r="C1998" s="1" t="n">
        <v>45571</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38194-2022</t>
        </is>
      </c>
      <c r="B1999" s="1" t="n">
        <v>44812</v>
      </c>
      <c r="C1999" s="1" t="n">
        <v>45571</v>
      </c>
      <c r="D1999" t="inlineStr">
        <is>
          <t>STOCKHOLMS LÄN</t>
        </is>
      </c>
      <c r="E1999" t="inlineStr">
        <is>
          <t>BOTKYRKA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38202-2022</t>
        </is>
      </c>
      <c r="B2000" s="1" t="n">
        <v>44812</v>
      </c>
      <c r="C2000" s="1" t="n">
        <v>45571</v>
      </c>
      <c r="D2000" t="inlineStr">
        <is>
          <t>STOCKHOLMS LÄN</t>
        </is>
      </c>
      <c r="E2000" t="inlineStr">
        <is>
          <t>BOTKYRKA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38196-2022</t>
        </is>
      </c>
      <c r="B2001" s="1" t="n">
        <v>44812</v>
      </c>
      <c r="C2001" s="1" t="n">
        <v>45571</v>
      </c>
      <c r="D2001" t="inlineStr">
        <is>
          <t>STOCKHOLMS LÄN</t>
        </is>
      </c>
      <c r="E2001" t="inlineStr">
        <is>
          <t>BOTKYRKA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38250-2022</t>
        </is>
      </c>
      <c r="B2002" s="1" t="n">
        <v>44812</v>
      </c>
      <c r="C2002" s="1" t="n">
        <v>45571</v>
      </c>
      <c r="D2002" t="inlineStr">
        <is>
          <t>STOCKHOLMS LÄN</t>
        </is>
      </c>
      <c r="E2002" t="inlineStr">
        <is>
          <t>SÖDERTÄLJE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38449-2022</t>
        </is>
      </c>
      <c r="B2003" s="1" t="n">
        <v>44813</v>
      </c>
      <c r="C2003" s="1" t="n">
        <v>45571</v>
      </c>
      <c r="D2003" t="inlineStr">
        <is>
          <t>STOCKHOLMS LÄN</t>
        </is>
      </c>
      <c r="E2003" t="inlineStr">
        <is>
          <t>NORRTÄLJE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38543-2022</t>
        </is>
      </c>
      <c r="B2004" s="1" t="n">
        <v>44813</v>
      </c>
      <c r="C2004" s="1" t="n">
        <v>45571</v>
      </c>
      <c r="D2004" t="inlineStr">
        <is>
          <t>STOCKHOLMS LÄN</t>
        </is>
      </c>
      <c r="E2004" t="inlineStr">
        <is>
          <t>BOTKYRKA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38612-2022</t>
        </is>
      </c>
      <c r="B2005" s="1" t="n">
        <v>44813</v>
      </c>
      <c r="C2005" s="1" t="n">
        <v>45571</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38590-2022</t>
        </is>
      </c>
      <c r="B2006" s="1" t="n">
        <v>44813</v>
      </c>
      <c r="C2006" s="1" t="n">
        <v>45571</v>
      </c>
      <c r="D2006" t="inlineStr">
        <is>
          <t>STOCKHOLMS LÄN</t>
        </is>
      </c>
      <c r="E2006" t="inlineStr">
        <is>
          <t>NORRTÄLJE</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38610-2022</t>
        </is>
      </c>
      <c r="B2007" s="1" t="n">
        <v>44813</v>
      </c>
      <c r="C2007" s="1" t="n">
        <v>45571</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38720-2022</t>
        </is>
      </c>
      <c r="B2008" s="1" t="n">
        <v>44815</v>
      </c>
      <c r="C2008" s="1" t="n">
        <v>45571</v>
      </c>
      <c r="D2008" t="inlineStr">
        <is>
          <t>STOCKHOLMS LÄN</t>
        </is>
      </c>
      <c r="E2008" t="inlineStr">
        <is>
          <t>NORRTÄLJE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38721-2022</t>
        </is>
      </c>
      <c r="B2009" s="1" t="n">
        <v>44815</v>
      </c>
      <c r="C2009" s="1" t="n">
        <v>45571</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38927-2022</t>
        </is>
      </c>
      <c r="B2010" s="1" t="n">
        <v>44816</v>
      </c>
      <c r="C2010" s="1" t="n">
        <v>45571</v>
      </c>
      <c r="D2010" t="inlineStr">
        <is>
          <t>STOCKHOLMS LÄN</t>
        </is>
      </c>
      <c r="E2010" t="inlineStr">
        <is>
          <t>NORRTÄLJE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38759-2022</t>
        </is>
      </c>
      <c r="B2011" s="1" t="n">
        <v>44816</v>
      </c>
      <c r="C2011" s="1" t="n">
        <v>45571</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38990-2022</t>
        </is>
      </c>
      <c r="B2012" s="1" t="n">
        <v>44816</v>
      </c>
      <c r="C2012" s="1" t="n">
        <v>45571</v>
      </c>
      <c r="D2012" t="inlineStr">
        <is>
          <t>STOCKHOLMS LÄN</t>
        </is>
      </c>
      <c r="E2012" t="inlineStr">
        <is>
          <t>NORRTÄLJE</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38991-2022</t>
        </is>
      </c>
      <c r="B2013" s="1" t="n">
        <v>44816</v>
      </c>
      <c r="C2013" s="1" t="n">
        <v>45571</v>
      </c>
      <c r="D2013" t="inlineStr">
        <is>
          <t>STOCKHOLMS LÄN</t>
        </is>
      </c>
      <c r="E2013" t="inlineStr">
        <is>
          <t>NORRTÄLJE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38985-2022</t>
        </is>
      </c>
      <c r="B2014" s="1" t="n">
        <v>44816</v>
      </c>
      <c r="C2014" s="1" t="n">
        <v>45571</v>
      </c>
      <c r="D2014" t="inlineStr">
        <is>
          <t>STOCKHOLMS LÄN</t>
        </is>
      </c>
      <c r="E2014" t="inlineStr">
        <is>
          <t>NORRTÄLJE</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38992-2022</t>
        </is>
      </c>
      <c r="B2015" s="1" t="n">
        <v>44817</v>
      </c>
      <c r="C2015" s="1" t="n">
        <v>45571</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39213-2022</t>
        </is>
      </c>
      <c r="B2016" s="1" t="n">
        <v>44817</v>
      </c>
      <c r="C2016" s="1" t="n">
        <v>45571</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39319-2022</t>
        </is>
      </c>
      <c r="B2017" s="1" t="n">
        <v>44817</v>
      </c>
      <c r="C2017" s="1" t="n">
        <v>45571</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39318-2022</t>
        </is>
      </c>
      <c r="B2018" s="1" t="n">
        <v>44817</v>
      </c>
      <c r="C2018" s="1" t="n">
        <v>45571</v>
      </c>
      <c r="D2018" t="inlineStr">
        <is>
          <t>STOCKHOLMS LÄN</t>
        </is>
      </c>
      <c r="E2018" t="inlineStr">
        <is>
          <t>NORRTÄLJE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39854-2022</t>
        </is>
      </c>
      <c r="B2019" s="1" t="n">
        <v>44819</v>
      </c>
      <c r="C2019" s="1" t="n">
        <v>45571</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39869-2022</t>
        </is>
      </c>
      <c r="B2020" s="1" t="n">
        <v>44819</v>
      </c>
      <c r="C2020" s="1" t="n">
        <v>45571</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39867-2022</t>
        </is>
      </c>
      <c r="B2021" s="1" t="n">
        <v>44819</v>
      </c>
      <c r="C2021" s="1" t="n">
        <v>45571</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40504-2022</t>
        </is>
      </c>
      <c r="B2022" s="1" t="n">
        <v>44823</v>
      </c>
      <c r="C2022" s="1" t="n">
        <v>45571</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40503-2022</t>
        </is>
      </c>
      <c r="B2023" s="1" t="n">
        <v>44823</v>
      </c>
      <c r="C2023" s="1" t="n">
        <v>45571</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40656-2022</t>
        </is>
      </c>
      <c r="B2024" s="1" t="n">
        <v>44824</v>
      </c>
      <c r="C2024" s="1" t="n">
        <v>45571</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40816-2022</t>
        </is>
      </c>
      <c r="B2025" s="1" t="n">
        <v>44824</v>
      </c>
      <c r="C2025" s="1" t="n">
        <v>45571</v>
      </c>
      <c r="D2025" t="inlineStr">
        <is>
          <t>STOCKHOLMS LÄN</t>
        </is>
      </c>
      <c r="E2025" t="inlineStr">
        <is>
          <t>SÖDERTÄLJE</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40751-2022</t>
        </is>
      </c>
      <c r="B2026" s="1" t="n">
        <v>44824</v>
      </c>
      <c r="C2026" s="1" t="n">
        <v>45571</v>
      </c>
      <c r="D2026" t="inlineStr">
        <is>
          <t>STOCKHOLMS LÄN</t>
        </is>
      </c>
      <c r="E2026" t="inlineStr">
        <is>
          <t>NORRTÄLJE</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40801-2022</t>
        </is>
      </c>
      <c r="B2027" s="1" t="n">
        <v>44824</v>
      </c>
      <c r="C2027" s="1" t="n">
        <v>45571</v>
      </c>
      <c r="D2027" t="inlineStr">
        <is>
          <t>STOCKHOLMS LÄN</t>
        </is>
      </c>
      <c r="E2027" t="inlineStr">
        <is>
          <t>SÖDERTÄLJE</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41263-2022</t>
        </is>
      </c>
      <c r="B2028" s="1" t="n">
        <v>44825</v>
      </c>
      <c r="C2028" s="1" t="n">
        <v>45571</v>
      </c>
      <c r="D2028" t="inlineStr">
        <is>
          <t>STOCKHOLMS LÄN</t>
        </is>
      </c>
      <c r="E2028" t="inlineStr">
        <is>
          <t>HANINGE</t>
        </is>
      </c>
      <c r="F2028" t="inlineStr">
        <is>
          <t>Övriga statliga verk och myndigheter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41266-2022</t>
        </is>
      </c>
      <c r="B2029" s="1" t="n">
        <v>44825</v>
      </c>
      <c r="C2029" s="1" t="n">
        <v>45571</v>
      </c>
      <c r="D2029" t="inlineStr">
        <is>
          <t>STOCKHOLMS LÄN</t>
        </is>
      </c>
      <c r="E2029" t="inlineStr">
        <is>
          <t>HANINGE</t>
        </is>
      </c>
      <c r="F2029" t="inlineStr">
        <is>
          <t>Övriga statliga verk och myndigheter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41259-2022</t>
        </is>
      </c>
      <c r="B2030" s="1" t="n">
        <v>44825</v>
      </c>
      <c r="C2030" s="1" t="n">
        <v>45571</v>
      </c>
      <c r="D2030" t="inlineStr">
        <is>
          <t>STOCKHOLMS LÄN</t>
        </is>
      </c>
      <c r="E2030" t="inlineStr">
        <is>
          <t>HANINGE</t>
        </is>
      </c>
      <c r="F2030" t="inlineStr">
        <is>
          <t>Övriga statliga verk och myndigheter</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41398-2022</t>
        </is>
      </c>
      <c r="B2031" s="1" t="n">
        <v>44826</v>
      </c>
      <c r="C2031" s="1" t="n">
        <v>45571</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41320-2022</t>
        </is>
      </c>
      <c r="B2032" s="1" t="n">
        <v>44826</v>
      </c>
      <c r="C2032" s="1" t="n">
        <v>45571</v>
      </c>
      <c r="D2032" t="inlineStr">
        <is>
          <t>STOCKHOLMS LÄN</t>
        </is>
      </c>
      <c r="E2032" t="inlineStr">
        <is>
          <t>NORRTÄLJE</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41693-2022</t>
        </is>
      </c>
      <c r="B2033" s="1" t="n">
        <v>44827</v>
      </c>
      <c r="C2033" s="1" t="n">
        <v>45571</v>
      </c>
      <c r="D2033" t="inlineStr">
        <is>
          <t>STOCKHOLMS LÄN</t>
        </is>
      </c>
      <c r="E2033" t="inlineStr">
        <is>
          <t>SIGTUNA</t>
        </is>
      </c>
      <c r="F2033" t="inlineStr">
        <is>
          <t>Allmännings- och besparingsskogar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42087-2022</t>
        </is>
      </c>
      <c r="B2034" s="1" t="n">
        <v>44830</v>
      </c>
      <c r="C2034" s="1" t="n">
        <v>45571</v>
      </c>
      <c r="D2034" t="inlineStr">
        <is>
          <t>STOCKHOLMS LÄN</t>
        </is>
      </c>
      <c r="E2034" t="inlineStr">
        <is>
          <t>NORRTÄLJE</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42112-2022</t>
        </is>
      </c>
      <c r="B2035" s="1" t="n">
        <v>44830</v>
      </c>
      <c r="C2035" s="1" t="n">
        <v>45571</v>
      </c>
      <c r="D2035" t="inlineStr">
        <is>
          <t>STOCKHOLMS LÄN</t>
        </is>
      </c>
      <c r="E2035" t="inlineStr">
        <is>
          <t>NORRTÄLJE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42126-2022</t>
        </is>
      </c>
      <c r="B2036" s="1" t="n">
        <v>44830</v>
      </c>
      <c r="C2036" s="1" t="n">
        <v>45571</v>
      </c>
      <c r="D2036" t="inlineStr">
        <is>
          <t>STOCKHOLMS LÄN</t>
        </is>
      </c>
      <c r="E2036" t="inlineStr">
        <is>
          <t>NORRTÄLJE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42162-2022</t>
        </is>
      </c>
      <c r="B2037" s="1" t="n">
        <v>44830</v>
      </c>
      <c r="C2037" s="1" t="n">
        <v>45571</v>
      </c>
      <c r="D2037" t="inlineStr">
        <is>
          <t>STOCKHOLMS LÄN</t>
        </is>
      </c>
      <c r="E2037" t="inlineStr">
        <is>
          <t>SIGTUNA</t>
        </is>
      </c>
      <c r="F2037" t="inlineStr">
        <is>
          <t>Övriga statliga verk och myndigheter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42867-2022</t>
        </is>
      </c>
      <c r="B2038" s="1" t="n">
        <v>44832</v>
      </c>
      <c r="C2038" s="1" t="n">
        <v>45571</v>
      </c>
      <c r="D2038" t="inlineStr">
        <is>
          <t>STOCKHOLMS LÄN</t>
        </is>
      </c>
      <c r="E2038" t="inlineStr">
        <is>
          <t>NORRTÄLJE</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42955-2022</t>
        </is>
      </c>
      <c r="B2039" s="1" t="n">
        <v>44833</v>
      </c>
      <c r="C2039" s="1" t="n">
        <v>45571</v>
      </c>
      <c r="D2039" t="inlineStr">
        <is>
          <t>STOCKHOLMS LÄN</t>
        </is>
      </c>
      <c r="E2039" t="inlineStr">
        <is>
          <t>NORRTÄLJE</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43036-2022</t>
        </is>
      </c>
      <c r="B2040" s="1" t="n">
        <v>44833</v>
      </c>
      <c r="C2040" s="1" t="n">
        <v>45571</v>
      </c>
      <c r="D2040" t="inlineStr">
        <is>
          <t>STOCKHOLMS LÄN</t>
        </is>
      </c>
      <c r="E2040" t="inlineStr">
        <is>
          <t>NORRTÄLJE</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43212-2022</t>
        </is>
      </c>
      <c r="B2041" s="1" t="n">
        <v>44834</v>
      </c>
      <c r="C2041" s="1" t="n">
        <v>45571</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43230-2022</t>
        </is>
      </c>
      <c r="B2042" s="1" t="n">
        <v>44834</v>
      </c>
      <c r="C2042" s="1" t="n">
        <v>45571</v>
      </c>
      <c r="D2042" t="inlineStr">
        <is>
          <t>STOCKHOLMS LÄN</t>
        </is>
      </c>
      <c r="E2042" t="inlineStr">
        <is>
          <t>NYKVARN</t>
        </is>
      </c>
      <c r="F2042" t="inlineStr">
        <is>
          <t>Allmännings- och besparingsskogar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43374-2022</t>
        </is>
      </c>
      <c r="B2043" s="1" t="n">
        <v>44834</v>
      </c>
      <c r="C2043" s="1" t="n">
        <v>45571</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43753-2022</t>
        </is>
      </c>
      <c r="B2044" s="1" t="n">
        <v>44837</v>
      </c>
      <c r="C2044" s="1" t="n">
        <v>45571</v>
      </c>
      <c r="D2044" t="inlineStr">
        <is>
          <t>STOCKHOLMS LÄN</t>
        </is>
      </c>
      <c r="E2044" t="inlineStr">
        <is>
          <t>NYKVARN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43752-2022</t>
        </is>
      </c>
      <c r="B2045" s="1" t="n">
        <v>44837</v>
      </c>
      <c r="C2045" s="1" t="n">
        <v>45571</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43873-2022</t>
        </is>
      </c>
      <c r="B2046" s="1" t="n">
        <v>44838</v>
      </c>
      <c r="C2046" s="1" t="n">
        <v>45571</v>
      </c>
      <c r="D2046" t="inlineStr">
        <is>
          <t>STOCKHOLMS LÄN</t>
        </is>
      </c>
      <c r="E2046" t="inlineStr">
        <is>
          <t>UPPLANDS VÄSBY</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43972-2022</t>
        </is>
      </c>
      <c r="B2047" s="1" t="n">
        <v>44838</v>
      </c>
      <c r="C2047" s="1" t="n">
        <v>45571</v>
      </c>
      <c r="D2047" t="inlineStr">
        <is>
          <t>STOCKHOLMS LÄN</t>
        </is>
      </c>
      <c r="E2047" t="inlineStr">
        <is>
          <t>NORRTÄLJE</t>
        </is>
      </c>
      <c r="F2047" t="inlineStr">
        <is>
          <t>Holmen skog AB</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44349-2022</t>
        </is>
      </c>
      <c r="B2048" s="1" t="n">
        <v>44839</v>
      </c>
      <c r="C2048" s="1" t="n">
        <v>45571</v>
      </c>
      <c r="D2048" t="inlineStr">
        <is>
          <t>STOCKHOLMS LÄN</t>
        </is>
      </c>
      <c r="E2048" t="inlineStr">
        <is>
          <t>NORRTÄLJE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44531-2022</t>
        </is>
      </c>
      <c r="B2049" s="1" t="n">
        <v>44840</v>
      </c>
      <c r="C2049" s="1" t="n">
        <v>45571</v>
      </c>
      <c r="D2049" t="inlineStr">
        <is>
          <t>STOCKHOLMS LÄN</t>
        </is>
      </c>
      <c r="E2049" t="inlineStr">
        <is>
          <t>NYKVARN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45255-2022</t>
        </is>
      </c>
      <c r="B2050" s="1" t="n">
        <v>44840</v>
      </c>
      <c r="C2050" s="1" t="n">
        <v>45571</v>
      </c>
      <c r="D2050" t="inlineStr">
        <is>
          <t>STOCKHOLMS LÄN</t>
        </is>
      </c>
      <c r="E2050" t="inlineStr">
        <is>
          <t>NORRTÄLJE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44917-2022</t>
        </is>
      </c>
      <c r="B2051" s="1" t="n">
        <v>44841</v>
      </c>
      <c r="C2051" s="1" t="n">
        <v>45571</v>
      </c>
      <c r="D2051" t="inlineStr">
        <is>
          <t>STOCKHOLMS LÄN</t>
        </is>
      </c>
      <c r="E2051" t="inlineStr">
        <is>
          <t>NORRTÄLJE</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44950-2022</t>
        </is>
      </c>
      <c r="B2052" s="1" t="n">
        <v>44841</v>
      </c>
      <c r="C2052" s="1" t="n">
        <v>45571</v>
      </c>
      <c r="D2052" t="inlineStr">
        <is>
          <t>STOCKHOLMS LÄN</t>
        </is>
      </c>
      <c r="E2052" t="inlineStr">
        <is>
          <t>SÖDERTÄLJE</t>
        </is>
      </c>
      <c r="F2052" t="inlineStr">
        <is>
          <t>Sveaskog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44960-2022</t>
        </is>
      </c>
      <c r="B2053" s="1" t="n">
        <v>44841</v>
      </c>
      <c r="C2053" s="1" t="n">
        <v>45571</v>
      </c>
      <c r="D2053" t="inlineStr">
        <is>
          <t>STOCKHOLMS LÄN</t>
        </is>
      </c>
      <c r="E2053" t="inlineStr">
        <is>
          <t>SÖDERTÄLJE</t>
        </is>
      </c>
      <c r="F2053" t="inlineStr">
        <is>
          <t>Sveaskog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44969-2022</t>
        </is>
      </c>
      <c r="B2054" s="1" t="n">
        <v>44841</v>
      </c>
      <c r="C2054" s="1" t="n">
        <v>45571</v>
      </c>
      <c r="D2054" t="inlineStr">
        <is>
          <t>STOCKHOLMS LÄN</t>
        </is>
      </c>
      <c r="E2054" t="inlineStr">
        <is>
          <t>NYKVARN</t>
        </is>
      </c>
      <c r="F2054" t="inlineStr">
        <is>
          <t>Sveaskog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44954-2022</t>
        </is>
      </c>
      <c r="B2055" s="1" t="n">
        <v>44841</v>
      </c>
      <c r="C2055" s="1" t="n">
        <v>45571</v>
      </c>
      <c r="D2055" t="inlineStr">
        <is>
          <t>STOCKHOLMS LÄN</t>
        </is>
      </c>
      <c r="E2055" t="inlineStr">
        <is>
          <t>SÖDERTÄLJE</t>
        </is>
      </c>
      <c r="F2055" t="inlineStr">
        <is>
          <t>Sveaskog</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44962-2022</t>
        </is>
      </c>
      <c r="B2056" s="1" t="n">
        <v>44841</v>
      </c>
      <c r="C2056" s="1" t="n">
        <v>45571</v>
      </c>
      <c r="D2056" t="inlineStr">
        <is>
          <t>STOCKHOLMS LÄN</t>
        </is>
      </c>
      <c r="E2056" t="inlineStr">
        <is>
          <t>SÖDERTÄLJE</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44964-2022</t>
        </is>
      </c>
      <c r="B2057" s="1" t="n">
        <v>44841</v>
      </c>
      <c r="C2057" s="1" t="n">
        <v>45571</v>
      </c>
      <c r="D2057" t="inlineStr">
        <is>
          <t>STOCKHOLMS LÄN</t>
        </is>
      </c>
      <c r="E2057" t="inlineStr">
        <is>
          <t>SÖDERTÄLJE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45145-2022</t>
        </is>
      </c>
      <c r="B2058" s="1" t="n">
        <v>44844</v>
      </c>
      <c r="C2058" s="1" t="n">
        <v>45571</v>
      </c>
      <c r="D2058" t="inlineStr">
        <is>
          <t>STOCKHOLMS LÄN</t>
        </is>
      </c>
      <c r="E2058" t="inlineStr">
        <is>
          <t>SÖDERTÄLJE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45152-2022</t>
        </is>
      </c>
      <c r="B2059" s="1" t="n">
        <v>44844</v>
      </c>
      <c r="C2059" s="1" t="n">
        <v>45571</v>
      </c>
      <c r="D2059" t="inlineStr">
        <is>
          <t>STOCKHOLMS LÄN</t>
        </is>
      </c>
      <c r="E2059" t="inlineStr">
        <is>
          <t>SÖDERTÄLJE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45184-2022</t>
        </is>
      </c>
      <c r="B2060" s="1" t="n">
        <v>44844</v>
      </c>
      <c r="C2060" s="1" t="n">
        <v>45571</v>
      </c>
      <c r="D2060" t="inlineStr">
        <is>
          <t>STOCKHOLMS LÄN</t>
        </is>
      </c>
      <c r="E2060" t="inlineStr">
        <is>
          <t>SÖDERTÄLJE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45869-2022</t>
        </is>
      </c>
      <c r="B2061" s="1" t="n">
        <v>44844</v>
      </c>
      <c r="C2061" s="1" t="n">
        <v>45571</v>
      </c>
      <c r="D2061" t="inlineStr">
        <is>
          <t>STOCKHOLMS LÄN</t>
        </is>
      </c>
      <c r="E2061" t="inlineStr">
        <is>
          <t>BOTKYRKA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45498-2022</t>
        </is>
      </c>
      <c r="B2062" s="1" t="n">
        <v>44845</v>
      </c>
      <c r="C2062" s="1" t="n">
        <v>45571</v>
      </c>
      <c r="D2062" t="inlineStr">
        <is>
          <t>STOCKHOLMS LÄN</t>
        </is>
      </c>
      <c r="E2062" t="inlineStr">
        <is>
          <t>HANINGE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45501-2022</t>
        </is>
      </c>
      <c r="B2063" s="1" t="n">
        <v>44845</v>
      </c>
      <c r="C2063" s="1" t="n">
        <v>45571</v>
      </c>
      <c r="D2063" t="inlineStr">
        <is>
          <t>STOCKHOLMS LÄN</t>
        </is>
      </c>
      <c r="E2063" t="inlineStr">
        <is>
          <t>HANINGE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45541-2022</t>
        </is>
      </c>
      <c r="B2064" s="1" t="n">
        <v>44845</v>
      </c>
      <c r="C2064" s="1" t="n">
        <v>45571</v>
      </c>
      <c r="D2064" t="inlineStr">
        <is>
          <t>STOCKHOLMS LÄN</t>
        </is>
      </c>
      <c r="E2064" t="inlineStr">
        <is>
          <t>NORRTÄLJE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45539-2022</t>
        </is>
      </c>
      <c r="B2065" s="1" t="n">
        <v>44845</v>
      </c>
      <c r="C2065" s="1" t="n">
        <v>45571</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45549-2022</t>
        </is>
      </c>
      <c r="B2066" s="1" t="n">
        <v>44845</v>
      </c>
      <c r="C2066" s="1" t="n">
        <v>45571</v>
      </c>
      <c r="D2066" t="inlineStr">
        <is>
          <t>STOCKHOLMS LÄN</t>
        </is>
      </c>
      <c r="E2066" t="inlineStr">
        <is>
          <t>NORRTÄLJE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46153-2022</t>
        </is>
      </c>
      <c r="B2067" s="1" t="n">
        <v>44845</v>
      </c>
      <c r="C2067" s="1" t="n">
        <v>45571</v>
      </c>
      <c r="D2067" t="inlineStr">
        <is>
          <t>STOCKHOLMS LÄN</t>
        </is>
      </c>
      <c r="E2067" t="inlineStr">
        <is>
          <t>UPPLANDS-BRO</t>
        </is>
      </c>
      <c r="F2067" t="inlineStr">
        <is>
          <t>Övriga statliga verk och myndigheter</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46405-2022</t>
        </is>
      </c>
      <c r="B2068" s="1" t="n">
        <v>44846</v>
      </c>
      <c r="C2068" s="1" t="n">
        <v>45571</v>
      </c>
      <c r="D2068" t="inlineStr">
        <is>
          <t>STOCKHOLMS LÄN</t>
        </is>
      </c>
      <c r="E2068" t="inlineStr">
        <is>
          <t>BOTKYRKA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46826-2022</t>
        </is>
      </c>
      <c r="B2069" s="1" t="n">
        <v>44848</v>
      </c>
      <c r="C2069" s="1" t="n">
        <v>45571</v>
      </c>
      <c r="D2069" t="inlineStr">
        <is>
          <t>STOCKHOLMS LÄN</t>
        </is>
      </c>
      <c r="E2069" t="inlineStr">
        <is>
          <t>UPPLANDS VÄSBY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46688-2022</t>
        </is>
      </c>
      <c r="B2070" s="1" t="n">
        <v>44851</v>
      </c>
      <c r="C2070" s="1" t="n">
        <v>45571</v>
      </c>
      <c r="D2070" t="inlineStr">
        <is>
          <t>STOCKHOLMS LÄN</t>
        </is>
      </c>
      <c r="E2070" t="inlineStr">
        <is>
          <t>ÖSTERÅKER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46914-2022</t>
        </is>
      </c>
      <c r="B2071" s="1" t="n">
        <v>44851</v>
      </c>
      <c r="C2071" s="1" t="n">
        <v>45571</v>
      </c>
      <c r="D2071" t="inlineStr">
        <is>
          <t>STOCKHOLMS LÄN</t>
        </is>
      </c>
      <c r="E2071" t="inlineStr">
        <is>
          <t>NORRTÄLJE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47173-2022</t>
        </is>
      </c>
      <c r="B2072" s="1" t="n">
        <v>44852</v>
      </c>
      <c r="C2072" s="1" t="n">
        <v>45571</v>
      </c>
      <c r="D2072" t="inlineStr">
        <is>
          <t>STOCKHOLMS LÄN</t>
        </is>
      </c>
      <c r="E2072" t="inlineStr">
        <is>
          <t>HUDDINGE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47617-2022</t>
        </is>
      </c>
      <c r="B2073" s="1" t="n">
        <v>44852</v>
      </c>
      <c r="C2073" s="1" t="n">
        <v>45571</v>
      </c>
      <c r="D2073" t="inlineStr">
        <is>
          <t>STOCKHOLMS LÄN</t>
        </is>
      </c>
      <c r="E2073" t="inlineStr">
        <is>
          <t>BOTKYRKA</t>
        </is>
      </c>
      <c r="G2073" t="n">
        <v>11.6</v>
      </c>
      <c r="H2073" t="n">
        <v>0</v>
      </c>
      <c r="I2073" t="n">
        <v>0</v>
      </c>
      <c r="J2073" t="n">
        <v>0</v>
      </c>
      <c r="K2073" t="n">
        <v>0</v>
      </c>
      <c r="L2073" t="n">
        <v>0</v>
      </c>
      <c r="M2073" t="n">
        <v>0</v>
      </c>
      <c r="N2073" t="n">
        <v>0</v>
      </c>
      <c r="O2073" t="n">
        <v>0</v>
      </c>
      <c r="P2073" t="n">
        <v>0</v>
      </c>
      <c r="Q2073" t="n">
        <v>0</v>
      </c>
      <c r="R2073" s="2" t="inlineStr"/>
    </row>
    <row r="2074" ht="15" customHeight="1">
      <c r="A2074" t="inlineStr">
        <is>
          <t>A 47076-2022</t>
        </is>
      </c>
      <c r="B2074" s="1" t="n">
        <v>44852</v>
      </c>
      <c r="C2074" s="1" t="n">
        <v>45571</v>
      </c>
      <c r="D2074" t="inlineStr">
        <is>
          <t>STOCKHOLMS LÄN</t>
        </is>
      </c>
      <c r="E2074" t="inlineStr">
        <is>
          <t>NORRTÄLJE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47079-2022</t>
        </is>
      </c>
      <c r="B2075" s="1" t="n">
        <v>44852</v>
      </c>
      <c r="C2075" s="1" t="n">
        <v>45571</v>
      </c>
      <c r="D2075" t="inlineStr">
        <is>
          <t>STOCKHOLMS LÄN</t>
        </is>
      </c>
      <c r="E2075" t="inlineStr">
        <is>
          <t>NORRTÄLJE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47626-2022</t>
        </is>
      </c>
      <c r="B2076" s="1" t="n">
        <v>44854</v>
      </c>
      <c r="C2076" s="1" t="n">
        <v>45571</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48309-2022</t>
        </is>
      </c>
      <c r="B2077" s="1" t="n">
        <v>44854</v>
      </c>
      <c r="C2077" s="1" t="n">
        <v>45571</v>
      </c>
      <c r="D2077" t="inlineStr">
        <is>
          <t>STOCKHOLMS LÄN</t>
        </is>
      </c>
      <c r="E2077" t="inlineStr">
        <is>
          <t>NYNÄSHAMN</t>
        </is>
      </c>
      <c r="F2077" t="inlineStr">
        <is>
          <t>Övriga statliga verk och myndigheter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48316-2022</t>
        </is>
      </c>
      <c r="B2078" s="1" t="n">
        <v>44854</v>
      </c>
      <c r="C2078" s="1" t="n">
        <v>45571</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47977-2022</t>
        </is>
      </c>
      <c r="B2079" s="1" t="n">
        <v>44855</v>
      </c>
      <c r="C2079" s="1" t="n">
        <v>45571</v>
      </c>
      <c r="D2079" t="inlineStr">
        <is>
          <t>STOCKHOLMS LÄN</t>
        </is>
      </c>
      <c r="E2079" t="inlineStr">
        <is>
          <t>SÖDERTÄLJE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47929-2022</t>
        </is>
      </c>
      <c r="B2080" s="1" t="n">
        <v>44855</v>
      </c>
      <c r="C2080" s="1" t="n">
        <v>45571</v>
      </c>
      <c r="D2080" t="inlineStr">
        <is>
          <t>STOCKHOLMS LÄN</t>
        </is>
      </c>
      <c r="E2080" t="inlineStr">
        <is>
          <t>NORRTÄLJE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47943-2022</t>
        </is>
      </c>
      <c r="B2081" s="1" t="n">
        <v>44855</v>
      </c>
      <c r="C2081" s="1" t="n">
        <v>45571</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48490-2022</t>
        </is>
      </c>
      <c r="B2082" s="1" t="n">
        <v>44858</v>
      </c>
      <c r="C2082" s="1" t="n">
        <v>45571</v>
      </c>
      <c r="D2082" t="inlineStr">
        <is>
          <t>STOCKHOLMS LÄN</t>
        </is>
      </c>
      <c r="E2082" t="inlineStr">
        <is>
          <t>NORRTÄLJE</t>
        </is>
      </c>
      <c r="G2082" t="n">
        <v>15.8</v>
      </c>
      <c r="H2082" t="n">
        <v>0</v>
      </c>
      <c r="I2082" t="n">
        <v>0</v>
      </c>
      <c r="J2082" t="n">
        <v>0</v>
      </c>
      <c r="K2082" t="n">
        <v>0</v>
      </c>
      <c r="L2082" t="n">
        <v>0</v>
      </c>
      <c r="M2082" t="n">
        <v>0</v>
      </c>
      <c r="N2082" t="n">
        <v>0</v>
      </c>
      <c r="O2082" t="n">
        <v>0</v>
      </c>
      <c r="P2082" t="n">
        <v>0</v>
      </c>
      <c r="Q2082" t="n">
        <v>0</v>
      </c>
      <c r="R2082" s="2" t="inlineStr"/>
    </row>
    <row r="2083" ht="15" customHeight="1">
      <c r="A2083" t="inlineStr">
        <is>
          <t>A 48161-2022</t>
        </is>
      </c>
      <c r="B2083" s="1" t="n">
        <v>44858</v>
      </c>
      <c r="C2083" s="1" t="n">
        <v>45571</v>
      </c>
      <c r="D2083" t="inlineStr">
        <is>
          <t>STOCKHOLMS LÄN</t>
        </is>
      </c>
      <c r="E2083" t="inlineStr">
        <is>
          <t>NORRTÄLJE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48453-2022</t>
        </is>
      </c>
      <c r="B2084" s="1" t="n">
        <v>44858</v>
      </c>
      <c r="C2084" s="1" t="n">
        <v>45571</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48492-2022</t>
        </is>
      </c>
      <c r="B2085" s="1" t="n">
        <v>44858</v>
      </c>
      <c r="C2085" s="1" t="n">
        <v>45571</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48647-2022</t>
        </is>
      </c>
      <c r="B2086" s="1" t="n">
        <v>44859</v>
      </c>
      <c r="C2086" s="1" t="n">
        <v>45571</v>
      </c>
      <c r="D2086" t="inlineStr">
        <is>
          <t>STOCKHOLMS LÄN</t>
        </is>
      </c>
      <c r="E2086" t="inlineStr">
        <is>
          <t>BOTKYRKA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48667-2022</t>
        </is>
      </c>
      <c r="B2087" s="1" t="n">
        <v>44859</v>
      </c>
      <c r="C2087" s="1" t="n">
        <v>45571</v>
      </c>
      <c r="D2087" t="inlineStr">
        <is>
          <t>STOCKHOLMS LÄN</t>
        </is>
      </c>
      <c r="E2087" t="inlineStr">
        <is>
          <t>BOTKYRKA</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48813-2022</t>
        </is>
      </c>
      <c r="B2088" s="1" t="n">
        <v>44859</v>
      </c>
      <c r="C2088" s="1" t="n">
        <v>45571</v>
      </c>
      <c r="D2088" t="inlineStr">
        <is>
          <t>STOCKHOLMS LÄN</t>
        </is>
      </c>
      <c r="E2088" t="inlineStr">
        <is>
          <t>SÖDERTÄLJE</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48656-2022</t>
        </is>
      </c>
      <c r="B2089" s="1" t="n">
        <v>44859</v>
      </c>
      <c r="C2089" s="1" t="n">
        <v>45571</v>
      </c>
      <c r="D2089" t="inlineStr">
        <is>
          <t>STOCKHOLMS LÄN</t>
        </is>
      </c>
      <c r="E2089" t="inlineStr">
        <is>
          <t>BOTKYRKA</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48812-2022</t>
        </is>
      </c>
      <c r="B2090" s="1" t="n">
        <v>44859</v>
      </c>
      <c r="C2090" s="1" t="n">
        <v>45571</v>
      </c>
      <c r="D2090" t="inlineStr">
        <is>
          <t>STOCKHOLMS LÄN</t>
        </is>
      </c>
      <c r="E2090" t="inlineStr">
        <is>
          <t>SÖDERTÄLJE</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48820-2022</t>
        </is>
      </c>
      <c r="B2091" s="1" t="n">
        <v>44859</v>
      </c>
      <c r="C2091" s="1" t="n">
        <v>45571</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49956-2022</t>
        </is>
      </c>
      <c r="B2092" s="1" t="n">
        <v>44865</v>
      </c>
      <c r="C2092" s="1" t="n">
        <v>45571</v>
      </c>
      <c r="D2092" t="inlineStr">
        <is>
          <t>STOCKHOLMS LÄN</t>
        </is>
      </c>
      <c r="E2092" t="inlineStr">
        <is>
          <t>SÖDERTÄLJE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50065-2022</t>
        </is>
      </c>
      <c r="B2093" s="1" t="n">
        <v>44865</v>
      </c>
      <c r="C2093" s="1" t="n">
        <v>45571</v>
      </c>
      <c r="D2093" t="inlineStr">
        <is>
          <t>STOCKHOLMS LÄN</t>
        </is>
      </c>
      <c r="E2093" t="inlineStr">
        <is>
          <t>NORRTÄLJE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50905-2022</t>
        </is>
      </c>
      <c r="B2094" s="1" t="n">
        <v>44865</v>
      </c>
      <c r="C2094" s="1" t="n">
        <v>45571</v>
      </c>
      <c r="D2094" t="inlineStr">
        <is>
          <t>STOCKHOLMS LÄN</t>
        </is>
      </c>
      <c r="E2094" t="inlineStr">
        <is>
          <t>UPPLANDS-BRO</t>
        </is>
      </c>
      <c r="F2094" t="inlineStr">
        <is>
          <t>Övriga statliga verk och myndigheter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50469-2022</t>
        </is>
      </c>
      <c r="B2095" s="1" t="n">
        <v>44866</v>
      </c>
      <c r="C2095" s="1" t="n">
        <v>45571</v>
      </c>
      <c r="D2095" t="inlineStr">
        <is>
          <t>STOCKHOLMS LÄN</t>
        </is>
      </c>
      <c r="E2095" t="inlineStr">
        <is>
          <t>NORRTÄLJE</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50481-2022</t>
        </is>
      </c>
      <c r="B2096" s="1" t="n">
        <v>44866</v>
      </c>
      <c r="C2096" s="1" t="n">
        <v>45571</v>
      </c>
      <c r="D2096" t="inlineStr">
        <is>
          <t>STOCKHOLMS LÄN</t>
        </is>
      </c>
      <c r="E2096" t="inlineStr">
        <is>
          <t>NORRTÄLJE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50465-2022</t>
        </is>
      </c>
      <c r="B2097" s="1" t="n">
        <v>44866</v>
      </c>
      <c r="C2097" s="1" t="n">
        <v>45571</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50488-2022</t>
        </is>
      </c>
      <c r="B2098" s="1" t="n">
        <v>44866</v>
      </c>
      <c r="C2098" s="1" t="n">
        <v>45571</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50563-2022</t>
        </is>
      </c>
      <c r="B2099" s="1" t="n">
        <v>44866</v>
      </c>
      <c r="C2099" s="1" t="n">
        <v>45571</v>
      </c>
      <c r="D2099" t="inlineStr">
        <is>
          <t>STOCKHOLMS LÄN</t>
        </is>
      </c>
      <c r="E2099" t="inlineStr">
        <is>
          <t>NORRTÄLJE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50569-2022</t>
        </is>
      </c>
      <c r="B2100" s="1" t="n">
        <v>44866</v>
      </c>
      <c r="C2100" s="1" t="n">
        <v>45571</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50484-2022</t>
        </is>
      </c>
      <c r="B2101" s="1" t="n">
        <v>44866</v>
      </c>
      <c r="C2101" s="1" t="n">
        <v>45571</v>
      </c>
      <c r="D2101" t="inlineStr">
        <is>
          <t>STOCKHOLMS LÄN</t>
        </is>
      </c>
      <c r="E2101" t="inlineStr">
        <is>
          <t>NORRTÄLJE</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50970-2022</t>
        </is>
      </c>
      <c r="B2102" s="1" t="n">
        <v>44867</v>
      </c>
      <c r="C2102" s="1" t="n">
        <v>45571</v>
      </c>
      <c r="D2102" t="inlineStr">
        <is>
          <t>STOCKHOLMS LÄN</t>
        </is>
      </c>
      <c r="E2102" t="inlineStr">
        <is>
          <t>NORRTÄLJE</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50983-2022</t>
        </is>
      </c>
      <c r="B2103" s="1" t="n">
        <v>44867</v>
      </c>
      <c r="C2103" s="1" t="n">
        <v>45571</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50836-2022</t>
        </is>
      </c>
      <c r="B2104" s="1" t="n">
        <v>44867</v>
      </c>
      <c r="C2104" s="1" t="n">
        <v>45571</v>
      </c>
      <c r="D2104" t="inlineStr">
        <is>
          <t>STOCKHOLMS LÄN</t>
        </is>
      </c>
      <c r="E2104" t="inlineStr">
        <is>
          <t>NYKVARN</t>
        </is>
      </c>
      <c r="F2104" t="inlineStr">
        <is>
          <t>Allmännings- och besparingsskogar</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50907-2022</t>
        </is>
      </c>
      <c r="B2105" s="1" t="n">
        <v>44867</v>
      </c>
      <c r="C2105" s="1" t="n">
        <v>45571</v>
      </c>
      <c r="D2105" t="inlineStr">
        <is>
          <t>STOCKHOLMS LÄN</t>
        </is>
      </c>
      <c r="E2105" t="inlineStr">
        <is>
          <t>NORRTÄLJE</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51653-2022</t>
        </is>
      </c>
      <c r="B2106" s="1" t="n">
        <v>44867</v>
      </c>
      <c r="C2106" s="1" t="n">
        <v>45571</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51116-2022</t>
        </is>
      </c>
      <c r="B2107" s="1" t="n">
        <v>44868</v>
      </c>
      <c r="C2107" s="1" t="n">
        <v>45571</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51265-2022</t>
        </is>
      </c>
      <c r="B2108" s="1" t="n">
        <v>44868</v>
      </c>
      <c r="C2108" s="1" t="n">
        <v>45571</v>
      </c>
      <c r="D2108" t="inlineStr">
        <is>
          <t>STOCKHOLMS LÄN</t>
        </is>
      </c>
      <c r="E2108" t="inlineStr">
        <is>
          <t>NORRTÄLJE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52139-2022</t>
        </is>
      </c>
      <c r="B2109" s="1" t="n">
        <v>44868</v>
      </c>
      <c r="C2109" s="1" t="n">
        <v>45571</v>
      </c>
      <c r="D2109" t="inlineStr">
        <is>
          <t>STOCKHOLMS LÄN</t>
        </is>
      </c>
      <c r="E2109" t="inlineStr">
        <is>
          <t>NORRTÄLJE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52133-2022</t>
        </is>
      </c>
      <c r="B2110" s="1" t="n">
        <v>44868</v>
      </c>
      <c r="C2110" s="1" t="n">
        <v>45571</v>
      </c>
      <c r="D2110" t="inlineStr">
        <is>
          <t>STOCKHOLMS LÄN</t>
        </is>
      </c>
      <c r="E2110" t="inlineStr">
        <is>
          <t>NORRTÄLJE</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52260-2022</t>
        </is>
      </c>
      <c r="B2111" s="1" t="n">
        <v>44869</v>
      </c>
      <c r="C2111" s="1" t="n">
        <v>45571</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51984-2022</t>
        </is>
      </c>
      <c r="B2112" s="1" t="n">
        <v>44872</v>
      </c>
      <c r="C2112" s="1" t="n">
        <v>45571</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52878-2022</t>
        </is>
      </c>
      <c r="B2113" s="1" t="n">
        <v>44872</v>
      </c>
      <c r="C2113" s="1" t="n">
        <v>45571</v>
      </c>
      <c r="D2113" t="inlineStr">
        <is>
          <t>STOCKHOLMS LÄN</t>
        </is>
      </c>
      <c r="E2113" t="inlineStr">
        <is>
          <t>NYKVARN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52884-2022</t>
        </is>
      </c>
      <c r="B2114" s="1" t="n">
        <v>44872</v>
      </c>
      <c r="C2114" s="1" t="n">
        <v>45571</v>
      </c>
      <c r="D2114" t="inlineStr">
        <is>
          <t>STOCKHOLMS LÄN</t>
        </is>
      </c>
      <c r="E2114" t="inlineStr">
        <is>
          <t>EKERÖ</t>
        </is>
      </c>
      <c r="F2114" t="inlineStr">
        <is>
          <t>Övriga statliga verk och myndigheter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53204-2022</t>
        </is>
      </c>
      <c r="B2115" s="1" t="n">
        <v>44872</v>
      </c>
      <c r="C2115" s="1" t="n">
        <v>45571</v>
      </c>
      <c r="D2115" t="inlineStr">
        <is>
          <t>STOCKHOLMS LÄN</t>
        </is>
      </c>
      <c r="E2115" t="inlineStr">
        <is>
          <t>NYKVARN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52101-2022</t>
        </is>
      </c>
      <c r="B2116" s="1" t="n">
        <v>44873</v>
      </c>
      <c r="C2116" s="1" t="n">
        <v>45571</v>
      </c>
      <c r="D2116" t="inlineStr">
        <is>
          <t>STOCKHOLMS LÄN</t>
        </is>
      </c>
      <c r="E2116" t="inlineStr">
        <is>
          <t>SÖDERTÄLJE</t>
        </is>
      </c>
      <c r="F2116" t="inlineStr">
        <is>
          <t>Kommuner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52322-2022</t>
        </is>
      </c>
      <c r="B2117" s="1" t="n">
        <v>44873</v>
      </c>
      <c r="C2117" s="1" t="n">
        <v>45571</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52541-2022</t>
        </is>
      </c>
      <c r="B2118" s="1" t="n">
        <v>44874</v>
      </c>
      <c r="C2118" s="1" t="n">
        <v>45571</v>
      </c>
      <c r="D2118" t="inlineStr">
        <is>
          <t>STOCKHOLMS LÄN</t>
        </is>
      </c>
      <c r="E2118" t="inlineStr">
        <is>
          <t>SÖDERTÄLJE</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52963-2022</t>
        </is>
      </c>
      <c r="B2119" s="1" t="n">
        <v>44875</v>
      </c>
      <c r="C2119" s="1" t="n">
        <v>45571</v>
      </c>
      <c r="D2119" t="inlineStr">
        <is>
          <t>STOCKHOLMS LÄN</t>
        </is>
      </c>
      <c r="E2119" t="inlineStr">
        <is>
          <t>NYKVARN</t>
        </is>
      </c>
      <c r="F2119" t="inlineStr">
        <is>
          <t>Allmännings- och besparingsskogar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52960-2022</t>
        </is>
      </c>
      <c r="B2120" s="1" t="n">
        <v>44875</v>
      </c>
      <c r="C2120" s="1" t="n">
        <v>45571</v>
      </c>
      <c r="D2120" t="inlineStr">
        <is>
          <t>STOCKHOLMS LÄN</t>
        </is>
      </c>
      <c r="E2120" t="inlineStr">
        <is>
          <t>NYKVARN</t>
        </is>
      </c>
      <c r="F2120" t="inlineStr">
        <is>
          <t>Allmännings- och besparingsskogar</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53730-2022</t>
        </is>
      </c>
      <c r="B2121" s="1" t="n">
        <v>44875</v>
      </c>
      <c r="C2121" s="1" t="n">
        <v>45571</v>
      </c>
      <c r="D2121" t="inlineStr">
        <is>
          <t>STOCKHOLMS LÄN</t>
        </is>
      </c>
      <c r="E2121" t="inlineStr">
        <is>
          <t>NYNÄSHAMN</t>
        </is>
      </c>
      <c r="F2121" t="inlineStr">
        <is>
          <t>Övriga statliga verk och myndigheter</t>
        </is>
      </c>
      <c r="G2121" t="n">
        <v>14.7</v>
      </c>
      <c r="H2121" t="n">
        <v>0</v>
      </c>
      <c r="I2121" t="n">
        <v>0</v>
      </c>
      <c r="J2121" t="n">
        <v>0</v>
      </c>
      <c r="K2121" t="n">
        <v>0</v>
      </c>
      <c r="L2121" t="n">
        <v>0</v>
      </c>
      <c r="M2121" t="n">
        <v>0</v>
      </c>
      <c r="N2121" t="n">
        <v>0</v>
      </c>
      <c r="O2121" t="n">
        <v>0</v>
      </c>
      <c r="P2121" t="n">
        <v>0</v>
      </c>
      <c r="Q2121" t="n">
        <v>0</v>
      </c>
      <c r="R2121" s="2" t="inlineStr"/>
    </row>
    <row r="2122" ht="15" customHeight="1">
      <c r="A2122" t="inlineStr">
        <is>
          <t>A 54056-2022</t>
        </is>
      </c>
      <c r="B2122" s="1" t="n">
        <v>44876</v>
      </c>
      <c r="C2122" s="1" t="n">
        <v>45571</v>
      </c>
      <c r="D2122" t="inlineStr">
        <is>
          <t>STOCKHOLMS LÄN</t>
        </is>
      </c>
      <c r="E2122" t="inlineStr">
        <is>
          <t>VÄRMDÖ</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53461-2022</t>
        </is>
      </c>
      <c r="B2123" s="1" t="n">
        <v>44879</v>
      </c>
      <c r="C2123" s="1" t="n">
        <v>45571</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53600-2022</t>
        </is>
      </c>
      <c r="B2124" s="1" t="n">
        <v>44879</v>
      </c>
      <c r="C2124" s="1" t="n">
        <v>45571</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53459-2022</t>
        </is>
      </c>
      <c r="B2125" s="1" t="n">
        <v>44879</v>
      </c>
      <c r="C2125" s="1" t="n">
        <v>45571</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53884-2022</t>
        </is>
      </c>
      <c r="B2126" s="1" t="n">
        <v>44880</v>
      </c>
      <c r="C2126" s="1" t="n">
        <v>45571</v>
      </c>
      <c r="D2126" t="inlineStr">
        <is>
          <t>STOCKHOLMS LÄN</t>
        </is>
      </c>
      <c r="E2126" t="inlineStr">
        <is>
          <t>NORRTÄLJE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54205-2022</t>
        </is>
      </c>
      <c r="B2127" s="1" t="n">
        <v>44881</v>
      </c>
      <c r="C2127" s="1" t="n">
        <v>45571</v>
      </c>
      <c r="D2127" t="inlineStr">
        <is>
          <t>STOCKHOLMS LÄN</t>
        </is>
      </c>
      <c r="E2127" t="inlineStr">
        <is>
          <t>NYKVARN</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54169-2022</t>
        </is>
      </c>
      <c r="B2128" s="1" t="n">
        <v>44881</v>
      </c>
      <c r="C2128" s="1" t="n">
        <v>45571</v>
      </c>
      <c r="D2128" t="inlineStr">
        <is>
          <t>STOCKHOLMS LÄN</t>
        </is>
      </c>
      <c r="E2128" t="inlineStr">
        <is>
          <t>NORRTÄLJE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54175-2022</t>
        </is>
      </c>
      <c r="B2129" s="1" t="n">
        <v>44881</v>
      </c>
      <c r="C2129" s="1" t="n">
        <v>45571</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54355-2022</t>
        </is>
      </c>
      <c r="B2130" s="1" t="n">
        <v>44882</v>
      </c>
      <c r="C2130" s="1" t="n">
        <v>45571</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54427-2022</t>
        </is>
      </c>
      <c r="B2131" s="1" t="n">
        <v>44882</v>
      </c>
      <c r="C2131" s="1" t="n">
        <v>45571</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54340-2022</t>
        </is>
      </c>
      <c r="B2132" s="1" t="n">
        <v>44882</v>
      </c>
      <c r="C2132" s="1" t="n">
        <v>45571</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54358-2022</t>
        </is>
      </c>
      <c r="B2133" s="1" t="n">
        <v>44882</v>
      </c>
      <c r="C2133" s="1" t="n">
        <v>45571</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54354-2022</t>
        </is>
      </c>
      <c r="B2134" s="1" t="n">
        <v>44882</v>
      </c>
      <c r="C2134" s="1" t="n">
        <v>45571</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54614-2022</t>
        </is>
      </c>
      <c r="B2135" s="1" t="n">
        <v>44883</v>
      </c>
      <c r="C2135" s="1" t="n">
        <v>45571</v>
      </c>
      <c r="D2135" t="inlineStr">
        <is>
          <t>STOCKHOLMS LÄN</t>
        </is>
      </c>
      <c r="E2135" t="inlineStr">
        <is>
          <t>NYKVARN</t>
        </is>
      </c>
      <c r="F2135" t="inlineStr">
        <is>
          <t>Allmännings- och besparingsskogar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54627-2022</t>
        </is>
      </c>
      <c r="B2136" s="1" t="n">
        <v>44883</v>
      </c>
      <c r="C2136" s="1" t="n">
        <v>45571</v>
      </c>
      <c r="D2136" t="inlineStr">
        <is>
          <t>STOCKHOLMS LÄN</t>
        </is>
      </c>
      <c r="E2136" t="inlineStr">
        <is>
          <t>NYKVARN</t>
        </is>
      </c>
      <c r="F2136" t="inlineStr">
        <is>
          <t>Allmännings- och besparingsskogar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55047-2022</t>
        </is>
      </c>
      <c r="B2137" s="1" t="n">
        <v>44886</v>
      </c>
      <c r="C2137" s="1" t="n">
        <v>45571</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55696-2022</t>
        </is>
      </c>
      <c r="B2138" s="1" t="n">
        <v>44888</v>
      </c>
      <c r="C2138" s="1" t="n">
        <v>45571</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56044-2022</t>
        </is>
      </c>
      <c r="B2139" s="1" t="n">
        <v>44889</v>
      </c>
      <c r="C2139" s="1" t="n">
        <v>45571</v>
      </c>
      <c r="D2139" t="inlineStr">
        <is>
          <t>STOCKHOLMS LÄN</t>
        </is>
      </c>
      <c r="E2139" t="inlineStr">
        <is>
          <t>NYKVARN</t>
        </is>
      </c>
      <c r="F2139" t="inlineStr">
        <is>
          <t>Kyrkan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55973-2022</t>
        </is>
      </c>
      <c r="B2140" s="1" t="n">
        <v>44889</v>
      </c>
      <c r="C2140" s="1" t="n">
        <v>45571</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56801-2022</t>
        </is>
      </c>
      <c r="B2141" s="1" t="n">
        <v>44894</v>
      </c>
      <c r="C2141" s="1" t="n">
        <v>45571</v>
      </c>
      <c r="D2141" t="inlineStr">
        <is>
          <t>STOCKHOLMS LÄN</t>
        </is>
      </c>
      <c r="E2141" t="inlineStr">
        <is>
          <t>SIGTUNA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v>
      </c>
      <c r="C2142" s="1" t="n">
        <v>45571</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57037-2022</t>
        </is>
      </c>
      <c r="B2143" s="1" t="n">
        <v>44895</v>
      </c>
      <c r="C2143" s="1" t="n">
        <v>45571</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57876-2022</t>
        </is>
      </c>
      <c r="B2144" s="1" t="n">
        <v>44899</v>
      </c>
      <c r="C2144" s="1" t="n">
        <v>45571</v>
      </c>
      <c r="D2144" t="inlineStr">
        <is>
          <t>STOCKHOLMS LÄN</t>
        </is>
      </c>
      <c r="E2144" t="inlineStr">
        <is>
          <t>BOTKYRKA</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59767-2022</t>
        </is>
      </c>
      <c r="B2145" s="1" t="n">
        <v>44900</v>
      </c>
      <c r="C2145" s="1" t="n">
        <v>45571</v>
      </c>
      <c r="D2145" t="inlineStr">
        <is>
          <t>STOCKHOLMS LÄN</t>
        </is>
      </c>
      <c r="E2145" t="inlineStr">
        <is>
          <t>NORRTÄLJE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58302-2022</t>
        </is>
      </c>
      <c r="B2146" s="1" t="n">
        <v>44901</v>
      </c>
      <c r="C2146" s="1" t="n">
        <v>45571</v>
      </c>
      <c r="D2146" t="inlineStr">
        <is>
          <t>STOCKHOLMS LÄN</t>
        </is>
      </c>
      <c r="E2146" t="inlineStr">
        <is>
          <t>NORRTÄLJE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58418-2022</t>
        </is>
      </c>
      <c r="B2147" s="1" t="n">
        <v>44901</v>
      </c>
      <c r="C2147" s="1" t="n">
        <v>45571</v>
      </c>
      <c r="D2147" t="inlineStr">
        <is>
          <t>STOCKHOLMS LÄN</t>
        </is>
      </c>
      <c r="E2147" t="inlineStr">
        <is>
          <t>SÖDERTÄLJE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59836-2022</t>
        </is>
      </c>
      <c r="B2148" s="1" t="n">
        <v>44901</v>
      </c>
      <c r="C2148" s="1" t="n">
        <v>45571</v>
      </c>
      <c r="D2148" t="inlineStr">
        <is>
          <t>STOCKHOLMS LÄN</t>
        </is>
      </c>
      <c r="E2148" t="inlineStr">
        <is>
          <t>UPPLANDS-BRO</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59844-2022</t>
        </is>
      </c>
      <c r="B2149" s="1" t="n">
        <v>44901</v>
      </c>
      <c r="C2149" s="1" t="n">
        <v>45571</v>
      </c>
      <c r="D2149" t="inlineStr">
        <is>
          <t>STOCKHOLMS LÄN</t>
        </is>
      </c>
      <c r="E2149" t="inlineStr">
        <is>
          <t>UPPLANDS-BRO</t>
        </is>
      </c>
      <c r="F2149" t="inlineStr">
        <is>
          <t>Övriga statliga verk och myndigheter</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59848-2022</t>
        </is>
      </c>
      <c r="B2150" s="1" t="n">
        <v>44901</v>
      </c>
      <c r="C2150" s="1" t="n">
        <v>45571</v>
      </c>
      <c r="D2150" t="inlineStr">
        <is>
          <t>STOCKHOLMS LÄN</t>
        </is>
      </c>
      <c r="E2150" t="inlineStr">
        <is>
          <t>UPPLANDS-BRO</t>
        </is>
      </c>
      <c r="F2150" t="inlineStr">
        <is>
          <t>Övriga statliga verk och myndigheter</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58492-2022</t>
        </is>
      </c>
      <c r="B2151" s="1" t="n">
        <v>44902</v>
      </c>
      <c r="C2151" s="1" t="n">
        <v>45571</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58543-2022</t>
        </is>
      </c>
      <c r="B2152" s="1" t="n">
        <v>44902</v>
      </c>
      <c r="C2152" s="1" t="n">
        <v>45571</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58618-2022</t>
        </is>
      </c>
      <c r="B2153" s="1" t="n">
        <v>44902</v>
      </c>
      <c r="C2153" s="1" t="n">
        <v>45571</v>
      </c>
      <c r="D2153" t="inlineStr">
        <is>
          <t>STOCKHOLMS LÄN</t>
        </is>
      </c>
      <c r="E2153" t="inlineStr">
        <is>
          <t>BOTKYRKA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58993-2022</t>
        </is>
      </c>
      <c r="B2154" s="1" t="n">
        <v>44903</v>
      </c>
      <c r="C2154" s="1" t="n">
        <v>45571</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58928-2022</t>
        </is>
      </c>
      <c r="B2155" s="1" t="n">
        <v>44903</v>
      </c>
      <c r="C2155" s="1" t="n">
        <v>45571</v>
      </c>
      <c r="D2155" t="inlineStr">
        <is>
          <t>STOCKHOLMS LÄN</t>
        </is>
      </c>
      <c r="E2155" t="inlineStr">
        <is>
          <t>SÖDERTÄLJE</t>
        </is>
      </c>
      <c r="F2155" t="inlineStr">
        <is>
          <t>Kommuner</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59165-2022</t>
        </is>
      </c>
      <c r="B2156" s="1" t="n">
        <v>44904</v>
      </c>
      <c r="C2156" s="1" t="n">
        <v>45571</v>
      </c>
      <c r="D2156" t="inlineStr">
        <is>
          <t>STOCKHOLMS LÄN</t>
        </is>
      </c>
      <c r="E2156" t="inlineStr">
        <is>
          <t>SIGTUNA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59168-2022</t>
        </is>
      </c>
      <c r="B2157" s="1" t="n">
        <v>44904</v>
      </c>
      <c r="C2157" s="1" t="n">
        <v>45571</v>
      </c>
      <c r="D2157" t="inlineStr">
        <is>
          <t>STOCKHOLMS LÄN</t>
        </is>
      </c>
      <c r="E2157" t="inlineStr">
        <is>
          <t>SIGTUNA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60525-2022</t>
        </is>
      </c>
      <c r="B2158" s="1" t="n">
        <v>44904</v>
      </c>
      <c r="C2158" s="1" t="n">
        <v>45571</v>
      </c>
      <c r="D2158" t="inlineStr">
        <is>
          <t>STOCKHOLMS LÄN</t>
        </is>
      </c>
      <c r="E2158" t="inlineStr">
        <is>
          <t>NORRTÄLJE</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45571</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59402-2022</t>
        </is>
      </c>
      <c r="B2160" s="1" t="n">
        <v>44906</v>
      </c>
      <c r="C2160" s="1" t="n">
        <v>45571</v>
      </c>
      <c r="D2160" t="inlineStr">
        <is>
          <t>STOCKHOLMS LÄN</t>
        </is>
      </c>
      <c r="E2160" t="inlineStr">
        <is>
          <t>UPPLANDS-BRO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59717-2022</t>
        </is>
      </c>
      <c r="B2161" s="1" t="n">
        <v>44908</v>
      </c>
      <c r="C2161" s="1" t="n">
        <v>45571</v>
      </c>
      <c r="D2161" t="inlineStr">
        <is>
          <t>STOCKHOLMS LÄN</t>
        </is>
      </c>
      <c r="E2161" t="inlineStr">
        <is>
          <t>NORRTÄLJE</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60977-2022</t>
        </is>
      </c>
      <c r="B2162" s="1" t="n">
        <v>44908</v>
      </c>
      <c r="C2162" s="1" t="n">
        <v>45571</v>
      </c>
      <c r="D2162" t="inlineStr">
        <is>
          <t>STOCKHOLMS LÄN</t>
        </is>
      </c>
      <c r="E2162" t="inlineStr">
        <is>
          <t>NYNÄSHAMN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59893-2022</t>
        </is>
      </c>
      <c r="B2163" s="1" t="n">
        <v>44908</v>
      </c>
      <c r="C2163" s="1" t="n">
        <v>45571</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59892-2022</t>
        </is>
      </c>
      <c r="B2164" s="1" t="n">
        <v>44908</v>
      </c>
      <c r="C2164" s="1" t="n">
        <v>45571</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60324-2022</t>
        </is>
      </c>
      <c r="B2165" s="1" t="n">
        <v>44910</v>
      </c>
      <c r="C2165" s="1" t="n">
        <v>45571</v>
      </c>
      <c r="D2165" t="inlineStr">
        <is>
          <t>STOCKHOLMS LÄN</t>
        </is>
      </c>
      <c r="E2165" t="inlineStr">
        <is>
          <t>NYKVARN</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60729-2022</t>
        </is>
      </c>
      <c r="B2166" s="1" t="n">
        <v>44913</v>
      </c>
      <c r="C2166" s="1" t="n">
        <v>45571</v>
      </c>
      <c r="D2166" t="inlineStr">
        <is>
          <t>STOCKHOLMS LÄN</t>
        </is>
      </c>
      <c r="E2166" t="inlineStr">
        <is>
          <t>EKERÖ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60728-2022</t>
        </is>
      </c>
      <c r="B2167" s="1" t="n">
        <v>44913</v>
      </c>
      <c r="C2167" s="1" t="n">
        <v>45571</v>
      </c>
      <c r="D2167" t="inlineStr">
        <is>
          <t>STOCKHOLMS LÄN</t>
        </is>
      </c>
      <c r="E2167" t="inlineStr">
        <is>
          <t>EKERÖ</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60840-2022</t>
        </is>
      </c>
      <c r="B2168" s="1" t="n">
        <v>44914</v>
      </c>
      <c r="C2168" s="1" t="n">
        <v>45571</v>
      </c>
      <c r="D2168" t="inlineStr">
        <is>
          <t>STOCKHOLMS LÄN</t>
        </is>
      </c>
      <c r="E2168" t="inlineStr">
        <is>
          <t>NORRTÄLJE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61016-2022</t>
        </is>
      </c>
      <c r="B2169" s="1" t="n">
        <v>44914</v>
      </c>
      <c r="C2169" s="1" t="n">
        <v>45571</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60997-2022</t>
        </is>
      </c>
      <c r="B2170" s="1" t="n">
        <v>44914</v>
      </c>
      <c r="C2170" s="1" t="n">
        <v>45571</v>
      </c>
      <c r="D2170" t="inlineStr">
        <is>
          <t>STOCKHOLMS LÄN</t>
        </is>
      </c>
      <c r="E2170" t="inlineStr">
        <is>
          <t>VALLENTUNA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61242-2022</t>
        </is>
      </c>
      <c r="B2171" s="1" t="n">
        <v>44915</v>
      </c>
      <c r="C2171" s="1" t="n">
        <v>45571</v>
      </c>
      <c r="D2171" t="inlineStr">
        <is>
          <t>STOCKHOLMS LÄN</t>
        </is>
      </c>
      <c r="E2171" t="inlineStr">
        <is>
          <t>BOTKYRKA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61310-2022</t>
        </is>
      </c>
      <c r="B2172" s="1" t="n">
        <v>44915</v>
      </c>
      <c r="C2172" s="1" t="n">
        <v>45571</v>
      </c>
      <c r="D2172" t="inlineStr">
        <is>
          <t>STOCKHOLMS LÄN</t>
        </is>
      </c>
      <c r="E2172" t="inlineStr">
        <is>
          <t>ÖSTERÅKER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61225-2022</t>
        </is>
      </c>
      <c r="B2173" s="1" t="n">
        <v>44915</v>
      </c>
      <c r="C2173" s="1" t="n">
        <v>45571</v>
      </c>
      <c r="D2173" t="inlineStr">
        <is>
          <t>STOCKHOLMS LÄN</t>
        </is>
      </c>
      <c r="E2173" t="inlineStr">
        <is>
          <t>BOTKYRKA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61336-2022</t>
        </is>
      </c>
      <c r="B2174" s="1" t="n">
        <v>44915</v>
      </c>
      <c r="C2174" s="1" t="n">
        <v>45571</v>
      </c>
      <c r="D2174" t="inlineStr">
        <is>
          <t>STOCKHOLMS LÄN</t>
        </is>
      </c>
      <c r="E2174" t="inlineStr">
        <is>
          <t>SALEM</t>
        </is>
      </c>
      <c r="F2174" t="inlineStr">
        <is>
          <t>Kommuner</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61360-2022</t>
        </is>
      </c>
      <c r="B2175" s="1" t="n">
        <v>44915</v>
      </c>
      <c r="C2175" s="1" t="n">
        <v>45571</v>
      </c>
      <c r="D2175" t="inlineStr">
        <is>
          <t>STOCKHOLMS LÄN</t>
        </is>
      </c>
      <c r="E2175" t="inlineStr">
        <is>
          <t>ÖSTERÅKER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61190-2022</t>
        </is>
      </c>
      <c r="B2176" s="1" t="n">
        <v>44915</v>
      </c>
      <c r="C2176" s="1" t="n">
        <v>45571</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61305-2022</t>
        </is>
      </c>
      <c r="B2177" s="1" t="n">
        <v>44915</v>
      </c>
      <c r="C2177" s="1" t="n">
        <v>45571</v>
      </c>
      <c r="D2177" t="inlineStr">
        <is>
          <t>STOCKHOLMS LÄN</t>
        </is>
      </c>
      <c r="E2177" t="inlineStr">
        <is>
          <t>SALEM</t>
        </is>
      </c>
      <c r="F2177" t="inlineStr">
        <is>
          <t>Kommuner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61323-2022</t>
        </is>
      </c>
      <c r="B2178" s="1" t="n">
        <v>44915</v>
      </c>
      <c r="C2178" s="1" t="n">
        <v>45571</v>
      </c>
      <c r="D2178" t="inlineStr">
        <is>
          <t>STOCKHOLMS LÄN</t>
        </is>
      </c>
      <c r="E2178" t="inlineStr">
        <is>
          <t>ÖSTERÅKER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61370-2022</t>
        </is>
      </c>
      <c r="B2179" s="1" t="n">
        <v>44915</v>
      </c>
      <c r="C2179" s="1" t="n">
        <v>45571</v>
      </c>
      <c r="D2179" t="inlineStr">
        <is>
          <t>STOCKHOLMS LÄN</t>
        </is>
      </c>
      <c r="E2179" t="inlineStr">
        <is>
          <t>ÖSTERÅKER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61389-2022</t>
        </is>
      </c>
      <c r="B2180" s="1" t="n">
        <v>44915</v>
      </c>
      <c r="C2180" s="1" t="n">
        <v>45571</v>
      </c>
      <c r="D2180" t="inlineStr">
        <is>
          <t>STOCKHOLMS LÄN</t>
        </is>
      </c>
      <c r="E2180" t="inlineStr">
        <is>
          <t>ÖSTERÅKER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61516-2022</t>
        </is>
      </c>
      <c r="B2181" s="1" t="n">
        <v>44916</v>
      </c>
      <c r="C2181" s="1" t="n">
        <v>45571</v>
      </c>
      <c r="D2181" t="inlineStr">
        <is>
          <t>STOCKHOLMS LÄN</t>
        </is>
      </c>
      <c r="E2181" t="inlineStr">
        <is>
          <t>BOTKYRKA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61514-2022</t>
        </is>
      </c>
      <c r="B2182" s="1" t="n">
        <v>44916</v>
      </c>
      <c r="C2182" s="1" t="n">
        <v>45571</v>
      </c>
      <c r="D2182" t="inlineStr">
        <is>
          <t>STOCKHOLMS LÄN</t>
        </is>
      </c>
      <c r="E2182" t="inlineStr">
        <is>
          <t>BOTKYRKA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61746-2022</t>
        </is>
      </c>
      <c r="B2183" s="1" t="n">
        <v>44917</v>
      </c>
      <c r="C2183" s="1" t="n">
        <v>45571</v>
      </c>
      <c r="D2183" t="inlineStr">
        <is>
          <t>STOCKHOLMS LÄN</t>
        </is>
      </c>
      <c r="E2183" t="inlineStr">
        <is>
          <t>ÖSTERÅKER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61710-2022</t>
        </is>
      </c>
      <c r="B2184" s="1" t="n">
        <v>44917</v>
      </c>
      <c r="C2184" s="1" t="n">
        <v>45571</v>
      </c>
      <c r="D2184" t="inlineStr">
        <is>
          <t>STOCKHOLMS LÄN</t>
        </is>
      </c>
      <c r="E2184" t="inlineStr">
        <is>
          <t>ÖSTERÅKER</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61742-2022</t>
        </is>
      </c>
      <c r="B2185" s="1" t="n">
        <v>44917</v>
      </c>
      <c r="C2185" s="1" t="n">
        <v>45571</v>
      </c>
      <c r="D2185" t="inlineStr">
        <is>
          <t>STOCKHOLMS LÄN</t>
        </is>
      </c>
      <c r="E2185" t="inlineStr">
        <is>
          <t>VALLENTUNA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62634-2022</t>
        </is>
      </c>
      <c r="B2186" s="1" t="n">
        <v>44917</v>
      </c>
      <c r="C2186" s="1" t="n">
        <v>45571</v>
      </c>
      <c r="D2186" t="inlineStr">
        <is>
          <t>STOCKHOLMS LÄN</t>
        </is>
      </c>
      <c r="E2186" t="inlineStr">
        <is>
          <t>NYNÄSHAMN</t>
        </is>
      </c>
      <c r="G2186" t="n">
        <v>15.8</v>
      </c>
      <c r="H2186" t="n">
        <v>0</v>
      </c>
      <c r="I2186" t="n">
        <v>0</v>
      </c>
      <c r="J2186" t="n">
        <v>0</v>
      </c>
      <c r="K2186" t="n">
        <v>0</v>
      </c>
      <c r="L2186" t="n">
        <v>0</v>
      </c>
      <c r="M2186" t="n">
        <v>0</v>
      </c>
      <c r="N2186" t="n">
        <v>0</v>
      </c>
      <c r="O2186" t="n">
        <v>0</v>
      </c>
      <c r="P2186" t="n">
        <v>0</v>
      </c>
      <c r="Q2186" t="n">
        <v>0</v>
      </c>
      <c r="R2186" s="2" t="inlineStr"/>
    </row>
    <row r="2187" ht="15" customHeight="1">
      <c r="A2187" t="inlineStr">
        <is>
          <t>A 114-2023</t>
        </is>
      </c>
      <c r="B2187" s="1" t="n">
        <v>44918</v>
      </c>
      <c r="C2187" s="1" t="n">
        <v>45571</v>
      </c>
      <c r="D2187" t="inlineStr">
        <is>
          <t>STOCKHOLMS LÄN</t>
        </is>
      </c>
      <c r="E2187" t="inlineStr">
        <is>
          <t>VÄRMDÖ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62108-2022</t>
        </is>
      </c>
      <c r="B2188" s="1" t="n">
        <v>44920</v>
      </c>
      <c r="C2188" s="1" t="n">
        <v>45571</v>
      </c>
      <c r="D2188" t="inlineStr">
        <is>
          <t>STOCKHOLMS LÄN</t>
        </is>
      </c>
      <c r="E2188" t="inlineStr">
        <is>
          <t>ÖSTERÅKER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62206-2022</t>
        </is>
      </c>
      <c r="B2189" s="1" t="n">
        <v>44922</v>
      </c>
      <c r="C2189" s="1" t="n">
        <v>45571</v>
      </c>
      <c r="D2189" t="inlineStr">
        <is>
          <t>STOCKHOLMS LÄN</t>
        </is>
      </c>
      <c r="E2189" t="inlineStr">
        <is>
          <t>NORRTÄLJE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62398-2022</t>
        </is>
      </c>
      <c r="B2190" s="1" t="n">
        <v>44923</v>
      </c>
      <c r="C2190" s="1" t="n">
        <v>45571</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62402-2022</t>
        </is>
      </c>
      <c r="B2191" s="1" t="n">
        <v>44923</v>
      </c>
      <c r="C2191" s="1" t="n">
        <v>45571</v>
      </c>
      <c r="D2191" t="inlineStr">
        <is>
          <t>STOCKHOLMS LÄN</t>
        </is>
      </c>
      <c r="E2191" t="inlineStr">
        <is>
          <t>VALLENTUNA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544-2023</t>
        </is>
      </c>
      <c r="B2192" s="1" t="n">
        <v>44924</v>
      </c>
      <c r="C2192" s="1" t="n">
        <v>45571</v>
      </c>
      <c r="D2192" t="inlineStr">
        <is>
          <t>STOCKHOLMS LÄN</t>
        </is>
      </c>
      <c r="E2192" t="inlineStr">
        <is>
          <t>ÖSTERÅKER</t>
        </is>
      </c>
      <c r="F2192" t="inlineStr">
        <is>
          <t>Övriga Aktiebolag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62593-2022</t>
        </is>
      </c>
      <c r="B2193" s="1" t="n">
        <v>44925</v>
      </c>
      <c r="C2193" s="1" t="n">
        <v>45571</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576-2023</t>
        </is>
      </c>
      <c r="B2194" s="1" t="n">
        <v>44925</v>
      </c>
      <c r="C2194" s="1" t="n">
        <v>45571</v>
      </c>
      <c r="D2194" t="inlineStr">
        <is>
          <t>STOCKHOLMS LÄN</t>
        </is>
      </c>
      <c r="E2194" t="inlineStr">
        <is>
          <t>NORRTÄLJE</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574-2023</t>
        </is>
      </c>
      <c r="B2195" s="1" t="n">
        <v>44925</v>
      </c>
      <c r="C2195" s="1" t="n">
        <v>45571</v>
      </c>
      <c r="D2195" t="inlineStr">
        <is>
          <t>STOCKHOLMS LÄN</t>
        </is>
      </c>
      <c r="E2195" t="inlineStr">
        <is>
          <t>NORRTÄLJE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504-2023</t>
        </is>
      </c>
      <c r="B2196" s="1" t="n">
        <v>44930</v>
      </c>
      <c r="C2196" s="1" t="n">
        <v>45571</v>
      </c>
      <c r="D2196" t="inlineStr">
        <is>
          <t>STOCKHOLMS LÄN</t>
        </is>
      </c>
      <c r="E2196" t="inlineStr">
        <is>
          <t>SALEM</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695-2023</t>
        </is>
      </c>
      <c r="B2197" s="1" t="n">
        <v>44930</v>
      </c>
      <c r="C2197" s="1" t="n">
        <v>45571</v>
      </c>
      <c r="D2197" t="inlineStr">
        <is>
          <t>STOCKHOLMS LÄN</t>
        </is>
      </c>
      <c r="E2197" t="inlineStr">
        <is>
          <t>BOTKYRKA</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755-2023</t>
        </is>
      </c>
      <c r="B2198" s="1" t="n">
        <v>44931</v>
      </c>
      <c r="C2198" s="1" t="n">
        <v>45571</v>
      </c>
      <c r="D2198" t="inlineStr">
        <is>
          <t>STOCKHOLMS LÄN</t>
        </is>
      </c>
      <c r="E2198" t="inlineStr">
        <is>
          <t>NORRTÄLJE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875-2023</t>
        </is>
      </c>
      <c r="B2199" s="1" t="n">
        <v>44931</v>
      </c>
      <c r="C2199" s="1" t="n">
        <v>45571</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952-2023</t>
        </is>
      </c>
      <c r="B2200" s="1" t="n">
        <v>44934</v>
      </c>
      <c r="C2200" s="1" t="n">
        <v>45571</v>
      </c>
      <c r="D2200" t="inlineStr">
        <is>
          <t>STOCKHOLMS LÄN</t>
        </is>
      </c>
      <c r="E2200" t="inlineStr">
        <is>
          <t>SÖDERTÄLJE</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951-2023</t>
        </is>
      </c>
      <c r="B2201" s="1" t="n">
        <v>44934</v>
      </c>
      <c r="C2201" s="1" t="n">
        <v>45571</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954-2023</t>
        </is>
      </c>
      <c r="B2202" s="1" t="n">
        <v>44934</v>
      </c>
      <c r="C2202" s="1" t="n">
        <v>45571</v>
      </c>
      <c r="D2202" t="inlineStr">
        <is>
          <t>STOCKHOLMS LÄN</t>
        </is>
      </c>
      <c r="E2202" t="inlineStr">
        <is>
          <t>SÖDERTÄLJE</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953-2023</t>
        </is>
      </c>
      <c r="B2203" s="1" t="n">
        <v>44934</v>
      </c>
      <c r="C2203" s="1" t="n">
        <v>45571</v>
      </c>
      <c r="D2203" t="inlineStr">
        <is>
          <t>STOCKHOLMS LÄN</t>
        </is>
      </c>
      <c r="E2203" t="inlineStr">
        <is>
          <t>SÖDERTÄLJE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1136-2023</t>
        </is>
      </c>
      <c r="B2204" s="1" t="n">
        <v>44935</v>
      </c>
      <c r="C2204" s="1" t="n">
        <v>45571</v>
      </c>
      <c r="D2204" t="inlineStr">
        <is>
          <t>STOCKHOLMS LÄN</t>
        </is>
      </c>
      <c r="E2204" t="inlineStr">
        <is>
          <t>ÖSTERÅKER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1183-2023</t>
        </is>
      </c>
      <c r="B2205" s="1" t="n">
        <v>44935</v>
      </c>
      <c r="C2205" s="1" t="n">
        <v>45571</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1071-2023</t>
        </is>
      </c>
      <c r="B2206" s="1" t="n">
        <v>44935</v>
      </c>
      <c r="C2206" s="1" t="n">
        <v>45571</v>
      </c>
      <c r="D2206" t="inlineStr">
        <is>
          <t>STOCKHOLMS LÄN</t>
        </is>
      </c>
      <c r="E2206" t="inlineStr">
        <is>
          <t>SALEM</t>
        </is>
      </c>
      <c r="F2206" t="inlineStr">
        <is>
          <t>Kommuner</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1335-2023</t>
        </is>
      </c>
      <c r="B2207" s="1" t="n">
        <v>44936</v>
      </c>
      <c r="C2207" s="1" t="n">
        <v>45571</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1347-2023</t>
        </is>
      </c>
      <c r="B2208" s="1" t="n">
        <v>44936</v>
      </c>
      <c r="C2208" s="1" t="n">
        <v>45571</v>
      </c>
      <c r="D2208" t="inlineStr">
        <is>
          <t>STOCKHOLMS LÄN</t>
        </is>
      </c>
      <c r="E2208" t="inlineStr">
        <is>
          <t>BOTKYRKA</t>
        </is>
      </c>
      <c r="F2208" t="inlineStr">
        <is>
          <t>Övriga Aktiebolag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1344-2023</t>
        </is>
      </c>
      <c r="B2209" s="1" t="n">
        <v>44936</v>
      </c>
      <c r="C2209" s="1" t="n">
        <v>45571</v>
      </c>
      <c r="D2209" t="inlineStr">
        <is>
          <t>STOCKHOLMS LÄN</t>
        </is>
      </c>
      <c r="E2209" t="inlineStr">
        <is>
          <t>BOTKYRKA</t>
        </is>
      </c>
      <c r="F2209" t="inlineStr">
        <is>
          <t>Övriga Aktiebolag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1337-2023</t>
        </is>
      </c>
      <c r="B2210" s="1" t="n">
        <v>44936</v>
      </c>
      <c r="C2210" s="1" t="n">
        <v>45571</v>
      </c>
      <c r="D2210" t="inlineStr">
        <is>
          <t>STOCKHOLMS LÄN</t>
        </is>
      </c>
      <c r="E2210" t="inlineStr">
        <is>
          <t>BOTKYRKA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1381-2023</t>
        </is>
      </c>
      <c r="B2211" s="1" t="n">
        <v>44936</v>
      </c>
      <c r="C2211" s="1" t="n">
        <v>45571</v>
      </c>
      <c r="D2211" t="inlineStr">
        <is>
          <t>STOCKHOLMS LÄN</t>
        </is>
      </c>
      <c r="E2211" t="inlineStr">
        <is>
          <t>SÖDERTÄLJE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1373-2023</t>
        </is>
      </c>
      <c r="B2212" s="1" t="n">
        <v>44936</v>
      </c>
      <c r="C2212" s="1" t="n">
        <v>45571</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1368-2023</t>
        </is>
      </c>
      <c r="B2213" s="1" t="n">
        <v>44936</v>
      </c>
      <c r="C2213" s="1" t="n">
        <v>45571</v>
      </c>
      <c r="D2213" t="inlineStr">
        <is>
          <t>STOCKHOLMS LÄN</t>
        </is>
      </c>
      <c r="E2213" t="inlineStr">
        <is>
          <t>BOTKYRKA</t>
        </is>
      </c>
      <c r="F2213" t="inlineStr">
        <is>
          <t>Övriga Aktiebolag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1705-2023</t>
        </is>
      </c>
      <c r="B2214" s="1" t="n">
        <v>44936</v>
      </c>
      <c r="C2214" s="1" t="n">
        <v>45571</v>
      </c>
      <c r="D2214" t="inlineStr">
        <is>
          <t>STOCKHOLMS LÄN</t>
        </is>
      </c>
      <c r="E2214" t="inlineStr">
        <is>
          <t>VAXHOLM</t>
        </is>
      </c>
      <c r="F2214" t="inlineStr">
        <is>
          <t>Övriga statliga verk och myndigheter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1448-2023</t>
        </is>
      </c>
      <c r="B2215" s="1" t="n">
        <v>44937</v>
      </c>
      <c r="C2215" s="1" t="n">
        <v>45571</v>
      </c>
      <c r="D2215" t="inlineStr">
        <is>
          <t>STOCKHOLMS LÄN</t>
        </is>
      </c>
      <c r="E2215" t="inlineStr">
        <is>
          <t>NORRTÄLJE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1605-2023</t>
        </is>
      </c>
      <c r="B2216" s="1" t="n">
        <v>44937</v>
      </c>
      <c r="C2216" s="1" t="n">
        <v>45571</v>
      </c>
      <c r="D2216" t="inlineStr">
        <is>
          <t>STOCKHOLMS LÄN</t>
        </is>
      </c>
      <c r="E2216" t="inlineStr">
        <is>
          <t>ÖSTERÅKER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1603-2023</t>
        </is>
      </c>
      <c r="B2217" s="1" t="n">
        <v>44937</v>
      </c>
      <c r="C2217" s="1" t="n">
        <v>45571</v>
      </c>
      <c r="D2217" t="inlineStr">
        <is>
          <t>STOCKHOLMS LÄN</t>
        </is>
      </c>
      <c r="E2217" t="inlineStr">
        <is>
          <t>ÖSTERÅKER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1703-2023</t>
        </is>
      </c>
      <c r="B2218" s="1" t="n">
        <v>44938</v>
      </c>
      <c r="C2218" s="1" t="n">
        <v>45571</v>
      </c>
      <c r="D2218" t="inlineStr">
        <is>
          <t>STOCKHOLMS LÄN</t>
        </is>
      </c>
      <c r="E2218" t="inlineStr">
        <is>
          <t>HANINGE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1740-2023</t>
        </is>
      </c>
      <c r="B2219" s="1" t="n">
        <v>44938</v>
      </c>
      <c r="C2219" s="1" t="n">
        <v>45571</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1695-2023</t>
        </is>
      </c>
      <c r="B2220" s="1" t="n">
        <v>44938</v>
      </c>
      <c r="C2220" s="1" t="n">
        <v>45571</v>
      </c>
      <c r="D2220" t="inlineStr">
        <is>
          <t>STOCKHOLMS LÄN</t>
        </is>
      </c>
      <c r="E2220" t="inlineStr">
        <is>
          <t>BOTKYRKA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1847-2023</t>
        </is>
      </c>
      <c r="B2221" s="1" t="n">
        <v>44938</v>
      </c>
      <c r="C2221" s="1" t="n">
        <v>45571</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2271-2023</t>
        </is>
      </c>
      <c r="B2222" s="1" t="n">
        <v>44938</v>
      </c>
      <c r="C2222" s="1" t="n">
        <v>45571</v>
      </c>
      <c r="D2222" t="inlineStr">
        <is>
          <t>STOCKHOLMS LÄN</t>
        </is>
      </c>
      <c r="E2222" t="inlineStr">
        <is>
          <t>VÄRMDÖ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2240-2023</t>
        </is>
      </c>
      <c r="B2223" s="1" t="n">
        <v>44938</v>
      </c>
      <c r="C2223" s="1" t="n">
        <v>45571</v>
      </c>
      <c r="D2223" t="inlineStr">
        <is>
          <t>STOCKHOLMS LÄN</t>
        </is>
      </c>
      <c r="E2223" t="inlineStr">
        <is>
          <t>VÄRMDÖ</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2103-2023</t>
        </is>
      </c>
      <c r="B2224" s="1" t="n">
        <v>44939</v>
      </c>
      <c r="C2224" s="1" t="n">
        <v>45571</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2229-2023</t>
        </is>
      </c>
      <c r="B2225" s="1" t="n">
        <v>44939</v>
      </c>
      <c r="C2225" s="1" t="n">
        <v>45571</v>
      </c>
      <c r="D2225" t="inlineStr">
        <is>
          <t>STOCKHOLMS LÄN</t>
        </is>
      </c>
      <c r="E2225" t="inlineStr">
        <is>
          <t>VAXHOLM</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2170-2023</t>
        </is>
      </c>
      <c r="B2226" s="1" t="n">
        <v>44941</v>
      </c>
      <c r="C2226" s="1" t="n">
        <v>45571</v>
      </c>
      <c r="D2226" t="inlineStr">
        <is>
          <t>STOCKHOLMS LÄN</t>
        </is>
      </c>
      <c r="E2226" t="inlineStr">
        <is>
          <t>NYNÄSHAMN</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2261-2023</t>
        </is>
      </c>
      <c r="B2227" s="1" t="n">
        <v>44942</v>
      </c>
      <c r="C2227" s="1" t="n">
        <v>45571</v>
      </c>
      <c r="D2227" t="inlineStr">
        <is>
          <t>STOCKHOLMS LÄN</t>
        </is>
      </c>
      <c r="E2227" t="inlineStr">
        <is>
          <t>NYNÄSHAMN</t>
        </is>
      </c>
      <c r="G2227" t="n">
        <v>15.1</v>
      </c>
      <c r="H2227" t="n">
        <v>0</v>
      </c>
      <c r="I2227" t="n">
        <v>0</v>
      </c>
      <c r="J2227" t="n">
        <v>0</v>
      </c>
      <c r="K2227" t="n">
        <v>0</v>
      </c>
      <c r="L2227" t="n">
        <v>0</v>
      </c>
      <c r="M2227" t="n">
        <v>0</v>
      </c>
      <c r="N2227" t="n">
        <v>0</v>
      </c>
      <c r="O2227" t="n">
        <v>0</v>
      </c>
      <c r="P2227" t="n">
        <v>0</v>
      </c>
      <c r="Q2227" t="n">
        <v>0</v>
      </c>
      <c r="R2227" s="2" t="inlineStr"/>
    </row>
    <row r="2228" ht="15" customHeight="1">
      <c r="A2228" t="inlineStr">
        <is>
          <t>A 2367-2023</t>
        </is>
      </c>
      <c r="B2228" s="1" t="n">
        <v>44942</v>
      </c>
      <c r="C2228" s="1" t="n">
        <v>45571</v>
      </c>
      <c r="D2228" t="inlineStr">
        <is>
          <t>STOCKHOLMS LÄN</t>
        </is>
      </c>
      <c r="E2228" t="inlineStr">
        <is>
          <t>NYNÄSHAMN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2529-2023</t>
        </is>
      </c>
      <c r="B2229" s="1" t="n">
        <v>44943</v>
      </c>
      <c r="C2229" s="1" t="n">
        <v>45571</v>
      </c>
      <c r="D2229" t="inlineStr">
        <is>
          <t>STOCKHOLMS LÄN</t>
        </is>
      </c>
      <c r="E2229" t="inlineStr">
        <is>
          <t>SÖDERTÄLJE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2976-2023</t>
        </is>
      </c>
      <c r="B2230" s="1" t="n">
        <v>44945</v>
      </c>
      <c r="C2230" s="1" t="n">
        <v>45571</v>
      </c>
      <c r="D2230" t="inlineStr">
        <is>
          <t>STOCKHOLMS LÄN</t>
        </is>
      </c>
      <c r="E2230" t="inlineStr">
        <is>
          <t>NORRTÄLJE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2890-2023</t>
        </is>
      </c>
      <c r="B2231" s="1" t="n">
        <v>44945</v>
      </c>
      <c r="C2231" s="1" t="n">
        <v>45571</v>
      </c>
      <c r="D2231" t="inlineStr">
        <is>
          <t>STOCKHOLMS LÄN</t>
        </is>
      </c>
      <c r="E2231" t="inlineStr">
        <is>
          <t>NORRTÄLJE</t>
        </is>
      </c>
      <c r="F2231" t="inlineStr">
        <is>
          <t>Holmen skog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2990-2023</t>
        </is>
      </c>
      <c r="B2232" s="1" t="n">
        <v>44945</v>
      </c>
      <c r="C2232" s="1" t="n">
        <v>45571</v>
      </c>
      <c r="D2232" t="inlineStr">
        <is>
          <t>STOCKHOLMS LÄN</t>
        </is>
      </c>
      <c r="E2232" t="inlineStr">
        <is>
          <t>SALEM</t>
        </is>
      </c>
      <c r="F2232" t="inlineStr">
        <is>
          <t>Kommuner</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2982-2023</t>
        </is>
      </c>
      <c r="B2233" s="1" t="n">
        <v>44945</v>
      </c>
      <c r="C2233" s="1" t="n">
        <v>45571</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3071-2023</t>
        </is>
      </c>
      <c r="B2234" s="1" t="n">
        <v>44946</v>
      </c>
      <c r="C2234" s="1" t="n">
        <v>45571</v>
      </c>
      <c r="D2234" t="inlineStr">
        <is>
          <t>STOCKHOLMS LÄN</t>
        </is>
      </c>
      <c r="E2234" t="inlineStr">
        <is>
          <t>VALLENTUNA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3072-2023</t>
        </is>
      </c>
      <c r="B2235" s="1" t="n">
        <v>44946</v>
      </c>
      <c r="C2235" s="1" t="n">
        <v>45571</v>
      </c>
      <c r="D2235" t="inlineStr">
        <is>
          <t>STOCKHOLMS LÄN</t>
        </is>
      </c>
      <c r="E2235" t="inlineStr">
        <is>
          <t>VALLENTUNA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3078-2023</t>
        </is>
      </c>
      <c r="B2236" s="1" t="n">
        <v>44946</v>
      </c>
      <c r="C2236" s="1" t="n">
        <v>45571</v>
      </c>
      <c r="D2236" t="inlineStr">
        <is>
          <t>STOCKHOLMS LÄN</t>
        </is>
      </c>
      <c r="E2236" t="inlineStr">
        <is>
          <t>VALLENTUNA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3383-2023</t>
        </is>
      </c>
      <c r="B2237" s="1" t="n">
        <v>44949</v>
      </c>
      <c r="C2237" s="1" t="n">
        <v>45571</v>
      </c>
      <c r="D2237" t="inlineStr">
        <is>
          <t>STOCKHOLMS LÄN</t>
        </is>
      </c>
      <c r="E2237" t="inlineStr">
        <is>
          <t>NORRTÄLJE</t>
        </is>
      </c>
      <c r="G2237" t="n">
        <v>14.6</v>
      </c>
      <c r="H2237" t="n">
        <v>0</v>
      </c>
      <c r="I2237" t="n">
        <v>0</v>
      </c>
      <c r="J2237" t="n">
        <v>0</v>
      </c>
      <c r="K2237" t="n">
        <v>0</v>
      </c>
      <c r="L2237" t="n">
        <v>0</v>
      </c>
      <c r="M2237" t="n">
        <v>0</v>
      </c>
      <c r="N2237" t="n">
        <v>0</v>
      </c>
      <c r="O2237" t="n">
        <v>0</v>
      </c>
      <c r="P2237" t="n">
        <v>0</v>
      </c>
      <c r="Q2237" t="n">
        <v>0</v>
      </c>
      <c r="R2237" s="2" t="inlineStr"/>
    </row>
    <row r="2238" ht="15" customHeight="1">
      <c r="A2238" t="inlineStr">
        <is>
          <t>A 3354-2023</t>
        </is>
      </c>
      <c r="B2238" s="1" t="n">
        <v>44949</v>
      </c>
      <c r="C2238" s="1" t="n">
        <v>45571</v>
      </c>
      <c r="D2238" t="inlineStr">
        <is>
          <t>STOCKHOLMS LÄN</t>
        </is>
      </c>
      <c r="E2238" t="inlineStr">
        <is>
          <t>VALLENTUNA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3347-2023</t>
        </is>
      </c>
      <c r="B2239" s="1" t="n">
        <v>44949</v>
      </c>
      <c r="C2239" s="1" t="n">
        <v>45571</v>
      </c>
      <c r="D2239" t="inlineStr">
        <is>
          <t>STOCKHOLMS LÄN</t>
        </is>
      </c>
      <c r="E2239" t="inlineStr">
        <is>
          <t>VALLENTUNA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3350-2023</t>
        </is>
      </c>
      <c r="B2240" s="1" t="n">
        <v>44949</v>
      </c>
      <c r="C2240" s="1" t="n">
        <v>45571</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3444-2023</t>
        </is>
      </c>
      <c r="B2241" s="1" t="n">
        <v>44949</v>
      </c>
      <c r="C2241" s="1" t="n">
        <v>45571</v>
      </c>
      <c r="D2241" t="inlineStr">
        <is>
          <t>STOCKHOLMS LÄN</t>
        </is>
      </c>
      <c r="E2241" t="inlineStr">
        <is>
          <t>NORRTÄLJE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3594-2023</t>
        </is>
      </c>
      <c r="B2242" s="1" t="n">
        <v>44950</v>
      </c>
      <c r="C2242" s="1" t="n">
        <v>45571</v>
      </c>
      <c r="D2242" t="inlineStr">
        <is>
          <t>STOCKHOLMS LÄN</t>
        </is>
      </c>
      <c r="E2242" t="inlineStr">
        <is>
          <t>UPPLANDS-BRO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3622-2023</t>
        </is>
      </c>
      <c r="B2243" s="1" t="n">
        <v>44950</v>
      </c>
      <c r="C2243" s="1" t="n">
        <v>45571</v>
      </c>
      <c r="D2243" t="inlineStr">
        <is>
          <t>STOCKHOLMS LÄN</t>
        </is>
      </c>
      <c r="E2243" t="inlineStr">
        <is>
          <t>UPPLANDS-BRO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3639-2023</t>
        </is>
      </c>
      <c r="B2244" s="1" t="n">
        <v>44950</v>
      </c>
      <c r="C2244" s="1" t="n">
        <v>45571</v>
      </c>
      <c r="D2244" t="inlineStr">
        <is>
          <t>STOCKHOLMS LÄN</t>
        </is>
      </c>
      <c r="E2244" t="inlineStr">
        <is>
          <t>SÖDERTÄLJE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3630-2023</t>
        </is>
      </c>
      <c r="B2245" s="1" t="n">
        <v>44950</v>
      </c>
      <c r="C2245" s="1" t="n">
        <v>45571</v>
      </c>
      <c r="D2245" t="inlineStr">
        <is>
          <t>STOCKHOLMS LÄN</t>
        </is>
      </c>
      <c r="E2245" t="inlineStr">
        <is>
          <t>UPPLANDS-BRO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4153-2023</t>
        </is>
      </c>
      <c r="B2246" s="1" t="n">
        <v>44950</v>
      </c>
      <c r="C2246" s="1" t="n">
        <v>45571</v>
      </c>
      <c r="D2246" t="inlineStr">
        <is>
          <t>STOCKHOLMS LÄN</t>
        </is>
      </c>
      <c r="E2246" t="inlineStr">
        <is>
          <t>UPPLANDS-BRO</t>
        </is>
      </c>
      <c r="F2246" t="inlineStr">
        <is>
          <t>Övriga statliga verk och myndigheter</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3828-2023</t>
        </is>
      </c>
      <c r="B2247" s="1" t="n">
        <v>44951</v>
      </c>
      <c r="C2247" s="1" t="n">
        <v>45571</v>
      </c>
      <c r="D2247" t="inlineStr">
        <is>
          <t>STOCKHOLMS LÄN</t>
        </is>
      </c>
      <c r="E2247" t="inlineStr">
        <is>
          <t>ÖSTERÅKER</t>
        </is>
      </c>
      <c r="F2247" t="inlineStr">
        <is>
          <t>Kommuner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3834-2023</t>
        </is>
      </c>
      <c r="B2248" s="1" t="n">
        <v>44951</v>
      </c>
      <c r="C2248" s="1" t="n">
        <v>45571</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3817-2023</t>
        </is>
      </c>
      <c r="B2249" s="1" t="n">
        <v>44951</v>
      </c>
      <c r="C2249" s="1" t="n">
        <v>45571</v>
      </c>
      <c r="D2249" t="inlineStr">
        <is>
          <t>STOCKHOLMS LÄN</t>
        </is>
      </c>
      <c r="E2249" t="inlineStr">
        <is>
          <t>ÖSTERÅKER</t>
        </is>
      </c>
      <c r="F2249" t="inlineStr">
        <is>
          <t>Kommuner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3917-2023</t>
        </is>
      </c>
      <c r="B2250" s="1" t="n">
        <v>44952</v>
      </c>
      <c r="C2250" s="1" t="n">
        <v>45571</v>
      </c>
      <c r="D2250" t="inlineStr">
        <is>
          <t>STOCKHOLMS LÄN</t>
        </is>
      </c>
      <c r="E2250" t="inlineStr">
        <is>
          <t>ÖSTERÅKER</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4035-2023</t>
        </is>
      </c>
      <c r="B2251" s="1" t="n">
        <v>44952</v>
      </c>
      <c r="C2251" s="1" t="n">
        <v>45571</v>
      </c>
      <c r="D2251" t="inlineStr">
        <is>
          <t>STOCKHOLMS LÄN</t>
        </is>
      </c>
      <c r="E2251" t="inlineStr">
        <is>
          <t>NORRTÄLJE</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4058-2023</t>
        </is>
      </c>
      <c r="B2252" s="1" t="n">
        <v>44952</v>
      </c>
      <c r="C2252" s="1" t="n">
        <v>45571</v>
      </c>
      <c r="D2252" t="inlineStr">
        <is>
          <t>STOCKHOLMS LÄN</t>
        </is>
      </c>
      <c r="E2252" t="inlineStr">
        <is>
          <t>NORRTÄLJE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4194-2023</t>
        </is>
      </c>
      <c r="B2253" s="1" t="n">
        <v>44953</v>
      </c>
      <c r="C2253" s="1" t="n">
        <v>45571</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4168-2023</t>
        </is>
      </c>
      <c r="B2254" s="1" t="n">
        <v>44953</v>
      </c>
      <c r="C2254" s="1" t="n">
        <v>45571</v>
      </c>
      <c r="D2254" t="inlineStr">
        <is>
          <t>STOCKHOLMS LÄN</t>
        </is>
      </c>
      <c r="E2254" t="inlineStr">
        <is>
          <t>NORRTÄLJE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4316-2023</t>
        </is>
      </c>
      <c r="B2255" s="1" t="n">
        <v>44953</v>
      </c>
      <c r="C2255" s="1" t="n">
        <v>45571</v>
      </c>
      <c r="D2255" t="inlineStr">
        <is>
          <t>STOCKHOLMS LÄN</t>
        </is>
      </c>
      <c r="E2255" t="inlineStr">
        <is>
          <t>NORRTÄLJE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4326-2023</t>
        </is>
      </c>
      <c r="B2256" s="1" t="n">
        <v>44953</v>
      </c>
      <c r="C2256" s="1" t="n">
        <v>45571</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4322-2023</t>
        </is>
      </c>
      <c r="B2257" s="1" t="n">
        <v>44953</v>
      </c>
      <c r="C2257" s="1" t="n">
        <v>45571</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4338-2023</t>
        </is>
      </c>
      <c r="B2258" s="1" t="n">
        <v>44953</v>
      </c>
      <c r="C2258" s="1" t="n">
        <v>45571</v>
      </c>
      <c r="D2258" t="inlineStr">
        <is>
          <t>STOCKHOLMS LÄN</t>
        </is>
      </c>
      <c r="E2258" t="inlineStr">
        <is>
          <t>UPPLANDS-BRO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4364-2023</t>
        </is>
      </c>
      <c r="B2259" s="1" t="n">
        <v>44954</v>
      </c>
      <c r="C2259" s="1" t="n">
        <v>45571</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4395-2023</t>
        </is>
      </c>
      <c r="B2260" s="1" t="n">
        <v>44956</v>
      </c>
      <c r="C2260" s="1" t="n">
        <v>45571</v>
      </c>
      <c r="D2260" t="inlineStr">
        <is>
          <t>STOCKHOLMS LÄN</t>
        </is>
      </c>
      <c r="E2260" t="inlineStr">
        <is>
          <t>NORRTÄLJE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4443-2023</t>
        </is>
      </c>
      <c r="B2261" s="1" t="n">
        <v>44956</v>
      </c>
      <c r="C2261" s="1" t="n">
        <v>45571</v>
      </c>
      <c r="D2261" t="inlineStr">
        <is>
          <t>STOCKHOLMS LÄN</t>
        </is>
      </c>
      <c r="E2261" t="inlineStr">
        <is>
          <t>SÖDERTÄLJE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4438-2023</t>
        </is>
      </c>
      <c r="B2262" s="1" t="n">
        <v>44956</v>
      </c>
      <c r="C2262" s="1" t="n">
        <v>45571</v>
      </c>
      <c r="D2262" t="inlineStr">
        <is>
          <t>STOCKHOLMS LÄN</t>
        </is>
      </c>
      <c r="E2262" t="inlineStr">
        <is>
          <t>NORRTÄLJE</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4593-2023</t>
        </is>
      </c>
      <c r="B2263" s="1" t="n">
        <v>44956</v>
      </c>
      <c r="C2263" s="1" t="n">
        <v>45571</v>
      </c>
      <c r="D2263" t="inlineStr">
        <is>
          <t>STOCKHOLMS LÄN</t>
        </is>
      </c>
      <c r="E2263" t="inlineStr">
        <is>
          <t>NORRTÄLJE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4597-2023</t>
        </is>
      </c>
      <c r="B2264" s="1" t="n">
        <v>44956</v>
      </c>
      <c r="C2264" s="1" t="n">
        <v>45571</v>
      </c>
      <c r="D2264" t="inlineStr">
        <is>
          <t>STOCKHOLMS LÄN</t>
        </is>
      </c>
      <c r="E2264" t="inlineStr">
        <is>
          <t>VALLENTUNA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4440-2023</t>
        </is>
      </c>
      <c r="B2265" s="1" t="n">
        <v>44956</v>
      </c>
      <c r="C2265" s="1" t="n">
        <v>45571</v>
      </c>
      <c r="D2265" t="inlineStr">
        <is>
          <t>STOCKHOLMS LÄN</t>
        </is>
      </c>
      <c r="E2265" t="inlineStr">
        <is>
          <t>SÖDERTÄLJE</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4596-2023</t>
        </is>
      </c>
      <c r="B2266" s="1" t="n">
        <v>44956</v>
      </c>
      <c r="C2266" s="1" t="n">
        <v>45571</v>
      </c>
      <c r="D2266" t="inlineStr">
        <is>
          <t>STOCKHOLMS LÄN</t>
        </is>
      </c>
      <c r="E2266" t="inlineStr">
        <is>
          <t>NORRTÄLJE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4553-2023</t>
        </is>
      </c>
      <c r="B2267" s="1" t="n">
        <v>44956</v>
      </c>
      <c r="C2267" s="1" t="n">
        <v>45571</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4904-2023</t>
        </is>
      </c>
      <c r="B2268" s="1" t="n">
        <v>44956</v>
      </c>
      <c r="C2268" s="1" t="n">
        <v>45571</v>
      </c>
      <c r="D2268" t="inlineStr">
        <is>
          <t>STOCKHOLMS LÄN</t>
        </is>
      </c>
      <c r="E2268" t="inlineStr">
        <is>
          <t>EKERÖ</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5243-2023</t>
        </is>
      </c>
      <c r="B2269" s="1" t="n">
        <v>44956</v>
      </c>
      <c r="C2269" s="1" t="n">
        <v>45571</v>
      </c>
      <c r="D2269" t="inlineStr">
        <is>
          <t>STOCKHOLMS LÄN</t>
        </is>
      </c>
      <c r="E2269" t="inlineStr">
        <is>
          <t>HANINGE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5528-2023</t>
        </is>
      </c>
      <c r="B2270" s="1" t="n">
        <v>44957</v>
      </c>
      <c r="C2270" s="1" t="n">
        <v>45571</v>
      </c>
      <c r="D2270" t="inlineStr">
        <is>
          <t>STOCKHOLMS LÄN</t>
        </is>
      </c>
      <c r="E2270" t="inlineStr">
        <is>
          <t>VAXHOLM</t>
        </is>
      </c>
      <c r="F2270" t="inlineStr">
        <is>
          <t>Övriga statliga verk och myndigheter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5137-2023</t>
        </is>
      </c>
      <c r="B2271" s="1" t="n">
        <v>44958</v>
      </c>
      <c r="C2271" s="1" t="n">
        <v>45571</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5207-2023</t>
        </is>
      </c>
      <c r="B2272" s="1" t="n">
        <v>44959</v>
      </c>
      <c r="C2272" s="1" t="n">
        <v>45571</v>
      </c>
      <c r="D2272" t="inlineStr">
        <is>
          <t>STOCKHOLMS LÄN</t>
        </is>
      </c>
      <c r="E2272" t="inlineStr">
        <is>
          <t>NORRTÄLJE</t>
        </is>
      </c>
      <c r="F2272" t="inlineStr">
        <is>
          <t>Holmen skog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5422-2023</t>
        </is>
      </c>
      <c r="B2273" s="1" t="n">
        <v>44959</v>
      </c>
      <c r="C2273" s="1" t="n">
        <v>45571</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5244-2023</t>
        </is>
      </c>
      <c r="B2274" s="1" t="n">
        <v>44959</v>
      </c>
      <c r="C2274" s="1" t="n">
        <v>45571</v>
      </c>
      <c r="D2274" t="inlineStr">
        <is>
          <t>STOCKHOLMS LÄN</t>
        </is>
      </c>
      <c r="E2274" t="inlineStr">
        <is>
          <t>NORRTÄLJE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5423-2023</t>
        </is>
      </c>
      <c r="B2275" s="1" t="n">
        <v>44959</v>
      </c>
      <c r="C2275" s="1" t="n">
        <v>45571</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5264-2023</t>
        </is>
      </c>
      <c r="B2276" s="1" t="n">
        <v>44959</v>
      </c>
      <c r="C2276" s="1" t="n">
        <v>45571</v>
      </c>
      <c r="D2276" t="inlineStr">
        <is>
          <t>STOCKHOLMS LÄN</t>
        </is>
      </c>
      <c r="E2276" t="inlineStr">
        <is>
          <t>UPPLANDS-BRO</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5968-2023</t>
        </is>
      </c>
      <c r="B2277" s="1" t="n">
        <v>44959</v>
      </c>
      <c r="C2277" s="1" t="n">
        <v>45571</v>
      </c>
      <c r="D2277" t="inlineStr">
        <is>
          <t>STOCKHOLMS LÄN</t>
        </is>
      </c>
      <c r="E2277" t="inlineStr">
        <is>
          <t>VAXHOLM</t>
        </is>
      </c>
      <c r="F2277" t="inlineStr">
        <is>
          <t>Övriga statliga verk och myndigheter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6312-2023</t>
        </is>
      </c>
      <c r="B2278" s="1" t="n">
        <v>44959</v>
      </c>
      <c r="C2278" s="1" t="n">
        <v>45571</v>
      </c>
      <c r="D2278" t="inlineStr">
        <is>
          <t>STOCKHOLMS LÄN</t>
        </is>
      </c>
      <c r="E2278" t="inlineStr">
        <is>
          <t>NORRTÄLJE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5645-2023</t>
        </is>
      </c>
      <c r="B2279" s="1" t="n">
        <v>44960</v>
      </c>
      <c r="C2279" s="1" t="n">
        <v>45571</v>
      </c>
      <c r="D2279" t="inlineStr">
        <is>
          <t>STOCKHOLMS LÄN</t>
        </is>
      </c>
      <c r="E2279" t="inlineStr">
        <is>
          <t>NORRTÄLJE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5681-2023</t>
        </is>
      </c>
      <c r="B2280" s="1" t="n">
        <v>44960</v>
      </c>
      <c r="C2280" s="1" t="n">
        <v>45571</v>
      </c>
      <c r="D2280" t="inlineStr">
        <is>
          <t>STOCKHOLMS LÄN</t>
        </is>
      </c>
      <c r="E2280" t="inlineStr">
        <is>
          <t>ÖSTERÅKER</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5501-2023</t>
        </is>
      </c>
      <c r="B2281" s="1" t="n">
        <v>44960</v>
      </c>
      <c r="C2281" s="1" t="n">
        <v>45571</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6496-2023</t>
        </is>
      </c>
      <c r="B2282" s="1" t="n">
        <v>44960</v>
      </c>
      <c r="C2282" s="1" t="n">
        <v>45571</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5732-2023</t>
        </is>
      </c>
      <c r="B2283" s="1" t="n">
        <v>44962</v>
      </c>
      <c r="C2283" s="1" t="n">
        <v>45571</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5823-2023</t>
        </is>
      </c>
      <c r="B2284" s="1" t="n">
        <v>44963</v>
      </c>
      <c r="C2284" s="1" t="n">
        <v>45571</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5839-2023</t>
        </is>
      </c>
      <c r="B2285" s="1" t="n">
        <v>44963</v>
      </c>
      <c r="C2285" s="1" t="n">
        <v>45571</v>
      </c>
      <c r="D2285" t="inlineStr">
        <is>
          <t>STOCKHOLMS LÄN</t>
        </is>
      </c>
      <c r="E2285" t="inlineStr">
        <is>
          <t>NORRTÄLJE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6052-2023</t>
        </is>
      </c>
      <c r="B2286" s="1" t="n">
        <v>44964</v>
      </c>
      <c r="C2286" s="1" t="n">
        <v>45571</v>
      </c>
      <c r="D2286" t="inlineStr">
        <is>
          <t>STOCKHOLMS LÄN</t>
        </is>
      </c>
      <c r="E2286" t="inlineStr">
        <is>
          <t>SÖDERTÄLJE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6032-2023</t>
        </is>
      </c>
      <c r="B2287" s="1" t="n">
        <v>44964</v>
      </c>
      <c r="C2287" s="1" t="n">
        <v>45571</v>
      </c>
      <c r="D2287" t="inlineStr">
        <is>
          <t>STOCKHOLMS LÄN</t>
        </is>
      </c>
      <c r="E2287" t="inlineStr">
        <is>
          <t>SÖDERTÄLJE</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6041-2023</t>
        </is>
      </c>
      <c r="B2288" s="1" t="n">
        <v>44964</v>
      </c>
      <c r="C2288" s="1" t="n">
        <v>45571</v>
      </c>
      <c r="D2288" t="inlineStr">
        <is>
          <t>STOCKHOLMS LÄN</t>
        </is>
      </c>
      <c r="E2288" t="inlineStr">
        <is>
          <t>SÖDERTÄLJE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6433-2023</t>
        </is>
      </c>
      <c r="B2289" s="1" t="n">
        <v>44965</v>
      </c>
      <c r="C2289" s="1" t="n">
        <v>45571</v>
      </c>
      <c r="D2289" t="inlineStr">
        <is>
          <t>STOCKHOLMS LÄN</t>
        </is>
      </c>
      <c r="E2289" t="inlineStr">
        <is>
          <t>NORRTÄLJE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7230-2023</t>
        </is>
      </c>
      <c r="B2290" s="1" t="n">
        <v>44965</v>
      </c>
      <c r="C2290" s="1" t="n">
        <v>45571</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6437-2023</t>
        </is>
      </c>
      <c r="B2291" s="1" t="n">
        <v>44965</v>
      </c>
      <c r="C2291" s="1" t="n">
        <v>45571</v>
      </c>
      <c r="D2291" t="inlineStr">
        <is>
          <t>STOCKHOLMS LÄN</t>
        </is>
      </c>
      <c r="E2291" t="inlineStr">
        <is>
          <t>NORRTÄLJE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6648-2023</t>
        </is>
      </c>
      <c r="B2292" s="1" t="n">
        <v>44966</v>
      </c>
      <c r="C2292" s="1" t="n">
        <v>45571</v>
      </c>
      <c r="D2292" t="inlineStr">
        <is>
          <t>STOCKHOLMS LÄN</t>
        </is>
      </c>
      <c r="E2292" t="inlineStr">
        <is>
          <t>HANINGE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6582-2023</t>
        </is>
      </c>
      <c r="B2293" s="1" t="n">
        <v>44966</v>
      </c>
      <c r="C2293" s="1" t="n">
        <v>45571</v>
      </c>
      <c r="D2293" t="inlineStr">
        <is>
          <t>STOCKHOLMS LÄN</t>
        </is>
      </c>
      <c r="E2293" t="inlineStr">
        <is>
          <t>ÖSTERÅKER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6655-2023</t>
        </is>
      </c>
      <c r="B2294" s="1" t="n">
        <v>44966</v>
      </c>
      <c r="C2294" s="1" t="n">
        <v>45571</v>
      </c>
      <c r="D2294" t="inlineStr">
        <is>
          <t>STOCKHOLMS LÄN</t>
        </is>
      </c>
      <c r="E2294" t="inlineStr">
        <is>
          <t>ÖSTERÅKER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7694-2023</t>
        </is>
      </c>
      <c r="B2295" s="1" t="n">
        <v>44967</v>
      </c>
      <c r="C2295" s="1" t="n">
        <v>45571</v>
      </c>
      <c r="D2295" t="inlineStr">
        <is>
          <t>STOCKHOLMS LÄN</t>
        </is>
      </c>
      <c r="E2295" t="inlineStr">
        <is>
          <t>VAXHOLM</t>
        </is>
      </c>
      <c r="F2295" t="inlineStr">
        <is>
          <t>Övriga statliga verk och myndigheter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7093-2023</t>
        </is>
      </c>
      <c r="B2296" s="1" t="n">
        <v>44970</v>
      </c>
      <c r="C2296" s="1" t="n">
        <v>45571</v>
      </c>
      <c r="D2296" t="inlineStr">
        <is>
          <t>STOCKHOLMS LÄN</t>
        </is>
      </c>
      <c r="E2296" t="inlineStr">
        <is>
          <t>NORRTÄLJE</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7190-2023</t>
        </is>
      </c>
      <c r="B2297" s="1" t="n">
        <v>44970</v>
      </c>
      <c r="C2297" s="1" t="n">
        <v>45571</v>
      </c>
      <c r="D2297" t="inlineStr">
        <is>
          <t>STOCKHOLMS LÄN</t>
        </is>
      </c>
      <c r="E2297" t="inlineStr">
        <is>
          <t>NORRTÄLJE</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7120-2023</t>
        </is>
      </c>
      <c r="B2298" s="1" t="n">
        <v>44970</v>
      </c>
      <c r="C2298" s="1" t="n">
        <v>45571</v>
      </c>
      <c r="D2298" t="inlineStr">
        <is>
          <t>STOCKHOLMS LÄN</t>
        </is>
      </c>
      <c r="E2298" t="inlineStr">
        <is>
          <t>NORRTÄLJE</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7638-2023</t>
        </is>
      </c>
      <c r="B2299" s="1" t="n">
        <v>44972</v>
      </c>
      <c r="C2299" s="1" t="n">
        <v>45571</v>
      </c>
      <c r="D2299" t="inlineStr">
        <is>
          <t>STOCKHOLMS LÄN</t>
        </is>
      </c>
      <c r="E2299" t="inlineStr">
        <is>
          <t>NORRTÄLJE</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7571-2023</t>
        </is>
      </c>
      <c r="B2300" s="1" t="n">
        <v>44972</v>
      </c>
      <c r="C2300" s="1" t="n">
        <v>45571</v>
      </c>
      <c r="D2300" t="inlineStr">
        <is>
          <t>STOCKHOLMS LÄN</t>
        </is>
      </c>
      <c r="E2300" t="inlineStr">
        <is>
          <t>NYNÄSHAMN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8756-2023</t>
        </is>
      </c>
      <c r="B2301" s="1" t="n">
        <v>44972</v>
      </c>
      <c r="C2301" s="1" t="n">
        <v>45571</v>
      </c>
      <c r="D2301" t="inlineStr">
        <is>
          <t>STOCKHOLMS LÄN</t>
        </is>
      </c>
      <c r="E2301" t="inlineStr">
        <is>
          <t>VÄRMDÖ</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7841-2023</t>
        </is>
      </c>
      <c r="B2302" s="1" t="n">
        <v>44973</v>
      </c>
      <c r="C2302" s="1" t="n">
        <v>45571</v>
      </c>
      <c r="D2302" t="inlineStr">
        <is>
          <t>STOCKHOLMS LÄN</t>
        </is>
      </c>
      <c r="E2302" t="inlineStr">
        <is>
          <t>SÖDERTÄLJE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7926-2023</t>
        </is>
      </c>
      <c r="B2303" s="1" t="n">
        <v>44973</v>
      </c>
      <c r="C2303" s="1" t="n">
        <v>45571</v>
      </c>
      <c r="D2303" t="inlineStr">
        <is>
          <t>STOCKHOLMS LÄN</t>
        </is>
      </c>
      <c r="E2303" t="inlineStr">
        <is>
          <t>NYKVARN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7966-2023</t>
        </is>
      </c>
      <c r="B2304" s="1" t="n">
        <v>44973</v>
      </c>
      <c r="C2304" s="1" t="n">
        <v>45571</v>
      </c>
      <c r="D2304" t="inlineStr">
        <is>
          <t>STOCKHOLMS LÄN</t>
        </is>
      </c>
      <c r="E2304" t="inlineStr">
        <is>
          <t>NORRTÄLJE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7776-2023</t>
        </is>
      </c>
      <c r="B2305" s="1" t="n">
        <v>44973</v>
      </c>
      <c r="C2305" s="1" t="n">
        <v>45571</v>
      </c>
      <c r="D2305" t="inlineStr">
        <is>
          <t>STOCKHOLMS LÄN</t>
        </is>
      </c>
      <c r="E2305" t="inlineStr">
        <is>
          <t>NYNÄSHAMN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7823-2023</t>
        </is>
      </c>
      <c r="B2306" s="1" t="n">
        <v>44973</v>
      </c>
      <c r="C2306" s="1" t="n">
        <v>45571</v>
      </c>
      <c r="D2306" t="inlineStr">
        <is>
          <t>STOCKHOLMS LÄN</t>
        </is>
      </c>
      <c r="E2306" t="inlineStr">
        <is>
          <t>SÖDERTÄLJE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7974-2023</t>
        </is>
      </c>
      <c r="B2307" s="1" t="n">
        <v>44973</v>
      </c>
      <c r="C2307" s="1" t="n">
        <v>45571</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7921-2023</t>
        </is>
      </c>
      <c r="B2308" s="1" t="n">
        <v>44973</v>
      </c>
      <c r="C2308" s="1" t="n">
        <v>45571</v>
      </c>
      <c r="D2308" t="inlineStr">
        <is>
          <t>STOCKHOLMS LÄN</t>
        </is>
      </c>
      <c r="E2308" t="inlineStr">
        <is>
          <t>NYKVARN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8096-2023</t>
        </is>
      </c>
      <c r="B2309" s="1" t="n">
        <v>44974</v>
      </c>
      <c r="C2309" s="1" t="n">
        <v>45571</v>
      </c>
      <c r="D2309" t="inlineStr">
        <is>
          <t>STOCKHOLMS LÄN</t>
        </is>
      </c>
      <c r="E2309" t="inlineStr">
        <is>
          <t>NYKVARN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8296-2023</t>
        </is>
      </c>
      <c r="B2310" s="1" t="n">
        <v>44974</v>
      </c>
      <c r="C2310" s="1" t="n">
        <v>45571</v>
      </c>
      <c r="D2310" t="inlineStr">
        <is>
          <t>STOCKHOLMS LÄN</t>
        </is>
      </c>
      <c r="E2310" t="inlineStr">
        <is>
          <t>NORRTÄLJE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8611-2023</t>
        </is>
      </c>
      <c r="B2311" s="1" t="n">
        <v>44977</v>
      </c>
      <c r="C2311" s="1" t="n">
        <v>45571</v>
      </c>
      <c r="D2311" t="inlineStr">
        <is>
          <t>STOCKHOLMS LÄN</t>
        </is>
      </c>
      <c r="E2311" t="inlineStr">
        <is>
          <t>SÖDERTÄLJE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8586-2023</t>
        </is>
      </c>
      <c r="B2312" s="1" t="n">
        <v>44977</v>
      </c>
      <c r="C2312" s="1" t="n">
        <v>45571</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9401-2023</t>
        </is>
      </c>
      <c r="B2313" s="1" t="n">
        <v>44977</v>
      </c>
      <c r="C2313" s="1" t="n">
        <v>45571</v>
      </c>
      <c r="D2313" t="inlineStr">
        <is>
          <t>STOCKHOLMS LÄN</t>
        </is>
      </c>
      <c r="E2313" t="inlineStr">
        <is>
          <t>NORRTÄLJE</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8730-2023</t>
        </is>
      </c>
      <c r="B2314" s="1" t="n">
        <v>44978</v>
      </c>
      <c r="C2314" s="1" t="n">
        <v>45571</v>
      </c>
      <c r="D2314" t="inlineStr">
        <is>
          <t>STOCKHOLMS LÄN</t>
        </is>
      </c>
      <c r="E2314" t="inlineStr">
        <is>
          <t>NORRTÄLJE</t>
        </is>
      </c>
      <c r="F2314" t="inlineStr">
        <is>
          <t>Holmen skog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8762-2023</t>
        </is>
      </c>
      <c r="B2315" s="1" t="n">
        <v>44978</v>
      </c>
      <c r="C2315" s="1" t="n">
        <v>45571</v>
      </c>
      <c r="D2315" t="inlineStr">
        <is>
          <t>STOCKHOLMS LÄN</t>
        </is>
      </c>
      <c r="E2315" t="inlineStr">
        <is>
          <t>NORRTÄLJE</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8796-2023</t>
        </is>
      </c>
      <c r="B2316" s="1" t="n">
        <v>44978</v>
      </c>
      <c r="C2316" s="1" t="n">
        <v>45571</v>
      </c>
      <c r="D2316" t="inlineStr">
        <is>
          <t>STOCKHOLMS LÄN</t>
        </is>
      </c>
      <c r="E2316" t="inlineStr">
        <is>
          <t>ÖSTERÅKER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8802-2023</t>
        </is>
      </c>
      <c r="B2317" s="1" t="n">
        <v>44978</v>
      </c>
      <c r="C2317" s="1" t="n">
        <v>45571</v>
      </c>
      <c r="D2317" t="inlineStr">
        <is>
          <t>STOCKHOLMS LÄN</t>
        </is>
      </c>
      <c r="E2317" t="inlineStr">
        <is>
          <t>ÖSTERÅKER</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8932-2023</t>
        </is>
      </c>
      <c r="B2318" s="1" t="n">
        <v>44979</v>
      </c>
      <c r="C2318" s="1" t="n">
        <v>45571</v>
      </c>
      <c r="D2318" t="inlineStr">
        <is>
          <t>STOCKHOLMS LÄN</t>
        </is>
      </c>
      <c r="E2318" t="inlineStr">
        <is>
          <t>NYNÄSHAMN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8939-2023</t>
        </is>
      </c>
      <c r="B2319" s="1" t="n">
        <v>44979</v>
      </c>
      <c r="C2319" s="1" t="n">
        <v>45571</v>
      </c>
      <c r="D2319" t="inlineStr">
        <is>
          <t>STOCKHOLMS LÄN</t>
        </is>
      </c>
      <c r="E2319" t="inlineStr">
        <is>
          <t>NYNÄSHAMN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8899-2023</t>
        </is>
      </c>
      <c r="B2320" s="1" t="n">
        <v>44979</v>
      </c>
      <c r="C2320" s="1" t="n">
        <v>45571</v>
      </c>
      <c r="D2320" t="inlineStr">
        <is>
          <t>STOCKHOLMS LÄN</t>
        </is>
      </c>
      <c r="E2320" t="inlineStr">
        <is>
          <t>NORRTÄLJE</t>
        </is>
      </c>
      <c r="F2320" t="inlineStr">
        <is>
          <t>Naturvårdsverket</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9020-2023</t>
        </is>
      </c>
      <c r="B2321" s="1" t="n">
        <v>44979</v>
      </c>
      <c r="C2321" s="1" t="n">
        <v>45571</v>
      </c>
      <c r="D2321" t="inlineStr">
        <is>
          <t>STOCKHOLMS LÄN</t>
        </is>
      </c>
      <c r="E2321" t="inlineStr">
        <is>
          <t>NYNÄSHAMN</t>
        </is>
      </c>
      <c r="F2321" t="inlineStr">
        <is>
          <t>Kommuner</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9062-2023</t>
        </is>
      </c>
      <c r="B2322" s="1" t="n">
        <v>44979</v>
      </c>
      <c r="C2322" s="1" t="n">
        <v>45571</v>
      </c>
      <c r="D2322" t="inlineStr">
        <is>
          <t>STOCKHOLMS LÄN</t>
        </is>
      </c>
      <c r="E2322" t="inlineStr">
        <is>
          <t>NYNÄSHAMN</t>
        </is>
      </c>
      <c r="F2322" t="inlineStr">
        <is>
          <t>Kommuner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9011-2023</t>
        </is>
      </c>
      <c r="B2323" s="1" t="n">
        <v>44979</v>
      </c>
      <c r="C2323" s="1" t="n">
        <v>45571</v>
      </c>
      <c r="D2323" t="inlineStr">
        <is>
          <t>STOCKHOLMS LÄN</t>
        </is>
      </c>
      <c r="E2323" t="inlineStr">
        <is>
          <t>NYNÄSHAMN</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9032-2023</t>
        </is>
      </c>
      <c r="B2324" s="1" t="n">
        <v>44979</v>
      </c>
      <c r="C2324" s="1" t="n">
        <v>45571</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9017-2023</t>
        </is>
      </c>
      <c r="B2325" s="1" t="n">
        <v>44979</v>
      </c>
      <c r="C2325" s="1" t="n">
        <v>45571</v>
      </c>
      <c r="D2325" t="inlineStr">
        <is>
          <t>STOCKHOLMS LÄN</t>
        </is>
      </c>
      <c r="E2325" t="inlineStr">
        <is>
          <t>NYNÄSHAMN</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9189-2023</t>
        </is>
      </c>
      <c r="B2326" s="1" t="n">
        <v>44980</v>
      </c>
      <c r="C2326" s="1" t="n">
        <v>45571</v>
      </c>
      <c r="D2326" t="inlineStr">
        <is>
          <t>STOCKHOLMS LÄN</t>
        </is>
      </c>
      <c r="E2326" t="inlineStr">
        <is>
          <t>NORRTÄLJE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9184-2023</t>
        </is>
      </c>
      <c r="B2327" s="1" t="n">
        <v>44980</v>
      </c>
      <c r="C2327" s="1" t="n">
        <v>45571</v>
      </c>
      <c r="D2327" t="inlineStr">
        <is>
          <t>STOCKHOLMS LÄN</t>
        </is>
      </c>
      <c r="E2327" t="inlineStr">
        <is>
          <t>NORRTÄLJE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9250-2023</t>
        </is>
      </c>
      <c r="B2328" s="1" t="n">
        <v>44980</v>
      </c>
      <c r="C2328" s="1" t="n">
        <v>45571</v>
      </c>
      <c r="D2328" t="inlineStr">
        <is>
          <t>STOCKHOLMS LÄN</t>
        </is>
      </c>
      <c r="E2328" t="inlineStr">
        <is>
          <t>SIGTUNA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9255-2023</t>
        </is>
      </c>
      <c r="B2329" s="1" t="n">
        <v>44980</v>
      </c>
      <c r="C2329" s="1" t="n">
        <v>45571</v>
      </c>
      <c r="D2329" t="inlineStr">
        <is>
          <t>STOCKHOLMS LÄN</t>
        </is>
      </c>
      <c r="E2329" t="inlineStr">
        <is>
          <t>NORRTÄLJE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9329-2023</t>
        </is>
      </c>
      <c r="B2330" s="1" t="n">
        <v>44980</v>
      </c>
      <c r="C2330" s="1" t="n">
        <v>45571</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9793-2023</t>
        </is>
      </c>
      <c r="B2331" s="1" t="n">
        <v>44984</v>
      </c>
      <c r="C2331" s="1" t="n">
        <v>45571</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9914-2023</t>
        </is>
      </c>
      <c r="B2332" s="1" t="n">
        <v>44985</v>
      </c>
      <c r="C2332" s="1" t="n">
        <v>45571</v>
      </c>
      <c r="D2332" t="inlineStr">
        <is>
          <t>STOCKHOLMS LÄN</t>
        </is>
      </c>
      <c r="E2332" t="inlineStr">
        <is>
          <t>NORRTÄLJE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9965-2023</t>
        </is>
      </c>
      <c r="B2333" s="1" t="n">
        <v>44985</v>
      </c>
      <c r="C2333" s="1" t="n">
        <v>45571</v>
      </c>
      <c r="D2333" t="inlineStr">
        <is>
          <t>STOCKHOLMS LÄN</t>
        </is>
      </c>
      <c r="E2333" t="inlineStr">
        <is>
          <t>NORRTÄLJE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9995-2023</t>
        </is>
      </c>
      <c r="B2334" s="1" t="n">
        <v>44985</v>
      </c>
      <c r="C2334" s="1" t="n">
        <v>45571</v>
      </c>
      <c r="D2334" t="inlineStr">
        <is>
          <t>STOCKHOLMS LÄN</t>
        </is>
      </c>
      <c r="E2334" t="inlineStr">
        <is>
          <t>NORRTÄLJE</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10036-2023</t>
        </is>
      </c>
      <c r="B2335" s="1" t="n">
        <v>44985</v>
      </c>
      <c r="C2335" s="1" t="n">
        <v>45571</v>
      </c>
      <c r="D2335" t="inlineStr">
        <is>
          <t>STOCKHOLMS LÄN</t>
        </is>
      </c>
      <c r="E2335" t="inlineStr">
        <is>
          <t>NORRTÄLJE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10039-2023</t>
        </is>
      </c>
      <c r="B2336" s="1" t="n">
        <v>44985</v>
      </c>
      <c r="C2336" s="1" t="n">
        <v>45571</v>
      </c>
      <c r="D2336" t="inlineStr">
        <is>
          <t>STOCKHOLMS LÄN</t>
        </is>
      </c>
      <c r="E2336" t="inlineStr">
        <is>
          <t>NORRTÄLJE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9945-2023</t>
        </is>
      </c>
      <c r="B2337" s="1" t="n">
        <v>44985</v>
      </c>
      <c r="C2337" s="1" t="n">
        <v>45571</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10105-2023</t>
        </is>
      </c>
      <c r="B2338" s="1" t="n">
        <v>44986</v>
      </c>
      <c r="C2338" s="1" t="n">
        <v>45571</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10215-2023</t>
        </is>
      </c>
      <c r="B2339" s="1" t="n">
        <v>44986</v>
      </c>
      <c r="C2339" s="1" t="n">
        <v>45571</v>
      </c>
      <c r="D2339" t="inlineStr">
        <is>
          <t>STOCKHOLMS LÄN</t>
        </is>
      </c>
      <c r="E2339" t="inlineStr">
        <is>
          <t>NORRTÄLJE</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10224-2023</t>
        </is>
      </c>
      <c r="B2340" s="1" t="n">
        <v>44986</v>
      </c>
      <c r="C2340" s="1" t="n">
        <v>45571</v>
      </c>
      <c r="D2340" t="inlineStr">
        <is>
          <t>STOCKHOLMS LÄN</t>
        </is>
      </c>
      <c r="E2340" t="inlineStr">
        <is>
          <t>NYNÄSHAMN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10615-2023</t>
        </is>
      </c>
      <c r="B2341" s="1" t="n">
        <v>44988</v>
      </c>
      <c r="C2341" s="1" t="n">
        <v>45571</v>
      </c>
      <c r="D2341" t="inlineStr">
        <is>
          <t>STOCKHOLMS LÄN</t>
        </is>
      </c>
      <c r="E2341" t="inlineStr">
        <is>
          <t>NYNÄSHAMN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10790-2023</t>
        </is>
      </c>
      <c r="B2342" s="1" t="n">
        <v>44989</v>
      </c>
      <c r="C2342" s="1" t="n">
        <v>45571</v>
      </c>
      <c r="D2342" t="inlineStr">
        <is>
          <t>STOCKHOLMS LÄN</t>
        </is>
      </c>
      <c r="E2342" t="inlineStr">
        <is>
          <t>SIGTUNA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11285-2023</t>
        </is>
      </c>
      <c r="B2343" s="1" t="n">
        <v>44992</v>
      </c>
      <c r="C2343" s="1" t="n">
        <v>45571</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11280-2023</t>
        </is>
      </c>
      <c r="B2344" s="1" t="n">
        <v>44992</v>
      </c>
      <c r="C2344" s="1" t="n">
        <v>45571</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11499-2023</t>
        </is>
      </c>
      <c r="B2345" s="1" t="n">
        <v>44993</v>
      </c>
      <c r="C2345" s="1" t="n">
        <v>45571</v>
      </c>
      <c r="D2345" t="inlineStr">
        <is>
          <t>STOCKHOLMS LÄN</t>
        </is>
      </c>
      <c r="E2345" t="inlineStr">
        <is>
          <t>NORRTÄLJE</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11844-2023</t>
        </is>
      </c>
      <c r="B2346" s="1" t="n">
        <v>44995</v>
      </c>
      <c r="C2346" s="1" t="n">
        <v>45571</v>
      </c>
      <c r="D2346" t="inlineStr">
        <is>
          <t>STOCKHOLMS LÄN</t>
        </is>
      </c>
      <c r="E2346" t="inlineStr">
        <is>
          <t>NORRTÄLJE</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11940-2023</t>
        </is>
      </c>
      <c r="B2347" s="1" t="n">
        <v>44995</v>
      </c>
      <c r="C2347" s="1" t="n">
        <v>45571</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11852-2023</t>
        </is>
      </c>
      <c r="B2348" s="1" t="n">
        <v>44995</v>
      </c>
      <c r="C2348" s="1" t="n">
        <v>45571</v>
      </c>
      <c r="D2348" t="inlineStr">
        <is>
          <t>STOCKHOLMS LÄN</t>
        </is>
      </c>
      <c r="E2348" t="inlineStr">
        <is>
          <t>NORRTÄLJE</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12282-2023</t>
        </is>
      </c>
      <c r="B2349" s="1" t="n">
        <v>44995</v>
      </c>
      <c r="C2349" s="1" t="n">
        <v>45571</v>
      </c>
      <c r="D2349" t="inlineStr">
        <is>
          <t>STOCKHOLMS LÄN</t>
        </is>
      </c>
      <c r="E2349" t="inlineStr">
        <is>
          <t>BOTKYRKA</t>
        </is>
      </c>
      <c r="F2349" t="inlineStr">
        <is>
          <t>Övriga statliga verk och myndigheter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12585-2023</t>
        </is>
      </c>
      <c r="B2350" s="1" t="n">
        <v>45000</v>
      </c>
      <c r="C2350" s="1" t="n">
        <v>45571</v>
      </c>
      <c r="D2350" t="inlineStr">
        <is>
          <t>STOCKHOLMS LÄN</t>
        </is>
      </c>
      <c r="E2350" t="inlineStr">
        <is>
          <t>VALLENTUNA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12609-2023</t>
        </is>
      </c>
      <c r="B2351" s="1" t="n">
        <v>45000</v>
      </c>
      <c r="C2351" s="1" t="n">
        <v>45571</v>
      </c>
      <c r="D2351" t="inlineStr">
        <is>
          <t>STOCKHOLMS LÄN</t>
        </is>
      </c>
      <c r="E2351" t="inlineStr">
        <is>
          <t>NORRTÄLJE</t>
        </is>
      </c>
      <c r="F2351" t="inlineStr">
        <is>
          <t>Holmen skog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12562-2023</t>
        </is>
      </c>
      <c r="B2352" s="1" t="n">
        <v>45000</v>
      </c>
      <c r="C2352" s="1" t="n">
        <v>45571</v>
      </c>
      <c r="D2352" t="inlineStr">
        <is>
          <t>STOCKHOLMS LÄN</t>
        </is>
      </c>
      <c r="E2352" t="inlineStr">
        <is>
          <t>VALLENTUNA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12756-2023</t>
        </is>
      </c>
      <c r="B2353" s="1" t="n">
        <v>45000</v>
      </c>
      <c r="C2353" s="1" t="n">
        <v>45571</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13072-2023</t>
        </is>
      </c>
      <c r="B2354" s="1" t="n">
        <v>45002</v>
      </c>
      <c r="C2354" s="1" t="n">
        <v>45571</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13202-2023</t>
        </is>
      </c>
      <c r="B2355" s="1" t="n">
        <v>45002</v>
      </c>
      <c r="C2355" s="1" t="n">
        <v>45571</v>
      </c>
      <c r="D2355" t="inlineStr">
        <is>
          <t>STOCKHOLMS LÄN</t>
        </is>
      </c>
      <c r="E2355" t="inlineStr">
        <is>
          <t>SÖDERTÄLJE</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13354-2023</t>
        </is>
      </c>
      <c r="B2356" s="1" t="n">
        <v>45005</v>
      </c>
      <c r="C2356" s="1" t="n">
        <v>45571</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13360-2023</t>
        </is>
      </c>
      <c r="B2357" s="1" t="n">
        <v>45005</v>
      </c>
      <c r="C2357" s="1" t="n">
        <v>45571</v>
      </c>
      <c r="D2357" t="inlineStr">
        <is>
          <t>STOCKHOLMS LÄN</t>
        </is>
      </c>
      <c r="E2357" t="inlineStr">
        <is>
          <t>NORRTÄLJE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13860-2023</t>
        </is>
      </c>
      <c r="B2358" s="1" t="n">
        <v>45007</v>
      </c>
      <c r="C2358" s="1" t="n">
        <v>45571</v>
      </c>
      <c r="D2358" t="inlineStr">
        <is>
          <t>STOCKHOLMS LÄN</t>
        </is>
      </c>
      <c r="E2358" t="inlineStr">
        <is>
          <t>NORRTÄLJE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13957-2023</t>
        </is>
      </c>
      <c r="B2359" s="1" t="n">
        <v>45008</v>
      </c>
      <c r="C2359" s="1" t="n">
        <v>45571</v>
      </c>
      <c r="D2359" t="inlineStr">
        <is>
          <t>STOCKHOLMS LÄN</t>
        </is>
      </c>
      <c r="E2359" t="inlineStr">
        <is>
          <t>NORRTÄLJE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13947-2023</t>
        </is>
      </c>
      <c r="B2360" s="1" t="n">
        <v>45008</v>
      </c>
      <c r="C2360" s="1" t="n">
        <v>45571</v>
      </c>
      <c r="D2360" t="inlineStr">
        <is>
          <t>STOCKHOLMS LÄN</t>
        </is>
      </c>
      <c r="E2360" t="inlineStr">
        <is>
          <t>NORRTÄLJE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13977-2023</t>
        </is>
      </c>
      <c r="B2361" s="1" t="n">
        <v>45008</v>
      </c>
      <c r="C2361" s="1" t="n">
        <v>45571</v>
      </c>
      <c r="D2361" t="inlineStr">
        <is>
          <t>STOCKHOLMS LÄN</t>
        </is>
      </c>
      <c r="E2361" t="inlineStr">
        <is>
          <t>NORRTÄLJE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14015-2023</t>
        </is>
      </c>
      <c r="B2362" s="1" t="n">
        <v>45008</v>
      </c>
      <c r="C2362" s="1" t="n">
        <v>45571</v>
      </c>
      <c r="D2362" t="inlineStr">
        <is>
          <t>STOCKHOLMS LÄN</t>
        </is>
      </c>
      <c r="E2362" t="inlineStr">
        <is>
          <t>EKERÖ</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14135-2023</t>
        </is>
      </c>
      <c r="B2363" s="1" t="n">
        <v>45009</v>
      </c>
      <c r="C2363" s="1" t="n">
        <v>45571</v>
      </c>
      <c r="D2363" t="inlineStr">
        <is>
          <t>STOCKHOLMS LÄN</t>
        </is>
      </c>
      <c r="E2363" t="inlineStr">
        <is>
          <t>NORRTÄLJE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14244-2023</t>
        </is>
      </c>
      <c r="B2364" s="1" t="n">
        <v>45009</v>
      </c>
      <c r="C2364" s="1" t="n">
        <v>45571</v>
      </c>
      <c r="D2364" t="inlineStr">
        <is>
          <t>STOCKHOLMS LÄN</t>
        </is>
      </c>
      <c r="E2364" t="inlineStr">
        <is>
          <t>VÄRMDÖ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14824-2023</t>
        </is>
      </c>
      <c r="B2365" s="1" t="n">
        <v>45013</v>
      </c>
      <c r="C2365" s="1" t="n">
        <v>45571</v>
      </c>
      <c r="D2365" t="inlineStr">
        <is>
          <t>STOCKHOLMS LÄN</t>
        </is>
      </c>
      <c r="E2365" t="inlineStr">
        <is>
          <t>UPPLANDS-BRO</t>
        </is>
      </c>
      <c r="F2365" t="inlineStr">
        <is>
          <t>Allmännings- och besparingsskogar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15268-2023</t>
        </is>
      </c>
      <c r="B2366" s="1" t="n">
        <v>45019</v>
      </c>
      <c r="C2366" s="1" t="n">
        <v>45571</v>
      </c>
      <c r="D2366" t="inlineStr">
        <is>
          <t>STOCKHOLMS LÄN</t>
        </is>
      </c>
      <c r="E2366" t="inlineStr">
        <is>
          <t>VALLENTUNA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15217-2023</t>
        </is>
      </c>
      <c r="B2367" s="1" t="n">
        <v>45019</v>
      </c>
      <c r="C2367" s="1" t="n">
        <v>45571</v>
      </c>
      <c r="D2367" t="inlineStr">
        <is>
          <t>STOCKHOLMS LÄN</t>
        </is>
      </c>
      <c r="E2367" t="inlineStr">
        <is>
          <t>NORRTÄLJE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15256-2023</t>
        </is>
      </c>
      <c r="B2368" s="1" t="n">
        <v>45019</v>
      </c>
      <c r="C2368" s="1" t="n">
        <v>45571</v>
      </c>
      <c r="D2368" t="inlineStr">
        <is>
          <t>STOCKHOLMS LÄN</t>
        </is>
      </c>
      <c r="E2368" t="inlineStr">
        <is>
          <t>NORRTÄLJE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15260-2023</t>
        </is>
      </c>
      <c r="B2369" s="1" t="n">
        <v>45019</v>
      </c>
      <c r="C2369" s="1" t="n">
        <v>45571</v>
      </c>
      <c r="D2369" t="inlineStr">
        <is>
          <t>STOCKHOLMS LÄN</t>
        </is>
      </c>
      <c r="E2369" t="inlineStr">
        <is>
          <t>NACKA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15300-2023</t>
        </is>
      </c>
      <c r="B2370" s="1" t="n">
        <v>45019</v>
      </c>
      <c r="C2370" s="1" t="n">
        <v>45571</v>
      </c>
      <c r="D2370" t="inlineStr">
        <is>
          <t>STOCKHOLMS LÄN</t>
        </is>
      </c>
      <c r="E2370" t="inlineStr">
        <is>
          <t>VALLENTUNA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15258-2023</t>
        </is>
      </c>
      <c r="B2371" s="1" t="n">
        <v>45019</v>
      </c>
      <c r="C2371" s="1" t="n">
        <v>45571</v>
      </c>
      <c r="D2371" t="inlineStr">
        <is>
          <t>STOCKHOLMS LÄN</t>
        </is>
      </c>
      <c r="E2371" t="inlineStr">
        <is>
          <t>VALLENTUNA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15447-2023</t>
        </is>
      </c>
      <c r="B2372" s="1" t="n">
        <v>45020</v>
      </c>
      <c r="C2372" s="1" t="n">
        <v>45571</v>
      </c>
      <c r="D2372" t="inlineStr">
        <is>
          <t>STOCKHOLMS LÄN</t>
        </is>
      </c>
      <c r="E2372" t="inlineStr">
        <is>
          <t>NORRTÄLJE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15459-2023</t>
        </is>
      </c>
      <c r="B2373" s="1" t="n">
        <v>45020</v>
      </c>
      <c r="C2373" s="1" t="n">
        <v>45571</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15576-2023</t>
        </is>
      </c>
      <c r="B2374" s="1" t="n">
        <v>45020</v>
      </c>
      <c r="C2374" s="1" t="n">
        <v>45571</v>
      </c>
      <c r="D2374" t="inlineStr">
        <is>
          <t>STOCKHOLMS LÄN</t>
        </is>
      </c>
      <c r="E2374" t="inlineStr">
        <is>
          <t>NYKVARN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15690-2023</t>
        </is>
      </c>
      <c r="B2375" s="1" t="n">
        <v>45020</v>
      </c>
      <c r="C2375" s="1" t="n">
        <v>45571</v>
      </c>
      <c r="D2375" t="inlineStr">
        <is>
          <t>STOCKHOLMS LÄN</t>
        </is>
      </c>
      <c r="E2375" t="inlineStr">
        <is>
          <t>BOTKYRKA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15692-2023</t>
        </is>
      </c>
      <c r="B2376" s="1" t="n">
        <v>45020</v>
      </c>
      <c r="C2376" s="1" t="n">
        <v>45571</v>
      </c>
      <c r="D2376" t="inlineStr">
        <is>
          <t>STOCKHOLMS LÄN</t>
        </is>
      </c>
      <c r="E2376" t="inlineStr">
        <is>
          <t>BOTKYRKA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15655-2023</t>
        </is>
      </c>
      <c r="B2377" s="1" t="n">
        <v>45021</v>
      </c>
      <c r="C2377" s="1" t="n">
        <v>45571</v>
      </c>
      <c r="D2377" t="inlineStr">
        <is>
          <t>STOCKHOLMS LÄN</t>
        </is>
      </c>
      <c r="E2377" t="inlineStr">
        <is>
          <t>NORRTÄLJE</t>
        </is>
      </c>
      <c r="F2377" t="inlineStr">
        <is>
          <t>Holmen skog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15724-2023</t>
        </is>
      </c>
      <c r="B2378" s="1" t="n">
        <v>45021</v>
      </c>
      <c r="C2378" s="1" t="n">
        <v>45571</v>
      </c>
      <c r="D2378" t="inlineStr">
        <is>
          <t>STOCKHOLMS LÄN</t>
        </is>
      </c>
      <c r="E2378" t="inlineStr">
        <is>
          <t>UPPLANDS-BRO</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15905-2023</t>
        </is>
      </c>
      <c r="B2379" s="1" t="n">
        <v>45022</v>
      </c>
      <c r="C2379" s="1" t="n">
        <v>45571</v>
      </c>
      <c r="D2379" t="inlineStr">
        <is>
          <t>STOCKHOLMS LÄN</t>
        </is>
      </c>
      <c r="E2379" t="inlineStr">
        <is>
          <t>NORRTÄLJE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15915-2023</t>
        </is>
      </c>
      <c r="B2380" s="1" t="n">
        <v>45022</v>
      </c>
      <c r="C2380" s="1" t="n">
        <v>45571</v>
      </c>
      <c r="D2380" t="inlineStr">
        <is>
          <t>STOCKHOLMS LÄN</t>
        </is>
      </c>
      <c r="E2380" t="inlineStr">
        <is>
          <t>NORRTÄLJE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15956-2023</t>
        </is>
      </c>
      <c r="B2381" s="1" t="n">
        <v>45022</v>
      </c>
      <c r="C2381" s="1" t="n">
        <v>45571</v>
      </c>
      <c r="D2381" t="inlineStr">
        <is>
          <t>STOCKHOLMS LÄN</t>
        </is>
      </c>
      <c r="E2381" t="inlineStr">
        <is>
          <t>NORRTÄLJE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15954-2023</t>
        </is>
      </c>
      <c r="B2382" s="1" t="n">
        <v>45022</v>
      </c>
      <c r="C2382" s="1" t="n">
        <v>45571</v>
      </c>
      <c r="D2382" t="inlineStr">
        <is>
          <t>STOCKHOLMS LÄN</t>
        </is>
      </c>
      <c r="E2382" t="inlineStr">
        <is>
          <t>NORRTÄLJE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16006-2023</t>
        </is>
      </c>
      <c r="B2383" s="1" t="n">
        <v>45025</v>
      </c>
      <c r="C2383" s="1" t="n">
        <v>45571</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16793-2023</t>
        </is>
      </c>
      <c r="B2384" s="1" t="n">
        <v>45028</v>
      </c>
      <c r="C2384" s="1" t="n">
        <v>45571</v>
      </c>
      <c r="D2384" t="inlineStr">
        <is>
          <t>STOCKHOLMS LÄN</t>
        </is>
      </c>
      <c r="E2384" t="inlineStr">
        <is>
          <t>NYNÄSHAMN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16413-2023</t>
        </is>
      </c>
      <c r="B2385" s="1" t="n">
        <v>45029</v>
      </c>
      <c r="C2385" s="1" t="n">
        <v>45571</v>
      </c>
      <c r="D2385" t="inlineStr">
        <is>
          <t>STOCKHOLMS LÄN</t>
        </is>
      </c>
      <c r="E2385" t="inlineStr">
        <is>
          <t>SÖDERTÄLJE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16483-2023</t>
        </is>
      </c>
      <c r="B2386" s="1" t="n">
        <v>45029</v>
      </c>
      <c r="C2386" s="1" t="n">
        <v>45571</v>
      </c>
      <c r="D2386" t="inlineStr">
        <is>
          <t>STOCKHOLMS LÄN</t>
        </is>
      </c>
      <c r="E2386" t="inlineStr">
        <is>
          <t>BOTKYRKA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16658-2023</t>
        </is>
      </c>
      <c r="B2387" s="1" t="n">
        <v>45030</v>
      </c>
      <c r="C2387" s="1" t="n">
        <v>45571</v>
      </c>
      <c r="D2387" t="inlineStr">
        <is>
          <t>STOCKHOLMS LÄN</t>
        </is>
      </c>
      <c r="E2387" t="inlineStr">
        <is>
          <t>SÖDERTÄLJE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16980-2023</t>
        </is>
      </c>
      <c r="B2388" s="1" t="n">
        <v>45033</v>
      </c>
      <c r="C2388" s="1" t="n">
        <v>45571</v>
      </c>
      <c r="D2388" t="inlineStr">
        <is>
          <t>STOCKHOLMS LÄN</t>
        </is>
      </c>
      <c r="E2388" t="inlineStr">
        <is>
          <t>NORRTÄLJE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16842-2023</t>
        </is>
      </c>
      <c r="B2389" s="1" t="n">
        <v>45033</v>
      </c>
      <c r="C2389" s="1" t="n">
        <v>45571</v>
      </c>
      <c r="D2389" t="inlineStr">
        <is>
          <t>STOCKHOLMS LÄN</t>
        </is>
      </c>
      <c r="E2389" t="inlineStr">
        <is>
          <t>HANINGE</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16977-2023</t>
        </is>
      </c>
      <c r="B2390" s="1" t="n">
        <v>45033</v>
      </c>
      <c r="C2390" s="1" t="n">
        <v>45571</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17140-2023</t>
        </is>
      </c>
      <c r="B2391" s="1" t="n">
        <v>45034</v>
      </c>
      <c r="C2391" s="1" t="n">
        <v>45571</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17133-2023</t>
        </is>
      </c>
      <c r="B2392" s="1" t="n">
        <v>45034</v>
      </c>
      <c r="C2392" s="1" t="n">
        <v>45571</v>
      </c>
      <c r="D2392" t="inlineStr">
        <is>
          <t>STOCKHOLMS LÄN</t>
        </is>
      </c>
      <c r="E2392" t="inlineStr">
        <is>
          <t>NORRTÄLJE</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17318-2023</t>
        </is>
      </c>
      <c r="B2393" s="1" t="n">
        <v>45035</v>
      </c>
      <c r="C2393" s="1" t="n">
        <v>45571</v>
      </c>
      <c r="D2393" t="inlineStr">
        <is>
          <t>STOCKHOLMS LÄN</t>
        </is>
      </c>
      <c r="E2393" t="inlineStr">
        <is>
          <t>SIGTUNA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17320-2023</t>
        </is>
      </c>
      <c r="B2394" s="1" t="n">
        <v>45035</v>
      </c>
      <c r="C2394" s="1" t="n">
        <v>45571</v>
      </c>
      <c r="D2394" t="inlineStr">
        <is>
          <t>STOCKHOLMS LÄN</t>
        </is>
      </c>
      <c r="E2394" t="inlineStr">
        <is>
          <t>SIGTUNA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17410-2023</t>
        </is>
      </c>
      <c r="B2395" s="1" t="n">
        <v>45035</v>
      </c>
      <c r="C2395" s="1" t="n">
        <v>45571</v>
      </c>
      <c r="D2395" t="inlineStr">
        <is>
          <t>STOCKHOLMS LÄN</t>
        </is>
      </c>
      <c r="E2395" t="inlineStr">
        <is>
          <t>VALLENTUNA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17411-2023</t>
        </is>
      </c>
      <c r="B2396" s="1" t="n">
        <v>45035</v>
      </c>
      <c r="C2396" s="1" t="n">
        <v>45571</v>
      </c>
      <c r="D2396" t="inlineStr">
        <is>
          <t>STOCKHOLMS LÄN</t>
        </is>
      </c>
      <c r="E2396" t="inlineStr">
        <is>
          <t>VALLENTUNA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17779-2023</t>
        </is>
      </c>
      <c r="B2397" s="1" t="n">
        <v>45036</v>
      </c>
      <c r="C2397" s="1" t="n">
        <v>45571</v>
      </c>
      <c r="D2397" t="inlineStr">
        <is>
          <t>STOCKHOLMS LÄN</t>
        </is>
      </c>
      <c r="E2397" t="inlineStr">
        <is>
          <t>NYKVARN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17919-2023</t>
        </is>
      </c>
      <c r="B2398" s="1" t="n">
        <v>45040</v>
      </c>
      <c r="C2398" s="1" t="n">
        <v>45571</v>
      </c>
      <c r="D2398" t="inlineStr">
        <is>
          <t>STOCKHOLMS LÄN</t>
        </is>
      </c>
      <c r="E2398" t="inlineStr">
        <is>
          <t>NORRTÄLJE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17939-2023</t>
        </is>
      </c>
      <c r="B2399" s="1" t="n">
        <v>45040</v>
      </c>
      <c r="C2399" s="1" t="n">
        <v>45571</v>
      </c>
      <c r="D2399" t="inlineStr">
        <is>
          <t>STOCKHOLMS LÄN</t>
        </is>
      </c>
      <c r="E2399" t="inlineStr">
        <is>
          <t>NORRTÄLJE</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17930-2023</t>
        </is>
      </c>
      <c r="B2400" s="1" t="n">
        <v>45040</v>
      </c>
      <c r="C2400" s="1" t="n">
        <v>45571</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17984-2023</t>
        </is>
      </c>
      <c r="B2401" s="1" t="n">
        <v>45040</v>
      </c>
      <c r="C2401" s="1" t="n">
        <v>45571</v>
      </c>
      <c r="D2401" t="inlineStr">
        <is>
          <t>STOCKHOLMS LÄN</t>
        </is>
      </c>
      <c r="E2401" t="inlineStr">
        <is>
          <t>NORRTÄLJE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18023-2023</t>
        </is>
      </c>
      <c r="B2402" s="1" t="n">
        <v>45040</v>
      </c>
      <c r="C2402" s="1" t="n">
        <v>45571</v>
      </c>
      <c r="D2402" t="inlineStr">
        <is>
          <t>STOCKHOLMS LÄN</t>
        </is>
      </c>
      <c r="E2402" t="inlineStr">
        <is>
          <t>NORRTÄLJE</t>
        </is>
      </c>
      <c r="F2402" t="inlineStr">
        <is>
          <t>Sveaskog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18541-2023</t>
        </is>
      </c>
      <c r="B2403" s="1" t="n">
        <v>45042</v>
      </c>
      <c r="C2403" s="1" t="n">
        <v>45571</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18540-2023</t>
        </is>
      </c>
      <c r="B2404" s="1" t="n">
        <v>45042</v>
      </c>
      <c r="C2404" s="1" t="n">
        <v>45571</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18592-2023</t>
        </is>
      </c>
      <c r="B2405" s="1" t="n">
        <v>45043</v>
      </c>
      <c r="C2405" s="1" t="n">
        <v>45571</v>
      </c>
      <c r="D2405" t="inlineStr">
        <is>
          <t>STOCKHOLMS LÄN</t>
        </is>
      </c>
      <c r="E2405" t="inlineStr">
        <is>
          <t>SÖDERTÄLJE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18711-2023</t>
        </is>
      </c>
      <c r="B2406" s="1" t="n">
        <v>45043</v>
      </c>
      <c r="C2406" s="1" t="n">
        <v>45571</v>
      </c>
      <c r="D2406" t="inlineStr">
        <is>
          <t>STOCKHOLMS LÄN</t>
        </is>
      </c>
      <c r="E2406" t="inlineStr">
        <is>
          <t>ÖSTERÅKER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18723-2023</t>
        </is>
      </c>
      <c r="B2407" s="1" t="n">
        <v>45043</v>
      </c>
      <c r="C2407" s="1" t="n">
        <v>45571</v>
      </c>
      <c r="D2407" t="inlineStr">
        <is>
          <t>STOCKHOLMS LÄN</t>
        </is>
      </c>
      <c r="E2407" t="inlineStr">
        <is>
          <t>EKERÖ</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18895-2023</t>
        </is>
      </c>
      <c r="B2408" s="1" t="n">
        <v>45044</v>
      </c>
      <c r="C2408" s="1" t="n">
        <v>45571</v>
      </c>
      <c r="D2408" t="inlineStr">
        <is>
          <t>STOCKHOLMS LÄN</t>
        </is>
      </c>
      <c r="E2408" t="inlineStr">
        <is>
          <t>NORRTÄLJE</t>
        </is>
      </c>
      <c r="F2408" t="inlineStr">
        <is>
          <t>Kommuner</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18793-2023</t>
        </is>
      </c>
      <c r="B2409" s="1" t="n">
        <v>45044</v>
      </c>
      <c r="C2409" s="1" t="n">
        <v>45571</v>
      </c>
      <c r="D2409" t="inlineStr">
        <is>
          <t>STOCKHOLMS LÄN</t>
        </is>
      </c>
      <c r="E2409" t="inlineStr">
        <is>
          <t>NYKVARN</t>
        </is>
      </c>
      <c r="F2409" t="inlineStr">
        <is>
          <t>Kyrkan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18795-2023</t>
        </is>
      </c>
      <c r="B2410" s="1" t="n">
        <v>45044</v>
      </c>
      <c r="C2410" s="1" t="n">
        <v>45571</v>
      </c>
      <c r="D2410" t="inlineStr">
        <is>
          <t>STOCKHOLMS LÄN</t>
        </is>
      </c>
      <c r="E2410" t="inlineStr">
        <is>
          <t>NYKVARN</t>
        </is>
      </c>
      <c r="F2410" t="inlineStr">
        <is>
          <t>Kyrkan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18956-2023</t>
        </is>
      </c>
      <c r="B2411" s="1" t="n">
        <v>45044</v>
      </c>
      <c r="C2411" s="1" t="n">
        <v>45571</v>
      </c>
      <c r="D2411" t="inlineStr">
        <is>
          <t>STOCKHOLMS LÄN</t>
        </is>
      </c>
      <c r="E2411" t="inlineStr">
        <is>
          <t>BOTKYRKA</t>
        </is>
      </c>
      <c r="F2411" t="inlineStr">
        <is>
          <t>Kyrkan</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19074-2023</t>
        </is>
      </c>
      <c r="B2412" s="1" t="n">
        <v>45048</v>
      </c>
      <c r="C2412" s="1" t="n">
        <v>45571</v>
      </c>
      <c r="D2412" t="inlineStr">
        <is>
          <t>STOCKHOLMS LÄN</t>
        </is>
      </c>
      <c r="E2412" t="inlineStr">
        <is>
          <t>NORRTÄLJE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19138-2023</t>
        </is>
      </c>
      <c r="B2413" s="1" t="n">
        <v>45048</v>
      </c>
      <c r="C2413" s="1" t="n">
        <v>45571</v>
      </c>
      <c r="D2413" t="inlineStr">
        <is>
          <t>STOCKHOLMS LÄN</t>
        </is>
      </c>
      <c r="E2413" t="inlineStr">
        <is>
          <t>VÄRMDÖ</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19058-2023</t>
        </is>
      </c>
      <c r="B2414" s="1" t="n">
        <v>45048</v>
      </c>
      <c r="C2414" s="1" t="n">
        <v>45571</v>
      </c>
      <c r="D2414" t="inlineStr">
        <is>
          <t>STOCKHOLMS LÄN</t>
        </is>
      </c>
      <c r="E2414" t="inlineStr">
        <is>
          <t>NORRTÄLJE</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19220-2023</t>
        </is>
      </c>
      <c r="B2415" s="1" t="n">
        <v>45048</v>
      </c>
      <c r="C2415" s="1" t="n">
        <v>45571</v>
      </c>
      <c r="D2415" t="inlineStr">
        <is>
          <t>STOCKHOLMS LÄN</t>
        </is>
      </c>
      <c r="E2415" t="inlineStr">
        <is>
          <t>HANINGE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19464-2023</t>
        </is>
      </c>
      <c r="B2416" s="1" t="n">
        <v>45050</v>
      </c>
      <c r="C2416" s="1" t="n">
        <v>45571</v>
      </c>
      <c r="D2416" t="inlineStr">
        <is>
          <t>STOCKHOLMS LÄN</t>
        </is>
      </c>
      <c r="E2416" t="inlineStr">
        <is>
          <t>TÄBY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19487-2023</t>
        </is>
      </c>
      <c r="B2417" s="1" t="n">
        <v>45050</v>
      </c>
      <c r="C2417" s="1" t="n">
        <v>45571</v>
      </c>
      <c r="D2417" t="inlineStr">
        <is>
          <t>STOCKHOLMS LÄN</t>
        </is>
      </c>
      <c r="E2417" t="inlineStr">
        <is>
          <t>NYKVARN</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19503-2023</t>
        </is>
      </c>
      <c r="B2418" s="1" t="n">
        <v>45050</v>
      </c>
      <c r="C2418" s="1" t="n">
        <v>45571</v>
      </c>
      <c r="D2418" t="inlineStr">
        <is>
          <t>STOCKHOLMS LÄN</t>
        </is>
      </c>
      <c r="E2418" t="inlineStr">
        <is>
          <t>VALLENTUNA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19490-2023</t>
        </is>
      </c>
      <c r="B2419" s="1" t="n">
        <v>45050</v>
      </c>
      <c r="C2419" s="1" t="n">
        <v>45571</v>
      </c>
      <c r="D2419" t="inlineStr">
        <is>
          <t>STOCKHOLMS LÄN</t>
        </is>
      </c>
      <c r="E2419" t="inlineStr">
        <is>
          <t>NYKVARN</t>
        </is>
      </c>
      <c r="F2419" t="inlineStr">
        <is>
          <t>Sveaskog</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19505-2023</t>
        </is>
      </c>
      <c r="B2420" s="1" t="n">
        <v>45050</v>
      </c>
      <c r="C2420" s="1" t="n">
        <v>45571</v>
      </c>
      <c r="D2420" t="inlineStr">
        <is>
          <t>STOCKHOLMS LÄN</t>
        </is>
      </c>
      <c r="E2420" t="inlineStr">
        <is>
          <t>VALLENTUNA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19488-2023</t>
        </is>
      </c>
      <c r="B2421" s="1" t="n">
        <v>45050</v>
      </c>
      <c r="C2421" s="1" t="n">
        <v>45571</v>
      </c>
      <c r="D2421" t="inlineStr">
        <is>
          <t>STOCKHOLMS LÄN</t>
        </is>
      </c>
      <c r="E2421" t="inlineStr">
        <is>
          <t>NYKVARN</t>
        </is>
      </c>
      <c r="F2421" t="inlineStr">
        <is>
          <t>Sveaskog</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19577-2023</t>
        </is>
      </c>
      <c r="B2422" s="1" t="n">
        <v>45050</v>
      </c>
      <c r="C2422" s="1" t="n">
        <v>45571</v>
      </c>
      <c r="D2422" t="inlineStr">
        <is>
          <t>STOCKHOLMS LÄN</t>
        </is>
      </c>
      <c r="E2422" t="inlineStr">
        <is>
          <t>BOTKYRKA</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19702-2023</t>
        </is>
      </c>
      <c r="B2423" s="1" t="n">
        <v>45051</v>
      </c>
      <c r="C2423" s="1" t="n">
        <v>45571</v>
      </c>
      <c r="D2423" t="inlineStr">
        <is>
          <t>STOCKHOLMS LÄN</t>
        </is>
      </c>
      <c r="E2423" t="inlineStr">
        <is>
          <t>NORRTÄLJE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19706-2023</t>
        </is>
      </c>
      <c r="B2424" s="1" t="n">
        <v>45051</v>
      </c>
      <c r="C2424" s="1" t="n">
        <v>45571</v>
      </c>
      <c r="D2424" t="inlineStr">
        <is>
          <t>STOCKHOLMS LÄN</t>
        </is>
      </c>
      <c r="E2424" t="inlineStr">
        <is>
          <t>NORRTÄLJE</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19719-2023</t>
        </is>
      </c>
      <c r="B2425" s="1" t="n">
        <v>45051</v>
      </c>
      <c r="C2425" s="1" t="n">
        <v>45571</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19903-2023</t>
        </is>
      </c>
      <c r="B2426" s="1" t="n">
        <v>45054</v>
      </c>
      <c r="C2426" s="1" t="n">
        <v>45571</v>
      </c>
      <c r="D2426" t="inlineStr">
        <is>
          <t>STOCKHOLMS LÄN</t>
        </is>
      </c>
      <c r="E2426" t="inlineStr">
        <is>
          <t>NYKVARN</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19951-2023</t>
        </is>
      </c>
      <c r="B2427" s="1" t="n">
        <v>45054</v>
      </c>
      <c r="C2427" s="1" t="n">
        <v>45571</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19971-2023</t>
        </is>
      </c>
      <c r="B2428" s="1" t="n">
        <v>45054</v>
      </c>
      <c r="C2428" s="1" t="n">
        <v>45571</v>
      </c>
      <c r="D2428" t="inlineStr">
        <is>
          <t>STOCKHOLMS LÄN</t>
        </is>
      </c>
      <c r="E2428" t="inlineStr">
        <is>
          <t>NORRTÄLJE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20053-2023</t>
        </is>
      </c>
      <c r="B2429" s="1" t="n">
        <v>45054</v>
      </c>
      <c r="C2429" s="1" t="n">
        <v>45571</v>
      </c>
      <c r="D2429" t="inlineStr">
        <is>
          <t>STOCKHOLMS LÄN</t>
        </is>
      </c>
      <c r="E2429" t="inlineStr">
        <is>
          <t>VÄRMDÖ</t>
        </is>
      </c>
      <c r="F2429" t="inlineStr">
        <is>
          <t>Övriga Aktiebolag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19994-2023</t>
        </is>
      </c>
      <c r="B2430" s="1" t="n">
        <v>45054</v>
      </c>
      <c r="C2430" s="1" t="n">
        <v>45571</v>
      </c>
      <c r="D2430" t="inlineStr">
        <is>
          <t>STOCKHOLMS LÄN</t>
        </is>
      </c>
      <c r="E2430" t="inlineStr">
        <is>
          <t>NORRTÄLJE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20375-2023</t>
        </is>
      </c>
      <c r="B2431" s="1" t="n">
        <v>45054</v>
      </c>
      <c r="C2431" s="1" t="n">
        <v>45571</v>
      </c>
      <c r="D2431" t="inlineStr">
        <is>
          <t>STOCKHOLMS LÄN</t>
        </is>
      </c>
      <c r="E2431" t="inlineStr">
        <is>
          <t>SIGTUNA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19952-2023</t>
        </is>
      </c>
      <c r="B2432" s="1" t="n">
        <v>45054</v>
      </c>
      <c r="C2432" s="1" t="n">
        <v>45571</v>
      </c>
      <c r="D2432" t="inlineStr">
        <is>
          <t>STOCKHOLMS LÄN</t>
        </is>
      </c>
      <c r="E2432" t="inlineStr">
        <is>
          <t>NORRTÄLJE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20004-2023</t>
        </is>
      </c>
      <c r="B2433" s="1" t="n">
        <v>45054</v>
      </c>
      <c r="C2433" s="1" t="n">
        <v>45571</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20015-2023</t>
        </is>
      </c>
      <c r="B2434" s="1" t="n">
        <v>45054</v>
      </c>
      <c r="C2434" s="1" t="n">
        <v>45571</v>
      </c>
      <c r="D2434" t="inlineStr">
        <is>
          <t>STOCKHOLMS LÄN</t>
        </is>
      </c>
      <c r="E2434" t="inlineStr">
        <is>
          <t>NORRTÄLJE</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20363-2023</t>
        </is>
      </c>
      <c r="B2435" s="1" t="n">
        <v>45054</v>
      </c>
      <c r="C2435" s="1" t="n">
        <v>45571</v>
      </c>
      <c r="D2435" t="inlineStr">
        <is>
          <t>STOCKHOLMS LÄN</t>
        </is>
      </c>
      <c r="E2435" t="inlineStr">
        <is>
          <t>SIGTUNA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20144-2023</t>
        </is>
      </c>
      <c r="B2436" s="1" t="n">
        <v>45055</v>
      </c>
      <c r="C2436" s="1" t="n">
        <v>45571</v>
      </c>
      <c r="D2436" t="inlineStr">
        <is>
          <t>STOCKHOLMS LÄN</t>
        </is>
      </c>
      <c r="E2436" t="inlineStr">
        <is>
          <t>NORRTÄLJE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20304-2023</t>
        </is>
      </c>
      <c r="B2437" s="1" t="n">
        <v>45056</v>
      </c>
      <c r="C2437" s="1" t="n">
        <v>45571</v>
      </c>
      <c r="D2437" t="inlineStr">
        <is>
          <t>STOCKHOLMS LÄN</t>
        </is>
      </c>
      <c r="E2437" t="inlineStr">
        <is>
          <t>NORRTÄLJE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20535-2023</t>
        </is>
      </c>
      <c r="B2438" s="1" t="n">
        <v>45057</v>
      </c>
      <c r="C2438" s="1" t="n">
        <v>45571</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20852-2023</t>
        </is>
      </c>
      <c r="B2439" s="1" t="n">
        <v>45058</v>
      </c>
      <c r="C2439" s="1" t="n">
        <v>45571</v>
      </c>
      <c r="D2439" t="inlineStr">
        <is>
          <t>STOCKHOLMS LÄN</t>
        </is>
      </c>
      <c r="E2439" t="inlineStr">
        <is>
          <t>NORRTÄLJE</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20960-2023</t>
        </is>
      </c>
      <c r="B2440" s="1" t="n">
        <v>45061</v>
      </c>
      <c r="C2440" s="1" t="n">
        <v>45571</v>
      </c>
      <c r="D2440" t="inlineStr">
        <is>
          <t>STOCKHOLMS LÄN</t>
        </is>
      </c>
      <c r="E2440" t="inlineStr">
        <is>
          <t>SIGTUNA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20957-2023</t>
        </is>
      </c>
      <c r="B2441" s="1" t="n">
        <v>45061</v>
      </c>
      <c r="C2441" s="1" t="n">
        <v>45571</v>
      </c>
      <c r="D2441" t="inlineStr">
        <is>
          <t>STOCKHOLMS LÄN</t>
        </is>
      </c>
      <c r="E2441" t="inlineStr">
        <is>
          <t>SIGTUNA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21192-2023</t>
        </is>
      </c>
      <c r="B2442" s="1" t="n">
        <v>45062</v>
      </c>
      <c r="C2442" s="1" t="n">
        <v>45571</v>
      </c>
      <c r="D2442" t="inlineStr">
        <is>
          <t>STOCKHOLMS LÄN</t>
        </is>
      </c>
      <c r="E2442" t="inlineStr">
        <is>
          <t>NYNÄSHAMN</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21237-2023</t>
        </is>
      </c>
      <c r="B2443" s="1" t="n">
        <v>45062</v>
      </c>
      <c r="C2443" s="1" t="n">
        <v>45571</v>
      </c>
      <c r="D2443" t="inlineStr">
        <is>
          <t>STOCKHOLMS LÄN</t>
        </is>
      </c>
      <c r="E2443" t="inlineStr">
        <is>
          <t>NORRTÄLJE</t>
        </is>
      </c>
      <c r="F2443" t="inlineStr">
        <is>
          <t>Övriga Aktiebolag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21285-2023</t>
        </is>
      </c>
      <c r="B2444" s="1" t="n">
        <v>45062</v>
      </c>
      <c r="C2444" s="1" t="n">
        <v>45571</v>
      </c>
      <c r="D2444" t="inlineStr">
        <is>
          <t>STOCKHOLMS LÄN</t>
        </is>
      </c>
      <c r="E2444" t="inlineStr">
        <is>
          <t>BOTKYRKA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21386-2023</t>
        </is>
      </c>
      <c r="B2445" s="1" t="n">
        <v>45063</v>
      </c>
      <c r="C2445" s="1" t="n">
        <v>45571</v>
      </c>
      <c r="D2445" t="inlineStr">
        <is>
          <t>STOCKHOLMS LÄN</t>
        </is>
      </c>
      <c r="E2445" t="inlineStr">
        <is>
          <t>NORRTÄLJE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21435-2023</t>
        </is>
      </c>
      <c r="B2446" s="1" t="n">
        <v>45063</v>
      </c>
      <c r="C2446" s="1" t="n">
        <v>45571</v>
      </c>
      <c r="D2446" t="inlineStr">
        <is>
          <t>STOCKHOLMS LÄN</t>
        </is>
      </c>
      <c r="E2446" t="inlineStr">
        <is>
          <t>NORRTÄLJE</t>
        </is>
      </c>
      <c r="G2446" t="n">
        <v>19.1</v>
      </c>
      <c r="H2446" t="n">
        <v>0</v>
      </c>
      <c r="I2446" t="n">
        <v>0</v>
      </c>
      <c r="J2446" t="n">
        <v>0</v>
      </c>
      <c r="K2446" t="n">
        <v>0</v>
      </c>
      <c r="L2446" t="n">
        <v>0</v>
      </c>
      <c r="M2446" t="n">
        <v>0</v>
      </c>
      <c r="N2446" t="n">
        <v>0</v>
      </c>
      <c r="O2446" t="n">
        <v>0</v>
      </c>
      <c r="P2446" t="n">
        <v>0</v>
      </c>
      <c r="Q2446" t="n">
        <v>0</v>
      </c>
      <c r="R2446" s="2" t="inlineStr"/>
    </row>
    <row r="2447" ht="15" customHeight="1">
      <c r="A2447" t="inlineStr">
        <is>
          <t>A 21445-2023</t>
        </is>
      </c>
      <c r="B2447" s="1" t="n">
        <v>45063</v>
      </c>
      <c r="C2447" s="1" t="n">
        <v>45571</v>
      </c>
      <c r="D2447" t="inlineStr">
        <is>
          <t>STOCKHOLMS LÄN</t>
        </is>
      </c>
      <c r="E2447" t="inlineStr">
        <is>
          <t>VALLENTUNA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21659-2023</t>
        </is>
      </c>
      <c r="B2448" s="1" t="n">
        <v>45063</v>
      </c>
      <c r="C2448" s="1" t="n">
        <v>45571</v>
      </c>
      <c r="D2448" t="inlineStr">
        <is>
          <t>STOCKHOLMS LÄN</t>
        </is>
      </c>
      <c r="E2448" t="inlineStr">
        <is>
          <t>UPPLANDS-BRO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21732-2023</t>
        </is>
      </c>
      <c r="B2449" s="1" t="n">
        <v>45063</v>
      </c>
      <c r="C2449" s="1" t="n">
        <v>45571</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21733-2023</t>
        </is>
      </c>
      <c r="B2450" s="1" t="n">
        <v>45063</v>
      </c>
      <c r="C2450" s="1" t="n">
        <v>45571</v>
      </c>
      <c r="D2450" t="inlineStr">
        <is>
          <t>STOCKHOLMS LÄN</t>
        </is>
      </c>
      <c r="E2450" t="inlineStr">
        <is>
          <t>NORRTÄLJE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21654-2023</t>
        </is>
      </c>
      <c r="B2451" s="1" t="n">
        <v>45063</v>
      </c>
      <c r="C2451" s="1" t="n">
        <v>45571</v>
      </c>
      <c r="D2451" t="inlineStr">
        <is>
          <t>STOCKHOLMS LÄN</t>
        </is>
      </c>
      <c r="E2451" t="inlineStr">
        <is>
          <t>SÖDERTÄLJE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21731-2023</t>
        </is>
      </c>
      <c r="B2452" s="1" t="n">
        <v>45063</v>
      </c>
      <c r="C2452" s="1" t="n">
        <v>45571</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21765-2023</t>
        </is>
      </c>
      <c r="B2453" s="1" t="n">
        <v>45064</v>
      </c>
      <c r="C2453" s="1" t="n">
        <v>45571</v>
      </c>
      <c r="D2453" t="inlineStr">
        <is>
          <t>STOCKHOLMS LÄN</t>
        </is>
      </c>
      <c r="E2453" t="inlineStr">
        <is>
          <t>VALLENTUNA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21718-2023</t>
        </is>
      </c>
      <c r="B2454" s="1" t="n">
        <v>45065</v>
      </c>
      <c r="C2454" s="1" t="n">
        <v>45571</v>
      </c>
      <c r="D2454" t="inlineStr">
        <is>
          <t>STOCKHOLMS LÄN</t>
        </is>
      </c>
      <c r="E2454" t="inlineStr">
        <is>
          <t>NORRTÄLJE</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21719-2023</t>
        </is>
      </c>
      <c r="B2455" s="1" t="n">
        <v>45065</v>
      </c>
      <c r="C2455" s="1" t="n">
        <v>45571</v>
      </c>
      <c r="D2455" t="inlineStr">
        <is>
          <t>STOCKHOLMS LÄN</t>
        </is>
      </c>
      <c r="E2455" t="inlineStr">
        <is>
          <t>NORRTÄLJE</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21745-2023</t>
        </is>
      </c>
      <c r="B2456" s="1" t="n">
        <v>45065</v>
      </c>
      <c r="C2456" s="1" t="n">
        <v>45571</v>
      </c>
      <c r="D2456" t="inlineStr">
        <is>
          <t>STOCKHOLMS LÄN</t>
        </is>
      </c>
      <c r="E2456" t="inlineStr">
        <is>
          <t>NORRTÄLJE</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21720-2023</t>
        </is>
      </c>
      <c r="B2457" s="1" t="n">
        <v>45065</v>
      </c>
      <c r="C2457" s="1" t="n">
        <v>45571</v>
      </c>
      <c r="D2457" t="inlineStr">
        <is>
          <t>STOCKHOLMS LÄN</t>
        </is>
      </c>
      <c r="E2457" t="inlineStr">
        <is>
          <t>NORRTÄLJE</t>
        </is>
      </c>
      <c r="G2457" t="n">
        <v>13.6</v>
      </c>
      <c r="H2457" t="n">
        <v>0</v>
      </c>
      <c r="I2457" t="n">
        <v>0</v>
      </c>
      <c r="J2457" t="n">
        <v>0</v>
      </c>
      <c r="K2457" t="n">
        <v>0</v>
      </c>
      <c r="L2457" t="n">
        <v>0</v>
      </c>
      <c r="M2457" t="n">
        <v>0</v>
      </c>
      <c r="N2457" t="n">
        <v>0</v>
      </c>
      <c r="O2457" t="n">
        <v>0</v>
      </c>
      <c r="P2457" t="n">
        <v>0</v>
      </c>
      <c r="Q2457" t="n">
        <v>0</v>
      </c>
      <c r="R2457" s="2" t="inlineStr"/>
    </row>
    <row r="2458" ht="15" customHeight="1">
      <c r="A2458" t="inlineStr">
        <is>
          <t>A 21716-2023</t>
        </is>
      </c>
      <c r="B2458" s="1" t="n">
        <v>45065</v>
      </c>
      <c r="C2458" s="1" t="n">
        <v>45571</v>
      </c>
      <c r="D2458" t="inlineStr">
        <is>
          <t>STOCKHOLMS LÄN</t>
        </is>
      </c>
      <c r="E2458" t="inlineStr">
        <is>
          <t>NORRTÄLJE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21894-2023</t>
        </is>
      </c>
      <c r="B2459" s="1" t="n">
        <v>45068</v>
      </c>
      <c r="C2459" s="1" t="n">
        <v>45571</v>
      </c>
      <c r="D2459" t="inlineStr">
        <is>
          <t>STOCKHOLMS LÄN</t>
        </is>
      </c>
      <c r="E2459" t="inlineStr">
        <is>
          <t>NORRTÄLJE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21832-2023</t>
        </is>
      </c>
      <c r="B2460" s="1" t="n">
        <v>45068</v>
      </c>
      <c r="C2460" s="1" t="n">
        <v>45571</v>
      </c>
      <c r="D2460" t="inlineStr">
        <is>
          <t>STOCKHOLMS LÄN</t>
        </is>
      </c>
      <c r="E2460" t="inlineStr">
        <is>
          <t>NORRTÄLJE</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21825-2023</t>
        </is>
      </c>
      <c r="B2461" s="1" t="n">
        <v>45068</v>
      </c>
      <c r="C2461" s="1" t="n">
        <v>45571</v>
      </c>
      <c r="D2461" t="inlineStr">
        <is>
          <t>STOCKHOLMS LÄN</t>
        </is>
      </c>
      <c r="E2461" t="inlineStr">
        <is>
          <t>NORRTÄLJE</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21897-2023</t>
        </is>
      </c>
      <c r="B2462" s="1" t="n">
        <v>45068</v>
      </c>
      <c r="C2462" s="1" t="n">
        <v>45571</v>
      </c>
      <c r="D2462" t="inlineStr">
        <is>
          <t>STOCKHOLMS LÄN</t>
        </is>
      </c>
      <c r="E2462" t="inlineStr">
        <is>
          <t>NORRTÄLJE</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21993-2023</t>
        </is>
      </c>
      <c r="B2463" s="1" t="n">
        <v>45068</v>
      </c>
      <c r="C2463" s="1" t="n">
        <v>45571</v>
      </c>
      <c r="D2463" t="inlineStr">
        <is>
          <t>STOCKHOLMS LÄN</t>
        </is>
      </c>
      <c r="E2463" t="inlineStr">
        <is>
          <t>NORRTÄLJE</t>
        </is>
      </c>
      <c r="G2463" t="n">
        <v>17.2</v>
      </c>
      <c r="H2463" t="n">
        <v>0</v>
      </c>
      <c r="I2463" t="n">
        <v>0</v>
      </c>
      <c r="J2463" t="n">
        <v>0</v>
      </c>
      <c r="K2463" t="n">
        <v>0</v>
      </c>
      <c r="L2463" t="n">
        <v>0</v>
      </c>
      <c r="M2463" t="n">
        <v>0</v>
      </c>
      <c r="N2463" t="n">
        <v>0</v>
      </c>
      <c r="O2463" t="n">
        <v>0</v>
      </c>
      <c r="P2463" t="n">
        <v>0</v>
      </c>
      <c r="Q2463" t="n">
        <v>0</v>
      </c>
      <c r="R2463" s="2" t="inlineStr"/>
    </row>
    <row r="2464" ht="15" customHeight="1">
      <c r="A2464" t="inlineStr">
        <is>
          <t>A 21961-2023</t>
        </is>
      </c>
      <c r="B2464" s="1" t="n">
        <v>45068</v>
      </c>
      <c r="C2464" s="1" t="n">
        <v>45571</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22054-2023</t>
        </is>
      </c>
      <c r="B2465" s="1" t="n">
        <v>45069</v>
      </c>
      <c r="C2465" s="1" t="n">
        <v>45571</v>
      </c>
      <c r="D2465" t="inlineStr">
        <is>
          <t>STOCKHOLMS LÄN</t>
        </is>
      </c>
      <c r="E2465" t="inlineStr">
        <is>
          <t>NYKVARN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22157-2023</t>
        </is>
      </c>
      <c r="B2466" s="1" t="n">
        <v>45069</v>
      </c>
      <c r="C2466" s="1" t="n">
        <v>45571</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c r="U2466">
        <f>HYPERLINK("https://klasma.github.io/Logging_0188/knärot/A 22157-2023 karta knärot.png", "A 22157-2023")</f>
        <v/>
      </c>
      <c r="V2466">
        <f>HYPERLINK("https://klasma.github.io/Logging_0188/klagomål/A 22157-2023 FSC-klagomål.docx", "A 22157-2023")</f>
        <v/>
      </c>
      <c r="W2466">
        <f>HYPERLINK("https://klasma.github.io/Logging_0188/klagomålsmail/A 22157-2023 FSC-klagomål mail.docx", "A 22157-2023")</f>
        <v/>
      </c>
      <c r="X2466">
        <f>HYPERLINK("https://klasma.github.io/Logging_0188/tillsyn/A 22157-2023 tillsynsbegäran.docx", "A 22157-2023")</f>
        <v/>
      </c>
      <c r="Y2466">
        <f>HYPERLINK("https://klasma.github.io/Logging_0188/tillsynsmail/A 22157-2023 tillsynsbegäran mail.docx", "A 22157-2023")</f>
        <v/>
      </c>
    </row>
    <row r="2467" ht="15" customHeight="1">
      <c r="A2467" t="inlineStr">
        <is>
          <t>A 22175-2023</t>
        </is>
      </c>
      <c r="B2467" s="1" t="n">
        <v>45069</v>
      </c>
      <c r="C2467" s="1" t="n">
        <v>45571</v>
      </c>
      <c r="D2467" t="inlineStr">
        <is>
          <t>STOCKHOLMS LÄN</t>
        </is>
      </c>
      <c r="E2467" t="inlineStr">
        <is>
          <t>NORRTÄLJE</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22249-2023</t>
        </is>
      </c>
      <c r="B2468" s="1" t="n">
        <v>45070</v>
      </c>
      <c r="C2468" s="1" t="n">
        <v>45571</v>
      </c>
      <c r="D2468" t="inlineStr">
        <is>
          <t>STOCKHOLMS LÄN</t>
        </is>
      </c>
      <c r="E2468" t="inlineStr">
        <is>
          <t>NORRTÄLJE</t>
        </is>
      </c>
      <c r="F2468" t="inlineStr">
        <is>
          <t>Övriga Aktiebolag</t>
        </is>
      </c>
      <c r="G2468" t="n">
        <v>17.7</v>
      </c>
      <c r="H2468" t="n">
        <v>0</v>
      </c>
      <c r="I2468" t="n">
        <v>0</v>
      </c>
      <c r="J2468" t="n">
        <v>0</v>
      </c>
      <c r="K2468" t="n">
        <v>0</v>
      </c>
      <c r="L2468" t="n">
        <v>0</v>
      </c>
      <c r="M2468" t="n">
        <v>0</v>
      </c>
      <c r="N2468" t="n">
        <v>0</v>
      </c>
      <c r="O2468" t="n">
        <v>0</v>
      </c>
      <c r="P2468" t="n">
        <v>0</v>
      </c>
      <c r="Q2468" t="n">
        <v>0</v>
      </c>
      <c r="R2468" s="2" t="inlineStr"/>
    </row>
    <row r="2469" ht="15" customHeight="1">
      <c r="A2469" t="inlineStr">
        <is>
          <t>A 22288-2023</t>
        </is>
      </c>
      <c r="B2469" s="1" t="n">
        <v>45070</v>
      </c>
      <c r="C2469" s="1" t="n">
        <v>45571</v>
      </c>
      <c r="D2469" t="inlineStr">
        <is>
          <t>STOCKHOLMS LÄN</t>
        </is>
      </c>
      <c r="E2469" t="inlineStr">
        <is>
          <t>HANINGE</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22398-2023</t>
        </is>
      </c>
      <c r="B2470" s="1" t="n">
        <v>45070</v>
      </c>
      <c r="C2470" s="1" t="n">
        <v>45571</v>
      </c>
      <c r="D2470" t="inlineStr">
        <is>
          <t>STOCKHOLMS LÄN</t>
        </is>
      </c>
      <c r="E2470" t="inlineStr">
        <is>
          <t>NORRTÄLJE</t>
        </is>
      </c>
      <c r="F2470" t="inlineStr">
        <is>
          <t>Övriga Aktiebolag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22376-2023</t>
        </is>
      </c>
      <c r="B2471" s="1" t="n">
        <v>45070</v>
      </c>
      <c r="C2471" s="1" t="n">
        <v>45571</v>
      </c>
      <c r="D2471" t="inlineStr">
        <is>
          <t>STOCKHOLMS LÄN</t>
        </is>
      </c>
      <c r="E2471" t="inlineStr">
        <is>
          <t>NORRTÄLJE</t>
        </is>
      </c>
      <c r="F2471" t="inlineStr">
        <is>
          <t>Kommuner</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22456-2023</t>
        </is>
      </c>
      <c r="B2472" s="1" t="n">
        <v>45070</v>
      </c>
      <c r="C2472" s="1" t="n">
        <v>45571</v>
      </c>
      <c r="D2472" t="inlineStr">
        <is>
          <t>STOCKHOLMS LÄN</t>
        </is>
      </c>
      <c r="E2472" t="inlineStr">
        <is>
          <t>NORRTÄLJE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22378-2023</t>
        </is>
      </c>
      <c r="B2473" s="1" t="n">
        <v>45070</v>
      </c>
      <c r="C2473" s="1" t="n">
        <v>45571</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22406-2023</t>
        </is>
      </c>
      <c r="B2474" s="1" t="n">
        <v>45070</v>
      </c>
      <c r="C2474" s="1" t="n">
        <v>45571</v>
      </c>
      <c r="D2474" t="inlineStr">
        <is>
          <t>STOCKHOLMS LÄN</t>
        </is>
      </c>
      <c r="E2474" t="inlineStr">
        <is>
          <t>NORRTÄLJE</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22553-2023</t>
        </is>
      </c>
      <c r="B2475" s="1" t="n">
        <v>45071</v>
      </c>
      <c r="C2475" s="1" t="n">
        <v>45571</v>
      </c>
      <c r="D2475" t="inlineStr">
        <is>
          <t>STOCKHOLMS LÄN</t>
        </is>
      </c>
      <c r="E2475" t="inlineStr">
        <is>
          <t>NORRTÄLJE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22683-2023</t>
        </is>
      </c>
      <c r="B2476" s="1" t="n">
        <v>45071</v>
      </c>
      <c r="C2476" s="1" t="n">
        <v>45571</v>
      </c>
      <c r="D2476" t="inlineStr">
        <is>
          <t>STOCKHOLMS LÄN</t>
        </is>
      </c>
      <c r="E2476" t="inlineStr">
        <is>
          <t>VALLENTUNA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22682-2023</t>
        </is>
      </c>
      <c r="B2477" s="1" t="n">
        <v>45071</v>
      </c>
      <c r="C2477" s="1" t="n">
        <v>45571</v>
      </c>
      <c r="D2477" t="inlineStr">
        <is>
          <t>STOCKHOLMS LÄN</t>
        </is>
      </c>
      <c r="E2477" t="inlineStr">
        <is>
          <t>VALLENTUNA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22962-2023</t>
        </is>
      </c>
      <c r="B2478" s="1" t="n">
        <v>45072</v>
      </c>
      <c r="C2478" s="1" t="n">
        <v>45571</v>
      </c>
      <c r="D2478" t="inlineStr">
        <is>
          <t>STOCKHOLMS LÄN</t>
        </is>
      </c>
      <c r="E2478" t="inlineStr">
        <is>
          <t>NORRTÄLJE</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23056-2023</t>
        </is>
      </c>
      <c r="B2479" s="1" t="n">
        <v>45075</v>
      </c>
      <c r="C2479" s="1" t="n">
        <v>45571</v>
      </c>
      <c r="D2479" t="inlineStr">
        <is>
          <t>STOCKHOLMS LÄN</t>
        </is>
      </c>
      <c r="E2479" t="inlineStr">
        <is>
          <t>NORRTÄLJE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23060-2023</t>
        </is>
      </c>
      <c r="B2480" s="1" t="n">
        <v>45075</v>
      </c>
      <c r="C2480" s="1" t="n">
        <v>45571</v>
      </c>
      <c r="D2480" t="inlineStr">
        <is>
          <t>STOCKHOLMS LÄN</t>
        </is>
      </c>
      <c r="E2480" t="inlineStr">
        <is>
          <t>NORRTÄLJE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23070-2023</t>
        </is>
      </c>
      <c r="B2481" s="1" t="n">
        <v>45075</v>
      </c>
      <c r="C2481" s="1" t="n">
        <v>45571</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23090-2023</t>
        </is>
      </c>
      <c r="B2482" s="1" t="n">
        <v>45075</v>
      </c>
      <c r="C2482" s="1" t="n">
        <v>45571</v>
      </c>
      <c r="D2482" t="inlineStr">
        <is>
          <t>STOCKHOLMS LÄN</t>
        </is>
      </c>
      <c r="E2482" t="inlineStr">
        <is>
          <t>SÖDERTÄLJE</t>
        </is>
      </c>
      <c r="F2482" t="inlineStr">
        <is>
          <t>Sveaskog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23130-2023</t>
        </is>
      </c>
      <c r="B2483" s="1" t="n">
        <v>45075</v>
      </c>
      <c r="C2483" s="1" t="n">
        <v>45571</v>
      </c>
      <c r="D2483" t="inlineStr">
        <is>
          <t>STOCKHOLMS LÄN</t>
        </is>
      </c>
      <c r="E2483" t="inlineStr">
        <is>
          <t>NORRTÄLJE</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23092-2023</t>
        </is>
      </c>
      <c r="B2484" s="1" t="n">
        <v>45075</v>
      </c>
      <c r="C2484" s="1" t="n">
        <v>45571</v>
      </c>
      <c r="D2484" t="inlineStr">
        <is>
          <t>STOCKHOLMS LÄN</t>
        </is>
      </c>
      <c r="E2484" t="inlineStr">
        <is>
          <t>SÖDERTÄLJE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23265-2023</t>
        </is>
      </c>
      <c r="B2485" s="1" t="n">
        <v>45075</v>
      </c>
      <c r="C2485" s="1" t="n">
        <v>45571</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23269-2023</t>
        </is>
      </c>
      <c r="B2486" s="1" t="n">
        <v>45075</v>
      </c>
      <c r="C2486" s="1" t="n">
        <v>45571</v>
      </c>
      <c r="D2486" t="inlineStr">
        <is>
          <t>STOCKHOLMS LÄN</t>
        </is>
      </c>
      <c r="E2486" t="inlineStr">
        <is>
          <t>NORRTÄLJE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23273-2023</t>
        </is>
      </c>
      <c r="B2487" s="1" t="n">
        <v>45076</v>
      </c>
      <c r="C2487" s="1" t="n">
        <v>45571</v>
      </c>
      <c r="D2487" t="inlineStr">
        <is>
          <t>STOCKHOLMS LÄN</t>
        </is>
      </c>
      <c r="E2487" t="inlineStr">
        <is>
          <t>NORRTÄLJE</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23093-2023</t>
        </is>
      </c>
      <c r="B2488" s="1" t="n">
        <v>45075</v>
      </c>
      <c r="C2488" s="1" t="n">
        <v>45571</v>
      </c>
      <c r="D2488" t="inlineStr">
        <is>
          <t>STOCKHOLMS LÄN</t>
        </is>
      </c>
      <c r="E2488" t="inlineStr">
        <is>
          <t>SÖDERTÄLJE</t>
        </is>
      </c>
      <c r="F2488" t="inlineStr">
        <is>
          <t>Sveaskog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23134-2023</t>
        </is>
      </c>
      <c r="B2489" s="1" t="n">
        <v>45075</v>
      </c>
      <c r="C2489" s="1" t="n">
        <v>45571</v>
      </c>
      <c r="D2489" t="inlineStr">
        <is>
          <t>STOCKHOLMS LÄN</t>
        </is>
      </c>
      <c r="E2489" t="inlineStr">
        <is>
          <t>NORRTÄLJE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23263-2023</t>
        </is>
      </c>
      <c r="B2490" s="1" t="n">
        <v>45075</v>
      </c>
      <c r="C2490" s="1" t="n">
        <v>45571</v>
      </c>
      <c r="D2490" t="inlineStr">
        <is>
          <t>STOCKHOLMS LÄN</t>
        </is>
      </c>
      <c r="E2490" t="inlineStr">
        <is>
          <t>NORRTÄLJE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23267-2023</t>
        </is>
      </c>
      <c r="B2491" s="1" t="n">
        <v>45075</v>
      </c>
      <c r="C2491" s="1" t="n">
        <v>45571</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23271-2023</t>
        </is>
      </c>
      <c r="B2492" s="1" t="n">
        <v>45075</v>
      </c>
      <c r="C2492" s="1" t="n">
        <v>45571</v>
      </c>
      <c r="D2492" t="inlineStr">
        <is>
          <t>STOCKHOLMS LÄN</t>
        </is>
      </c>
      <c r="E2492" t="inlineStr">
        <is>
          <t>NORRTÄLJE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23264-2023</t>
        </is>
      </c>
      <c r="B2493" s="1" t="n">
        <v>45075</v>
      </c>
      <c r="C2493" s="1" t="n">
        <v>45571</v>
      </c>
      <c r="D2493" t="inlineStr">
        <is>
          <t>STOCKHOLMS LÄN</t>
        </is>
      </c>
      <c r="E2493" t="inlineStr">
        <is>
          <t>NORRTÄLJE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23268-2023</t>
        </is>
      </c>
      <c r="B2494" s="1" t="n">
        <v>45075</v>
      </c>
      <c r="C2494" s="1" t="n">
        <v>45571</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23272-2023</t>
        </is>
      </c>
      <c r="B2495" s="1" t="n">
        <v>45075</v>
      </c>
      <c r="C2495" s="1" t="n">
        <v>45571</v>
      </c>
      <c r="D2495" t="inlineStr">
        <is>
          <t>STOCKHOLMS LÄN</t>
        </is>
      </c>
      <c r="E2495" t="inlineStr">
        <is>
          <t>NORRTÄLJE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23262-2023</t>
        </is>
      </c>
      <c r="B2496" s="1" t="n">
        <v>45075</v>
      </c>
      <c r="C2496" s="1" t="n">
        <v>45571</v>
      </c>
      <c r="D2496" t="inlineStr">
        <is>
          <t>STOCKHOLMS LÄN</t>
        </is>
      </c>
      <c r="E2496" t="inlineStr">
        <is>
          <t>NORRTÄLJE</t>
        </is>
      </c>
      <c r="F2496" t="inlineStr">
        <is>
          <t>Kommuner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23266-2023</t>
        </is>
      </c>
      <c r="B2497" s="1" t="n">
        <v>45075</v>
      </c>
      <c r="C2497" s="1" t="n">
        <v>45571</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23270-2023</t>
        </is>
      </c>
      <c r="B2498" s="1" t="n">
        <v>45075</v>
      </c>
      <c r="C2498" s="1" t="n">
        <v>45571</v>
      </c>
      <c r="D2498" t="inlineStr">
        <is>
          <t>STOCKHOLMS LÄN</t>
        </is>
      </c>
      <c r="E2498" t="inlineStr">
        <is>
          <t>NORRTÄLJE</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23274-2023</t>
        </is>
      </c>
      <c r="B2499" s="1" t="n">
        <v>45076</v>
      </c>
      <c r="C2499" s="1" t="n">
        <v>45571</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24254-2023</t>
        </is>
      </c>
      <c r="B2500" s="1" t="n">
        <v>45076</v>
      </c>
      <c r="C2500" s="1" t="n">
        <v>45571</v>
      </c>
      <c r="D2500" t="inlineStr">
        <is>
          <t>STOCKHOLMS LÄN</t>
        </is>
      </c>
      <c r="E2500" t="inlineStr">
        <is>
          <t>HUDDINGE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24368-2023</t>
        </is>
      </c>
      <c r="B2501" s="1" t="n">
        <v>45076</v>
      </c>
      <c r="C2501" s="1" t="n">
        <v>45571</v>
      </c>
      <c r="D2501" t="inlineStr">
        <is>
          <t>STOCKHOLMS LÄN</t>
        </is>
      </c>
      <c r="E2501" t="inlineStr">
        <is>
          <t>HUDDINGE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24257-2023</t>
        </is>
      </c>
      <c r="B2502" s="1" t="n">
        <v>45076</v>
      </c>
      <c r="C2502" s="1" t="n">
        <v>45571</v>
      </c>
      <c r="D2502" t="inlineStr">
        <is>
          <t>STOCKHOLMS LÄN</t>
        </is>
      </c>
      <c r="E2502" t="inlineStr">
        <is>
          <t>HUDDINGE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24363-2023</t>
        </is>
      </c>
      <c r="B2503" s="1" t="n">
        <v>45076</v>
      </c>
      <c r="C2503" s="1" t="n">
        <v>45571</v>
      </c>
      <c r="D2503" t="inlineStr">
        <is>
          <t>STOCKHOLMS LÄN</t>
        </is>
      </c>
      <c r="E2503" t="inlineStr">
        <is>
          <t>HUDDINGE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24262-2023</t>
        </is>
      </c>
      <c r="B2504" s="1" t="n">
        <v>45076</v>
      </c>
      <c r="C2504" s="1" t="n">
        <v>45571</v>
      </c>
      <c r="D2504" t="inlineStr">
        <is>
          <t>STOCKHOLMS LÄN</t>
        </is>
      </c>
      <c r="E2504" t="inlineStr">
        <is>
          <t>HUDDINGE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23699-2023</t>
        </is>
      </c>
      <c r="B2505" s="1" t="n">
        <v>45077</v>
      </c>
      <c r="C2505" s="1" t="n">
        <v>45571</v>
      </c>
      <c r="D2505" t="inlineStr">
        <is>
          <t>STOCKHOLMS LÄN</t>
        </is>
      </c>
      <c r="E2505" t="inlineStr">
        <is>
          <t>NORRTÄLJE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23720-2023</t>
        </is>
      </c>
      <c r="B2506" s="1" t="n">
        <v>45077</v>
      </c>
      <c r="C2506" s="1" t="n">
        <v>45571</v>
      </c>
      <c r="D2506" t="inlineStr">
        <is>
          <t>STOCKHOLMS LÄN</t>
        </is>
      </c>
      <c r="E2506" t="inlineStr">
        <is>
          <t>VÄRMDÖ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23986-2023</t>
        </is>
      </c>
      <c r="B2507" s="1" t="n">
        <v>45078</v>
      </c>
      <c r="C2507" s="1" t="n">
        <v>45571</v>
      </c>
      <c r="D2507" t="inlineStr">
        <is>
          <t>STOCKHOLMS LÄN</t>
        </is>
      </c>
      <c r="E2507" t="inlineStr">
        <is>
          <t>VALLENTUNA</t>
        </is>
      </c>
      <c r="F2507" t="inlineStr">
        <is>
          <t>Kyrkan</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23981-2023</t>
        </is>
      </c>
      <c r="B2508" s="1" t="n">
        <v>45078</v>
      </c>
      <c r="C2508" s="1" t="n">
        <v>45571</v>
      </c>
      <c r="D2508" t="inlineStr">
        <is>
          <t>STOCKHOLMS LÄN</t>
        </is>
      </c>
      <c r="E2508" t="inlineStr">
        <is>
          <t>SALEM</t>
        </is>
      </c>
      <c r="F2508" t="inlineStr">
        <is>
          <t>Kommuner</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23992-2023</t>
        </is>
      </c>
      <c r="B2509" s="1" t="n">
        <v>45078</v>
      </c>
      <c r="C2509" s="1" t="n">
        <v>45571</v>
      </c>
      <c r="D2509" t="inlineStr">
        <is>
          <t>STOCKHOLMS LÄN</t>
        </is>
      </c>
      <c r="E2509" t="inlineStr">
        <is>
          <t>SALEM</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24735-2023</t>
        </is>
      </c>
      <c r="B2510" s="1" t="n">
        <v>45078</v>
      </c>
      <c r="C2510" s="1" t="n">
        <v>45571</v>
      </c>
      <c r="D2510" t="inlineStr">
        <is>
          <t>STOCKHOLMS LÄN</t>
        </is>
      </c>
      <c r="E2510" t="inlineStr">
        <is>
          <t>SÖDERTÄLJE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24129-2023</t>
        </is>
      </c>
      <c r="B2511" s="1" t="n">
        <v>45079</v>
      </c>
      <c r="C2511" s="1" t="n">
        <v>45571</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24330-2023</t>
        </is>
      </c>
      <c r="B2512" s="1" t="n">
        <v>45081</v>
      </c>
      <c r="C2512" s="1" t="n">
        <v>45571</v>
      </c>
      <c r="D2512" t="inlineStr">
        <is>
          <t>STOCKHOLMS LÄN</t>
        </is>
      </c>
      <c r="E2512" t="inlineStr">
        <is>
          <t>NORRTÄLJE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24520-2023</t>
        </is>
      </c>
      <c r="B2513" s="1" t="n">
        <v>45082</v>
      </c>
      <c r="C2513" s="1" t="n">
        <v>45571</v>
      </c>
      <c r="D2513" t="inlineStr">
        <is>
          <t>STOCKHOLMS LÄN</t>
        </is>
      </c>
      <c r="E2513" t="inlineStr">
        <is>
          <t>NORRTÄLJE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25549-2023</t>
        </is>
      </c>
      <c r="B2514" s="1" t="n">
        <v>45082</v>
      </c>
      <c r="C2514" s="1" t="n">
        <v>45571</v>
      </c>
      <c r="D2514" t="inlineStr">
        <is>
          <t>STOCKHOLMS LÄN</t>
        </is>
      </c>
      <c r="E2514" t="inlineStr">
        <is>
          <t>SÖDERTÄLJE</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25531-2023</t>
        </is>
      </c>
      <c r="B2515" s="1" t="n">
        <v>45082</v>
      </c>
      <c r="C2515" s="1" t="n">
        <v>45571</v>
      </c>
      <c r="D2515" t="inlineStr">
        <is>
          <t>STOCKHOLMS LÄN</t>
        </is>
      </c>
      <c r="E2515" t="inlineStr">
        <is>
          <t>SIGTUNA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24499-2023</t>
        </is>
      </c>
      <c r="B2516" s="1" t="n">
        <v>45082</v>
      </c>
      <c r="C2516" s="1" t="n">
        <v>45571</v>
      </c>
      <c r="D2516" t="inlineStr">
        <is>
          <t>STOCKHOLMS LÄN</t>
        </is>
      </c>
      <c r="E2516" t="inlineStr">
        <is>
          <t>ÖSTERÅKER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24501-2023</t>
        </is>
      </c>
      <c r="B2517" s="1" t="n">
        <v>45082</v>
      </c>
      <c r="C2517" s="1" t="n">
        <v>45571</v>
      </c>
      <c r="D2517" t="inlineStr">
        <is>
          <t>STOCKHOLMS LÄN</t>
        </is>
      </c>
      <c r="E2517" t="inlineStr">
        <is>
          <t>NORRTÄLJE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24522-2023</t>
        </is>
      </c>
      <c r="B2518" s="1" t="n">
        <v>45082</v>
      </c>
      <c r="C2518" s="1" t="n">
        <v>45571</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24512-2023</t>
        </is>
      </c>
      <c r="B2519" s="1" t="n">
        <v>45082</v>
      </c>
      <c r="C2519" s="1" t="n">
        <v>45571</v>
      </c>
      <c r="D2519" t="inlineStr">
        <is>
          <t>STOCKHOLMS LÄN</t>
        </is>
      </c>
      <c r="E2519" t="inlineStr">
        <is>
          <t>ÖSTERÅKER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24705-2023</t>
        </is>
      </c>
      <c r="B2520" s="1" t="n">
        <v>45084</v>
      </c>
      <c r="C2520" s="1" t="n">
        <v>45571</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24636-2023</t>
        </is>
      </c>
      <c r="B2521" s="1" t="n">
        <v>45084</v>
      </c>
      <c r="C2521" s="1" t="n">
        <v>45571</v>
      </c>
      <c r="D2521" t="inlineStr">
        <is>
          <t>STOCKHOLMS LÄN</t>
        </is>
      </c>
      <c r="E2521" t="inlineStr">
        <is>
          <t>SIGTUNA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24707-2023</t>
        </is>
      </c>
      <c r="B2522" s="1" t="n">
        <v>45084</v>
      </c>
      <c r="C2522" s="1" t="n">
        <v>45571</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24727-2023</t>
        </is>
      </c>
      <c r="B2523" s="1" t="n">
        <v>45084</v>
      </c>
      <c r="C2523" s="1" t="n">
        <v>45571</v>
      </c>
      <c r="D2523" t="inlineStr">
        <is>
          <t>STOCKHOLMS LÄN</t>
        </is>
      </c>
      <c r="E2523" t="inlineStr">
        <is>
          <t>NORRTÄLJE</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24788-2023</t>
        </is>
      </c>
      <c r="B2524" s="1" t="n">
        <v>45084</v>
      </c>
      <c r="C2524" s="1" t="n">
        <v>45571</v>
      </c>
      <c r="D2524" t="inlineStr">
        <is>
          <t>STOCKHOLMS LÄN</t>
        </is>
      </c>
      <c r="E2524" t="inlineStr">
        <is>
          <t>NORRTÄLJE</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24789-2023</t>
        </is>
      </c>
      <c r="B2525" s="1" t="n">
        <v>45084</v>
      </c>
      <c r="C2525" s="1" t="n">
        <v>45571</v>
      </c>
      <c r="D2525" t="inlineStr">
        <is>
          <t>STOCKHOLMS LÄN</t>
        </is>
      </c>
      <c r="E2525" t="inlineStr">
        <is>
          <t>NORRTÄLJE</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25754-2023</t>
        </is>
      </c>
      <c r="B2526" s="1" t="n">
        <v>45084</v>
      </c>
      <c r="C2526" s="1" t="n">
        <v>45571</v>
      </c>
      <c r="D2526" t="inlineStr">
        <is>
          <t>STOCKHOLMS LÄN</t>
        </is>
      </c>
      <c r="E2526" t="inlineStr">
        <is>
          <t>NYKVARN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24873-2023</t>
        </is>
      </c>
      <c r="B2527" s="1" t="n">
        <v>45085</v>
      </c>
      <c r="C2527" s="1" t="n">
        <v>45571</v>
      </c>
      <c r="D2527" t="inlineStr">
        <is>
          <t>STOCKHOLMS LÄN</t>
        </is>
      </c>
      <c r="E2527" t="inlineStr">
        <is>
          <t>HANINGE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24887-2023</t>
        </is>
      </c>
      <c r="B2528" s="1" t="n">
        <v>45085</v>
      </c>
      <c r="C2528" s="1" t="n">
        <v>45571</v>
      </c>
      <c r="D2528" t="inlineStr">
        <is>
          <t>STOCKHOLMS LÄN</t>
        </is>
      </c>
      <c r="E2528" t="inlineStr">
        <is>
          <t>NORRTÄLJE</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24933-2023</t>
        </is>
      </c>
      <c r="B2529" s="1" t="n">
        <v>45085</v>
      </c>
      <c r="C2529" s="1" t="n">
        <v>45571</v>
      </c>
      <c r="D2529" t="inlineStr">
        <is>
          <t>STOCKHOLMS LÄN</t>
        </is>
      </c>
      <c r="E2529" t="inlineStr">
        <is>
          <t>NORRTÄLJE</t>
        </is>
      </c>
      <c r="F2529" t="inlineStr">
        <is>
          <t>Holmen skog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25174-2023</t>
        </is>
      </c>
      <c r="B2530" s="1" t="n">
        <v>45086</v>
      </c>
      <c r="C2530" s="1" t="n">
        <v>45571</v>
      </c>
      <c r="D2530" t="inlineStr">
        <is>
          <t>STOCKHOLMS LÄN</t>
        </is>
      </c>
      <c r="E2530" t="inlineStr">
        <is>
          <t>NORRTÄLJE</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25094-2023</t>
        </is>
      </c>
      <c r="B2531" s="1" t="n">
        <v>45086</v>
      </c>
      <c r="C2531" s="1" t="n">
        <v>45571</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25175-2023</t>
        </is>
      </c>
      <c r="B2532" s="1" t="n">
        <v>45086</v>
      </c>
      <c r="C2532" s="1" t="n">
        <v>45571</v>
      </c>
      <c r="D2532" t="inlineStr">
        <is>
          <t>STOCKHOLMS LÄN</t>
        </is>
      </c>
      <c r="E2532" t="inlineStr">
        <is>
          <t>NYNÄSHAMN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25257-2023</t>
        </is>
      </c>
      <c r="B2533" s="1" t="n">
        <v>45086</v>
      </c>
      <c r="C2533" s="1" t="n">
        <v>45571</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26390-2023</t>
        </is>
      </c>
      <c r="B2534" s="1" t="n">
        <v>45086</v>
      </c>
      <c r="C2534" s="1" t="n">
        <v>45571</v>
      </c>
      <c r="D2534" t="inlineStr">
        <is>
          <t>STOCKHOLMS LÄN</t>
        </is>
      </c>
      <c r="E2534" t="inlineStr">
        <is>
          <t>VALLENTUNA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26408-2023</t>
        </is>
      </c>
      <c r="B2535" s="1" t="n">
        <v>45086</v>
      </c>
      <c r="C2535" s="1" t="n">
        <v>45571</v>
      </c>
      <c r="D2535" t="inlineStr">
        <is>
          <t>STOCKHOLMS LÄN</t>
        </is>
      </c>
      <c r="E2535" t="inlineStr">
        <is>
          <t>VALLENTUNA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25459-2023</t>
        </is>
      </c>
      <c r="B2536" s="1" t="n">
        <v>45089</v>
      </c>
      <c r="C2536" s="1" t="n">
        <v>45571</v>
      </c>
      <c r="D2536" t="inlineStr">
        <is>
          <t>STOCKHOLMS LÄN</t>
        </is>
      </c>
      <c r="E2536" t="inlineStr">
        <is>
          <t>SIGTUNA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25464-2023</t>
        </is>
      </c>
      <c r="B2537" s="1" t="n">
        <v>45089</v>
      </c>
      <c r="C2537" s="1" t="n">
        <v>45571</v>
      </c>
      <c r="D2537" t="inlineStr">
        <is>
          <t>STOCKHOLMS LÄN</t>
        </is>
      </c>
      <c r="E2537" t="inlineStr">
        <is>
          <t>SIGTUNA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25584-2023</t>
        </is>
      </c>
      <c r="B2538" s="1" t="n">
        <v>45089</v>
      </c>
      <c r="C2538" s="1" t="n">
        <v>45571</v>
      </c>
      <c r="D2538" t="inlineStr">
        <is>
          <t>STOCKHOLMS LÄN</t>
        </is>
      </c>
      <c r="E2538" t="inlineStr">
        <is>
          <t>HANINGE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25614-2023</t>
        </is>
      </c>
      <c r="B2539" s="1" t="n">
        <v>45089</v>
      </c>
      <c r="C2539" s="1" t="n">
        <v>45571</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25625-2023</t>
        </is>
      </c>
      <c r="B2540" s="1" t="n">
        <v>45089</v>
      </c>
      <c r="C2540" s="1" t="n">
        <v>45571</v>
      </c>
      <c r="D2540" t="inlineStr">
        <is>
          <t>STOCKHOLMS LÄN</t>
        </is>
      </c>
      <c r="E2540" t="inlineStr">
        <is>
          <t>NORRTÄLJE</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25557-2023</t>
        </is>
      </c>
      <c r="B2541" s="1" t="n">
        <v>45089</v>
      </c>
      <c r="C2541" s="1" t="n">
        <v>45571</v>
      </c>
      <c r="D2541" t="inlineStr">
        <is>
          <t>STOCKHOLMS LÄN</t>
        </is>
      </c>
      <c r="E2541" t="inlineStr">
        <is>
          <t>NORRTÄLJE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25452-2023</t>
        </is>
      </c>
      <c r="B2542" s="1" t="n">
        <v>45089</v>
      </c>
      <c r="C2542" s="1" t="n">
        <v>45571</v>
      </c>
      <c r="D2542" t="inlineStr">
        <is>
          <t>STOCKHOLMS LÄN</t>
        </is>
      </c>
      <c r="E2542" t="inlineStr">
        <is>
          <t>SIGTUNA</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25468-2023</t>
        </is>
      </c>
      <c r="B2543" s="1" t="n">
        <v>45089</v>
      </c>
      <c r="C2543" s="1" t="n">
        <v>45571</v>
      </c>
      <c r="D2543" t="inlineStr">
        <is>
          <t>STOCKHOLMS LÄN</t>
        </is>
      </c>
      <c r="E2543" t="inlineStr">
        <is>
          <t>SIGTUNA</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25609-2023</t>
        </is>
      </c>
      <c r="B2544" s="1" t="n">
        <v>45089</v>
      </c>
      <c r="C2544" s="1" t="n">
        <v>45571</v>
      </c>
      <c r="D2544" t="inlineStr">
        <is>
          <t>STOCKHOLMS LÄN</t>
        </is>
      </c>
      <c r="E2544" t="inlineStr">
        <is>
          <t>NORRTÄLJE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25618-2023</t>
        </is>
      </c>
      <c r="B2545" s="1" t="n">
        <v>45089</v>
      </c>
      <c r="C2545" s="1" t="n">
        <v>45571</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25656-2023</t>
        </is>
      </c>
      <c r="B2546" s="1" t="n">
        <v>45089</v>
      </c>
      <c r="C2546" s="1" t="n">
        <v>45571</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25654-2023</t>
        </is>
      </c>
      <c r="B2547" s="1" t="n">
        <v>45089</v>
      </c>
      <c r="C2547" s="1" t="n">
        <v>45571</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25831-2023</t>
        </is>
      </c>
      <c r="B2548" s="1" t="n">
        <v>45090</v>
      </c>
      <c r="C2548" s="1" t="n">
        <v>45571</v>
      </c>
      <c r="D2548" t="inlineStr">
        <is>
          <t>STOCKHOLMS LÄN</t>
        </is>
      </c>
      <c r="E2548" t="inlineStr">
        <is>
          <t>NORRTÄLJE</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25706-2023</t>
        </is>
      </c>
      <c r="B2549" s="1" t="n">
        <v>45090</v>
      </c>
      <c r="C2549" s="1" t="n">
        <v>45571</v>
      </c>
      <c r="D2549" t="inlineStr">
        <is>
          <t>STOCKHOLMS LÄN</t>
        </is>
      </c>
      <c r="E2549" t="inlineStr">
        <is>
          <t>SÖDERTÄLJE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25915-2023</t>
        </is>
      </c>
      <c r="B2550" s="1" t="n">
        <v>45090</v>
      </c>
      <c r="C2550" s="1" t="n">
        <v>45571</v>
      </c>
      <c r="D2550" t="inlineStr">
        <is>
          <t>STOCKHOLMS LÄN</t>
        </is>
      </c>
      <c r="E2550" t="inlineStr">
        <is>
          <t>NORRTÄLJE</t>
        </is>
      </c>
      <c r="F2550" t="inlineStr">
        <is>
          <t>Naturvårdsverket</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26065-2023</t>
        </is>
      </c>
      <c r="B2551" s="1" t="n">
        <v>45091</v>
      </c>
      <c r="C2551" s="1" t="n">
        <v>45571</v>
      </c>
      <c r="D2551" t="inlineStr">
        <is>
          <t>STOCKHOLMS LÄN</t>
        </is>
      </c>
      <c r="E2551" t="inlineStr">
        <is>
          <t>NORRTÄLJE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26315-2023</t>
        </is>
      </c>
      <c r="B2552" s="1" t="n">
        <v>45091</v>
      </c>
      <c r="C2552" s="1" t="n">
        <v>45571</v>
      </c>
      <c r="D2552" t="inlineStr">
        <is>
          <t>STOCKHOLMS LÄN</t>
        </is>
      </c>
      <c r="E2552" t="inlineStr">
        <is>
          <t>NORRTÄLJE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26149-2023</t>
        </is>
      </c>
      <c r="B2553" s="1" t="n">
        <v>45091</v>
      </c>
      <c r="C2553" s="1" t="n">
        <v>45571</v>
      </c>
      <c r="D2553" t="inlineStr">
        <is>
          <t>STOCKHOLMS LÄN</t>
        </is>
      </c>
      <c r="E2553" t="inlineStr">
        <is>
          <t>SALEM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26570-2023</t>
        </is>
      </c>
      <c r="B2554" s="1" t="n">
        <v>45092</v>
      </c>
      <c r="C2554" s="1" t="n">
        <v>45571</v>
      </c>
      <c r="D2554" t="inlineStr">
        <is>
          <t>STOCKHOLMS LÄN</t>
        </is>
      </c>
      <c r="E2554" t="inlineStr">
        <is>
          <t>NORRTÄLJE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26636-2023</t>
        </is>
      </c>
      <c r="B2555" s="1" t="n">
        <v>45092</v>
      </c>
      <c r="C2555" s="1" t="n">
        <v>45571</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26640-2023</t>
        </is>
      </c>
      <c r="B2556" s="1" t="n">
        <v>45092</v>
      </c>
      <c r="C2556" s="1" t="n">
        <v>45571</v>
      </c>
      <c r="D2556" t="inlineStr">
        <is>
          <t>STOCKHOLMS LÄN</t>
        </is>
      </c>
      <c r="E2556" t="inlineStr">
        <is>
          <t>NORRTÄLJE</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26637-2023</t>
        </is>
      </c>
      <c r="B2557" s="1" t="n">
        <v>45092</v>
      </c>
      <c r="C2557" s="1" t="n">
        <v>45571</v>
      </c>
      <c r="D2557" t="inlineStr">
        <is>
          <t>STOCKHOLMS LÄN</t>
        </is>
      </c>
      <c r="E2557" t="inlineStr">
        <is>
          <t>NORRTÄLJE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26639-2023</t>
        </is>
      </c>
      <c r="B2558" s="1" t="n">
        <v>45092</v>
      </c>
      <c r="C2558" s="1" t="n">
        <v>45571</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27183-2023</t>
        </is>
      </c>
      <c r="B2559" s="1" t="n">
        <v>45096</v>
      </c>
      <c r="C2559" s="1" t="n">
        <v>45571</v>
      </c>
      <c r="D2559" t="inlineStr">
        <is>
          <t>STOCKHOLMS LÄN</t>
        </is>
      </c>
      <c r="E2559" t="inlineStr">
        <is>
          <t>SÖDERTÄLJE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27299-2023</t>
        </is>
      </c>
      <c r="B2560" s="1" t="n">
        <v>45096</v>
      </c>
      <c r="C2560" s="1" t="n">
        <v>45571</v>
      </c>
      <c r="D2560" t="inlineStr">
        <is>
          <t>STOCKHOLMS LÄN</t>
        </is>
      </c>
      <c r="E2560" t="inlineStr">
        <is>
          <t>UPPLANDS-BRO</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27318-2023</t>
        </is>
      </c>
      <c r="B2561" s="1" t="n">
        <v>45096</v>
      </c>
      <c r="C2561" s="1" t="n">
        <v>45571</v>
      </c>
      <c r="D2561" t="inlineStr">
        <is>
          <t>STOCKHOLMS LÄN</t>
        </is>
      </c>
      <c r="E2561" t="inlineStr">
        <is>
          <t>UPPLANDS-BRO</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27313-2023</t>
        </is>
      </c>
      <c r="B2562" s="1" t="n">
        <v>45096</v>
      </c>
      <c r="C2562" s="1" t="n">
        <v>45571</v>
      </c>
      <c r="D2562" t="inlineStr">
        <is>
          <t>STOCKHOLMS LÄN</t>
        </is>
      </c>
      <c r="E2562" t="inlineStr">
        <is>
          <t>UPPLANDS-BRO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27651-2023</t>
        </is>
      </c>
      <c r="B2563" s="1" t="n">
        <v>45097</v>
      </c>
      <c r="C2563" s="1" t="n">
        <v>45571</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27748-2023</t>
        </is>
      </c>
      <c r="B2564" s="1" t="n">
        <v>45098</v>
      </c>
      <c r="C2564" s="1" t="n">
        <v>45571</v>
      </c>
      <c r="D2564" t="inlineStr">
        <is>
          <t>STOCKHOLMS LÄN</t>
        </is>
      </c>
      <c r="E2564" t="inlineStr">
        <is>
          <t>NYNÄSHAMN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28281-2023</t>
        </is>
      </c>
      <c r="B2565" s="1" t="n">
        <v>45099</v>
      </c>
      <c r="C2565" s="1" t="n">
        <v>45571</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28290-2023</t>
        </is>
      </c>
      <c r="B2566" s="1" t="n">
        <v>45099</v>
      </c>
      <c r="C2566" s="1" t="n">
        <v>45571</v>
      </c>
      <c r="D2566" t="inlineStr">
        <is>
          <t>STOCKHOLMS LÄN</t>
        </is>
      </c>
      <c r="E2566" t="inlineStr">
        <is>
          <t>SÖDERTÄLJE</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28502-2023</t>
        </is>
      </c>
      <c r="B2567" s="1" t="n">
        <v>45103</v>
      </c>
      <c r="C2567" s="1" t="n">
        <v>45571</v>
      </c>
      <c r="D2567" t="inlineStr">
        <is>
          <t>STOCKHOLMS LÄN</t>
        </is>
      </c>
      <c r="E2567" t="inlineStr">
        <is>
          <t>SÖDERTÄLJE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28635-2023</t>
        </is>
      </c>
      <c r="B2568" s="1" t="n">
        <v>45103</v>
      </c>
      <c r="C2568" s="1" t="n">
        <v>45571</v>
      </c>
      <c r="D2568" t="inlineStr">
        <is>
          <t>STOCKHOLMS LÄN</t>
        </is>
      </c>
      <c r="E2568" t="inlineStr">
        <is>
          <t>SÖDERTÄLJE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28695-2023</t>
        </is>
      </c>
      <c r="B2569" s="1" t="n">
        <v>45103</v>
      </c>
      <c r="C2569" s="1" t="n">
        <v>45571</v>
      </c>
      <c r="D2569" t="inlineStr">
        <is>
          <t>STOCKHOLMS LÄN</t>
        </is>
      </c>
      <c r="E2569" t="inlineStr">
        <is>
          <t>SÖDERTÄLJE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28609-2023</t>
        </is>
      </c>
      <c r="B2570" s="1" t="n">
        <v>45103</v>
      </c>
      <c r="C2570" s="1" t="n">
        <v>45571</v>
      </c>
      <c r="D2570" t="inlineStr">
        <is>
          <t>STOCKHOLMS LÄN</t>
        </is>
      </c>
      <c r="E2570" t="inlineStr">
        <is>
          <t>SÖDERTÄLJE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28683-2023</t>
        </is>
      </c>
      <c r="B2571" s="1" t="n">
        <v>45103</v>
      </c>
      <c r="C2571" s="1" t="n">
        <v>45571</v>
      </c>
      <c r="D2571" t="inlineStr">
        <is>
          <t>STOCKHOLMS LÄN</t>
        </is>
      </c>
      <c r="E2571" t="inlineStr">
        <is>
          <t>SÖDERTÄLJE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28700-2023</t>
        </is>
      </c>
      <c r="B2572" s="1" t="n">
        <v>45103</v>
      </c>
      <c r="C2572" s="1" t="n">
        <v>45571</v>
      </c>
      <c r="D2572" t="inlineStr">
        <is>
          <t>STOCKHOLMS LÄN</t>
        </is>
      </c>
      <c r="E2572" t="inlineStr">
        <is>
          <t>SÖDERTÄLJE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28516-2023</t>
        </is>
      </c>
      <c r="B2573" s="1" t="n">
        <v>45103</v>
      </c>
      <c r="C2573" s="1" t="n">
        <v>45571</v>
      </c>
      <c r="D2573" t="inlineStr">
        <is>
          <t>STOCKHOLMS LÄN</t>
        </is>
      </c>
      <c r="E2573" t="inlineStr">
        <is>
          <t>SÖDERTÄLJE</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28554-2023</t>
        </is>
      </c>
      <c r="B2574" s="1" t="n">
        <v>45103</v>
      </c>
      <c r="C2574" s="1" t="n">
        <v>45571</v>
      </c>
      <c r="D2574" t="inlineStr">
        <is>
          <t>STOCKHOLMS LÄN</t>
        </is>
      </c>
      <c r="E2574" t="inlineStr">
        <is>
          <t>SÖDERTÄLJE</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28566-2023</t>
        </is>
      </c>
      <c r="B2575" s="1" t="n">
        <v>45103</v>
      </c>
      <c r="C2575" s="1" t="n">
        <v>45571</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28698-2023</t>
        </is>
      </c>
      <c r="B2576" s="1" t="n">
        <v>45103</v>
      </c>
      <c r="C2576" s="1" t="n">
        <v>45571</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28820-2023</t>
        </is>
      </c>
      <c r="B2577" s="1" t="n">
        <v>45104</v>
      </c>
      <c r="C2577" s="1" t="n">
        <v>45571</v>
      </c>
      <c r="D2577" t="inlineStr">
        <is>
          <t>STOCKHOLMS LÄN</t>
        </is>
      </c>
      <c r="E2577" t="inlineStr">
        <is>
          <t>NORRTÄLJE</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28813-2023</t>
        </is>
      </c>
      <c r="B2578" s="1" t="n">
        <v>45104</v>
      </c>
      <c r="C2578" s="1" t="n">
        <v>45571</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29003-2023</t>
        </is>
      </c>
      <c r="B2579" s="1" t="n">
        <v>45104</v>
      </c>
      <c r="C2579" s="1" t="n">
        <v>45571</v>
      </c>
      <c r="D2579" t="inlineStr">
        <is>
          <t>STOCKHOLMS LÄN</t>
        </is>
      </c>
      <c r="E2579" t="inlineStr">
        <is>
          <t>NORRTÄLJE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28816-2023</t>
        </is>
      </c>
      <c r="B2580" s="1" t="n">
        <v>45104</v>
      </c>
      <c r="C2580" s="1" t="n">
        <v>45571</v>
      </c>
      <c r="D2580" t="inlineStr">
        <is>
          <t>STOCKHOLMS LÄN</t>
        </is>
      </c>
      <c r="E2580" t="inlineStr">
        <is>
          <t>NORRTÄLJE</t>
        </is>
      </c>
      <c r="F2580" t="inlineStr">
        <is>
          <t>Kommuner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28981-2023</t>
        </is>
      </c>
      <c r="B2581" s="1" t="n">
        <v>45104</v>
      </c>
      <c r="C2581" s="1" t="n">
        <v>45571</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28809-2023</t>
        </is>
      </c>
      <c r="B2582" s="1" t="n">
        <v>45104</v>
      </c>
      <c r="C2582" s="1" t="n">
        <v>45571</v>
      </c>
      <c r="D2582" t="inlineStr">
        <is>
          <t>STOCKHOLMS LÄN</t>
        </is>
      </c>
      <c r="E2582" t="inlineStr">
        <is>
          <t>NORRTÄLJE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28958-2023</t>
        </is>
      </c>
      <c r="B2583" s="1" t="n">
        <v>45104</v>
      </c>
      <c r="C2583" s="1" t="n">
        <v>45571</v>
      </c>
      <c r="D2583" t="inlineStr">
        <is>
          <t>STOCKHOLMS LÄN</t>
        </is>
      </c>
      <c r="E2583" t="inlineStr">
        <is>
          <t>SÖDERTÄLJE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29254-2023</t>
        </is>
      </c>
      <c r="B2584" s="1" t="n">
        <v>45105</v>
      </c>
      <c r="C2584" s="1" t="n">
        <v>45571</v>
      </c>
      <c r="D2584" t="inlineStr">
        <is>
          <t>STOCKHOLMS LÄN</t>
        </is>
      </c>
      <c r="E2584" t="inlineStr">
        <is>
          <t>NORRTÄLJE</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29433-2023</t>
        </is>
      </c>
      <c r="B2585" s="1" t="n">
        <v>45106</v>
      </c>
      <c r="C2585" s="1" t="n">
        <v>45571</v>
      </c>
      <c r="D2585" t="inlineStr">
        <is>
          <t>STOCKHOLMS LÄN</t>
        </is>
      </c>
      <c r="E2585" t="inlineStr">
        <is>
          <t>NORRTÄLJE</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29681-2023</t>
        </is>
      </c>
      <c r="B2586" s="1" t="n">
        <v>45107</v>
      </c>
      <c r="C2586" s="1" t="n">
        <v>45571</v>
      </c>
      <c r="D2586" t="inlineStr">
        <is>
          <t>STOCKHOLMS LÄN</t>
        </is>
      </c>
      <c r="E2586" t="inlineStr">
        <is>
          <t>NORRTÄLJE</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29705-2023</t>
        </is>
      </c>
      <c r="B2587" s="1" t="n">
        <v>45107</v>
      </c>
      <c r="C2587" s="1" t="n">
        <v>45571</v>
      </c>
      <c r="D2587" t="inlineStr">
        <is>
          <t>STOCKHOLMS LÄN</t>
        </is>
      </c>
      <c r="E2587" t="inlineStr">
        <is>
          <t>VALLENTUNA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29704-2023</t>
        </is>
      </c>
      <c r="B2588" s="1" t="n">
        <v>45107</v>
      </c>
      <c r="C2588" s="1" t="n">
        <v>45571</v>
      </c>
      <c r="D2588" t="inlineStr">
        <is>
          <t>STOCKHOLMS LÄN</t>
        </is>
      </c>
      <c r="E2588" t="inlineStr">
        <is>
          <t>VALLENTUNA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29710-2023</t>
        </is>
      </c>
      <c r="B2589" s="1" t="n">
        <v>45107</v>
      </c>
      <c r="C2589" s="1" t="n">
        <v>45571</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29714-2023</t>
        </is>
      </c>
      <c r="B2590" s="1" t="n">
        <v>45107</v>
      </c>
      <c r="C2590" s="1" t="n">
        <v>45571</v>
      </c>
      <c r="D2590" t="inlineStr">
        <is>
          <t>STOCKHOLMS LÄN</t>
        </is>
      </c>
      <c r="E2590" t="inlineStr">
        <is>
          <t>NORRTÄLJE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30002-2023</t>
        </is>
      </c>
      <c r="B2591" s="1" t="n">
        <v>45109</v>
      </c>
      <c r="C2591" s="1" t="n">
        <v>45571</v>
      </c>
      <c r="D2591" t="inlineStr">
        <is>
          <t>STOCKHOLMS LÄN</t>
        </is>
      </c>
      <c r="E2591" t="inlineStr">
        <is>
          <t>VÄRMDÖ</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30116-2023</t>
        </is>
      </c>
      <c r="B2592" s="1" t="n">
        <v>45110</v>
      </c>
      <c r="C2592" s="1" t="n">
        <v>45571</v>
      </c>
      <c r="D2592" t="inlineStr">
        <is>
          <t>STOCKHOLMS LÄN</t>
        </is>
      </c>
      <c r="E2592" t="inlineStr">
        <is>
          <t>NORRTÄLJE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30145-2023</t>
        </is>
      </c>
      <c r="B2593" s="1" t="n">
        <v>45110</v>
      </c>
      <c r="C2593" s="1" t="n">
        <v>45571</v>
      </c>
      <c r="D2593" t="inlineStr">
        <is>
          <t>STOCKHOLMS LÄN</t>
        </is>
      </c>
      <c r="E2593" t="inlineStr">
        <is>
          <t>SÖDERTÄLJE</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30281-2023</t>
        </is>
      </c>
      <c r="B2594" s="1" t="n">
        <v>45110</v>
      </c>
      <c r="C2594" s="1" t="n">
        <v>45571</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32420-2023</t>
        </is>
      </c>
      <c r="B2595" s="1" t="n">
        <v>45110</v>
      </c>
      <c r="C2595" s="1" t="n">
        <v>45571</v>
      </c>
      <c r="D2595" t="inlineStr">
        <is>
          <t>STOCKHOLMS LÄN</t>
        </is>
      </c>
      <c r="E2595" t="inlineStr">
        <is>
          <t>SIGTUNA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32424-2023</t>
        </is>
      </c>
      <c r="B2596" s="1" t="n">
        <v>45110</v>
      </c>
      <c r="C2596" s="1" t="n">
        <v>45571</v>
      </c>
      <c r="D2596" t="inlineStr">
        <is>
          <t>STOCKHOLMS LÄN</t>
        </is>
      </c>
      <c r="E2596" t="inlineStr">
        <is>
          <t>SIGTUNA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32426-2023</t>
        </is>
      </c>
      <c r="B2597" s="1" t="n">
        <v>45110</v>
      </c>
      <c r="C2597" s="1" t="n">
        <v>45571</v>
      </c>
      <c r="D2597" t="inlineStr">
        <is>
          <t>STOCKHOLMS LÄN</t>
        </is>
      </c>
      <c r="E2597" t="inlineStr">
        <is>
          <t>SIGTUNA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30508-2023</t>
        </is>
      </c>
      <c r="B2598" s="1" t="n">
        <v>45111</v>
      </c>
      <c r="C2598" s="1" t="n">
        <v>45571</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30496-2023</t>
        </is>
      </c>
      <c r="B2599" s="1" t="n">
        <v>45111</v>
      </c>
      <c r="C2599" s="1" t="n">
        <v>45571</v>
      </c>
      <c r="D2599" t="inlineStr">
        <is>
          <t>STOCKHOLMS LÄN</t>
        </is>
      </c>
      <c r="E2599" t="inlineStr">
        <is>
          <t>NORRTÄLJE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30516-2023</t>
        </is>
      </c>
      <c r="B2600" s="1" t="n">
        <v>45111</v>
      </c>
      <c r="C2600" s="1" t="n">
        <v>45571</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30525-2023</t>
        </is>
      </c>
      <c r="B2601" s="1" t="n">
        <v>45111</v>
      </c>
      <c r="C2601" s="1" t="n">
        <v>45571</v>
      </c>
      <c r="D2601" t="inlineStr">
        <is>
          <t>STOCKHOLMS LÄN</t>
        </is>
      </c>
      <c r="E2601" t="inlineStr">
        <is>
          <t>NORRTÄLJE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30424-2023</t>
        </is>
      </c>
      <c r="B2602" s="1" t="n">
        <v>45111</v>
      </c>
      <c r="C2602" s="1" t="n">
        <v>45571</v>
      </c>
      <c r="D2602" t="inlineStr">
        <is>
          <t>STOCKHOLMS LÄN</t>
        </is>
      </c>
      <c r="E2602" t="inlineStr">
        <is>
          <t>NORRTÄLJE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30425-2023</t>
        </is>
      </c>
      <c r="B2603" s="1" t="n">
        <v>45111</v>
      </c>
      <c r="C2603" s="1" t="n">
        <v>45571</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30571-2023</t>
        </is>
      </c>
      <c r="B2604" s="1" t="n">
        <v>45111</v>
      </c>
      <c r="C2604" s="1" t="n">
        <v>45571</v>
      </c>
      <c r="D2604" t="inlineStr">
        <is>
          <t>STOCKHOLMS LÄN</t>
        </is>
      </c>
      <c r="E2604" t="inlineStr">
        <is>
          <t>SIGTUNA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30731-2023</t>
        </is>
      </c>
      <c r="B2605" s="1" t="n">
        <v>45112</v>
      </c>
      <c r="C2605" s="1" t="n">
        <v>45571</v>
      </c>
      <c r="D2605" t="inlineStr">
        <is>
          <t>STOCKHOLMS LÄN</t>
        </is>
      </c>
      <c r="E2605" t="inlineStr">
        <is>
          <t>NORRTÄLJE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30663-2023</t>
        </is>
      </c>
      <c r="B2606" s="1" t="n">
        <v>45112</v>
      </c>
      <c r="C2606" s="1" t="n">
        <v>45571</v>
      </c>
      <c r="D2606" t="inlineStr">
        <is>
          <t>STOCKHOLMS LÄN</t>
        </is>
      </c>
      <c r="E2606" t="inlineStr">
        <is>
          <t>NORRTÄLJE</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30780-2023</t>
        </is>
      </c>
      <c r="B2607" s="1" t="n">
        <v>45112</v>
      </c>
      <c r="C2607" s="1" t="n">
        <v>45571</v>
      </c>
      <c r="D2607" t="inlineStr">
        <is>
          <t>STOCKHOLMS LÄN</t>
        </is>
      </c>
      <c r="E2607" t="inlineStr">
        <is>
          <t>NORRTÄLJE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30773-2023</t>
        </is>
      </c>
      <c r="B2608" s="1" t="n">
        <v>45112</v>
      </c>
      <c r="C2608" s="1" t="n">
        <v>45571</v>
      </c>
      <c r="D2608" t="inlineStr">
        <is>
          <t>STOCKHOLMS LÄN</t>
        </is>
      </c>
      <c r="E2608" t="inlineStr">
        <is>
          <t>NORRTÄLJE</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30924-2023</t>
        </is>
      </c>
      <c r="B2609" s="1" t="n">
        <v>45113</v>
      </c>
      <c r="C2609" s="1" t="n">
        <v>45571</v>
      </c>
      <c r="D2609" t="inlineStr">
        <is>
          <t>STOCKHOLMS LÄN</t>
        </is>
      </c>
      <c r="E2609" t="inlineStr">
        <is>
          <t>NORRTÄLJE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30923-2023</t>
        </is>
      </c>
      <c r="B2610" s="1" t="n">
        <v>45113</v>
      </c>
      <c r="C2610" s="1" t="n">
        <v>45571</v>
      </c>
      <c r="D2610" t="inlineStr">
        <is>
          <t>STOCKHOLMS LÄN</t>
        </is>
      </c>
      <c r="E2610" t="inlineStr">
        <is>
          <t>NORRTÄLJE</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30910-2023</t>
        </is>
      </c>
      <c r="B2611" s="1" t="n">
        <v>45113</v>
      </c>
      <c r="C2611" s="1" t="n">
        <v>45571</v>
      </c>
      <c r="D2611" t="inlineStr">
        <is>
          <t>STOCKHOLMS LÄN</t>
        </is>
      </c>
      <c r="E2611" t="inlineStr">
        <is>
          <t>NYNÄSHAMN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31140-2023</t>
        </is>
      </c>
      <c r="B2612" s="1" t="n">
        <v>45113</v>
      </c>
      <c r="C2612" s="1" t="n">
        <v>45571</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30917-2023</t>
        </is>
      </c>
      <c r="B2613" s="1" t="n">
        <v>45113</v>
      </c>
      <c r="C2613" s="1" t="n">
        <v>45571</v>
      </c>
      <c r="D2613" t="inlineStr">
        <is>
          <t>STOCKHOLMS LÄN</t>
        </is>
      </c>
      <c r="E2613" t="inlineStr">
        <is>
          <t>BOTKYRKA</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30921-2023</t>
        </is>
      </c>
      <c r="B2614" s="1" t="n">
        <v>45113</v>
      </c>
      <c r="C2614" s="1" t="n">
        <v>45571</v>
      </c>
      <c r="D2614" t="inlineStr">
        <is>
          <t>STOCKHOLMS LÄN</t>
        </is>
      </c>
      <c r="E2614" t="inlineStr">
        <is>
          <t>NORRTÄLJE</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30925-2023</t>
        </is>
      </c>
      <c r="B2615" s="1" t="n">
        <v>45113</v>
      </c>
      <c r="C2615" s="1" t="n">
        <v>45571</v>
      </c>
      <c r="D2615" t="inlineStr">
        <is>
          <t>STOCKHOLMS LÄN</t>
        </is>
      </c>
      <c r="E2615" t="inlineStr">
        <is>
          <t>BOTKYRKA</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31042-2023</t>
        </is>
      </c>
      <c r="B2616" s="1" t="n">
        <v>45113</v>
      </c>
      <c r="C2616" s="1" t="n">
        <v>45571</v>
      </c>
      <c r="D2616" t="inlineStr">
        <is>
          <t>STOCKHOLMS LÄN</t>
        </is>
      </c>
      <c r="E2616" t="inlineStr">
        <is>
          <t>SIGTUNA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31134-2023</t>
        </is>
      </c>
      <c r="B2617" s="1" t="n">
        <v>45113</v>
      </c>
      <c r="C2617" s="1" t="n">
        <v>45571</v>
      </c>
      <c r="D2617" t="inlineStr">
        <is>
          <t>STOCKHOLMS LÄN</t>
        </is>
      </c>
      <c r="E2617" t="inlineStr">
        <is>
          <t>ÖSTERÅKER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31120-2023</t>
        </is>
      </c>
      <c r="B2618" s="1" t="n">
        <v>45113</v>
      </c>
      <c r="C2618" s="1" t="n">
        <v>45571</v>
      </c>
      <c r="D2618" t="inlineStr">
        <is>
          <t>STOCKHOLMS LÄN</t>
        </is>
      </c>
      <c r="E2618" t="inlineStr">
        <is>
          <t>UPPLANDS VÄSBY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31149-2023</t>
        </is>
      </c>
      <c r="B2619" s="1" t="n">
        <v>45113</v>
      </c>
      <c r="C2619" s="1" t="n">
        <v>45571</v>
      </c>
      <c r="D2619" t="inlineStr">
        <is>
          <t>STOCKHOLMS LÄN</t>
        </is>
      </c>
      <c r="E2619" t="inlineStr">
        <is>
          <t>NORRTÄLJE</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31153-2023</t>
        </is>
      </c>
      <c r="B2620" s="1" t="n">
        <v>45113</v>
      </c>
      <c r="C2620" s="1" t="n">
        <v>45571</v>
      </c>
      <c r="D2620" t="inlineStr">
        <is>
          <t>STOCKHOLMS LÄN</t>
        </is>
      </c>
      <c r="E2620" t="inlineStr">
        <is>
          <t>NORRTÄLJE</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33066-2023</t>
        </is>
      </c>
      <c r="B2621" s="1" t="n">
        <v>45113</v>
      </c>
      <c r="C2621" s="1" t="n">
        <v>45571</v>
      </c>
      <c r="D2621" t="inlineStr">
        <is>
          <t>STOCKHOLMS LÄN</t>
        </is>
      </c>
      <c r="E2621" t="inlineStr">
        <is>
          <t>UPPLANDS VÄSBY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33069-2023</t>
        </is>
      </c>
      <c r="B2622" s="1" t="n">
        <v>45113</v>
      </c>
      <c r="C2622" s="1" t="n">
        <v>45571</v>
      </c>
      <c r="D2622" t="inlineStr">
        <is>
          <t>STOCKHOLMS LÄN</t>
        </is>
      </c>
      <c r="E2622" t="inlineStr">
        <is>
          <t>UPPLANDS VÄSBY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31743-2023</t>
        </is>
      </c>
      <c r="B2623" s="1" t="n">
        <v>45117</v>
      </c>
      <c r="C2623" s="1" t="n">
        <v>45571</v>
      </c>
      <c r="D2623" t="inlineStr">
        <is>
          <t>STOCKHOLMS LÄN</t>
        </is>
      </c>
      <c r="E2623" t="inlineStr">
        <is>
          <t>SÖDERTÄLJE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31808-2023</t>
        </is>
      </c>
      <c r="B2624" s="1" t="n">
        <v>45118</v>
      </c>
      <c r="C2624" s="1" t="n">
        <v>45571</v>
      </c>
      <c r="D2624" t="inlineStr">
        <is>
          <t>STOCKHOLMS LÄN</t>
        </is>
      </c>
      <c r="E2624" t="inlineStr">
        <is>
          <t>NYNÄSHAMN</t>
        </is>
      </c>
      <c r="F2624" t="inlineStr">
        <is>
          <t>Kommuner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31827-2023</t>
        </is>
      </c>
      <c r="B2625" s="1" t="n">
        <v>45118</v>
      </c>
      <c r="C2625" s="1" t="n">
        <v>45571</v>
      </c>
      <c r="D2625" t="inlineStr">
        <is>
          <t>STOCKHOLMS LÄN</t>
        </is>
      </c>
      <c r="E2625" t="inlineStr">
        <is>
          <t>NORRTÄLJE</t>
        </is>
      </c>
      <c r="F2625" t="inlineStr">
        <is>
          <t>Kyrkan</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31832-2023</t>
        </is>
      </c>
      <c r="B2626" s="1" t="n">
        <v>45118</v>
      </c>
      <c r="C2626" s="1" t="n">
        <v>45571</v>
      </c>
      <c r="D2626" t="inlineStr">
        <is>
          <t>STOCKHOLMS LÄN</t>
        </is>
      </c>
      <c r="E2626" t="inlineStr">
        <is>
          <t>NORRTÄLJE</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32040-2023</t>
        </is>
      </c>
      <c r="B2627" s="1" t="n">
        <v>45119</v>
      </c>
      <c r="C2627" s="1" t="n">
        <v>45571</v>
      </c>
      <c r="D2627" t="inlineStr">
        <is>
          <t>STOCKHOLMS LÄN</t>
        </is>
      </c>
      <c r="E2627" t="inlineStr">
        <is>
          <t>SÖDERTÄLJE</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32011-2023</t>
        </is>
      </c>
      <c r="B2628" s="1" t="n">
        <v>45119</v>
      </c>
      <c r="C2628" s="1" t="n">
        <v>45571</v>
      </c>
      <c r="D2628" t="inlineStr">
        <is>
          <t>STOCKHOLMS LÄN</t>
        </is>
      </c>
      <c r="E2628" t="inlineStr">
        <is>
          <t>NYNÄSHAMN</t>
        </is>
      </c>
      <c r="F2628" t="inlineStr">
        <is>
          <t>Kommuner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32071-2023</t>
        </is>
      </c>
      <c r="B2629" s="1" t="n">
        <v>45119</v>
      </c>
      <c r="C2629" s="1" t="n">
        <v>45571</v>
      </c>
      <c r="D2629" t="inlineStr">
        <is>
          <t>STOCKHOLMS LÄN</t>
        </is>
      </c>
      <c r="E2629" t="inlineStr">
        <is>
          <t>NORRTÄLJE</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32044-2023</t>
        </is>
      </c>
      <c r="B2630" s="1" t="n">
        <v>45119</v>
      </c>
      <c r="C2630" s="1" t="n">
        <v>45571</v>
      </c>
      <c r="D2630" t="inlineStr">
        <is>
          <t>STOCKHOLMS LÄN</t>
        </is>
      </c>
      <c r="E2630" t="inlineStr">
        <is>
          <t>SÖDERTÄLJE</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32047-2023</t>
        </is>
      </c>
      <c r="B2631" s="1" t="n">
        <v>45119</v>
      </c>
      <c r="C2631" s="1" t="n">
        <v>45571</v>
      </c>
      <c r="D2631" t="inlineStr">
        <is>
          <t>STOCKHOLMS LÄN</t>
        </is>
      </c>
      <c r="E2631" t="inlineStr">
        <is>
          <t>SÖDERTÄLJE</t>
        </is>
      </c>
      <c r="F2631" t="inlineStr">
        <is>
          <t>Sveaskog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32074-2023</t>
        </is>
      </c>
      <c r="B2632" s="1" t="n">
        <v>45119</v>
      </c>
      <c r="C2632" s="1" t="n">
        <v>45571</v>
      </c>
      <c r="D2632" t="inlineStr">
        <is>
          <t>STOCKHOLMS LÄN</t>
        </is>
      </c>
      <c r="E2632" t="inlineStr">
        <is>
          <t>NYNÄSHAMN</t>
        </is>
      </c>
      <c r="F2632" t="inlineStr">
        <is>
          <t>Kommuner</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32092-2023</t>
        </is>
      </c>
      <c r="B2633" s="1" t="n">
        <v>45119</v>
      </c>
      <c r="C2633" s="1" t="n">
        <v>45571</v>
      </c>
      <c r="D2633" t="inlineStr">
        <is>
          <t>STOCKHOLMS LÄN</t>
        </is>
      </c>
      <c r="E2633" t="inlineStr">
        <is>
          <t>NYNÄSHAMN</t>
        </is>
      </c>
      <c r="F2633" t="inlineStr">
        <is>
          <t>Kommuner</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32164-2023</t>
        </is>
      </c>
      <c r="B2634" s="1" t="n">
        <v>45119</v>
      </c>
      <c r="C2634" s="1" t="n">
        <v>45571</v>
      </c>
      <c r="D2634" t="inlineStr">
        <is>
          <t>STOCKHOLMS LÄN</t>
        </is>
      </c>
      <c r="E2634" t="inlineStr">
        <is>
          <t>VALLENTUNA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32159-2023</t>
        </is>
      </c>
      <c r="B2635" s="1" t="n">
        <v>45119</v>
      </c>
      <c r="C2635" s="1" t="n">
        <v>45571</v>
      </c>
      <c r="D2635" t="inlineStr">
        <is>
          <t>STOCKHOLMS LÄN</t>
        </is>
      </c>
      <c r="E2635" t="inlineStr">
        <is>
          <t>VALLENTUNA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32286-2023</t>
        </is>
      </c>
      <c r="B2636" s="1" t="n">
        <v>45120</v>
      </c>
      <c r="C2636" s="1" t="n">
        <v>45571</v>
      </c>
      <c r="D2636" t="inlineStr">
        <is>
          <t>STOCKHOLMS LÄN</t>
        </is>
      </c>
      <c r="E2636" t="inlineStr">
        <is>
          <t>VÄRMDÖ</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32458-2023</t>
        </is>
      </c>
      <c r="B2637" s="1" t="n">
        <v>45120</v>
      </c>
      <c r="C2637" s="1" t="n">
        <v>45571</v>
      </c>
      <c r="D2637" t="inlineStr">
        <is>
          <t>STOCKHOLMS LÄN</t>
        </is>
      </c>
      <c r="E2637" t="inlineStr">
        <is>
          <t>VÄRMDÖ</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32621-2023</t>
        </is>
      </c>
      <c r="B2638" s="1" t="n">
        <v>45121</v>
      </c>
      <c r="C2638" s="1" t="n">
        <v>45571</v>
      </c>
      <c r="D2638" t="inlineStr">
        <is>
          <t>STOCKHOLMS LÄN</t>
        </is>
      </c>
      <c r="E2638" t="inlineStr">
        <is>
          <t>NORRTÄLJE</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32595-2023</t>
        </is>
      </c>
      <c r="B2639" s="1" t="n">
        <v>45121</v>
      </c>
      <c r="C2639" s="1" t="n">
        <v>45571</v>
      </c>
      <c r="D2639" t="inlineStr">
        <is>
          <t>STOCKHOLMS LÄN</t>
        </is>
      </c>
      <c r="E2639" t="inlineStr">
        <is>
          <t>NORRTÄLJE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33792-2023</t>
        </is>
      </c>
      <c r="B2640" s="1" t="n">
        <v>45121</v>
      </c>
      <c r="C2640" s="1" t="n">
        <v>45571</v>
      </c>
      <c r="D2640" t="inlineStr">
        <is>
          <t>STOCKHOLMS LÄN</t>
        </is>
      </c>
      <c r="E2640" t="inlineStr">
        <is>
          <t>HANINGE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32555-2023</t>
        </is>
      </c>
      <c r="B2641" s="1" t="n">
        <v>45121</v>
      </c>
      <c r="C2641" s="1" t="n">
        <v>45571</v>
      </c>
      <c r="D2641" t="inlineStr">
        <is>
          <t>STOCKHOLMS LÄN</t>
        </is>
      </c>
      <c r="E2641" t="inlineStr">
        <is>
          <t>NYKVARN</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33958-2023</t>
        </is>
      </c>
      <c r="B2642" s="1" t="n">
        <v>45124</v>
      </c>
      <c r="C2642" s="1" t="n">
        <v>45571</v>
      </c>
      <c r="D2642" t="inlineStr">
        <is>
          <t>STOCKHOLMS LÄN</t>
        </is>
      </c>
      <c r="E2642" t="inlineStr">
        <is>
          <t>VÄRMDÖ</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32948-2023</t>
        </is>
      </c>
      <c r="B2643" s="1" t="n">
        <v>45125</v>
      </c>
      <c r="C2643" s="1" t="n">
        <v>45571</v>
      </c>
      <c r="D2643" t="inlineStr">
        <is>
          <t>STOCKHOLMS LÄN</t>
        </is>
      </c>
      <c r="E2643" t="inlineStr">
        <is>
          <t>NORRTÄLJE</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32917-2023</t>
        </is>
      </c>
      <c r="B2644" s="1" t="n">
        <v>45125</v>
      </c>
      <c r="C2644" s="1" t="n">
        <v>45571</v>
      </c>
      <c r="D2644" t="inlineStr">
        <is>
          <t>STOCKHOLMS LÄN</t>
        </is>
      </c>
      <c r="E2644" t="inlineStr">
        <is>
          <t>NYNÄSHAMN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33025-2023</t>
        </is>
      </c>
      <c r="B2645" s="1" t="n">
        <v>45125</v>
      </c>
      <c r="C2645" s="1" t="n">
        <v>45571</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33130-2023</t>
        </is>
      </c>
      <c r="B2646" s="1" t="n">
        <v>45126</v>
      </c>
      <c r="C2646" s="1" t="n">
        <v>45571</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33164-2023</t>
        </is>
      </c>
      <c r="B2647" s="1" t="n">
        <v>45126</v>
      </c>
      <c r="C2647" s="1" t="n">
        <v>45571</v>
      </c>
      <c r="D2647" t="inlineStr">
        <is>
          <t>STOCKHOLMS LÄN</t>
        </is>
      </c>
      <c r="E2647" t="inlineStr">
        <is>
          <t>VÄRMDÖ</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33167-2023</t>
        </is>
      </c>
      <c r="B2648" s="1" t="n">
        <v>45126</v>
      </c>
      <c r="C2648" s="1" t="n">
        <v>45571</v>
      </c>
      <c r="D2648" t="inlineStr">
        <is>
          <t>STOCKHOLMS LÄN</t>
        </is>
      </c>
      <c r="E2648" t="inlineStr">
        <is>
          <t>VÄRMDÖ</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34171-2023</t>
        </is>
      </c>
      <c r="B2649" s="1" t="n">
        <v>45126</v>
      </c>
      <c r="C2649" s="1" t="n">
        <v>45571</v>
      </c>
      <c r="D2649" t="inlineStr">
        <is>
          <t>STOCKHOLMS LÄN</t>
        </is>
      </c>
      <c r="E2649" t="inlineStr">
        <is>
          <t>HANINGE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33295-2023</t>
        </is>
      </c>
      <c r="B2650" s="1" t="n">
        <v>45127</v>
      </c>
      <c r="C2650" s="1" t="n">
        <v>45571</v>
      </c>
      <c r="D2650" t="inlineStr">
        <is>
          <t>STOCKHOLMS LÄN</t>
        </is>
      </c>
      <c r="E2650" t="inlineStr">
        <is>
          <t>NORRTÄLJE</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33270-2023</t>
        </is>
      </c>
      <c r="B2651" s="1" t="n">
        <v>45127</v>
      </c>
      <c r="C2651" s="1" t="n">
        <v>45571</v>
      </c>
      <c r="D2651" t="inlineStr">
        <is>
          <t>STOCKHOLMS LÄN</t>
        </is>
      </c>
      <c r="E2651" t="inlineStr">
        <is>
          <t>NORRTÄLJE</t>
        </is>
      </c>
      <c r="F2651" t="inlineStr">
        <is>
          <t>Holmen skog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33226-2023</t>
        </is>
      </c>
      <c r="B2652" s="1" t="n">
        <v>45127</v>
      </c>
      <c r="C2652" s="1" t="n">
        <v>45571</v>
      </c>
      <c r="D2652" t="inlineStr">
        <is>
          <t>STOCKHOLMS LÄN</t>
        </is>
      </c>
      <c r="E2652" t="inlineStr">
        <is>
          <t>NORRTÄLJE</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33243-2023</t>
        </is>
      </c>
      <c r="B2653" s="1" t="n">
        <v>45127</v>
      </c>
      <c r="C2653" s="1" t="n">
        <v>45571</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33291-2023</t>
        </is>
      </c>
      <c r="B2654" s="1" t="n">
        <v>45127</v>
      </c>
      <c r="C2654" s="1" t="n">
        <v>45571</v>
      </c>
      <c r="D2654" t="inlineStr">
        <is>
          <t>STOCKHOLMS LÄN</t>
        </is>
      </c>
      <c r="E2654" t="inlineStr">
        <is>
          <t>NORRTÄLJE</t>
        </is>
      </c>
      <c r="F2654" t="inlineStr">
        <is>
          <t>Holmen skog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33353-2023</t>
        </is>
      </c>
      <c r="B2655" s="1" t="n">
        <v>45128</v>
      </c>
      <c r="C2655" s="1" t="n">
        <v>45571</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33529-2023</t>
        </is>
      </c>
      <c r="B2656" s="1" t="n">
        <v>45131</v>
      </c>
      <c r="C2656" s="1" t="n">
        <v>45571</v>
      </c>
      <c r="D2656" t="inlineStr">
        <is>
          <t>STOCKHOLMS LÄN</t>
        </is>
      </c>
      <c r="E2656" t="inlineStr">
        <is>
          <t>NYNÄSHAMN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33569-2023</t>
        </is>
      </c>
      <c r="B2657" s="1" t="n">
        <v>45131</v>
      </c>
      <c r="C2657" s="1" t="n">
        <v>45571</v>
      </c>
      <c r="D2657" t="inlineStr">
        <is>
          <t>STOCKHOLMS LÄN</t>
        </is>
      </c>
      <c r="E2657" t="inlineStr">
        <is>
          <t>NORRTÄLJE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33646-2023</t>
        </is>
      </c>
      <c r="B2658" s="1" t="n">
        <v>45132</v>
      </c>
      <c r="C2658" s="1" t="n">
        <v>45571</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33641-2023</t>
        </is>
      </c>
      <c r="B2659" s="1" t="n">
        <v>45132</v>
      </c>
      <c r="C2659" s="1" t="n">
        <v>45571</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34085-2023</t>
        </is>
      </c>
      <c r="B2660" s="1" t="n">
        <v>45135</v>
      </c>
      <c r="C2660" s="1" t="n">
        <v>45571</v>
      </c>
      <c r="D2660" t="inlineStr">
        <is>
          <t>STOCKHOLMS LÄN</t>
        </is>
      </c>
      <c r="E2660" t="inlineStr">
        <is>
          <t>NORRTÄLJE</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34073-2023</t>
        </is>
      </c>
      <c r="B2661" s="1" t="n">
        <v>45135</v>
      </c>
      <c r="C2661" s="1" t="n">
        <v>45571</v>
      </c>
      <c r="D2661" t="inlineStr">
        <is>
          <t>STOCKHOLMS LÄN</t>
        </is>
      </c>
      <c r="E2661" t="inlineStr">
        <is>
          <t>VALLENTUNA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34078-2023</t>
        </is>
      </c>
      <c r="B2662" s="1" t="n">
        <v>45135</v>
      </c>
      <c r="C2662" s="1" t="n">
        <v>45571</v>
      </c>
      <c r="D2662" t="inlineStr">
        <is>
          <t>STOCKHOLMS LÄN</t>
        </is>
      </c>
      <c r="E2662" t="inlineStr">
        <is>
          <t>VALLENTUNA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34084-2023</t>
        </is>
      </c>
      <c r="B2663" s="1" t="n">
        <v>45135</v>
      </c>
      <c r="C2663" s="1" t="n">
        <v>45571</v>
      </c>
      <c r="D2663" t="inlineStr">
        <is>
          <t>STOCKHOLMS LÄN</t>
        </is>
      </c>
      <c r="E2663" t="inlineStr">
        <is>
          <t>NORRTÄLJE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34132-2023</t>
        </is>
      </c>
      <c r="B2664" s="1" t="n">
        <v>45135</v>
      </c>
      <c r="C2664" s="1" t="n">
        <v>45571</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34385-2023</t>
        </is>
      </c>
      <c r="B2665" s="1" t="n">
        <v>45139</v>
      </c>
      <c r="C2665" s="1" t="n">
        <v>45571</v>
      </c>
      <c r="D2665" t="inlineStr">
        <is>
          <t>STOCKHOLMS LÄN</t>
        </is>
      </c>
      <c r="E2665" t="inlineStr">
        <is>
          <t>NYNÄSHAMN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34391-2023</t>
        </is>
      </c>
      <c r="B2666" s="1" t="n">
        <v>45139</v>
      </c>
      <c r="C2666" s="1" t="n">
        <v>45571</v>
      </c>
      <c r="D2666" t="inlineStr">
        <is>
          <t>STOCKHOLMS LÄN</t>
        </is>
      </c>
      <c r="E2666" t="inlineStr">
        <is>
          <t>NORRTÄLJE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34461-2023</t>
        </is>
      </c>
      <c r="B2667" s="1" t="n">
        <v>45139</v>
      </c>
      <c r="C2667" s="1" t="n">
        <v>45571</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34441-2023</t>
        </is>
      </c>
      <c r="B2668" s="1" t="n">
        <v>45139</v>
      </c>
      <c r="C2668" s="1" t="n">
        <v>45571</v>
      </c>
      <c r="D2668" t="inlineStr">
        <is>
          <t>STOCKHOLMS LÄN</t>
        </is>
      </c>
      <c r="E2668" t="inlineStr">
        <is>
          <t>VALLENTUNA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34445-2023</t>
        </is>
      </c>
      <c r="B2669" s="1" t="n">
        <v>45139</v>
      </c>
      <c r="C2669" s="1" t="n">
        <v>45571</v>
      </c>
      <c r="D2669" t="inlineStr">
        <is>
          <t>STOCKHOLMS LÄN</t>
        </is>
      </c>
      <c r="E2669" t="inlineStr">
        <is>
          <t>VALLENTUNA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34458-2023</t>
        </is>
      </c>
      <c r="B2670" s="1" t="n">
        <v>45139</v>
      </c>
      <c r="C2670" s="1" t="n">
        <v>45571</v>
      </c>
      <c r="D2670" t="inlineStr">
        <is>
          <t>STOCKHOLMS LÄN</t>
        </is>
      </c>
      <c r="E2670" t="inlineStr">
        <is>
          <t>VALLENTUNA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34462-2023</t>
        </is>
      </c>
      <c r="B2671" s="1" t="n">
        <v>45139</v>
      </c>
      <c r="C2671" s="1" t="n">
        <v>45571</v>
      </c>
      <c r="D2671" t="inlineStr">
        <is>
          <t>STOCKHOLMS LÄN</t>
        </is>
      </c>
      <c r="E2671" t="inlineStr">
        <is>
          <t>NORRTÄLJE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34460-2023</t>
        </is>
      </c>
      <c r="B2672" s="1" t="n">
        <v>45139</v>
      </c>
      <c r="C2672" s="1" t="n">
        <v>45571</v>
      </c>
      <c r="D2672" t="inlineStr">
        <is>
          <t>STOCKHOLMS LÄN</t>
        </is>
      </c>
      <c r="E2672" t="inlineStr">
        <is>
          <t>VALLENTUNA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34660-2023</t>
        </is>
      </c>
      <c r="B2673" s="1" t="n">
        <v>45140</v>
      </c>
      <c r="C2673" s="1" t="n">
        <v>45571</v>
      </c>
      <c r="D2673" t="inlineStr">
        <is>
          <t>STOCKHOLMS LÄN</t>
        </is>
      </c>
      <c r="E2673" t="inlineStr">
        <is>
          <t>NYNÄSHAMN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34791-2023</t>
        </is>
      </c>
      <c r="B2674" s="1" t="n">
        <v>45141</v>
      </c>
      <c r="C2674" s="1" t="n">
        <v>45571</v>
      </c>
      <c r="D2674" t="inlineStr">
        <is>
          <t>STOCKHOLMS LÄN</t>
        </is>
      </c>
      <c r="E2674" t="inlineStr">
        <is>
          <t>VALLENTUNA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34825-2023</t>
        </is>
      </c>
      <c r="B2675" s="1" t="n">
        <v>45141</v>
      </c>
      <c r="C2675" s="1" t="n">
        <v>45571</v>
      </c>
      <c r="D2675" t="inlineStr">
        <is>
          <t>STOCKHOLMS LÄN</t>
        </is>
      </c>
      <c r="E2675" t="inlineStr">
        <is>
          <t>NORRTÄLJE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34880-2023</t>
        </is>
      </c>
      <c r="B2676" s="1" t="n">
        <v>45141</v>
      </c>
      <c r="C2676" s="1" t="n">
        <v>45571</v>
      </c>
      <c r="D2676" t="inlineStr">
        <is>
          <t>STOCKHOLMS LÄN</t>
        </is>
      </c>
      <c r="E2676" t="inlineStr">
        <is>
          <t>VAXHOLM</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35113-2023</t>
        </is>
      </c>
      <c r="B2677" s="1" t="n">
        <v>45145</v>
      </c>
      <c r="C2677" s="1" t="n">
        <v>45571</v>
      </c>
      <c r="D2677" t="inlineStr">
        <is>
          <t>STOCKHOLMS LÄN</t>
        </is>
      </c>
      <c r="E2677" t="inlineStr">
        <is>
          <t>SÖDERTÄLJE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35145-2023</t>
        </is>
      </c>
      <c r="B2678" s="1" t="n">
        <v>45145</v>
      </c>
      <c r="C2678" s="1" t="n">
        <v>45571</v>
      </c>
      <c r="D2678" t="inlineStr">
        <is>
          <t>STOCKHOLMS LÄN</t>
        </is>
      </c>
      <c r="E2678" t="inlineStr">
        <is>
          <t>SÖDERTÄLJE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35215-2023</t>
        </is>
      </c>
      <c r="B2679" s="1" t="n">
        <v>45145</v>
      </c>
      <c r="C2679" s="1" t="n">
        <v>45571</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35219-2023</t>
        </is>
      </c>
      <c r="B2680" s="1" t="n">
        <v>45145</v>
      </c>
      <c r="C2680" s="1" t="n">
        <v>45571</v>
      </c>
      <c r="D2680" t="inlineStr">
        <is>
          <t>STOCKHOLMS LÄN</t>
        </is>
      </c>
      <c r="E2680" t="inlineStr">
        <is>
          <t>NORRTÄLJE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35127-2023</t>
        </is>
      </c>
      <c r="B2681" s="1" t="n">
        <v>45145</v>
      </c>
      <c r="C2681" s="1" t="n">
        <v>45571</v>
      </c>
      <c r="D2681" t="inlineStr">
        <is>
          <t>STOCKHOLMS LÄN</t>
        </is>
      </c>
      <c r="E2681" t="inlineStr">
        <is>
          <t>NORRTÄLJE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35131-2023</t>
        </is>
      </c>
      <c r="B2682" s="1" t="n">
        <v>45145</v>
      </c>
      <c r="C2682" s="1" t="n">
        <v>45571</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35200-2023</t>
        </is>
      </c>
      <c r="B2683" s="1" t="n">
        <v>45145</v>
      </c>
      <c r="C2683" s="1" t="n">
        <v>45571</v>
      </c>
      <c r="D2683" t="inlineStr">
        <is>
          <t>STOCKHOLMS LÄN</t>
        </is>
      </c>
      <c r="E2683" t="inlineStr">
        <is>
          <t>SÖDERTÄLJE</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35128-2023</t>
        </is>
      </c>
      <c r="B2684" s="1" t="n">
        <v>45145</v>
      </c>
      <c r="C2684" s="1" t="n">
        <v>45571</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35210-2023</t>
        </is>
      </c>
      <c r="B2685" s="1" t="n">
        <v>45145</v>
      </c>
      <c r="C2685" s="1" t="n">
        <v>45571</v>
      </c>
      <c r="D2685" t="inlineStr">
        <is>
          <t>STOCKHOLMS LÄN</t>
        </is>
      </c>
      <c r="E2685" t="inlineStr">
        <is>
          <t>NORRTÄLJE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35356-2023</t>
        </is>
      </c>
      <c r="B2686" s="1" t="n">
        <v>45146</v>
      </c>
      <c r="C2686" s="1" t="n">
        <v>45571</v>
      </c>
      <c r="D2686" t="inlineStr">
        <is>
          <t>STOCKHOLMS LÄN</t>
        </is>
      </c>
      <c r="E2686" t="inlineStr">
        <is>
          <t>NYNÄSHAMN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35418-2023</t>
        </is>
      </c>
      <c r="B2687" s="1" t="n">
        <v>45146</v>
      </c>
      <c r="C2687" s="1" t="n">
        <v>45571</v>
      </c>
      <c r="D2687" t="inlineStr">
        <is>
          <t>STOCKHOLMS LÄN</t>
        </is>
      </c>
      <c r="E2687" t="inlineStr">
        <is>
          <t>SÖDERTÄLJE</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35438-2023</t>
        </is>
      </c>
      <c r="B2688" s="1" t="n">
        <v>45146</v>
      </c>
      <c r="C2688" s="1" t="n">
        <v>45571</v>
      </c>
      <c r="D2688" t="inlineStr">
        <is>
          <t>STOCKHOLMS LÄN</t>
        </is>
      </c>
      <c r="E2688" t="inlineStr">
        <is>
          <t>NORRTÄLJE</t>
        </is>
      </c>
      <c r="F2688" t="inlineStr">
        <is>
          <t>Kommuner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35541-2023</t>
        </is>
      </c>
      <c r="B2689" s="1" t="n">
        <v>45147</v>
      </c>
      <c r="C2689" s="1" t="n">
        <v>45571</v>
      </c>
      <c r="D2689" t="inlineStr">
        <is>
          <t>STOCKHOLMS LÄN</t>
        </is>
      </c>
      <c r="E2689" t="inlineStr">
        <is>
          <t>VALLENTUNA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35563-2023</t>
        </is>
      </c>
      <c r="B2690" s="1" t="n">
        <v>45147</v>
      </c>
      <c r="C2690" s="1" t="n">
        <v>45571</v>
      </c>
      <c r="D2690" t="inlineStr">
        <is>
          <t>STOCKHOLMS LÄN</t>
        </is>
      </c>
      <c r="E2690" t="inlineStr">
        <is>
          <t>VALLENTUNA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35698-2023</t>
        </is>
      </c>
      <c r="B2691" s="1" t="n">
        <v>45147</v>
      </c>
      <c r="C2691" s="1" t="n">
        <v>45571</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35702-2023</t>
        </is>
      </c>
      <c r="B2692" s="1" t="n">
        <v>45147</v>
      </c>
      <c r="C2692" s="1" t="n">
        <v>45571</v>
      </c>
      <c r="D2692" t="inlineStr">
        <is>
          <t>STOCKHOLMS LÄN</t>
        </is>
      </c>
      <c r="E2692" t="inlineStr">
        <is>
          <t>NORRTÄLJE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35691-2023</t>
        </is>
      </c>
      <c r="B2693" s="1" t="n">
        <v>45147</v>
      </c>
      <c r="C2693" s="1" t="n">
        <v>45571</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35695-2023</t>
        </is>
      </c>
      <c r="B2694" s="1" t="n">
        <v>45147</v>
      </c>
      <c r="C2694" s="1" t="n">
        <v>45571</v>
      </c>
      <c r="D2694" t="inlineStr">
        <is>
          <t>STOCKHOLMS LÄN</t>
        </is>
      </c>
      <c r="E2694" t="inlineStr">
        <is>
          <t>NORRTÄLJE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35696-2023</t>
        </is>
      </c>
      <c r="B2695" s="1" t="n">
        <v>45147</v>
      </c>
      <c r="C2695" s="1" t="n">
        <v>45571</v>
      </c>
      <c r="D2695" t="inlineStr">
        <is>
          <t>STOCKHOLMS LÄN</t>
        </is>
      </c>
      <c r="E2695" t="inlineStr">
        <is>
          <t>NORRTÄLJE</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35700-2023</t>
        </is>
      </c>
      <c r="B2696" s="1" t="n">
        <v>45147</v>
      </c>
      <c r="C2696" s="1" t="n">
        <v>45571</v>
      </c>
      <c r="D2696" t="inlineStr">
        <is>
          <t>STOCKHOLMS LÄN</t>
        </is>
      </c>
      <c r="E2696" t="inlineStr">
        <is>
          <t>NORRTÄLJE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35704-2023</t>
        </is>
      </c>
      <c r="B2697" s="1" t="n">
        <v>45147</v>
      </c>
      <c r="C2697" s="1" t="n">
        <v>45571</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35693-2023</t>
        </is>
      </c>
      <c r="B2698" s="1" t="n">
        <v>45147</v>
      </c>
      <c r="C2698" s="1" t="n">
        <v>45571</v>
      </c>
      <c r="D2698" t="inlineStr">
        <is>
          <t>STOCKHOLMS LÄN</t>
        </is>
      </c>
      <c r="E2698" t="inlineStr">
        <is>
          <t>NORRTÄLJE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35701-2023</t>
        </is>
      </c>
      <c r="B2699" s="1" t="n">
        <v>45147</v>
      </c>
      <c r="C2699" s="1" t="n">
        <v>45571</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35838-2023</t>
        </is>
      </c>
      <c r="B2700" s="1" t="n">
        <v>45147</v>
      </c>
      <c r="C2700" s="1" t="n">
        <v>45571</v>
      </c>
      <c r="D2700" t="inlineStr">
        <is>
          <t>STOCKHOLMS LÄN</t>
        </is>
      </c>
      <c r="E2700" t="inlineStr">
        <is>
          <t>VAXHOLM</t>
        </is>
      </c>
      <c r="F2700" t="inlineStr">
        <is>
          <t>Övriga statliga verk och myndigheter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35823-2023</t>
        </is>
      </c>
      <c r="B2701" s="1" t="n">
        <v>45148</v>
      </c>
      <c r="C2701" s="1" t="n">
        <v>45571</v>
      </c>
      <c r="D2701" t="inlineStr">
        <is>
          <t>STOCKHOLMS LÄN</t>
        </is>
      </c>
      <c r="E2701" t="inlineStr">
        <is>
          <t>NORRTÄLJE</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35955-2023</t>
        </is>
      </c>
      <c r="B2702" s="1" t="n">
        <v>45148</v>
      </c>
      <c r="C2702" s="1" t="n">
        <v>45571</v>
      </c>
      <c r="D2702" t="inlineStr">
        <is>
          <t>STOCKHOLMS LÄN</t>
        </is>
      </c>
      <c r="E2702" t="inlineStr">
        <is>
          <t>EKERÖ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36056-2023</t>
        </is>
      </c>
      <c r="B2703" s="1" t="n">
        <v>45149</v>
      </c>
      <c r="C2703" s="1" t="n">
        <v>45571</v>
      </c>
      <c r="D2703" t="inlineStr">
        <is>
          <t>STOCKHOLMS LÄN</t>
        </is>
      </c>
      <c r="E2703" t="inlineStr">
        <is>
          <t>NYNÄSHAMN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36060-2023</t>
        </is>
      </c>
      <c r="B2704" s="1" t="n">
        <v>45149</v>
      </c>
      <c r="C2704" s="1" t="n">
        <v>45571</v>
      </c>
      <c r="D2704" t="inlineStr">
        <is>
          <t>STOCKHOLMS LÄN</t>
        </is>
      </c>
      <c r="E2704" t="inlineStr">
        <is>
          <t>NYNÄSHAMN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36148-2023</t>
        </is>
      </c>
      <c r="B2705" s="1" t="n">
        <v>45149</v>
      </c>
      <c r="C2705" s="1" t="n">
        <v>45571</v>
      </c>
      <c r="D2705" t="inlineStr">
        <is>
          <t>STOCKHOLMS LÄN</t>
        </is>
      </c>
      <c r="E2705" t="inlineStr">
        <is>
          <t>VÄRMDÖ</t>
        </is>
      </c>
      <c r="F2705" t="inlineStr">
        <is>
          <t>Övriga statliga verk och myndigheter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36052-2023</t>
        </is>
      </c>
      <c r="B2706" s="1" t="n">
        <v>45149</v>
      </c>
      <c r="C2706" s="1" t="n">
        <v>45571</v>
      </c>
      <c r="D2706" t="inlineStr">
        <is>
          <t>STOCKHOLMS LÄN</t>
        </is>
      </c>
      <c r="E2706" t="inlineStr">
        <is>
          <t>NYNÄSHAMN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36253-2023</t>
        </is>
      </c>
      <c r="B2707" s="1" t="n">
        <v>45151</v>
      </c>
      <c r="C2707" s="1" t="n">
        <v>45571</v>
      </c>
      <c r="D2707" t="inlineStr">
        <is>
          <t>STOCKHOLMS LÄN</t>
        </is>
      </c>
      <c r="E2707" t="inlineStr">
        <is>
          <t>NORRTÄLJE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36257-2023</t>
        </is>
      </c>
      <c r="B2708" s="1" t="n">
        <v>45151</v>
      </c>
      <c r="C2708" s="1" t="n">
        <v>45571</v>
      </c>
      <c r="D2708" t="inlineStr">
        <is>
          <t>STOCKHOLMS LÄN</t>
        </is>
      </c>
      <c r="E2708" t="inlineStr">
        <is>
          <t>NORRTÄLJE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36259-2023</t>
        </is>
      </c>
      <c r="B2709" s="1" t="n">
        <v>45151</v>
      </c>
      <c r="C2709" s="1" t="n">
        <v>45571</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36254-2023</t>
        </is>
      </c>
      <c r="B2710" s="1" t="n">
        <v>45151</v>
      </c>
      <c r="C2710" s="1" t="n">
        <v>45571</v>
      </c>
      <c r="D2710" t="inlineStr">
        <is>
          <t>STOCKHOLMS LÄN</t>
        </is>
      </c>
      <c r="E2710" t="inlineStr">
        <is>
          <t>NORRTÄLJE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36258-2023</t>
        </is>
      </c>
      <c r="B2711" s="1" t="n">
        <v>45151</v>
      </c>
      <c r="C2711" s="1" t="n">
        <v>45571</v>
      </c>
      <c r="D2711" t="inlineStr">
        <is>
          <t>STOCKHOLMS LÄN</t>
        </is>
      </c>
      <c r="E2711" t="inlineStr">
        <is>
          <t>NORRTÄLJE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36467-2023</t>
        </is>
      </c>
      <c r="B2712" s="1" t="n">
        <v>45152</v>
      </c>
      <c r="C2712" s="1" t="n">
        <v>45571</v>
      </c>
      <c r="D2712" t="inlineStr">
        <is>
          <t>STOCKHOLMS LÄN</t>
        </is>
      </c>
      <c r="E2712" t="inlineStr">
        <is>
          <t>SALEM</t>
        </is>
      </c>
      <c r="F2712" t="inlineStr">
        <is>
          <t>Kommuner</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36402-2023</t>
        </is>
      </c>
      <c r="B2713" s="1" t="n">
        <v>45152</v>
      </c>
      <c r="C2713" s="1" t="n">
        <v>45571</v>
      </c>
      <c r="D2713" t="inlineStr">
        <is>
          <t>STOCKHOLMS LÄN</t>
        </is>
      </c>
      <c r="E2713" t="inlineStr">
        <is>
          <t>BOTKYRKA</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36689-2023</t>
        </is>
      </c>
      <c r="B2714" s="1" t="n">
        <v>45152</v>
      </c>
      <c r="C2714" s="1" t="n">
        <v>45571</v>
      </c>
      <c r="D2714" t="inlineStr">
        <is>
          <t>STOCKHOLMS LÄN</t>
        </is>
      </c>
      <c r="E2714" t="inlineStr">
        <is>
          <t>NORRTÄLJE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36865-2023</t>
        </is>
      </c>
      <c r="B2715" s="1" t="n">
        <v>45154</v>
      </c>
      <c r="C2715" s="1" t="n">
        <v>45571</v>
      </c>
      <c r="D2715" t="inlineStr">
        <is>
          <t>STOCKHOLMS LÄN</t>
        </is>
      </c>
      <c r="E2715" t="inlineStr">
        <is>
          <t>NORRTÄLJE</t>
        </is>
      </c>
      <c r="F2715" t="inlineStr">
        <is>
          <t>Kyrkan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36886-2023</t>
        </is>
      </c>
      <c r="B2716" s="1" t="n">
        <v>45154</v>
      </c>
      <c r="C2716" s="1" t="n">
        <v>45571</v>
      </c>
      <c r="D2716" t="inlineStr">
        <is>
          <t>STOCKHOLMS LÄN</t>
        </is>
      </c>
      <c r="E2716" t="inlineStr">
        <is>
          <t>SÖDERTÄLJE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37037-2023</t>
        </is>
      </c>
      <c r="B2717" s="1" t="n">
        <v>45155</v>
      </c>
      <c r="C2717" s="1" t="n">
        <v>45571</v>
      </c>
      <c r="D2717" t="inlineStr">
        <is>
          <t>STOCKHOLMS LÄN</t>
        </is>
      </c>
      <c r="E2717" t="inlineStr">
        <is>
          <t>ÖSTERÅKER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37139-2023</t>
        </is>
      </c>
      <c r="B2718" s="1" t="n">
        <v>45155</v>
      </c>
      <c r="C2718" s="1" t="n">
        <v>45571</v>
      </c>
      <c r="D2718" t="inlineStr">
        <is>
          <t>STOCKHOLMS LÄN</t>
        </is>
      </c>
      <c r="E2718" t="inlineStr">
        <is>
          <t>NORRTÄLJE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37136-2023</t>
        </is>
      </c>
      <c r="B2719" s="1" t="n">
        <v>45155</v>
      </c>
      <c r="C2719" s="1" t="n">
        <v>45571</v>
      </c>
      <c r="D2719" t="inlineStr">
        <is>
          <t>STOCKHOLMS LÄN</t>
        </is>
      </c>
      <c r="E2719" t="inlineStr">
        <is>
          <t>NORRTÄLJE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37147-2023</t>
        </is>
      </c>
      <c r="B2720" s="1" t="n">
        <v>45155</v>
      </c>
      <c r="C2720" s="1" t="n">
        <v>45571</v>
      </c>
      <c r="D2720" t="inlineStr">
        <is>
          <t>STOCKHOLMS LÄN</t>
        </is>
      </c>
      <c r="E2720" t="inlineStr">
        <is>
          <t>NORRTÄLJE</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37118-2023</t>
        </is>
      </c>
      <c r="B2721" s="1" t="n">
        <v>45155</v>
      </c>
      <c r="C2721" s="1" t="n">
        <v>45571</v>
      </c>
      <c r="D2721" t="inlineStr">
        <is>
          <t>STOCKHOLMS LÄN</t>
        </is>
      </c>
      <c r="E2721" t="inlineStr">
        <is>
          <t>SÖDERTÄLJE</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37459-2023</t>
        </is>
      </c>
      <c r="B2722" s="1" t="n">
        <v>45156</v>
      </c>
      <c r="C2722" s="1" t="n">
        <v>45571</v>
      </c>
      <c r="D2722" t="inlineStr">
        <is>
          <t>STOCKHOLMS LÄN</t>
        </is>
      </c>
      <c r="E2722" t="inlineStr">
        <is>
          <t>ÖSTERÅKER</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37670-2023</t>
        </is>
      </c>
      <c r="B2723" s="1" t="n">
        <v>45159</v>
      </c>
      <c r="C2723" s="1" t="n">
        <v>45571</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38049-2023</t>
        </is>
      </c>
      <c r="B2724" s="1" t="n">
        <v>45159</v>
      </c>
      <c r="C2724" s="1" t="n">
        <v>45571</v>
      </c>
      <c r="D2724" t="inlineStr">
        <is>
          <t>STOCKHOLMS LÄN</t>
        </is>
      </c>
      <c r="E2724" t="inlineStr">
        <is>
          <t>NORRTÄLJE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38276-2023</t>
        </is>
      </c>
      <c r="B2725" s="1" t="n">
        <v>45160</v>
      </c>
      <c r="C2725" s="1" t="n">
        <v>45571</v>
      </c>
      <c r="D2725" t="inlineStr">
        <is>
          <t>STOCKHOLMS LÄN</t>
        </is>
      </c>
      <c r="E2725" t="inlineStr">
        <is>
          <t>SIGTUNA</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38022-2023</t>
        </is>
      </c>
      <c r="B2726" s="1" t="n">
        <v>45160</v>
      </c>
      <c r="C2726" s="1" t="n">
        <v>45571</v>
      </c>
      <c r="D2726" t="inlineStr">
        <is>
          <t>STOCKHOLMS LÄN</t>
        </is>
      </c>
      <c r="E2726" t="inlineStr">
        <is>
          <t>NORRTÄLJE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38078-2023</t>
        </is>
      </c>
      <c r="B2727" s="1" t="n">
        <v>45160</v>
      </c>
      <c r="C2727" s="1" t="n">
        <v>45571</v>
      </c>
      <c r="D2727" t="inlineStr">
        <is>
          <t>STOCKHOLMS LÄN</t>
        </is>
      </c>
      <c r="E2727" t="inlineStr">
        <is>
          <t>NYKVARN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38482-2023</t>
        </is>
      </c>
      <c r="B2728" s="1" t="n">
        <v>45162</v>
      </c>
      <c r="C2728" s="1" t="n">
        <v>45571</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38487-2023</t>
        </is>
      </c>
      <c r="B2729" s="1" t="n">
        <v>45162</v>
      </c>
      <c r="C2729" s="1" t="n">
        <v>45571</v>
      </c>
      <c r="D2729" t="inlineStr">
        <is>
          <t>STOCKHOLMS LÄN</t>
        </is>
      </c>
      <c r="E2729" t="inlineStr">
        <is>
          <t>NORRTÄLJE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38465-2023</t>
        </is>
      </c>
      <c r="B2730" s="1" t="n">
        <v>45162</v>
      </c>
      <c r="C2730" s="1" t="n">
        <v>45571</v>
      </c>
      <c r="D2730" t="inlineStr">
        <is>
          <t>STOCKHOLMS LÄN</t>
        </is>
      </c>
      <c r="E2730" t="inlineStr">
        <is>
          <t>SIGTUNA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38591-2023</t>
        </is>
      </c>
      <c r="B2731" s="1" t="n">
        <v>45162</v>
      </c>
      <c r="C2731" s="1" t="n">
        <v>45571</v>
      </c>
      <c r="D2731" t="inlineStr">
        <is>
          <t>STOCKHOLMS LÄN</t>
        </is>
      </c>
      <c r="E2731" t="inlineStr">
        <is>
          <t>NORRTÄLJE</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39229-2023</t>
        </is>
      </c>
      <c r="B2732" s="1" t="n">
        <v>45166</v>
      </c>
      <c r="C2732" s="1" t="n">
        <v>45571</v>
      </c>
      <c r="D2732" t="inlineStr">
        <is>
          <t>STOCKHOLMS LÄN</t>
        </is>
      </c>
      <c r="E2732" t="inlineStr">
        <is>
          <t>NORRTÄLJE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39394-2023</t>
        </is>
      </c>
      <c r="B2733" s="1" t="n">
        <v>45166</v>
      </c>
      <c r="C2733" s="1" t="n">
        <v>45571</v>
      </c>
      <c r="D2733" t="inlineStr">
        <is>
          <t>STOCKHOLMS LÄN</t>
        </is>
      </c>
      <c r="E2733" t="inlineStr">
        <is>
          <t>ÖSTERÅKER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39398-2023</t>
        </is>
      </c>
      <c r="B2734" s="1" t="n">
        <v>45166</v>
      </c>
      <c r="C2734" s="1" t="n">
        <v>45571</v>
      </c>
      <c r="D2734" t="inlineStr">
        <is>
          <t>STOCKHOLMS LÄN</t>
        </is>
      </c>
      <c r="E2734" t="inlineStr">
        <is>
          <t>ÖSTERÅKER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39295-2023</t>
        </is>
      </c>
      <c r="B2735" s="1" t="n">
        <v>45166</v>
      </c>
      <c r="C2735" s="1" t="n">
        <v>45571</v>
      </c>
      <c r="D2735" t="inlineStr">
        <is>
          <t>STOCKHOLMS LÄN</t>
        </is>
      </c>
      <c r="E2735" t="inlineStr">
        <is>
          <t>SÖDERTÄLJE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39406-2023</t>
        </is>
      </c>
      <c r="B2736" s="1" t="n">
        <v>45166</v>
      </c>
      <c r="C2736" s="1" t="n">
        <v>45571</v>
      </c>
      <c r="D2736" t="inlineStr">
        <is>
          <t>STOCKHOLMS LÄN</t>
        </is>
      </c>
      <c r="E2736" t="inlineStr">
        <is>
          <t>VALLENTUNA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39281-2023</t>
        </is>
      </c>
      <c r="B2737" s="1" t="n">
        <v>45166</v>
      </c>
      <c r="C2737" s="1" t="n">
        <v>45571</v>
      </c>
      <c r="D2737" t="inlineStr">
        <is>
          <t>STOCKHOLMS LÄN</t>
        </is>
      </c>
      <c r="E2737" t="inlineStr">
        <is>
          <t>VALLENTUNA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39296-2023</t>
        </is>
      </c>
      <c r="B2738" s="1" t="n">
        <v>45166</v>
      </c>
      <c r="C2738" s="1" t="n">
        <v>45571</v>
      </c>
      <c r="D2738" t="inlineStr">
        <is>
          <t>STOCKHOLMS LÄN</t>
        </is>
      </c>
      <c r="E2738" t="inlineStr">
        <is>
          <t>SÖDERTÄLJE</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39763-2023</t>
        </is>
      </c>
      <c r="B2739" s="1" t="n">
        <v>45167</v>
      </c>
      <c r="C2739" s="1" t="n">
        <v>45571</v>
      </c>
      <c r="D2739" t="inlineStr">
        <is>
          <t>STOCKHOLMS LÄN</t>
        </is>
      </c>
      <c r="E2739" t="inlineStr">
        <is>
          <t>BOTKYRKA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39533-2023</t>
        </is>
      </c>
      <c r="B2740" s="1" t="n">
        <v>45167</v>
      </c>
      <c r="C2740" s="1" t="n">
        <v>45571</v>
      </c>
      <c r="D2740" t="inlineStr">
        <is>
          <t>STOCKHOLMS LÄN</t>
        </is>
      </c>
      <c r="E2740" t="inlineStr">
        <is>
          <t>NYKVARN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39539-2023</t>
        </is>
      </c>
      <c r="B2741" s="1" t="n">
        <v>45167</v>
      </c>
      <c r="C2741" s="1" t="n">
        <v>45571</v>
      </c>
      <c r="D2741" t="inlineStr">
        <is>
          <t>STOCKHOLMS LÄN</t>
        </is>
      </c>
      <c r="E2741" t="inlineStr">
        <is>
          <t>NYKVARN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39726-2023</t>
        </is>
      </c>
      <c r="B2742" s="1" t="n">
        <v>45167</v>
      </c>
      <c r="C2742" s="1" t="n">
        <v>45571</v>
      </c>
      <c r="D2742" t="inlineStr">
        <is>
          <t>STOCKHOLMS LÄN</t>
        </is>
      </c>
      <c r="E2742" t="inlineStr">
        <is>
          <t>NYKVARN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39879-2023</t>
        </is>
      </c>
      <c r="B2743" s="1" t="n">
        <v>45168</v>
      </c>
      <c r="C2743" s="1" t="n">
        <v>45571</v>
      </c>
      <c r="D2743" t="inlineStr">
        <is>
          <t>STOCKHOLMS LÄN</t>
        </is>
      </c>
      <c r="E2743" t="inlineStr">
        <is>
          <t>NORRTÄLJE</t>
        </is>
      </c>
      <c r="F2743" t="inlineStr">
        <is>
          <t>Holmen skog AB</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39905-2023</t>
        </is>
      </c>
      <c r="B2744" s="1" t="n">
        <v>45168</v>
      </c>
      <c r="C2744" s="1" t="n">
        <v>45571</v>
      </c>
      <c r="D2744" t="inlineStr">
        <is>
          <t>STOCKHOLMS LÄN</t>
        </is>
      </c>
      <c r="E2744" t="inlineStr">
        <is>
          <t>NORRTÄLJE</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40030-2023</t>
        </is>
      </c>
      <c r="B2745" s="1" t="n">
        <v>45168</v>
      </c>
      <c r="C2745" s="1" t="n">
        <v>45571</v>
      </c>
      <c r="D2745" t="inlineStr">
        <is>
          <t>STOCKHOLMS LÄN</t>
        </is>
      </c>
      <c r="E2745" t="inlineStr">
        <is>
          <t>NYKVARN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40168-2023</t>
        </is>
      </c>
      <c r="B2746" s="1" t="n">
        <v>45169</v>
      </c>
      <c r="C2746" s="1" t="n">
        <v>45571</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40139-2023</t>
        </is>
      </c>
      <c r="B2747" s="1" t="n">
        <v>45169</v>
      </c>
      <c r="C2747" s="1" t="n">
        <v>45571</v>
      </c>
      <c r="D2747" t="inlineStr">
        <is>
          <t>STOCKHOLMS LÄN</t>
        </is>
      </c>
      <c r="E2747" t="inlineStr">
        <is>
          <t>NORRTÄLJE</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40192-2023</t>
        </is>
      </c>
      <c r="B2748" s="1" t="n">
        <v>45169</v>
      </c>
      <c r="C2748" s="1" t="n">
        <v>45571</v>
      </c>
      <c r="D2748" t="inlineStr">
        <is>
          <t>STOCKHOLMS LÄN</t>
        </is>
      </c>
      <c r="E2748" t="inlineStr">
        <is>
          <t>NORRTÄLJE</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40161-2023</t>
        </is>
      </c>
      <c r="B2749" s="1" t="n">
        <v>45169</v>
      </c>
      <c r="C2749" s="1" t="n">
        <v>45571</v>
      </c>
      <c r="D2749" t="inlineStr">
        <is>
          <t>STOCKHOLMS LÄN</t>
        </is>
      </c>
      <c r="E2749" t="inlineStr">
        <is>
          <t>NORRTÄLJE</t>
        </is>
      </c>
      <c r="F2749" t="inlineStr">
        <is>
          <t>Kyrkan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40190-2023</t>
        </is>
      </c>
      <c r="B2750" s="1" t="n">
        <v>45169</v>
      </c>
      <c r="C2750" s="1" t="n">
        <v>45571</v>
      </c>
      <c r="D2750" t="inlineStr">
        <is>
          <t>STOCKHOLMS LÄN</t>
        </is>
      </c>
      <c r="E2750" t="inlineStr">
        <is>
          <t>NORRTÄLJE</t>
        </is>
      </c>
      <c r="F2750" t="inlineStr">
        <is>
          <t>Kyrkan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40711-2023</t>
        </is>
      </c>
      <c r="B2751" s="1" t="n">
        <v>45169</v>
      </c>
      <c r="C2751" s="1" t="n">
        <v>45571</v>
      </c>
      <c r="D2751" t="inlineStr">
        <is>
          <t>STOCKHOLMS LÄN</t>
        </is>
      </c>
      <c r="E2751" t="inlineStr">
        <is>
          <t>SALEM</t>
        </is>
      </c>
      <c r="F2751" t="inlineStr">
        <is>
          <t>Kommuner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40379-2023</t>
        </is>
      </c>
      <c r="B2752" s="1" t="n">
        <v>45169</v>
      </c>
      <c r="C2752" s="1" t="n">
        <v>45571</v>
      </c>
      <c r="D2752" t="inlineStr">
        <is>
          <t>STOCKHOLMS LÄN</t>
        </is>
      </c>
      <c r="E2752" t="inlineStr">
        <is>
          <t>NORRTÄLJE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40717-2023</t>
        </is>
      </c>
      <c r="B2753" s="1" t="n">
        <v>45169</v>
      </c>
      <c r="C2753" s="1" t="n">
        <v>45571</v>
      </c>
      <c r="D2753" t="inlineStr">
        <is>
          <t>STOCKHOLMS LÄN</t>
        </is>
      </c>
      <c r="E2753" t="inlineStr">
        <is>
          <t>SALEM</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40338-2023</t>
        </is>
      </c>
      <c r="B2754" s="1" t="n">
        <v>45169</v>
      </c>
      <c r="C2754" s="1" t="n">
        <v>45571</v>
      </c>
      <c r="D2754" t="inlineStr">
        <is>
          <t>STOCKHOLMS LÄN</t>
        </is>
      </c>
      <c r="E2754" t="inlineStr">
        <is>
          <t>SIGTUNA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40597-2023</t>
        </is>
      </c>
      <c r="B2755" s="1" t="n">
        <v>45170</v>
      </c>
      <c r="C2755" s="1" t="n">
        <v>45571</v>
      </c>
      <c r="D2755" t="inlineStr">
        <is>
          <t>STOCKHOLMS LÄN</t>
        </is>
      </c>
      <c r="E2755" t="inlineStr">
        <is>
          <t>VÄRMDÖ</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40603-2023</t>
        </is>
      </c>
      <c r="B2756" s="1" t="n">
        <v>45170</v>
      </c>
      <c r="C2756" s="1" t="n">
        <v>45571</v>
      </c>
      <c r="D2756" t="inlineStr">
        <is>
          <t>STOCKHOLMS LÄN</t>
        </is>
      </c>
      <c r="E2756" t="inlineStr">
        <is>
          <t>SÖDERTÄLJE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41172-2023</t>
        </is>
      </c>
      <c r="B2757" s="1" t="n">
        <v>45170</v>
      </c>
      <c r="C2757" s="1" t="n">
        <v>45571</v>
      </c>
      <c r="D2757" t="inlineStr">
        <is>
          <t>STOCKHOLMS LÄN</t>
        </is>
      </c>
      <c r="E2757" t="inlineStr">
        <is>
          <t>NORRTÄLJE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40995-2023</t>
        </is>
      </c>
      <c r="B2758" s="1" t="n">
        <v>45173</v>
      </c>
      <c r="C2758" s="1" t="n">
        <v>45571</v>
      </c>
      <c r="D2758" t="inlineStr">
        <is>
          <t>STOCKHOLMS LÄN</t>
        </is>
      </c>
      <c r="E2758" t="inlineStr">
        <is>
          <t>NORRTÄLJE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41049-2023</t>
        </is>
      </c>
      <c r="B2759" s="1" t="n">
        <v>45173</v>
      </c>
      <c r="C2759" s="1" t="n">
        <v>45571</v>
      </c>
      <c r="D2759" t="inlineStr">
        <is>
          <t>STOCKHOLMS LÄN</t>
        </is>
      </c>
      <c r="E2759" t="inlineStr">
        <is>
          <t>NYNÄSHAMN</t>
        </is>
      </c>
      <c r="F2759" t="inlineStr">
        <is>
          <t>Kyrkan</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40978-2023</t>
        </is>
      </c>
      <c r="B2760" s="1" t="n">
        <v>45173</v>
      </c>
      <c r="C2760" s="1" t="n">
        <v>45571</v>
      </c>
      <c r="D2760" t="inlineStr">
        <is>
          <t>STOCKHOLMS LÄN</t>
        </is>
      </c>
      <c r="E2760" t="inlineStr">
        <is>
          <t>BOTKYRKA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41111-2023</t>
        </is>
      </c>
      <c r="B2761" s="1" t="n">
        <v>45173</v>
      </c>
      <c r="C2761" s="1" t="n">
        <v>45571</v>
      </c>
      <c r="D2761" t="inlineStr">
        <is>
          <t>STOCKHOLMS LÄN</t>
        </is>
      </c>
      <c r="E2761" t="inlineStr">
        <is>
          <t>SÖDERTÄLJE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41115-2023</t>
        </is>
      </c>
      <c r="B2762" s="1" t="n">
        <v>45173</v>
      </c>
      <c r="C2762" s="1" t="n">
        <v>45571</v>
      </c>
      <c r="D2762" t="inlineStr">
        <is>
          <t>STOCKHOLMS LÄN</t>
        </is>
      </c>
      <c r="E2762" t="inlineStr">
        <is>
          <t>SÖDERTÄLJE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41113-2023</t>
        </is>
      </c>
      <c r="B2763" s="1" t="n">
        <v>45173</v>
      </c>
      <c r="C2763" s="1" t="n">
        <v>45571</v>
      </c>
      <c r="D2763" t="inlineStr">
        <is>
          <t>STOCKHOLMS LÄN</t>
        </is>
      </c>
      <c r="E2763" t="inlineStr">
        <is>
          <t>SÖDERTÄLJE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41116-2023</t>
        </is>
      </c>
      <c r="B2764" s="1" t="n">
        <v>45173</v>
      </c>
      <c r="C2764" s="1" t="n">
        <v>45571</v>
      </c>
      <c r="D2764" t="inlineStr">
        <is>
          <t>STOCKHOLMS LÄN</t>
        </is>
      </c>
      <c r="E2764" t="inlineStr">
        <is>
          <t>SÖDERTÄLJE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41141-2023</t>
        </is>
      </c>
      <c r="B2765" s="1" t="n">
        <v>45173</v>
      </c>
      <c r="C2765" s="1" t="n">
        <v>45571</v>
      </c>
      <c r="D2765" t="inlineStr">
        <is>
          <t>STOCKHOLMS LÄN</t>
        </is>
      </c>
      <c r="E2765" t="inlineStr">
        <is>
          <t>SÖDERTÄLJE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41673-2023</t>
        </is>
      </c>
      <c r="B2766" s="1" t="n">
        <v>45173</v>
      </c>
      <c r="C2766" s="1" t="n">
        <v>45571</v>
      </c>
      <c r="D2766" t="inlineStr">
        <is>
          <t>STOCKHOLMS LÄN</t>
        </is>
      </c>
      <c r="E2766" t="inlineStr">
        <is>
          <t>NYNÄSHAMN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41681-2023</t>
        </is>
      </c>
      <c r="B2767" s="1" t="n">
        <v>45173</v>
      </c>
      <c r="C2767" s="1" t="n">
        <v>45571</v>
      </c>
      <c r="D2767" t="inlineStr">
        <is>
          <t>STOCKHOLMS LÄN</t>
        </is>
      </c>
      <c r="E2767" t="inlineStr">
        <is>
          <t>NYKVARN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41677-2023</t>
        </is>
      </c>
      <c r="B2768" s="1" t="n">
        <v>45173</v>
      </c>
      <c r="C2768" s="1" t="n">
        <v>45571</v>
      </c>
      <c r="D2768" t="inlineStr">
        <is>
          <t>STOCKHOLMS LÄN</t>
        </is>
      </c>
      <c r="E2768" t="inlineStr">
        <is>
          <t>NYNÄSHAMN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41680-2023</t>
        </is>
      </c>
      <c r="B2769" s="1" t="n">
        <v>45173</v>
      </c>
      <c r="C2769" s="1" t="n">
        <v>45571</v>
      </c>
      <c r="D2769" t="inlineStr">
        <is>
          <t>STOCKHOLMS LÄN</t>
        </is>
      </c>
      <c r="E2769" t="inlineStr">
        <is>
          <t>NYNÄSHAMN</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41335-2023</t>
        </is>
      </c>
      <c r="B2770" s="1" t="n">
        <v>45174</v>
      </c>
      <c r="C2770" s="1" t="n">
        <v>45571</v>
      </c>
      <c r="D2770" t="inlineStr">
        <is>
          <t>STOCKHOLMS LÄN</t>
        </is>
      </c>
      <c r="E2770" t="inlineStr">
        <is>
          <t>NORRTÄLJE</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41587-2023</t>
        </is>
      </c>
      <c r="B2771" s="1" t="n">
        <v>45175</v>
      </c>
      <c r="C2771" s="1" t="n">
        <v>45571</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41702-2023</t>
        </is>
      </c>
      <c r="B2772" s="1" t="n">
        <v>45176</v>
      </c>
      <c r="C2772" s="1" t="n">
        <v>45571</v>
      </c>
      <c r="D2772" t="inlineStr">
        <is>
          <t>STOCKHOLMS LÄN</t>
        </is>
      </c>
      <c r="E2772" t="inlineStr">
        <is>
          <t>SIGTUNA</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41716-2023</t>
        </is>
      </c>
      <c r="B2773" s="1" t="n">
        <v>45176</v>
      </c>
      <c r="C2773" s="1" t="n">
        <v>45571</v>
      </c>
      <c r="D2773" t="inlineStr">
        <is>
          <t>STOCKHOLMS LÄN</t>
        </is>
      </c>
      <c r="E2773" t="inlineStr">
        <is>
          <t>NORRTÄLJE</t>
        </is>
      </c>
      <c r="F2773" t="inlineStr">
        <is>
          <t>Kyrkan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41715-2023</t>
        </is>
      </c>
      <c r="B2774" s="1" t="n">
        <v>45176</v>
      </c>
      <c r="C2774" s="1" t="n">
        <v>45571</v>
      </c>
      <c r="D2774" t="inlineStr">
        <is>
          <t>STOCKHOLMS LÄN</t>
        </is>
      </c>
      <c r="E2774" t="inlineStr">
        <is>
          <t>NORRTÄLJE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41723-2023</t>
        </is>
      </c>
      <c r="B2775" s="1" t="n">
        <v>45176</v>
      </c>
      <c r="C2775" s="1" t="n">
        <v>45571</v>
      </c>
      <c r="D2775" t="inlineStr">
        <is>
          <t>STOCKHOLMS LÄN</t>
        </is>
      </c>
      <c r="E2775" t="inlineStr">
        <is>
          <t>SIGTUNA</t>
        </is>
      </c>
      <c r="F2775" t="inlineStr">
        <is>
          <t>Allmännings- och besparingsskogar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41880-2023</t>
        </is>
      </c>
      <c r="B2776" s="1" t="n">
        <v>45176</v>
      </c>
      <c r="C2776" s="1" t="n">
        <v>45571</v>
      </c>
      <c r="D2776" t="inlineStr">
        <is>
          <t>STOCKHOLMS LÄN</t>
        </is>
      </c>
      <c r="E2776" t="inlineStr">
        <is>
          <t>NORRTÄLJE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41952-2023</t>
        </is>
      </c>
      <c r="B2777" s="1" t="n">
        <v>45177</v>
      </c>
      <c r="C2777" s="1" t="n">
        <v>45571</v>
      </c>
      <c r="D2777" t="inlineStr">
        <is>
          <t>STOCKHOLMS LÄN</t>
        </is>
      </c>
      <c r="E2777" t="inlineStr">
        <is>
          <t>SIGTUNA</t>
        </is>
      </c>
      <c r="F2777" t="inlineStr">
        <is>
          <t>Allmännings- och besparingsskogar</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42094-2023</t>
        </is>
      </c>
      <c r="B2778" s="1" t="n">
        <v>45177</v>
      </c>
      <c r="C2778" s="1" t="n">
        <v>45571</v>
      </c>
      <c r="D2778" t="inlineStr">
        <is>
          <t>STOCKHOLMS LÄN</t>
        </is>
      </c>
      <c r="E2778" t="inlineStr">
        <is>
          <t>NORRTÄLJE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42075-2023</t>
        </is>
      </c>
      <c r="B2779" s="1" t="n">
        <v>45177</v>
      </c>
      <c r="C2779" s="1" t="n">
        <v>45571</v>
      </c>
      <c r="D2779" t="inlineStr">
        <is>
          <t>STOCKHOLMS LÄN</t>
        </is>
      </c>
      <c r="E2779" t="inlineStr">
        <is>
          <t>NORRTÄLJE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42133-2023</t>
        </is>
      </c>
      <c r="B2780" s="1" t="n">
        <v>45177</v>
      </c>
      <c r="C2780" s="1" t="n">
        <v>45571</v>
      </c>
      <c r="D2780" t="inlineStr">
        <is>
          <t>STOCKHOLMS LÄN</t>
        </is>
      </c>
      <c r="E2780" t="inlineStr">
        <is>
          <t>SÖDERTÄLJE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42199-2023</t>
        </is>
      </c>
      <c r="B2781" s="1" t="n">
        <v>45179</v>
      </c>
      <c r="C2781" s="1" t="n">
        <v>45571</v>
      </c>
      <c r="D2781" t="inlineStr">
        <is>
          <t>STOCKHOLMS LÄN</t>
        </is>
      </c>
      <c r="E2781" t="inlineStr">
        <is>
          <t>NORRTÄLJE</t>
        </is>
      </c>
      <c r="F2781" t="inlineStr">
        <is>
          <t>Sveaskog</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42200-2023</t>
        </is>
      </c>
      <c r="B2782" s="1" t="n">
        <v>45179</v>
      </c>
      <c r="C2782" s="1" t="n">
        <v>45571</v>
      </c>
      <c r="D2782" t="inlineStr">
        <is>
          <t>STOCKHOLMS LÄN</t>
        </is>
      </c>
      <c r="E2782" t="inlineStr">
        <is>
          <t>NORRTÄLJE</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42716-2023</t>
        </is>
      </c>
      <c r="B2783" s="1" t="n">
        <v>45181</v>
      </c>
      <c r="C2783" s="1" t="n">
        <v>45571</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42727-2023</t>
        </is>
      </c>
      <c r="B2784" s="1" t="n">
        <v>45181</v>
      </c>
      <c r="C2784" s="1" t="n">
        <v>45571</v>
      </c>
      <c r="D2784" t="inlineStr">
        <is>
          <t>STOCKHOLMS LÄN</t>
        </is>
      </c>
      <c r="E2784" t="inlineStr">
        <is>
          <t>VALLENTUNA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42765-2023</t>
        </is>
      </c>
      <c r="B2785" s="1" t="n">
        <v>45181</v>
      </c>
      <c r="C2785" s="1" t="n">
        <v>45571</v>
      </c>
      <c r="D2785" t="inlineStr">
        <is>
          <t>STOCKHOLMS LÄN</t>
        </is>
      </c>
      <c r="E2785" t="inlineStr">
        <is>
          <t>NORRTÄLJE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42775-2023</t>
        </is>
      </c>
      <c r="B2786" s="1" t="n">
        <v>45181</v>
      </c>
      <c r="C2786" s="1" t="n">
        <v>45571</v>
      </c>
      <c r="D2786" t="inlineStr">
        <is>
          <t>STOCKHOLMS LÄN</t>
        </is>
      </c>
      <c r="E2786" t="inlineStr">
        <is>
          <t>NORRTÄLJE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42948-2023</t>
        </is>
      </c>
      <c r="B2787" s="1" t="n">
        <v>45182</v>
      </c>
      <c r="C2787" s="1" t="n">
        <v>45571</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42977-2023</t>
        </is>
      </c>
      <c r="B2788" s="1" t="n">
        <v>45182</v>
      </c>
      <c r="C2788" s="1" t="n">
        <v>45571</v>
      </c>
      <c r="D2788" t="inlineStr">
        <is>
          <t>STOCKHOLMS LÄN</t>
        </is>
      </c>
      <c r="E2788" t="inlineStr">
        <is>
          <t>NORRTÄLJE</t>
        </is>
      </c>
      <c r="F2788" t="inlineStr">
        <is>
          <t>Sveaskog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43036-2023</t>
        </is>
      </c>
      <c r="B2789" s="1" t="n">
        <v>45182</v>
      </c>
      <c r="C2789" s="1" t="n">
        <v>45571</v>
      </c>
      <c r="D2789" t="inlineStr">
        <is>
          <t>STOCKHOLMS LÄN</t>
        </is>
      </c>
      <c r="E2789" t="inlineStr">
        <is>
          <t>SALEM</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43140-2023</t>
        </is>
      </c>
      <c r="B2790" s="1" t="n">
        <v>45183</v>
      </c>
      <c r="C2790" s="1" t="n">
        <v>45571</v>
      </c>
      <c r="D2790" t="inlineStr">
        <is>
          <t>STOCKHOLMS LÄN</t>
        </is>
      </c>
      <c r="E2790" t="inlineStr">
        <is>
          <t>NORRTÄLJE</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43207-2023</t>
        </is>
      </c>
      <c r="B2791" s="1" t="n">
        <v>45183</v>
      </c>
      <c r="C2791" s="1" t="n">
        <v>45571</v>
      </c>
      <c r="D2791" t="inlineStr">
        <is>
          <t>STOCKHOLMS LÄN</t>
        </is>
      </c>
      <c r="E2791" t="inlineStr">
        <is>
          <t>NORRTÄLJE</t>
        </is>
      </c>
      <c r="F2791" t="inlineStr">
        <is>
          <t>Kyrkan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43150-2023</t>
        </is>
      </c>
      <c r="B2792" s="1" t="n">
        <v>45183</v>
      </c>
      <c r="C2792" s="1" t="n">
        <v>45571</v>
      </c>
      <c r="D2792" t="inlineStr">
        <is>
          <t>STOCKHOLMS LÄN</t>
        </is>
      </c>
      <c r="E2792" t="inlineStr">
        <is>
          <t>NORRTÄLJE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43170-2023</t>
        </is>
      </c>
      <c r="B2793" s="1" t="n">
        <v>45183</v>
      </c>
      <c r="C2793" s="1" t="n">
        <v>45571</v>
      </c>
      <c r="D2793" t="inlineStr">
        <is>
          <t>STOCKHOLMS LÄN</t>
        </is>
      </c>
      <c r="E2793" t="inlineStr">
        <is>
          <t>NORRTÄLJE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43193-2023</t>
        </is>
      </c>
      <c r="B2794" s="1" t="n">
        <v>45183</v>
      </c>
      <c r="C2794" s="1" t="n">
        <v>45571</v>
      </c>
      <c r="D2794" t="inlineStr">
        <is>
          <t>STOCKHOLMS LÄN</t>
        </is>
      </c>
      <c r="E2794" t="inlineStr">
        <is>
          <t>NYNÄSHAMN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43289-2023</t>
        </is>
      </c>
      <c r="B2795" s="1" t="n">
        <v>45183</v>
      </c>
      <c r="C2795" s="1" t="n">
        <v>45571</v>
      </c>
      <c r="D2795" t="inlineStr">
        <is>
          <t>STOCKHOLMS LÄN</t>
        </is>
      </c>
      <c r="E2795" t="inlineStr">
        <is>
          <t>NORRTÄLJE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43300-2023</t>
        </is>
      </c>
      <c r="B2796" s="1" t="n">
        <v>45183</v>
      </c>
      <c r="C2796" s="1" t="n">
        <v>45571</v>
      </c>
      <c r="D2796" t="inlineStr">
        <is>
          <t>STOCKHOLMS LÄN</t>
        </is>
      </c>
      <c r="E2796" t="inlineStr">
        <is>
          <t>NORRTÄLJE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43593-2023</t>
        </is>
      </c>
      <c r="B2797" s="1" t="n">
        <v>45184</v>
      </c>
      <c r="C2797" s="1" t="n">
        <v>45571</v>
      </c>
      <c r="D2797" t="inlineStr">
        <is>
          <t>STOCKHOLMS LÄN</t>
        </is>
      </c>
      <c r="E2797" t="inlineStr">
        <is>
          <t>SIGTUNA</t>
        </is>
      </c>
      <c r="F2797" t="inlineStr">
        <is>
          <t>Allmännings- och besparingsskogar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44624-2023</t>
        </is>
      </c>
      <c r="B2798" s="1" t="n">
        <v>45184</v>
      </c>
      <c r="C2798" s="1" t="n">
        <v>45571</v>
      </c>
      <c r="D2798" t="inlineStr">
        <is>
          <t>STOCKHOLMS LÄN</t>
        </is>
      </c>
      <c r="E2798" t="inlineStr">
        <is>
          <t>NYNÄSHAMN</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43638-2023</t>
        </is>
      </c>
      <c r="B2799" s="1" t="n">
        <v>45186</v>
      </c>
      <c r="C2799" s="1" t="n">
        <v>45571</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43684-2023</t>
        </is>
      </c>
      <c r="B2800" s="1" t="n">
        <v>45187</v>
      </c>
      <c r="C2800" s="1" t="n">
        <v>45571</v>
      </c>
      <c r="D2800" t="inlineStr">
        <is>
          <t>STOCKHOLMS LÄN</t>
        </is>
      </c>
      <c r="E2800" t="inlineStr">
        <is>
          <t>NORRTÄLJE</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43700-2023</t>
        </is>
      </c>
      <c r="B2801" s="1" t="n">
        <v>45187</v>
      </c>
      <c r="C2801" s="1" t="n">
        <v>45571</v>
      </c>
      <c r="D2801" t="inlineStr">
        <is>
          <t>STOCKHOLMS LÄN</t>
        </is>
      </c>
      <c r="E2801" t="inlineStr">
        <is>
          <t>SIGTUNA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43836-2023</t>
        </is>
      </c>
      <c r="B2802" s="1" t="n">
        <v>45187</v>
      </c>
      <c r="C2802" s="1" t="n">
        <v>45571</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43710-2023</t>
        </is>
      </c>
      <c r="B2803" s="1" t="n">
        <v>45187</v>
      </c>
      <c r="C2803" s="1" t="n">
        <v>45571</v>
      </c>
      <c r="D2803" t="inlineStr">
        <is>
          <t>STOCKHOLMS LÄN</t>
        </is>
      </c>
      <c r="E2803" t="inlineStr">
        <is>
          <t>NORRTÄLJE</t>
        </is>
      </c>
      <c r="F2803" t="inlineStr">
        <is>
          <t>Holmen skog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44891-2023</t>
        </is>
      </c>
      <c r="B2804" s="1" t="n">
        <v>45187</v>
      </c>
      <c r="C2804" s="1" t="n">
        <v>45571</v>
      </c>
      <c r="D2804" t="inlineStr">
        <is>
          <t>STOCKHOLMS LÄN</t>
        </is>
      </c>
      <c r="E2804" t="inlineStr">
        <is>
          <t>NORRTÄLJE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44885-2023</t>
        </is>
      </c>
      <c r="B2805" s="1" t="n">
        <v>45187</v>
      </c>
      <c r="C2805" s="1" t="n">
        <v>45571</v>
      </c>
      <c r="D2805" t="inlineStr">
        <is>
          <t>STOCKHOLMS LÄN</t>
        </is>
      </c>
      <c r="E2805" t="inlineStr">
        <is>
          <t>NORRTÄLJE</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44075-2023</t>
        </is>
      </c>
      <c r="B2806" s="1" t="n">
        <v>45188</v>
      </c>
      <c r="C2806" s="1" t="n">
        <v>45571</v>
      </c>
      <c r="D2806" t="inlineStr">
        <is>
          <t>STOCKHOLMS LÄN</t>
        </is>
      </c>
      <c r="E2806" t="inlineStr">
        <is>
          <t>NORRTÄLJE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44154-2023</t>
        </is>
      </c>
      <c r="B2807" s="1" t="n">
        <v>45188</v>
      </c>
      <c r="C2807" s="1" t="n">
        <v>45571</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44619-2023</t>
        </is>
      </c>
      <c r="B2808" s="1" t="n">
        <v>45189</v>
      </c>
      <c r="C2808" s="1" t="n">
        <v>45571</v>
      </c>
      <c r="D2808" t="inlineStr">
        <is>
          <t>STOCKHOLMS LÄN</t>
        </is>
      </c>
      <c r="E2808" t="inlineStr">
        <is>
          <t>NYNÄSHAMN</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44571-2023</t>
        </is>
      </c>
      <c r="B2809" s="1" t="n">
        <v>45189</v>
      </c>
      <c r="C2809" s="1" t="n">
        <v>45571</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44836-2023</t>
        </is>
      </c>
      <c r="B2810" s="1" t="n">
        <v>45190</v>
      </c>
      <c r="C2810" s="1" t="n">
        <v>45571</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45173-2023</t>
        </is>
      </c>
      <c r="B2811" s="1" t="n">
        <v>45191</v>
      </c>
      <c r="C2811" s="1" t="n">
        <v>45571</v>
      </c>
      <c r="D2811" t="inlineStr">
        <is>
          <t>STOCKHOLMS LÄN</t>
        </is>
      </c>
      <c r="E2811" t="inlineStr">
        <is>
          <t>NORRTÄLJE</t>
        </is>
      </c>
      <c r="F2811" t="inlineStr">
        <is>
          <t>Sveaskog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45319-2023</t>
        </is>
      </c>
      <c r="B2812" s="1" t="n">
        <v>45191</v>
      </c>
      <c r="C2812" s="1" t="n">
        <v>45571</v>
      </c>
      <c r="D2812" t="inlineStr">
        <is>
          <t>STOCKHOLMS LÄN</t>
        </is>
      </c>
      <c r="E2812" t="inlineStr">
        <is>
          <t>SIGTUNA</t>
        </is>
      </c>
      <c r="F2812" t="inlineStr">
        <is>
          <t>Allmännings- och besparingsskogar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45174-2023</t>
        </is>
      </c>
      <c r="B2813" s="1" t="n">
        <v>45191</v>
      </c>
      <c r="C2813" s="1" t="n">
        <v>45571</v>
      </c>
      <c r="D2813" t="inlineStr">
        <is>
          <t>STOCKHOLMS LÄN</t>
        </is>
      </c>
      <c r="E2813" t="inlineStr">
        <is>
          <t>NORRTÄLJE</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46387-2023</t>
        </is>
      </c>
      <c r="B2814" s="1" t="n">
        <v>45193</v>
      </c>
      <c r="C2814" s="1" t="n">
        <v>45571</v>
      </c>
      <c r="D2814" t="inlineStr">
        <is>
          <t>STOCKHOLMS LÄN</t>
        </is>
      </c>
      <c r="E2814" t="inlineStr">
        <is>
          <t>VALLENTUNA</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46370-2023</t>
        </is>
      </c>
      <c r="B2815" s="1" t="n">
        <v>45193</v>
      </c>
      <c r="C2815" s="1" t="n">
        <v>45571</v>
      </c>
      <c r="D2815" t="inlineStr">
        <is>
          <t>STOCKHOLMS LÄN</t>
        </is>
      </c>
      <c r="E2815" t="inlineStr">
        <is>
          <t>VALLENTUNA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46381-2023</t>
        </is>
      </c>
      <c r="B2816" s="1" t="n">
        <v>45193</v>
      </c>
      <c r="C2816" s="1" t="n">
        <v>45571</v>
      </c>
      <c r="D2816" t="inlineStr">
        <is>
          <t>STOCKHOLMS LÄN</t>
        </is>
      </c>
      <c r="E2816" t="inlineStr">
        <is>
          <t>VALLENTUNA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45499-2023</t>
        </is>
      </c>
      <c r="B2817" s="1" t="n">
        <v>45194</v>
      </c>
      <c r="C2817" s="1" t="n">
        <v>45571</v>
      </c>
      <c r="D2817" t="inlineStr">
        <is>
          <t>STOCKHOLMS LÄN</t>
        </is>
      </c>
      <c r="E2817" t="inlineStr">
        <is>
          <t>VALLENTUNA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45496-2023</t>
        </is>
      </c>
      <c r="B2818" s="1" t="n">
        <v>45194</v>
      </c>
      <c r="C2818" s="1" t="n">
        <v>45571</v>
      </c>
      <c r="D2818" t="inlineStr">
        <is>
          <t>STOCKHOLMS LÄN</t>
        </is>
      </c>
      <c r="E2818" t="inlineStr">
        <is>
          <t>VALLENTUNA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46942-2023</t>
        </is>
      </c>
      <c r="B2819" s="1" t="n">
        <v>45195</v>
      </c>
      <c r="C2819" s="1" t="n">
        <v>45571</v>
      </c>
      <c r="D2819" t="inlineStr">
        <is>
          <t>STOCKHOLMS LÄN</t>
        </is>
      </c>
      <c r="E2819" t="inlineStr">
        <is>
          <t>BOTKYRKA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46161-2023</t>
        </is>
      </c>
      <c r="B2820" s="1" t="n">
        <v>45196</v>
      </c>
      <c r="C2820" s="1" t="n">
        <v>45571</v>
      </c>
      <c r="D2820" t="inlineStr">
        <is>
          <t>STOCKHOLMS LÄN</t>
        </is>
      </c>
      <c r="E2820" t="inlineStr">
        <is>
          <t>NORRTÄLJE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46155-2023</t>
        </is>
      </c>
      <c r="B2821" s="1" t="n">
        <v>45196</v>
      </c>
      <c r="C2821" s="1" t="n">
        <v>45571</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47128-2023</t>
        </is>
      </c>
      <c r="B2822" s="1" t="n">
        <v>45196</v>
      </c>
      <c r="C2822" s="1" t="n">
        <v>45571</v>
      </c>
      <c r="D2822" t="inlineStr">
        <is>
          <t>STOCKHOLMS LÄN</t>
        </is>
      </c>
      <c r="E2822" t="inlineStr">
        <is>
          <t>NYNÄSHAMN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47013-2023</t>
        </is>
      </c>
      <c r="B2823" s="1" t="n">
        <v>45196</v>
      </c>
      <c r="C2823" s="1" t="n">
        <v>45571</v>
      </c>
      <c r="D2823" t="inlineStr">
        <is>
          <t>STOCKHOLMS LÄN</t>
        </is>
      </c>
      <c r="E2823" t="inlineStr">
        <is>
          <t>NYNÄSHAMN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47093-2023</t>
        </is>
      </c>
      <c r="B2824" s="1" t="n">
        <v>45196</v>
      </c>
      <c r="C2824" s="1" t="n">
        <v>45571</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47115-2023</t>
        </is>
      </c>
      <c r="B2825" s="1" t="n">
        <v>45196</v>
      </c>
      <c r="C2825" s="1" t="n">
        <v>45571</v>
      </c>
      <c r="D2825" t="inlineStr">
        <is>
          <t>STOCKHOLMS LÄN</t>
        </is>
      </c>
      <c r="E2825" t="inlineStr">
        <is>
          <t>NYNÄSHAMN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47001-2023</t>
        </is>
      </c>
      <c r="B2826" s="1" t="n">
        <v>45196</v>
      </c>
      <c r="C2826" s="1" t="n">
        <v>45571</v>
      </c>
      <c r="D2826" t="inlineStr">
        <is>
          <t>STOCKHOLMS LÄN</t>
        </is>
      </c>
      <c r="E2826" t="inlineStr">
        <is>
          <t>NYNÄSHAMN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47089-2023</t>
        </is>
      </c>
      <c r="B2827" s="1" t="n">
        <v>45196</v>
      </c>
      <c r="C2827" s="1" t="n">
        <v>45571</v>
      </c>
      <c r="D2827" t="inlineStr">
        <is>
          <t>STOCKHOLMS LÄN</t>
        </is>
      </c>
      <c r="E2827" t="inlineStr">
        <is>
          <t>NYNÄSHAMN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46438-2023</t>
        </is>
      </c>
      <c r="B2828" s="1" t="n">
        <v>45197</v>
      </c>
      <c r="C2828" s="1" t="n">
        <v>45571</v>
      </c>
      <c r="D2828" t="inlineStr">
        <is>
          <t>STOCKHOLMS LÄN</t>
        </is>
      </c>
      <c r="E2828" t="inlineStr">
        <is>
          <t>UPPLANDS-BRO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46451-2023</t>
        </is>
      </c>
      <c r="B2829" s="1" t="n">
        <v>45197</v>
      </c>
      <c r="C2829" s="1" t="n">
        <v>45571</v>
      </c>
      <c r="D2829" t="inlineStr">
        <is>
          <t>STOCKHOLMS LÄN</t>
        </is>
      </c>
      <c r="E2829" t="inlineStr">
        <is>
          <t>UPPLANDS-BRO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46348-2023</t>
        </is>
      </c>
      <c r="B2830" s="1" t="n">
        <v>45197</v>
      </c>
      <c r="C2830" s="1" t="n">
        <v>45571</v>
      </c>
      <c r="D2830" t="inlineStr">
        <is>
          <t>STOCKHOLMS LÄN</t>
        </is>
      </c>
      <c r="E2830" t="inlineStr">
        <is>
          <t>SALEM</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46443-2023</t>
        </is>
      </c>
      <c r="B2831" s="1" t="n">
        <v>45197</v>
      </c>
      <c r="C2831" s="1" t="n">
        <v>45571</v>
      </c>
      <c r="D2831" t="inlineStr">
        <is>
          <t>STOCKHOLMS LÄN</t>
        </is>
      </c>
      <c r="E2831" t="inlineStr">
        <is>
          <t>UPPLANDS-BRO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47576-2023</t>
        </is>
      </c>
      <c r="B2832" s="1" t="n">
        <v>45197</v>
      </c>
      <c r="C2832" s="1" t="n">
        <v>45571</v>
      </c>
      <c r="D2832" t="inlineStr">
        <is>
          <t>STOCKHOLMS LÄN</t>
        </is>
      </c>
      <c r="E2832" t="inlineStr">
        <is>
          <t>SÖDERTÄLJE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46621-2023</t>
        </is>
      </c>
      <c r="B2833" s="1" t="n">
        <v>45198</v>
      </c>
      <c r="C2833" s="1" t="n">
        <v>45571</v>
      </c>
      <c r="D2833" t="inlineStr">
        <is>
          <t>STOCKHOLMS LÄN</t>
        </is>
      </c>
      <c r="E2833" t="inlineStr">
        <is>
          <t>NORRTÄLJE</t>
        </is>
      </c>
      <c r="F2833" t="inlineStr">
        <is>
          <t>Holmen skog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46757-2023</t>
        </is>
      </c>
      <c r="B2834" s="1" t="n">
        <v>45198</v>
      </c>
      <c r="C2834" s="1" t="n">
        <v>45571</v>
      </c>
      <c r="D2834" t="inlineStr">
        <is>
          <t>STOCKHOLMS LÄN</t>
        </is>
      </c>
      <c r="E2834" t="inlineStr">
        <is>
          <t>SIGTUNA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47714-2023</t>
        </is>
      </c>
      <c r="B2835" s="1" t="n">
        <v>45198</v>
      </c>
      <c r="C2835" s="1" t="n">
        <v>45571</v>
      </c>
      <c r="D2835" t="inlineStr">
        <is>
          <t>STOCKHOLMS LÄN</t>
        </is>
      </c>
      <c r="E2835" t="inlineStr">
        <is>
          <t>SÖDERTÄLJE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46919-2023</t>
        </is>
      </c>
      <c r="B2836" s="1" t="n">
        <v>45201</v>
      </c>
      <c r="C2836" s="1" t="n">
        <v>45571</v>
      </c>
      <c r="D2836" t="inlineStr">
        <is>
          <t>STOCKHOLMS LÄN</t>
        </is>
      </c>
      <c r="E2836" t="inlineStr">
        <is>
          <t>SALEM</t>
        </is>
      </c>
      <c r="F2836" t="inlineStr">
        <is>
          <t>Kommuner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47204-2023</t>
        </is>
      </c>
      <c r="B2837" s="1" t="n">
        <v>45202</v>
      </c>
      <c r="C2837" s="1" t="n">
        <v>45571</v>
      </c>
      <c r="D2837" t="inlineStr">
        <is>
          <t>STOCKHOLMS LÄN</t>
        </is>
      </c>
      <c r="E2837" t="inlineStr">
        <is>
          <t>SIGTUNA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47419-2023</t>
        </is>
      </c>
      <c r="B2838" s="1" t="n">
        <v>45202</v>
      </c>
      <c r="C2838" s="1" t="n">
        <v>45571</v>
      </c>
      <c r="D2838" t="inlineStr">
        <is>
          <t>STOCKHOLMS LÄN</t>
        </is>
      </c>
      <c r="E2838" t="inlineStr">
        <is>
          <t>NORRTÄLJE</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47431-2023</t>
        </is>
      </c>
      <c r="B2839" s="1" t="n">
        <v>45202</v>
      </c>
      <c r="C2839" s="1" t="n">
        <v>45571</v>
      </c>
      <c r="D2839" t="inlineStr">
        <is>
          <t>STOCKHOLMS LÄN</t>
        </is>
      </c>
      <c r="E2839" t="inlineStr">
        <is>
          <t>NORRTÄLJE</t>
        </is>
      </c>
      <c r="F2839" t="inlineStr">
        <is>
          <t>Naturvårdsverket</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47325-2023</t>
        </is>
      </c>
      <c r="B2840" s="1" t="n">
        <v>45202</v>
      </c>
      <c r="C2840" s="1" t="n">
        <v>45571</v>
      </c>
      <c r="D2840" t="inlineStr">
        <is>
          <t>STOCKHOLMS LÄN</t>
        </is>
      </c>
      <c r="E2840" t="inlineStr">
        <is>
          <t>NORRTÄLJE</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47433-2023</t>
        </is>
      </c>
      <c r="B2841" s="1" t="n">
        <v>45202</v>
      </c>
      <c r="C2841" s="1" t="n">
        <v>45571</v>
      </c>
      <c r="D2841" t="inlineStr">
        <is>
          <t>STOCKHOLMS LÄN</t>
        </is>
      </c>
      <c r="E2841" t="inlineStr">
        <is>
          <t>NORRTÄLJE</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47388-2023</t>
        </is>
      </c>
      <c r="B2842" s="1" t="n">
        <v>45202</v>
      </c>
      <c r="C2842" s="1" t="n">
        <v>45571</v>
      </c>
      <c r="D2842" t="inlineStr">
        <is>
          <t>STOCKHOLMS LÄN</t>
        </is>
      </c>
      <c r="E2842" t="inlineStr">
        <is>
          <t>NORRTÄLJE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47430-2023</t>
        </is>
      </c>
      <c r="B2843" s="1" t="n">
        <v>45202</v>
      </c>
      <c r="C2843" s="1" t="n">
        <v>45571</v>
      </c>
      <c r="D2843" t="inlineStr">
        <is>
          <t>STOCKHOLMS LÄN</t>
        </is>
      </c>
      <c r="E2843" t="inlineStr">
        <is>
          <t>NORRTÄLJE</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49775-2023</t>
        </is>
      </c>
      <c r="B2844" s="1" t="n">
        <v>45202</v>
      </c>
      <c r="C2844" s="1" t="n">
        <v>45571</v>
      </c>
      <c r="D2844" t="inlineStr">
        <is>
          <t>STOCKHOLMS LÄN</t>
        </is>
      </c>
      <c r="E2844" t="inlineStr">
        <is>
          <t>NORRTÄLJE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48578-2023</t>
        </is>
      </c>
      <c r="B2845" s="1" t="n">
        <v>45202</v>
      </c>
      <c r="C2845" s="1" t="n">
        <v>45571</v>
      </c>
      <c r="D2845" t="inlineStr">
        <is>
          <t>STOCKHOLMS LÄN</t>
        </is>
      </c>
      <c r="E2845" t="inlineStr">
        <is>
          <t>NORRTÄLJE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49774-2023</t>
        </is>
      </c>
      <c r="B2846" s="1" t="n">
        <v>45202</v>
      </c>
      <c r="C2846" s="1" t="n">
        <v>45571</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47672-2023</t>
        </is>
      </c>
      <c r="B2847" s="1" t="n">
        <v>45203</v>
      </c>
      <c r="C2847" s="1" t="n">
        <v>45571</v>
      </c>
      <c r="D2847" t="inlineStr">
        <is>
          <t>STOCKHOLMS LÄN</t>
        </is>
      </c>
      <c r="E2847" t="inlineStr">
        <is>
          <t>NORRTÄLJE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47694-2023</t>
        </is>
      </c>
      <c r="B2848" s="1" t="n">
        <v>45203</v>
      </c>
      <c r="C2848" s="1" t="n">
        <v>45571</v>
      </c>
      <c r="D2848" t="inlineStr">
        <is>
          <t>STOCKHOLMS LÄN</t>
        </is>
      </c>
      <c r="E2848" t="inlineStr">
        <is>
          <t>NORRTÄLJE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47708-2023</t>
        </is>
      </c>
      <c r="B2849" s="1" t="n">
        <v>45203</v>
      </c>
      <c r="C2849" s="1" t="n">
        <v>45571</v>
      </c>
      <c r="D2849" t="inlineStr">
        <is>
          <t>STOCKHOLMS LÄN</t>
        </is>
      </c>
      <c r="E2849" t="inlineStr">
        <is>
          <t>NORRTÄLJE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47602-2023</t>
        </is>
      </c>
      <c r="B2850" s="1" t="n">
        <v>45203</v>
      </c>
      <c r="C2850" s="1" t="n">
        <v>45571</v>
      </c>
      <c r="D2850" t="inlineStr">
        <is>
          <t>STOCKHOLMS LÄN</t>
        </is>
      </c>
      <c r="E2850" t="inlineStr">
        <is>
          <t>UPPLANDS VÄSBY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47758-2023</t>
        </is>
      </c>
      <c r="B2851" s="1" t="n">
        <v>45203</v>
      </c>
      <c r="C2851" s="1" t="n">
        <v>45571</v>
      </c>
      <c r="D2851" t="inlineStr">
        <is>
          <t>STOCKHOLMS LÄN</t>
        </is>
      </c>
      <c r="E2851" t="inlineStr">
        <is>
          <t>NORRTÄLJE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47699-2023</t>
        </is>
      </c>
      <c r="B2852" s="1" t="n">
        <v>45203</v>
      </c>
      <c r="C2852" s="1" t="n">
        <v>45571</v>
      </c>
      <c r="D2852" t="inlineStr">
        <is>
          <t>STOCKHOLMS LÄN</t>
        </is>
      </c>
      <c r="E2852" t="inlineStr">
        <is>
          <t>NORRTÄLJE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47735-2023</t>
        </is>
      </c>
      <c r="B2853" s="1" t="n">
        <v>45203</v>
      </c>
      <c r="C2853" s="1" t="n">
        <v>45571</v>
      </c>
      <c r="D2853" t="inlineStr">
        <is>
          <t>STOCKHOLMS LÄN</t>
        </is>
      </c>
      <c r="E2853" t="inlineStr">
        <is>
          <t>NORRTÄLJE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49160-2023</t>
        </is>
      </c>
      <c r="B2854" s="1" t="n">
        <v>45204</v>
      </c>
      <c r="C2854" s="1" t="n">
        <v>45571</v>
      </c>
      <c r="D2854" t="inlineStr">
        <is>
          <t>STOCKHOLMS LÄN</t>
        </is>
      </c>
      <c r="E2854" t="inlineStr">
        <is>
          <t>UPPLANDS-BRO</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48167-2023</t>
        </is>
      </c>
      <c r="B2855" s="1" t="n">
        <v>45205</v>
      </c>
      <c r="C2855" s="1" t="n">
        <v>45571</v>
      </c>
      <c r="D2855" t="inlineStr">
        <is>
          <t>STOCKHOLMS LÄN</t>
        </is>
      </c>
      <c r="E2855" t="inlineStr">
        <is>
          <t>NORRTÄLJE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48180-2023</t>
        </is>
      </c>
      <c r="B2856" s="1" t="n">
        <v>45205</v>
      </c>
      <c r="C2856" s="1" t="n">
        <v>45571</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48185-2023</t>
        </is>
      </c>
      <c r="B2857" s="1" t="n">
        <v>45205</v>
      </c>
      <c r="C2857" s="1" t="n">
        <v>45571</v>
      </c>
      <c r="D2857" t="inlineStr">
        <is>
          <t>STOCKHOLMS LÄN</t>
        </is>
      </c>
      <c r="E2857" t="inlineStr">
        <is>
          <t>NORRTÄLJE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48302-2023</t>
        </is>
      </c>
      <c r="B2858" s="1" t="n">
        <v>45205</v>
      </c>
      <c r="C2858" s="1" t="n">
        <v>45571</v>
      </c>
      <c r="D2858" t="inlineStr">
        <is>
          <t>STOCKHOLMS LÄN</t>
        </is>
      </c>
      <c r="E2858" t="inlineStr">
        <is>
          <t>NORRTÄLJE</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48333-2023</t>
        </is>
      </c>
      <c r="B2859" s="1" t="n">
        <v>45205</v>
      </c>
      <c r="C2859" s="1" t="n">
        <v>45571</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49530-2023</t>
        </is>
      </c>
      <c r="B2860" s="1" t="n">
        <v>45205</v>
      </c>
      <c r="C2860" s="1" t="n">
        <v>45571</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49577-2023</t>
        </is>
      </c>
      <c r="B2861" s="1" t="n">
        <v>45205</v>
      </c>
      <c r="C2861" s="1" t="n">
        <v>45571</v>
      </c>
      <c r="D2861" t="inlineStr">
        <is>
          <t>STOCKHOLMS LÄN</t>
        </is>
      </c>
      <c r="E2861" t="inlineStr">
        <is>
          <t>VALLENTUNA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49597-2023</t>
        </is>
      </c>
      <c r="B2862" s="1" t="n">
        <v>45205</v>
      </c>
      <c r="C2862" s="1" t="n">
        <v>45571</v>
      </c>
      <c r="D2862" t="inlineStr">
        <is>
          <t>STOCKHOLMS LÄN</t>
        </is>
      </c>
      <c r="E2862" t="inlineStr">
        <is>
          <t>VALLENTUNA</t>
        </is>
      </c>
      <c r="G2862" t="n">
        <v>16.4</v>
      </c>
      <c r="H2862" t="n">
        <v>0</v>
      </c>
      <c r="I2862" t="n">
        <v>0</v>
      </c>
      <c r="J2862" t="n">
        <v>0</v>
      </c>
      <c r="K2862" t="n">
        <v>0</v>
      </c>
      <c r="L2862" t="n">
        <v>0</v>
      </c>
      <c r="M2862" t="n">
        <v>0</v>
      </c>
      <c r="N2862" t="n">
        <v>0</v>
      </c>
      <c r="O2862" t="n">
        <v>0</v>
      </c>
      <c r="P2862" t="n">
        <v>0</v>
      </c>
      <c r="Q2862" t="n">
        <v>0</v>
      </c>
      <c r="R2862" s="2" t="inlineStr"/>
    </row>
    <row r="2863" ht="15" customHeight="1">
      <c r="A2863" t="inlineStr">
        <is>
          <t>A 48541-2023</t>
        </is>
      </c>
      <c r="B2863" s="1" t="n">
        <v>45208</v>
      </c>
      <c r="C2863" s="1" t="n">
        <v>45571</v>
      </c>
      <c r="D2863" t="inlineStr">
        <is>
          <t>STOCKHOLMS LÄN</t>
        </is>
      </c>
      <c r="E2863" t="inlineStr">
        <is>
          <t>NORRTÄLJE</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48552-2023</t>
        </is>
      </c>
      <c r="B2864" s="1" t="n">
        <v>45208</v>
      </c>
      <c r="C2864" s="1" t="n">
        <v>45571</v>
      </c>
      <c r="D2864" t="inlineStr">
        <is>
          <t>STOCKHOLMS LÄN</t>
        </is>
      </c>
      <c r="E2864" t="inlineStr">
        <is>
          <t>NORRTÄLJE</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48587-2023</t>
        </is>
      </c>
      <c r="B2865" s="1" t="n">
        <v>45208</v>
      </c>
      <c r="C2865" s="1" t="n">
        <v>45571</v>
      </c>
      <c r="D2865" t="inlineStr">
        <is>
          <t>STOCKHOLMS LÄN</t>
        </is>
      </c>
      <c r="E2865" t="inlineStr">
        <is>
          <t>NORRTÄLJE</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48633-2023</t>
        </is>
      </c>
      <c r="B2866" s="1" t="n">
        <v>45208</v>
      </c>
      <c r="C2866" s="1" t="n">
        <v>45571</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48641-2023</t>
        </is>
      </c>
      <c r="B2867" s="1" t="n">
        <v>45208</v>
      </c>
      <c r="C2867" s="1" t="n">
        <v>45571</v>
      </c>
      <c r="D2867" t="inlineStr">
        <is>
          <t>STOCKHOLMS LÄN</t>
        </is>
      </c>
      <c r="E2867" t="inlineStr">
        <is>
          <t>NORRTÄLJE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48686-2023</t>
        </is>
      </c>
      <c r="B2868" s="1" t="n">
        <v>45208</v>
      </c>
      <c r="C2868" s="1" t="n">
        <v>45571</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48629-2023</t>
        </is>
      </c>
      <c r="B2869" s="1" t="n">
        <v>45208</v>
      </c>
      <c r="C2869" s="1" t="n">
        <v>45571</v>
      </c>
      <c r="D2869" t="inlineStr">
        <is>
          <t>STOCKHOLMS LÄN</t>
        </is>
      </c>
      <c r="E2869" t="inlineStr">
        <is>
          <t>NORRTÄLJE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48668-2023</t>
        </is>
      </c>
      <c r="B2870" s="1" t="n">
        <v>45208</v>
      </c>
      <c r="C2870" s="1" t="n">
        <v>45571</v>
      </c>
      <c r="D2870" t="inlineStr">
        <is>
          <t>STOCKHOLMS LÄN</t>
        </is>
      </c>
      <c r="E2870" t="inlineStr">
        <is>
          <t>NORRTÄLJE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48685-2023</t>
        </is>
      </c>
      <c r="B2871" s="1" t="n">
        <v>45208</v>
      </c>
      <c r="C2871" s="1" t="n">
        <v>45571</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48691-2023</t>
        </is>
      </c>
      <c r="B2872" s="1" t="n">
        <v>45208</v>
      </c>
      <c r="C2872" s="1" t="n">
        <v>45571</v>
      </c>
      <c r="D2872" t="inlineStr">
        <is>
          <t>STOCKHOLMS LÄN</t>
        </is>
      </c>
      <c r="E2872" t="inlineStr">
        <is>
          <t>NORRTÄLJE</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48701-2023</t>
        </is>
      </c>
      <c r="B2873" s="1" t="n">
        <v>45208</v>
      </c>
      <c r="C2873" s="1" t="n">
        <v>45571</v>
      </c>
      <c r="D2873" t="inlineStr">
        <is>
          <t>STOCKHOLMS LÄN</t>
        </is>
      </c>
      <c r="E2873" t="inlineStr">
        <is>
          <t>NORRTÄLJE</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48716-2023</t>
        </is>
      </c>
      <c r="B2874" s="1" t="n">
        <v>45208</v>
      </c>
      <c r="C2874" s="1" t="n">
        <v>45571</v>
      </c>
      <c r="D2874" t="inlineStr">
        <is>
          <t>STOCKHOLMS LÄN</t>
        </is>
      </c>
      <c r="E2874" t="inlineStr">
        <is>
          <t>NORRTÄLJE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48709-2023</t>
        </is>
      </c>
      <c r="B2875" s="1" t="n">
        <v>45208</v>
      </c>
      <c r="C2875" s="1" t="n">
        <v>45571</v>
      </c>
      <c r="D2875" t="inlineStr">
        <is>
          <t>STOCKHOLMS LÄN</t>
        </is>
      </c>
      <c r="E2875" t="inlineStr">
        <is>
          <t>NORRTÄLJE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48722-2023</t>
        </is>
      </c>
      <c r="B2876" s="1" t="n">
        <v>45208</v>
      </c>
      <c r="C2876" s="1" t="n">
        <v>45571</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48726-2023</t>
        </is>
      </c>
      <c r="B2877" s="1" t="n">
        <v>45208</v>
      </c>
      <c r="C2877" s="1" t="n">
        <v>45571</v>
      </c>
      <c r="D2877" t="inlineStr">
        <is>
          <t>STOCKHOLMS LÄN</t>
        </is>
      </c>
      <c r="E2877" t="inlineStr">
        <is>
          <t>NORRTÄLJE</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50184-2023</t>
        </is>
      </c>
      <c r="B2878" s="1" t="n">
        <v>45208</v>
      </c>
      <c r="C2878" s="1" t="n">
        <v>45571</v>
      </c>
      <c r="D2878" t="inlineStr">
        <is>
          <t>STOCKHOLMS LÄN</t>
        </is>
      </c>
      <c r="E2878" t="inlineStr">
        <is>
          <t>EKERÖ</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48839-2023</t>
        </is>
      </c>
      <c r="B2879" s="1" t="n">
        <v>45209</v>
      </c>
      <c r="C2879" s="1" t="n">
        <v>45571</v>
      </c>
      <c r="D2879" t="inlineStr">
        <is>
          <t>STOCKHOLMS LÄN</t>
        </is>
      </c>
      <c r="E2879" t="inlineStr">
        <is>
          <t>EKERÖ</t>
        </is>
      </c>
      <c r="F2879" t="inlineStr">
        <is>
          <t>Kyrkan</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48978-2023</t>
        </is>
      </c>
      <c r="B2880" s="1" t="n">
        <v>45209</v>
      </c>
      <c r="C2880" s="1" t="n">
        <v>45571</v>
      </c>
      <c r="D2880" t="inlineStr">
        <is>
          <t>STOCKHOLMS LÄN</t>
        </is>
      </c>
      <c r="E2880" t="inlineStr">
        <is>
          <t>NYNÄSHAMN</t>
        </is>
      </c>
      <c r="F2880" t="inlineStr">
        <is>
          <t>Kyrkan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50306-2023</t>
        </is>
      </c>
      <c r="B2881" s="1" t="n">
        <v>45209</v>
      </c>
      <c r="C2881" s="1" t="n">
        <v>45571</v>
      </c>
      <c r="D2881" t="inlineStr">
        <is>
          <t>STOCKHOLMS LÄN</t>
        </is>
      </c>
      <c r="E2881" t="inlineStr">
        <is>
          <t>HANINGE</t>
        </is>
      </c>
      <c r="G2881" t="n">
        <v>2.3</v>
      </c>
      <c r="H2881" t="n">
        <v>0</v>
      </c>
      <c r="I2881" t="n">
        <v>0</v>
      </c>
      <c r="J2881" t="n">
        <v>0</v>
      </c>
      <c r="K2881" t="n">
        <v>0</v>
      </c>
      <c r="L2881" t="n">
        <v>0</v>
      </c>
      <c r="M2881" t="n">
        <v>0</v>
      </c>
      <c r="N2881" t="n">
        <v>0</v>
      </c>
      <c r="O2881" t="n">
        <v>0</v>
      </c>
      <c r="P2881" t="n">
        <v>0</v>
      </c>
      <c r="Q2881" t="n">
        <v>0</v>
      </c>
      <c r="R2881" s="2" t="inlineStr"/>
      <c r="U2881">
        <f>HYPERLINK("https://klasma.github.io/Logging_0136/knärot/A 50306-2023 karta knärot.png", "A 50306-2023")</f>
        <v/>
      </c>
      <c r="V2881">
        <f>HYPERLINK("https://klasma.github.io/Logging_0136/klagomål/A 50306-2023 FSC-klagomål.docx", "A 50306-2023")</f>
        <v/>
      </c>
      <c r="W2881">
        <f>HYPERLINK("https://klasma.github.io/Logging_0136/klagomålsmail/A 50306-2023 FSC-klagomål mail.docx", "A 50306-2023")</f>
        <v/>
      </c>
      <c r="X2881">
        <f>HYPERLINK("https://klasma.github.io/Logging_0136/tillsyn/A 50306-2023 tillsynsbegäran.docx", "A 50306-2023")</f>
        <v/>
      </c>
      <c r="Y2881">
        <f>HYPERLINK("https://klasma.github.io/Logging_0136/tillsynsmail/A 50306-2023 tillsynsbegäran mail.docx", "A 50306-2023")</f>
        <v/>
      </c>
    </row>
    <row r="2882" ht="15" customHeight="1">
      <c r="A2882" t="inlineStr">
        <is>
          <t>A 49169-2023</t>
        </is>
      </c>
      <c r="B2882" s="1" t="n">
        <v>45210</v>
      </c>
      <c r="C2882" s="1" t="n">
        <v>45571</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49176-2023</t>
        </is>
      </c>
      <c r="B2883" s="1" t="n">
        <v>45210</v>
      </c>
      <c r="C2883" s="1" t="n">
        <v>45571</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49253-2023</t>
        </is>
      </c>
      <c r="B2884" s="1" t="n">
        <v>45210</v>
      </c>
      <c r="C2884" s="1" t="n">
        <v>45571</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49224-2023</t>
        </is>
      </c>
      <c r="B2885" s="1" t="n">
        <v>45210</v>
      </c>
      <c r="C2885" s="1" t="n">
        <v>45571</v>
      </c>
      <c r="D2885" t="inlineStr">
        <is>
          <t>STOCKHOLMS LÄN</t>
        </is>
      </c>
      <c r="E2885" t="inlineStr">
        <is>
          <t>NORRTÄLJE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49388-2023</t>
        </is>
      </c>
      <c r="B2886" s="1" t="n">
        <v>45211</v>
      </c>
      <c r="C2886" s="1" t="n">
        <v>45571</v>
      </c>
      <c r="D2886" t="inlineStr">
        <is>
          <t>STOCKHOLMS LÄN</t>
        </is>
      </c>
      <c r="E2886" t="inlineStr">
        <is>
          <t>ÖSTERÅKER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49419-2023</t>
        </is>
      </c>
      <c r="B2887" s="1" t="n">
        <v>45211</v>
      </c>
      <c r="C2887" s="1" t="n">
        <v>45571</v>
      </c>
      <c r="D2887" t="inlineStr">
        <is>
          <t>STOCKHOLMS LÄN</t>
        </is>
      </c>
      <c r="E2887" t="inlineStr">
        <is>
          <t>HUDDINGE</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49589-2023</t>
        </is>
      </c>
      <c r="B2888" s="1" t="n">
        <v>45211</v>
      </c>
      <c r="C2888" s="1" t="n">
        <v>45571</v>
      </c>
      <c r="D2888" t="inlineStr">
        <is>
          <t>STOCKHOLMS LÄN</t>
        </is>
      </c>
      <c r="E2888" t="inlineStr">
        <is>
          <t>SIGTUNA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49591-2023</t>
        </is>
      </c>
      <c r="B2889" s="1" t="n">
        <v>45211</v>
      </c>
      <c r="C2889" s="1" t="n">
        <v>45571</v>
      </c>
      <c r="D2889" t="inlineStr">
        <is>
          <t>STOCKHOLMS LÄN</t>
        </is>
      </c>
      <c r="E2889" t="inlineStr">
        <is>
          <t>SIGTUNA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49395-2023</t>
        </is>
      </c>
      <c r="B2890" s="1" t="n">
        <v>45211</v>
      </c>
      <c r="C2890" s="1" t="n">
        <v>45571</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49421-2023</t>
        </is>
      </c>
      <c r="B2891" s="1" t="n">
        <v>45211</v>
      </c>
      <c r="C2891" s="1" t="n">
        <v>45571</v>
      </c>
      <c r="D2891" t="inlineStr">
        <is>
          <t>STOCKHOLMS LÄN</t>
        </is>
      </c>
      <c r="E2891" t="inlineStr">
        <is>
          <t>HUDDINGE</t>
        </is>
      </c>
      <c r="F2891" t="inlineStr">
        <is>
          <t>Kommuner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49592-2023</t>
        </is>
      </c>
      <c r="B2892" s="1" t="n">
        <v>45211</v>
      </c>
      <c r="C2892" s="1" t="n">
        <v>45571</v>
      </c>
      <c r="D2892" t="inlineStr">
        <is>
          <t>STOCKHOLMS LÄN</t>
        </is>
      </c>
      <c r="E2892" t="inlineStr">
        <is>
          <t>SIGTUNA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49696-2023</t>
        </is>
      </c>
      <c r="B2893" s="1" t="n">
        <v>45212</v>
      </c>
      <c r="C2893" s="1" t="n">
        <v>45571</v>
      </c>
      <c r="D2893" t="inlineStr">
        <is>
          <t>STOCKHOLMS LÄN</t>
        </is>
      </c>
      <c r="E2893" t="inlineStr">
        <is>
          <t>NORRTÄLJE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49700-2023</t>
        </is>
      </c>
      <c r="B2894" s="1" t="n">
        <v>45212</v>
      </c>
      <c r="C2894" s="1" t="n">
        <v>45571</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49694-2023</t>
        </is>
      </c>
      <c r="B2895" s="1" t="n">
        <v>45212</v>
      </c>
      <c r="C2895" s="1" t="n">
        <v>45571</v>
      </c>
      <c r="D2895" t="inlineStr">
        <is>
          <t>STOCKHOLMS LÄN</t>
        </is>
      </c>
      <c r="E2895" t="inlineStr">
        <is>
          <t>NORRTÄLJE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50020-2023</t>
        </is>
      </c>
      <c r="B2896" s="1" t="n">
        <v>45215</v>
      </c>
      <c r="C2896" s="1" t="n">
        <v>45571</v>
      </c>
      <c r="D2896" t="inlineStr">
        <is>
          <t>STOCKHOLMS LÄN</t>
        </is>
      </c>
      <c r="E2896" t="inlineStr">
        <is>
          <t>NYKVARN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50143-2023</t>
        </is>
      </c>
      <c r="B2897" s="1" t="n">
        <v>45215</v>
      </c>
      <c r="C2897" s="1" t="n">
        <v>45571</v>
      </c>
      <c r="D2897" t="inlineStr">
        <is>
          <t>STOCKHOLMS LÄN</t>
        </is>
      </c>
      <c r="E2897" t="inlineStr">
        <is>
          <t>NORRTÄLJE</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49999-2023</t>
        </is>
      </c>
      <c r="B2898" s="1" t="n">
        <v>45215</v>
      </c>
      <c r="C2898" s="1" t="n">
        <v>45571</v>
      </c>
      <c r="D2898" t="inlineStr">
        <is>
          <t>STOCKHOLMS LÄN</t>
        </is>
      </c>
      <c r="E2898" t="inlineStr">
        <is>
          <t>NYKVARN</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50027-2023</t>
        </is>
      </c>
      <c r="B2899" s="1" t="n">
        <v>45215</v>
      </c>
      <c r="C2899" s="1" t="n">
        <v>45571</v>
      </c>
      <c r="D2899" t="inlineStr">
        <is>
          <t>STOCKHOLMS LÄN</t>
        </is>
      </c>
      <c r="E2899" t="inlineStr">
        <is>
          <t>NYKVARN</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50031-2023</t>
        </is>
      </c>
      <c r="B2900" s="1" t="n">
        <v>45215</v>
      </c>
      <c r="C2900" s="1" t="n">
        <v>45571</v>
      </c>
      <c r="D2900" t="inlineStr">
        <is>
          <t>STOCKHOLMS LÄN</t>
        </is>
      </c>
      <c r="E2900" t="inlineStr">
        <is>
          <t>NYKVARN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50107-2023</t>
        </is>
      </c>
      <c r="B2901" s="1" t="n">
        <v>45215</v>
      </c>
      <c r="C2901" s="1" t="n">
        <v>45571</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50033-2023</t>
        </is>
      </c>
      <c r="B2902" s="1" t="n">
        <v>45215</v>
      </c>
      <c r="C2902" s="1" t="n">
        <v>45571</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50037-2023</t>
        </is>
      </c>
      <c r="B2903" s="1" t="n">
        <v>45215</v>
      </c>
      <c r="C2903" s="1" t="n">
        <v>45571</v>
      </c>
      <c r="D2903" t="inlineStr">
        <is>
          <t>STOCKHOLMS LÄN</t>
        </is>
      </c>
      <c r="E2903" t="inlineStr">
        <is>
          <t>NYKVARN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50136-2023</t>
        </is>
      </c>
      <c r="B2904" s="1" t="n">
        <v>45215</v>
      </c>
      <c r="C2904" s="1" t="n">
        <v>45571</v>
      </c>
      <c r="D2904" t="inlineStr">
        <is>
          <t>STOCKHOLMS LÄN</t>
        </is>
      </c>
      <c r="E2904" t="inlineStr">
        <is>
          <t>NORRTÄLJE</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50150-2023</t>
        </is>
      </c>
      <c r="B2905" s="1" t="n">
        <v>45215</v>
      </c>
      <c r="C2905" s="1" t="n">
        <v>45571</v>
      </c>
      <c r="D2905" t="inlineStr">
        <is>
          <t>STOCKHOLMS LÄN</t>
        </is>
      </c>
      <c r="E2905" t="inlineStr">
        <is>
          <t>NORRTÄLJE</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51587-2023</t>
        </is>
      </c>
      <c r="B2906" s="1" t="n">
        <v>45215</v>
      </c>
      <c r="C2906" s="1" t="n">
        <v>45571</v>
      </c>
      <c r="D2906" t="inlineStr">
        <is>
          <t>STOCKHOLMS LÄN</t>
        </is>
      </c>
      <c r="E2906" t="inlineStr">
        <is>
          <t>UPPLANDS-BRO</t>
        </is>
      </c>
      <c r="F2906" t="inlineStr">
        <is>
          <t>Allmännings- och besparingsskogar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50294-2023</t>
        </is>
      </c>
      <c r="B2907" s="1" t="n">
        <v>45216</v>
      </c>
      <c r="C2907" s="1" t="n">
        <v>45571</v>
      </c>
      <c r="D2907" t="inlineStr">
        <is>
          <t>STOCKHOLMS LÄN</t>
        </is>
      </c>
      <c r="E2907" t="inlineStr">
        <is>
          <t>UPPLANDS-BRO</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50289-2023</t>
        </is>
      </c>
      <c r="B2908" s="1" t="n">
        <v>45216</v>
      </c>
      <c r="C2908" s="1" t="n">
        <v>45571</v>
      </c>
      <c r="D2908" t="inlineStr">
        <is>
          <t>STOCKHOLMS LÄN</t>
        </is>
      </c>
      <c r="E2908" t="inlineStr">
        <is>
          <t>NORRTÄLJE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51931-2023</t>
        </is>
      </c>
      <c r="B2909" s="1" t="n">
        <v>45216</v>
      </c>
      <c r="C2909" s="1" t="n">
        <v>45571</v>
      </c>
      <c r="D2909" t="inlineStr">
        <is>
          <t>STOCKHOLMS LÄN</t>
        </is>
      </c>
      <c r="E2909" t="inlineStr">
        <is>
          <t>SÖDERTÄLJE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50436-2023</t>
        </is>
      </c>
      <c r="B2910" s="1" t="n">
        <v>45216</v>
      </c>
      <c r="C2910" s="1" t="n">
        <v>45571</v>
      </c>
      <c r="D2910" t="inlineStr">
        <is>
          <t>STOCKHOLMS LÄN</t>
        </is>
      </c>
      <c r="E2910" t="inlineStr">
        <is>
          <t>NORRTÄLJE</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50690-2023</t>
        </is>
      </c>
      <c r="B2911" s="1" t="n">
        <v>45217</v>
      </c>
      <c r="C2911" s="1" t="n">
        <v>45571</v>
      </c>
      <c r="D2911" t="inlineStr">
        <is>
          <t>STOCKHOLMS LÄN</t>
        </is>
      </c>
      <c r="E2911" t="inlineStr">
        <is>
          <t>NORRTÄLJE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50588-2023</t>
        </is>
      </c>
      <c r="B2912" s="1" t="n">
        <v>45217</v>
      </c>
      <c r="C2912" s="1" t="n">
        <v>45571</v>
      </c>
      <c r="D2912" t="inlineStr">
        <is>
          <t>STOCKHOLMS LÄN</t>
        </is>
      </c>
      <c r="E2912" t="inlineStr">
        <is>
          <t>VALLENTUNA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51049-2023</t>
        </is>
      </c>
      <c r="B2913" s="1" t="n">
        <v>45218</v>
      </c>
      <c r="C2913" s="1" t="n">
        <v>45571</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51063-2023</t>
        </is>
      </c>
      <c r="B2914" s="1" t="n">
        <v>45218</v>
      </c>
      <c r="C2914" s="1" t="n">
        <v>45571</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51087-2023</t>
        </is>
      </c>
      <c r="B2915" s="1" t="n">
        <v>45218</v>
      </c>
      <c r="C2915" s="1" t="n">
        <v>45571</v>
      </c>
      <c r="D2915" t="inlineStr">
        <is>
          <t>STOCKHOLMS LÄN</t>
        </is>
      </c>
      <c r="E2915" t="inlineStr">
        <is>
          <t>SÖDERTÄLJE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50880-2023</t>
        </is>
      </c>
      <c r="B2916" s="1" t="n">
        <v>45218</v>
      </c>
      <c r="C2916" s="1" t="n">
        <v>45571</v>
      </c>
      <c r="D2916" t="inlineStr">
        <is>
          <t>STOCKHOLMS LÄN</t>
        </is>
      </c>
      <c r="E2916" t="inlineStr">
        <is>
          <t>NORRTÄLJE</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51046-2023</t>
        </is>
      </c>
      <c r="B2917" s="1" t="n">
        <v>45218</v>
      </c>
      <c r="C2917" s="1" t="n">
        <v>45571</v>
      </c>
      <c r="D2917" t="inlineStr">
        <is>
          <t>STOCKHOLMS LÄN</t>
        </is>
      </c>
      <c r="E2917" t="inlineStr">
        <is>
          <t>NORRTÄLJE</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51043-2023</t>
        </is>
      </c>
      <c r="B2918" s="1" t="n">
        <v>45218</v>
      </c>
      <c r="C2918" s="1" t="n">
        <v>45571</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51061-2023</t>
        </is>
      </c>
      <c r="B2919" s="1" t="n">
        <v>45218</v>
      </c>
      <c r="C2919" s="1" t="n">
        <v>45571</v>
      </c>
      <c r="D2919" t="inlineStr">
        <is>
          <t>STOCKHOLMS LÄN</t>
        </is>
      </c>
      <c r="E2919" t="inlineStr">
        <is>
          <t>NORRTÄLJE</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51325-2023</t>
        </is>
      </c>
      <c r="B2920" s="1" t="n">
        <v>45219</v>
      </c>
      <c r="C2920" s="1" t="n">
        <v>45571</v>
      </c>
      <c r="D2920" t="inlineStr">
        <is>
          <t>STOCKHOLMS LÄN</t>
        </is>
      </c>
      <c r="E2920" t="inlineStr">
        <is>
          <t>NORRTÄLJE</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51312-2023</t>
        </is>
      </c>
      <c r="B2921" s="1" t="n">
        <v>45219</v>
      </c>
      <c r="C2921" s="1" t="n">
        <v>45571</v>
      </c>
      <c r="D2921" t="inlineStr">
        <is>
          <t>STOCKHOLMS LÄN</t>
        </is>
      </c>
      <c r="E2921" t="inlineStr">
        <is>
          <t>NORRTÄLJE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51720-2023</t>
        </is>
      </c>
      <c r="B2922" s="1" t="n">
        <v>45222</v>
      </c>
      <c r="C2922" s="1" t="n">
        <v>45571</v>
      </c>
      <c r="D2922" t="inlineStr">
        <is>
          <t>STOCKHOLMS LÄN</t>
        </is>
      </c>
      <c r="E2922" t="inlineStr">
        <is>
          <t>SALEM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51674-2023</t>
        </is>
      </c>
      <c r="B2923" s="1" t="n">
        <v>45222</v>
      </c>
      <c r="C2923" s="1" t="n">
        <v>45571</v>
      </c>
      <c r="D2923" t="inlineStr">
        <is>
          <t>STOCKHOLMS LÄN</t>
        </is>
      </c>
      <c r="E2923" t="inlineStr">
        <is>
          <t>SÖDERTÄLJE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51597-2023</t>
        </is>
      </c>
      <c r="B2924" s="1" t="n">
        <v>45222</v>
      </c>
      <c r="C2924" s="1" t="n">
        <v>45571</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51657-2023</t>
        </is>
      </c>
      <c r="B2925" s="1" t="n">
        <v>45222</v>
      </c>
      <c r="C2925" s="1" t="n">
        <v>45571</v>
      </c>
      <c r="D2925" t="inlineStr">
        <is>
          <t>STOCKHOLMS LÄN</t>
        </is>
      </c>
      <c r="E2925" t="inlineStr">
        <is>
          <t>NORRTÄLJE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51770-2023</t>
        </is>
      </c>
      <c r="B2926" s="1" t="n">
        <v>45222</v>
      </c>
      <c r="C2926" s="1" t="n">
        <v>45571</v>
      </c>
      <c r="D2926" t="inlineStr">
        <is>
          <t>STOCKHOLMS LÄN</t>
        </is>
      </c>
      <c r="E2926" t="inlineStr">
        <is>
          <t>SIGTUNA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51986-2023</t>
        </is>
      </c>
      <c r="B2927" s="1" t="n">
        <v>45223</v>
      </c>
      <c r="C2927" s="1" t="n">
        <v>45571</v>
      </c>
      <c r="D2927" t="inlineStr">
        <is>
          <t>STOCKHOLMS LÄN</t>
        </is>
      </c>
      <c r="E2927" t="inlineStr">
        <is>
          <t>NYKVARN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51903-2023</t>
        </is>
      </c>
      <c r="B2928" s="1" t="n">
        <v>45223</v>
      </c>
      <c r="C2928" s="1" t="n">
        <v>45571</v>
      </c>
      <c r="D2928" t="inlineStr">
        <is>
          <t>STOCKHOLMS LÄN</t>
        </is>
      </c>
      <c r="E2928" t="inlineStr">
        <is>
          <t>NORRTÄLJE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52003-2023</t>
        </is>
      </c>
      <c r="B2929" s="1" t="n">
        <v>45223</v>
      </c>
      <c r="C2929" s="1" t="n">
        <v>45571</v>
      </c>
      <c r="D2929" t="inlineStr">
        <is>
          <t>STOCKHOLMS LÄN</t>
        </is>
      </c>
      <c r="E2929" t="inlineStr">
        <is>
          <t>NYKVARN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52095-2023</t>
        </is>
      </c>
      <c r="B2930" s="1" t="n">
        <v>45223</v>
      </c>
      <c r="C2930" s="1" t="n">
        <v>45571</v>
      </c>
      <c r="D2930" t="inlineStr">
        <is>
          <t>STOCKHOLMS LÄN</t>
        </is>
      </c>
      <c r="E2930" t="inlineStr">
        <is>
          <t>NORRTÄLJE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51978-2023</t>
        </is>
      </c>
      <c r="B2931" s="1" t="n">
        <v>45223</v>
      </c>
      <c r="C2931" s="1" t="n">
        <v>45571</v>
      </c>
      <c r="D2931" t="inlineStr">
        <is>
          <t>STOCKHOLMS LÄN</t>
        </is>
      </c>
      <c r="E2931" t="inlineStr">
        <is>
          <t>NORRTÄLJE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52020-2023</t>
        </is>
      </c>
      <c r="B2932" s="1" t="n">
        <v>45223</v>
      </c>
      <c r="C2932" s="1" t="n">
        <v>45571</v>
      </c>
      <c r="D2932" t="inlineStr">
        <is>
          <t>STOCKHOLMS LÄN</t>
        </is>
      </c>
      <c r="E2932" t="inlineStr">
        <is>
          <t>NYKVARN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51997-2023</t>
        </is>
      </c>
      <c r="B2933" s="1" t="n">
        <v>45223</v>
      </c>
      <c r="C2933" s="1" t="n">
        <v>45571</v>
      </c>
      <c r="D2933" t="inlineStr">
        <is>
          <t>STOCKHOLMS LÄN</t>
        </is>
      </c>
      <c r="E2933" t="inlineStr">
        <is>
          <t>NORRTÄLJE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52001-2023</t>
        </is>
      </c>
      <c r="B2934" s="1" t="n">
        <v>45223</v>
      </c>
      <c r="C2934" s="1" t="n">
        <v>45571</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52096-2023</t>
        </is>
      </c>
      <c r="B2935" s="1" t="n">
        <v>45223</v>
      </c>
      <c r="C2935" s="1" t="n">
        <v>45571</v>
      </c>
      <c r="D2935" t="inlineStr">
        <is>
          <t>STOCKHOLMS LÄN</t>
        </is>
      </c>
      <c r="E2935" t="inlineStr">
        <is>
          <t>NORRTÄLJE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53362-2023</t>
        </is>
      </c>
      <c r="B2936" s="1" t="n">
        <v>45223</v>
      </c>
      <c r="C2936" s="1" t="n">
        <v>45571</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53372-2023</t>
        </is>
      </c>
      <c r="B2937" s="1" t="n">
        <v>45223</v>
      </c>
      <c r="C2937" s="1" t="n">
        <v>45571</v>
      </c>
      <c r="D2937" t="inlineStr">
        <is>
          <t>STOCKHOLMS LÄN</t>
        </is>
      </c>
      <c r="E2937" t="inlineStr">
        <is>
          <t>NORRTÄLJE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52221-2023</t>
        </is>
      </c>
      <c r="B2938" s="1" t="n">
        <v>45224</v>
      </c>
      <c r="C2938" s="1" t="n">
        <v>45571</v>
      </c>
      <c r="D2938" t="inlineStr">
        <is>
          <t>STOCKHOLMS LÄN</t>
        </is>
      </c>
      <c r="E2938" t="inlineStr">
        <is>
          <t>NORRTÄLJE</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53561-2023</t>
        </is>
      </c>
      <c r="B2939" s="1" t="n">
        <v>45224</v>
      </c>
      <c r="C2939" s="1" t="n">
        <v>45571</v>
      </c>
      <c r="D2939" t="inlineStr">
        <is>
          <t>STOCKHOLMS LÄN</t>
        </is>
      </c>
      <c r="E2939" t="inlineStr">
        <is>
          <t>NORRTÄLJE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53556-2023</t>
        </is>
      </c>
      <c r="B2940" s="1" t="n">
        <v>45224</v>
      </c>
      <c r="C2940" s="1" t="n">
        <v>45571</v>
      </c>
      <c r="D2940" t="inlineStr">
        <is>
          <t>STOCKHOLMS LÄN</t>
        </is>
      </c>
      <c r="E2940" t="inlineStr">
        <is>
          <t>NORRTÄLJE</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52570-2023</t>
        </is>
      </c>
      <c r="B2941" s="1" t="n">
        <v>45225</v>
      </c>
      <c r="C2941" s="1" t="n">
        <v>45571</v>
      </c>
      <c r="D2941" t="inlineStr">
        <is>
          <t>STOCKHOLMS LÄN</t>
        </is>
      </c>
      <c r="E2941" t="inlineStr">
        <is>
          <t>NORRTÄLJE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52562-2023</t>
        </is>
      </c>
      <c r="B2942" s="1" t="n">
        <v>45225</v>
      </c>
      <c r="C2942" s="1" t="n">
        <v>45571</v>
      </c>
      <c r="D2942" t="inlineStr">
        <is>
          <t>STOCKHOLMS LÄN</t>
        </is>
      </c>
      <c r="E2942" t="inlineStr">
        <is>
          <t>VALLENTUNA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52542-2023</t>
        </is>
      </c>
      <c r="B2943" s="1" t="n">
        <v>45225</v>
      </c>
      <c r="C2943" s="1" t="n">
        <v>45571</v>
      </c>
      <c r="D2943" t="inlineStr">
        <is>
          <t>STOCKHOLMS LÄN</t>
        </is>
      </c>
      <c r="E2943" t="inlineStr">
        <is>
          <t>VALLENTUNA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52559-2023</t>
        </is>
      </c>
      <c r="B2944" s="1" t="n">
        <v>45225</v>
      </c>
      <c r="C2944" s="1" t="n">
        <v>45571</v>
      </c>
      <c r="D2944" t="inlineStr">
        <is>
          <t>STOCKHOLMS LÄN</t>
        </is>
      </c>
      <c r="E2944" t="inlineStr">
        <is>
          <t>VALLENTUNA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52619-2023</t>
        </is>
      </c>
      <c r="B2945" s="1" t="n">
        <v>45225</v>
      </c>
      <c r="C2945" s="1" t="n">
        <v>45571</v>
      </c>
      <c r="D2945" t="inlineStr">
        <is>
          <t>STOCKHOLMS LÄN</t>
        </is>
      </c>
      <c r="E2945" t="inlineStr">
        <is>
          <t>NORRTÄLJE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54222-2023</t>
        </is>
      </c>
      <c r="B2946" s="1" t="n">
        <v>45225</v>
      </c>
      <c r="C2946" s="1" t="n">
        <v>45571</v>
      </c>
      <c r="D2946" t="inlineStr">
        <is>
          <t>STOCKHOLMS LÄN</t>
        </is>
      </c>
      <c r="E2946" t="inlineStr">
        <is>
          <t>UPPLANDS-BRO</t>
        </is>
      </c>
      <c r="F2946" t="inlineStr">
        <is>
          <t>Övriga statliga verk och myndigheter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52815-2023</t>
        </is>
      </c>
      <c r="B2947" s="1" t="n">
        <v>45226</v>
      </c>
      <c r="C2947" s="1" t="n">
        <v>45571</v>
      </c>
      <c r="D2947" t="inlineStr">
        <is>
          <t>STOCKHOLMS LÄN</t>
        </is>
      </c>
      <c r="E2947" t="inlineStr">
        <is>
          <t>SÖDERTÄLJE</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52875-2023</t>
        </is>
      </c>
      <c r="B2948" s="1" t="n">
        <v>45226</v>
      </c>
      <c r="C2948" s="1" t="n">
        <v>45571</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52899-2023</t>
        </is>
      </c>
      <c r="B2949" s="1" t="n">
        <v>45226</v>
      </c>
      <c r="C2949" s="1" t="n">
        <v>45571</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52814-2023</t>
        </is>
      </c>
      <c r="B2950" s="1" t="n">
        <v>45226</v>
      </c>
      <c r="C2950" s="1" t="n">
        <v>45571</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52989-2023</t>
        </is>
      </c>
      <c r="B2951" s="1" t="n">
        <v>45226</v>
      </c>
      <c r="C2951" s="1" t="n">
        <v>45571</v>
      </c>
      <c r="D2951" t="inlineStr">
        <is>
          <t>STOCKHOLMS LÄN</t>
        </is>
      </c>
      <c r="E2951" t="inlineStr">
        <is>
          <t>VALLENTUNA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53232-2023</t>
        </is>
      </c>
      <c r="B2952" s="1" t="n">
        <v>45229</v>
      </c>
      <c r="C2952" s="1" t="n">
        <v>45571</v>
      </c>
      <c r="D2952" t="inlineStr">
        <is>
          <t>STOCKHOLMS LÄN</t>
        </is>
      </c>
      <c r="E2952" t="inlineStr">
        <is>
          <t>SÖDERTÄLJE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53337-2023</t>
        </is>
      </c>
      <c r="B2953" s="1" t="n">
        <v>45229</v>
      </c>
      <c r="C2953" s="1" t="n">
        <v>45571</v>
      </c>
      <c r="D2953" t="inlineStr">
        <is>
          <t>STOCKHOLMS LÄN</t>
        </is>
      </c>
      <c r="E2953" t="inlineStr">
        <is>
          <t>NYKVARN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53307-2023</t>
        </is>
      </c>
      <c r="B2954" s="1" t="n">
        <v>45229</v>
      </c>
      <c r="C2954" s="1" t="n">
        <v>45571</v>
      </c>
      <c r="D2954" t="inlineStr">
        <is>
          <t>STOCKHOLMS LÄN</t>
        </is>
      </c>
      <c r="E2954" t="inlineStr">
        <is>
          <t>NYKVARN</t>
        </is>
      </c>
      <c r="F2954" t="inlineStr">
        <is>
          <t>Kyrkan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53563-2023</t>
        </is>
      </c>
      <c r="B2955" s="1" t="n">
        <v>45230</v>
      </c>
      <c r="C2955" s="1" t="n">
        <v>45571</v>
      </c>
      <c r="D2955" t="inlineStr">
        <is>
          <t>STOCKHOLMS LÄN</t>
        </is>
      </c>
      <c r="E2955" t="inlineStr">
        <is>
          <t>NORRTÄLJE</t>
        </is>
      </c>
      <c r="G2955" t="n">
        <v>17.2</v>
      </c>
      <c r="H2955" t="n">
        <v>0</v>
      </c>
      <c r="I2955" t="n">
        <v>0</v>
      </c>
      <c r="J2955" t="n">
        <v>0</v>
      </c>
      <c r="K2955" t="n">
        <v>0</v>
      </c>
      <c r="L2955" t="n">
        <v>0</v>
      </c>
      <c r="M2955" t="n">
        <v>0</v>
      </c>
      <c r="N2955" t="n">
        <v>0</v>
      </c>
      <c r="O2955" t="n">
        <v>0</v>
      </c>
      <c r="P2955" t="n">
        <v>0</v>
      </c>
      <c r="Q2955" t="n">
        <v>0</v>
      </c>
      <c r="R2955" s="2" t="inlineStr"/>
    </row>
    <row r="2956" ht="15" customHeight="1">
      <c r="A2956" t="inlineStr">
        <is>
          <t>A 53581-2023</t>
        </is>
      </c>
      <c r="B2956" s="1" t="n">
        <v>45230</v>
      </c>
      <c r="C2956" s="1" t="n">
        <v>45571</v>
      </c>
      <c r="D2956" t="inlineStr">
        <is>
          <t>STOCKHOLMS LÄN</t>
        </is>
      </c>
      <c r="E2956" t="inlineStr">
        <is>
          <t>VALLENTUNA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53718-2023</t>
        </is>
      </c>
      <c r="B2957" s="1" t="n">
        <v>45230</v>
      </c>
      <c r="C2957" s="1" t="n">
        <v>45571</v>
      </c>
      <c r="D2957" t="inlineStr">
        <is>
          <t>STOCKHOLMS LÄN</t>
        </is>
      </c>
      <c r="E2957" t="inlineStr">
        <is>
          <t>NORRTÄLJE</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53840-2023</t>
        </is>
      </c>
      <c r="B2958" s="1" t="n">
        <v>45231</v>
      </c>
      <c r="C2958" s="1" t="n">
        <v>45571</v>
      </c>
      <c r="D2958" t="inlineStr">
        <is>
          <t>STOCKHOLMS LÄN</t>
        </is>
      </c>
      <c r="E2958" t="inlineStr">
        <is>
          <t>UPPLANDS-BRO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53787-2023</t>
        </is>
      </c>
      <c r="B2959" s="1" t="n">
        <v>45231</v>
      </c>
      <c r="C2959" s="1" t="n">
        <v>45571</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53836-2023</t>
        </is>
      </c>
      <c r="B2960" s="1" t="n">
        <v>45231</v>
      </c>
      <c r="C2960" s="1" t="n">
        <v>45571</v>
      </c>
      <c r="D2960" t="inlineStr">
        <is>
          <t>STOCKHOLMS LÄN</t>
        </is>
      </c>
      <c r="E2960" t="inlineStr">
        <is>
          <t>UPPLANDS-BRO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53792-2023</t>
        </is>
      </c>
      <c r="B2961" s="1" t="n">
        <v>45231</v>
      </c>
      <c r="C2961" s="1" t="n">
        <v>45571</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55518-2023</t>
        </is>
      </c>
      <c r="B2962" s="1" t="n">
        <v>45231</v>
      </c>
      <c r="C2962" s="1" t="n">
        <v>45571</v>
      </c>
      <c r="D2962" t="inlineStr">
        <is>
          <t>STOCKHOLMS LÄN</t>
        </is>
      </c>
      <c r="E2962" t="inlineStr">
        <is>
          <t>NORRTÄLJE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53832-2023</t>
        </is>
      </c>
      <c r="B2963" s="1" t="n">
        <v>45231</v>
      </c>
      <c r="C2963" s="1" t="n">
        <v>45571</v>
      </c>
      <c r="D2963" t="inlineStr">
        <is>
          <t>STOCKHOLMS LÄN</t>
        </is>
      </c>
      <c r="E2963" t="inlineStr">
        <is>
          <t>UPPLANDS-BRO</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55533-2023</t>
        </is>
      </c>
      <c r="B2964" s="1" t="n">
        <v>45231</v>
      </c>
      <c r="C2964" s="1" t="n">
        <v>45571</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54259-2023</t>
        </is>
      </c>
      <c r="B2965" s="1" t="n">
        <v>45232</v>
      </c>
      <c r="C2965" s="1" t="n">
        <v>45571</v>
      </c>
      <c r="D2965" t="inlineStr">
        <is>
          <t>STOCKHOLMS LÄN</t>
        </is>
      </c>
      <c r="E2965" t="inlineStr">
        <is>
          <t>NORRTÄLJE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55586-2023</t>
        </is>
      </c>
      <c r="B2966" s="1" t="n">
        <v>45232</v>
      </c>
      <c r="C2966" s="1" t="n">
        <v>45571</v>
      </c>
      <c r="D2966" t="inlineStr">
        <is>
          <t>STOCKHOLMS LÄN</t>
        </is>
      </c>
      <c r="E2966" t="inlineStr">
        <is>
          <t>UPPLANDS-BRO</t>
        </is>
      </c>
      <c r="F2966" t="inlineStr">
        <is>
          <t>Övriga statliga verk och myndigheter</t>
        </is>
      </c>
      <c r="G2966" t="n">
        <v>38.9</v>
      </c>
      <c r="H2966" t="n">
        <v>0</v>
      </c>
      <c r="I2966" t="n">
        <v>0</v>
      </c>
      <c r="J2966" t="n">
        <v>0</v>
      </c>
      <c r="K2966" t="n">
        <v>0</v>
      </c>
      <c r="L2966" t="n">
        <v>0</v>
      </c>
      <c r="M2966" t="n">
        <v>0</v>
      </c>
      <c r="N2966" t="n">
        <v>0</v>
      </c>
      <c r="O2966" t="n">
        <v>0</v>
      </c>
      <c r="P2966" t="n">
        <v>0</v>
      </c>
      <c r="Q2966" t="n">
        <v>0</v>
      </c>
      <c r="R2966" s="2" t="inlineStr"/>
    </row>
    <row r="2967" ht="15" customHeight="1">
      <c r="A2967" t="inlineStr">
        <is>
          <t>A 54583-2023</t>
        </is>
      </c>
      <c r="B2967" s="1" t="n">
        <v>45233</v>
      </c>
      <c r="C2967" s="1" t="n">
        <v>45571</v>
      </c>
      <c r="D2967" t="inlineStr">
        <is>
          <t>STOCKHOLMS LÄN</t>
        </is>
      </c>
      <c r="E2967" t="inlineStr">
        <is>
          <t>NYKVARN</t>
        </is>
      </c>
      <c r="F2967" t="inlineStr">
        <is>
          <t>Kommuner</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54546-2023</t>
        </is>
      </c>
      <c r="B2968" s="1" t="n">
        <v>45233</v>
      </c>
      <c r="C2968" s="1" t="n">
        <v>45571</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54670-2023</t>
        </is>
      </c>
      <c r="B2969" s="1" t="n">
        <v>45235</v>
      </c>
      <c r="C2969" s="1" t="n">
        <v>45571</v>
      </c>
      <c r="D2969" t="inlineStr">
        <is>
          <t>STOCKHOLMS LÄN</t>
        </is>
      </c>
      <c r="E2969" t="inlineStr">
        <is>
          <t>NYKVARN</t>
        </is>
      </c>
      <c r="F2969" t="inlineStr">
        <is>
          <t>Kommuner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54776-2023</t>
        </is>
      </c>
      <c r="B2970" s="1" t="n">
        <v>45236</v>
      </c>
      <c r="C2970" s="1" t="n">
        <v>45571</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55038-2023</t>
        </is>
      </c>
      <c r="B2971" s="1" t="n">
        <v>45237</v>
      </c>
      <c r="C2971" s="1" t="n">
        <v>45571</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55243-2023</t>
        </is>
      </c>
      <c r="B2972" s="1" t="n">
        <v>45237</v>
      </c>
      <c r="C2972" s="1" t="n">
        <v>45571</v>
      </c>
      <c r="D2972" t="inlineStr">
        <is>
          <t>STOCKHOLMS LÄN</t>
        </is>
      </c>
      <c r="E2972" t="inlineStr">
        <is>
          <t>NORRTÄLJE</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56392-2023</t>
        </is>
      </c>
      <c r="B2973" s="1" t="n">
        <v>45237</v>
      </c>
      <c r="C2973" s="1" t="n">
        <v>45571</v>
      </c>
      <c r="D2973" t="inlineStr">
        <is>
          <t>STOCKHOLMS LÄN</t>
        </is>
      </c>
      <c r="E2973" t="inlineStr">
        <is>
          <t>HANINGE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55369-2023</t>
        </is>
      </c>
      <c r="B2974" s="1" t="n">
        <v>45238</v>
      </c>
      <c r="C2974" s="1" t="n">
        <v>45571</v>
      </c>
      <c r="D2974" t="inlineStr">
        <is>
          <t>STOCKHOLMS LÄN</t>
        </is>
      </c>
      <c r="E2974" t="inlineStr">
        <is>
          <t>NORRTÄLJE</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55755-2023</t>
        </is>
      </c>
      <c r="B2975" s="1" t="n">
        <v>45239</v>
      </c>
      <c r="C2975" s="1" t="n">
        <v>45571</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55845-2023</t>
        </is>
      </c>
      <c r="B2976" s="1" t="n">
        <v>45239</v>
      </c>
      <c r="C2976" s="1" t="n">
        <v>45571</v>
      </c>
      <c r="D2976" t="inlineStr">
        <is>
          <t>STOCKHOLMS LÄN</t>
        </is>
      </c>
      <c r="E2976" t="inlineStr">
        <is>
          <t>VALLENTUNA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55871-2023</t>
        </is>
      </c>
      <c r="B2977" s="1" t="n">
        <v>45239</v>
      </c>
      <c r="C2977" s="1" t="n">
        <v>45571</v>
      </c>
      <c r="D2977" t="inlineStr">
        <is>
          <t>STOCKHOLMS LÄN</t>
        </is>
      </c>
      <c r="E2977" t="inlineStr">
        <is>
          <t>NYNÄSHAMN</t>
        </is>
      </c>
      <c r="F2977" t="inlineStr">
        <is>
          <t>Kommuner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55940-2023</t>
        </is>
      </c>
      <c r="B2978" s="1" t="n">
        <v>45240</v>
      </c>
      <c r="C2978" s="1" t="n">
        <v>45571</v>
      </c>
      <c r="D2978" t="inlineStr">
        <is>
          <t>STOCKHOLMS LÄN</t>
        </is>
      </c>
      <c r="E2978" t="inlineStr">
        <is>
          <t>SÖDERTÄLJE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55941-2023</t>
        </is>
      </c>
      <c r="B2979" s="1" t="n">
        <v>45240</v>
      </c>
      <c r="C2979" s="1" t="n">
        <v>45571</v>
      </c>
      <c r="D2979" t="inlineStr">
        <is>
          <t>STOCKHOLMS LÄN</t>
        </is>
      </c>
      <c r="E2979" t="inlineStr">
        <is>
          <t>SÖDERTÄLJE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56358-2023</t>
        </is>
      </c>
      <c r="B2980" s="1" t="n">
        <v>45243</v>
      </c>
      <c r="C2980" s="1" t="n">
        <v>45571</v>
      </c>
      <c r="D2980" t="inlineStr">
        <is>
          <t>STOCKHOLMS LÄN</t>
        </is>
      </c>
      <c r="E2980" t="inlineStr">
        <is>
          <t>SÖDERTÄLJE</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56344-2023</t>
        </is>
      </c>
      <c r="B2981" s="1" t="n">
        <v>45243</v>
      </c>
      <c r="C2981" s="1" t="n">
        <v>45571</v>
      </c>
      <c r="D2981" t="inlineStr">
        <is>
          <t>STOCKHOLMS LÄN</t>
        </is>
      </c>
      <c r="E2981" t="inlineStr">
        <is>
          <t>SÖDERTÄLJE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56349-2023</t>
        </is>
      </c>
      <c r="B2982" s="1" t="n">
        <v>45243</v>
      </c>
      <c r="C2982" s="1" t="n">
        <v>45571</v>
      </c>
      <c r="D2982" t="inlineStr">
        <is>
          <t>STOCKHOLMS LÄN</t>
        </is>
      </c>
      <c r="E2982" t="inlineStr">
        <is>
          <t>SÖDERTÄLJE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56354-2023</t>
        </is>
      </c>
      <c r="B2983" s="1" t="n">
        <v>45243</v>
      </c>
      <c r="C2983" s="1" t="n">
        <v>45571</v>
      </c>
      <c r="D2983" t="inlineStr">
        <is>
          <t>STOCKHOLMS LÄN</t>
        </is>
      </c>
      <c r="E2983" t="inlineStr">
        <is>
          <t>SÖDERTÄLJE</t>
        </is>
      </c>
      <c r="G2983" t="n">
        <v>11.4</v>
      </c>
      <c r="H2983" t="n">
        <v>0</v>
      </c>
      <c r="I2983" t="n">
        <v>0</v>
      </c>
      <c r="J2983" t="n">
        <v>0</v>
      </c>
      <c r="K2983" t="n">
        <v>0</v>
      </c>
      <c r="L2983" t="n">
        <v>0</v>
      </c>
      <c r="M2983" t="n">
        <v>0</v>
      </c>
      <c r="N2983" t="n">
        <v>0</v>
      </c>
      <c r="O2983" t="n">
        <v>0</v>
      </c>
      <c r="P2983" t="n">
        <v>0</v>
      </c>
      <c r="Q2983" t="n">
        <v>0</v>
      </c>
      <c r="R2983" s="2" t="inlineStr"/>
    </row>
    <row r="2984" ht="15" customHeight="1">
      <c r="A2984" t="inlineStr">
        <is>
          <t>A 56596-2023</t>
        </is>
      </c>
      <c r="B2984" s="1" t="n">
        <v>45243</v>
      </c>
      <c r="C2984" s="1" t="n">
        <v>45571</v>
      </c>
      <c r="D2984" t="inlineStr">
        <is>
          <t>STOCKHOLMS LÄN</t>
        </is>
      </c>
      <c r="E2984" t="inlineStr">
        <is>
          <t>SÖDERTÄLJE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56373-2023</t>
        </is>
      </c>
      <c r="B2985" s="1" t="n">
        <v>45243</v>
      </c>
      <c r="C2985" s="1" t="n">
        <v>45571</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56428-2023</t>
        </is>
      </c>
      <c r="B2986" s="1" t="n">
        <v>45243</v>
      </c>
      <c r="C2986" s="1" t="n">
        <v>45571</v>
      </c>
      <c r="D2986" t="inlineStr">
        <is>
          <t>STOCKHOLMS LÄN</t>
        </is>
      </c>
      <c r="E2986" t="inlineStr">
        <is>
          <t>NORRTÄLJE</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56439-2023</t>
        </is>
      </c>
      <c r="B2987" s="1" t="n">
        <v>45243</v>
      </c>
      <c r="C2987" s="1" t="n">
        <v>45571</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56445-2023</t>
        </is>
      </c>
      <c r="B2988" s="1" t="n">
        <v>45243</v>
      </c>
      <c r="C2988" s="1" t="n">
        <v>45571</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56577-2023</t>
        </is>
      </c>
      <c r="B2989" s="1" t="n">
        <v>45243</v>
      </c>
      <c r="C2989" s="1" t="n">
        <v>45571</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56639-2023</t>
        </is>
      </c>
      <c r="B2990" s="1" t="n">
        <v>45243</v>
      </c>
      <c r="C2990" s="1" t="n">
        <v>45571</v>
      </c>
      <c r="D2990" t="inlineStr">
        <is>
          <t>STOCKHOLMS LÄN</t>
        </is>
      </c>
      <c r="E2990" t="inlineStr">
        <is>
          <t>NYKVARN</t>
        </is>
      </c>
      <c r="F2990" t="inlineStr">
        <is>
          <t>Kommuner</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56593-2023</t>
        </is>
      </c>
      <c r="B2991" s="1" t="n">
        <v>45243</v>
      </c>
      <c r="C2991" s="1" t="n">
        <v>45571</v>
      </c>
      <c r="D2991" t="inlineStr">
        <is>
          <t>STOCKHOLMS LÄN</t>
        </is>
      </c>
      <c r="E2991" t="inlineStr">
        <is>
          <t>NORRTÄLJE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56762-2023</t>
        </is>
      </c>
      <c r="B2992" s="1" t="n">
        <v>45244</v>
      </c>
      <c r="C2992" s="1" t="n">
        <v>45571</v>
      </c>
      <c r="D2992" t="inlineStr">
        <is>
          <t>STOCKHOLMS LÄN</t>
        </is>
      </c>
      <c r="E2992" t="inlineStr">
        <is>
          <t>SÖDERTÄLJE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56885-2023</t>
        </is>
      </c>
      <c r="B2993" s="1" t="n">
        <v>45244</v>
      </c>
      <c r="C2993" s="1" t="n">
        <v>45571</v>
      </c>
      <c r="D2993" t="inlineStr">
        <is>
          <t>STOCKHOLMS LÄN</t>
        </is>
      </c>
      <c r="E2993" t="inlineStr">
        <is>
          <t>BOTKYRKA</t>
        </is>
      </c>
      <c r="F2993" t="inlineStr">
        <is>
          <t>Övriga Aktiebolag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56900-2023</t>
        </is>
      </c>
      <c r="B2994" s="1" t="n">
        <v>45244</v>
      </c>
      <c r="C2994" s="1" t="n">
        <v>45571</v>
      </c>
      <c r="D2994" t="inlineStr">
        <is>
          <t>STOCKHOLMS LÄN</t>
        </is>
      </c>
      <c r="E2994" t="inlineStr">
        <is>
          <t>BOTKYRKA</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56819-2023</t>
        </is>
      </c>
      <c r="B2995" s="1" t="n">
        <v>45244</v>
      </c>
      <c r="C2995" s="1" t="n">
        <v>45571</v>
      </c>
      <c r="D2995" t="inlineStr">
        <is>
          <t>STOCKHOLMS LÄN</t>
        </is>
      </c>
      <c r="E2995" t="inlineStr">
        <is>
          <t>NORRTÄLJE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56966-2023</t>
        </is>
      </c>
      <c r="B2996" s="1" t="n">
        <v>45244</v>
      </c>
      <c r="C2996" s="1" t="n">
        <v>45571</v>
      </c>
      <c r="D2996" t="inlineStr">
        <is>
          <t>STOCKHOLMS LÄN</t>
        </is>
      </c>
      <c r="E2996" t="inlineStr">
        <is>
          <t>SALEM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58261-2023</t>
        </is>
      </c>
      <c r="B2997" s="1" t="n">
        <v>45245</v>
      </c>
      <c r="C2997" s="1" t="n">
        <v>45571</v>
      </c>
      <c r="D2997" t="inlineStr">
        <is>
          <t>STOCKHOLMS LÄN</t>
        </is>
      </c>
      <c r="E2997" t="inlineStr">
        <is>
          <t>NORRTÄLJE</t>
        </is>
      </c>
      <c r="G2997" t="n">
        <v>53.5</v>
      </c>
      <c r="H2997" t="n">
        <v>0</v>
      </c>
      <c r="I2997" t="n">
        <v>0</v>
      </c>
      <c r="J2997" t="n">
        <v>0</v>
      </c>
      <c r="K2997" t="n">
        <v>0</v>
      </c>
      <c r="L2997" t="n">
        <v>0</v>
      </c>
      <c r="M2997" t="n">
        <v>0</v>
      </c>
      <c r="N2997" t="n">
        <v>0</v>
      </c>
      <c r="O2997" t="n">
        <v>0</v>
      </c>
      <c r="P2997" t="n">
        <v>0</v>
      </c>
      <c r="Q2997" t="n">
        <v>0</v>
      </c>
      <c r="R2997" s="2" t="inlineStr"/>
    </row>
    <row r="2998" ht="15" customHeight="1">
      <c r="A2998" t="inlineStr">
        <is>
          <t>A 58209-2023</t>
        </is>
      </c>
      <c r="B2998" s="1" t="n">
        <v>45245</v>
      </c>
      <c r="C2998" s="1" t="n">
        <v>45571</v>
      </c>
      <c r="D2998" t="inlineStr">
        <is>
          <t>STOCKHOLMS LÄN</t>
        </is>
      </c>
      <c r="E2998" t="inlineStr">
        <is>
          <t>NORRTÄLJE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58227-2023</t>
        </is>
      </c>
      <c r="B2999" s="1" t="n">
        <v>45245</v>
      </c>
      <c r="C2999" s="1" t="n">
        <v>45571</v>
      </c>
      <c r="D2999" t="inlineStr">
        <is>
          <t>STOCKHOLMS LÄN</t>
        </is>
      </c>
      <c r="E2999" t="inlineStr">
        <is>
          <t>NORRTÄLJE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58291-2023</t>
        </is>
      </c>
      <c r="B3000" s="1" t="n">
        <v>45245</v>
      </c>
      <c r="C3000" s="1" t="n">
        <v>45571</v>
      </c>
      <c r="D3000" t="inlineStr">
        <is>
          <t>STOCKHOLMS LÄN</t>
        </is>
      </c>
      <c r="E3000" t="inlineStr">
        <is>
          <t>NORRTÄLJE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58277-2023</t>
        </is>
      </c>
      <c r="B3001" s="1" t="n">
        <v>45245</v>
      </c>
      <c r="C3001" s="1" t="n">
        <v>45571</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58213-2023</t>
        </is>
      </c>
      <c r="B3002" s="1" t="n">
        <v>45245</v>
      </c>
      <c r="C3002" s="1" t="n">
        <v>45571</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58311-2023</t>
        </is>
      </c>
      <c r="B3003" s="1" t="n">
        <v>45245</v>
      </c>
      <c r="C3003" s="1" t="n">
        <v>45571</v>
      </c>
      <c r="D3003" t="inlineStr">
        <is>
          <t>STOCKHOLMS LÄN</t>
        </is>
      </c>
      <c r="E3003" t="inlineStr">
        <is>
          <t>NORRTÄLJE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58300-2023</t>
        </is>
      </c>
      <c r="B3004" s="1" t="n">
        <v>45245</v>
      </c>
      <c r="C3004" s="1" t="n">
        <v>45571</v>
      </c>
      <c r="D3004" t="inlineStr">
        <is>
          <t>STOCKHOLMS LÄN</t>
        </is>
      </c>
      <c r="E3004" t="inlineStr">
        <is>
          <t>NORRTÄLJE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58260-2023</t>
        </is>
      </c>
      <c r="B3005" s="1" t="n">
        <v>45245</v>
      </c>
      <c r="C3005" s="1" t="n">
        <v>45571</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58297-2023</t>
        </is>
      </c>
      <c r="B3006" s="1" t="n">
        <v>45245</v>
      </c>
      <c r="C3006" s="1" t="n">
        <v>45571</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58306-2023</t>
        </is>
      </c>
      <c r="B3007" s="1" t="n">
        <v>45245</v>
      </c>
      <c r="C3007" s="1" t="n">
        <v>45571</v>
      </c>
      <c r="D3007" t="inlineStr">
        <is>
          <t>STOCKHOLMS LÄN</t>
        </is>
      </c>
      <c r="E3007" t="inlineStr">
        <is>
          <t>NORRTÄLJE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58404-2023</t>
        </is>
      </c>
      <c r="B3008" s="1" t="n">
        <v>45245</v>
      </c>
      <c r="C3008" s="1" t="n">
        <v>45571</v>
      </c>
      <c r="D3008" t="inlineStr">
        <is>
          <t>STOCKHOLMS LÄN</t>
        </is>
      </c>
      <c r="E3008" t="inlineStr">
        <is>
          <t>NORRTÄLJE</t>
        </is>
      </c>
      <c r="G3008" t="n">
        <v>53.5</v>
      </c>
      <c r="H3008" t="n">
        <v>0</v>
      </c>
      <c r="I3008" t="n">
        <v>0</v>
      </c>
      <c r="J3008" t="n">
        <v>0</v>
      </c>
      <c r="K3008" t="n">
        <v>0</v>
      </c>
      <c r="L3008" t="n">
        <v>0</v>
      </c>
      <c r="M3008" t="n">
        <v>0</v>
      </c>
      <c r="N3008" t="n">
        <v>0</v>
      </c>
      <c r="O3008" t="n">
        <v>0</v>
      </c>
      <c r="P3008" t="n">
        <v>0</v>
      </c>
      <c r="Q3008" t="n">
        <v>0</v>
      </c>
      <c r="R3008" s="2" t="inlineStr"/>
    </row>
    <row r="3009" ht="15" customHeight="1">
      <c r="A3009" t="inlineStr">
        <is>
          <t>A 57512-2023</t>
        </is>
      </c>
      <c r="B3009" s="1" t="n">
        <v>45246</v>
      </c>
      <c r="C3009" s="1" t="n">
        <v>45571</v>
      </c>
      <c r="D3009" t="inlineStr">
        <is>
          <t>STOCKHOLMS LÄN</t>
        </is>
      </c>
      <c r="E3009" t="inlineStr">
        <is>
          <t>SÖDERTÄLJE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58675-2023</t>
        </is>
      </c>
      <c r="B3010" s="1" t="n">
        <v>45247</v>
      </c>
      <c r="C3010" s="1" t="n">
        <v>45571</v>
      </c>
      <c r="D3010" t="inlineStr">
        <is>
          <t>STOCKHOLMS LÄN</t>
        </is>
      </c>
      <c r="E3010" t="inlineStr">
        <is>
          <t>SIGTUNA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58191-2023</t>
        </is>
      </c>
      <c r="B3011" s="1" t="n">
        <v>45250</v>
      </c>
      <c r="C3011" s="1" t="n">
        <v>45571</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58186-2023</t>
        </is>
      </c>
      <c r="B3012" s="1" t="n">
        <v>45250</v>
      </c>
      <c r="C3012" s="1" t="n">
        <v>45571</v>
      </c>
      <c r="D3012" t="inlineStr">
        <is>
          <t>STOCKHOLMS LÄN</t>
        </is>
      </c>
      <c r="E3012" t="inlineStr">
        <is>
          <t>NORRTÄLJE</t>
        </is>
      </c>
      <c r="F3012" t="inlineStr">
        <is>
          <t>Kyrkan</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58140-2023</t>
        </is>
      </c>
      <c r="B3013" s="1" t="n">
        <v>45250</v>
      </c>
      <c r="C3013" s="1" t="n">
        <v>45571</v>
      </c>
      <c r="D3013" t="inlineStr">
        <is>
          <t>STOCKHOLMS LÄN</t>
        </is>
      </c>
      <c r="E3013" t="inlineStr">
        <is>
          <t>SÖDERTÄLJE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58981-2023</t>
        </is>
      </c>
      <c r="B3014" s="1" t="n">
        <v>45250</v>
      </c>
      <c r="C3014" s="1" t="n">
        <v>45571</v>
      </c>
      <c r="D3014" t="inlineStr">
        <is>
          <t>STOCKHOLMS LÄN</t>
        </is>
      </c>
      <c r="E3014" t="inlineStr">
        <is>
          <t>NORRTÄLJE</t>
        </is>
      </c>
      <c r="F3014" t="inlineStr">
        <is>
          <t>Övriga statliga verk och myndigheter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58589-2023</t>
        </is>
      </c>
      <c r="B3015" s="1" t="n">
        <v>45251</v>
      </c>
      <c r="C3015" s="1" t="n">
        <v>45571</v>
      </c>
      <c r="D3015" t="inlineStr">
        <is>
          <t>STOCKHOLMS LÄN</t>
        </is>
      </c>
      <c r="E3015" t="inlineStr">
        <is>
          <t>HANINGE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58592-2023</t>
        </is>
      </c>
      <c r="B3016" s="1" t="n">
        <v>45251</v>
      </c>
      <c r="C3016" s="1" t="n">
        <v>45571</v>
      </c>
      <c r="D3016" t="inlineStr">
        <is>
          <t>STOCKHOLMS LÄN</t>
        </is>
      </c>
      <c r="E3016" t="inlineStr">
        <is>
          <t>SALEM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58601-2023</t>
        </is>
      </c>
      <c r="B3017" s="1" t="n">
        <v>45251</v>
      </c>
      <c r="C3017" s="1" t="n">
        <v>45571</v>
      </c>
      <c r="D3017" t="inlineStr">
        <is>
          <t>STOCKHOLMS LÄN</t>
        </is>
      </c>
      <c r="E3017" t="inlineStr">
        <is>
          <t>NORRTÄLJE</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58605-2023</t>
        </is>
      </c>
      <c r="B3018" s="1" t="n">
        <v>45251</v>
      </c>
      <c r="C3018" s="1" t="n">
        <v>45571</v>
      </c>
      <c r="D3018" t="inlineStr">
        <is>
          <t>STOCKHOLMS LÄN</t>
        </is>
      </c>
      <c r="E3018" t="inlineStr">
        <is>
          <t>HANINGE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58649-2023</t>
        </is>
      </c>
      <c r="B3019" s="1" t="n">
        <v>45251</v>
      </c>
      <c r="C3019" s="1" t="n">
        <v>45571</v>
      </c>
      <c r="D3019" t="inlineStr">
        <is>
          <t>STOCKHOLMS LÄN</t>
        </is>
      </c>
      <c r="E3019" t="inlineStr">
        <is>
          <t>SIGTUNA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58599-2023</t>
        </is>
      </c>
      <c r="B3020" s="1" t="n">
        <v>45251</v>
      </c>
      <c r="C3020" s="1" t="n">
        <v>45571</v>
      </c>
      <c r="D3020" t="inlineStr">
        <is>
          <t>STOCKHOLMS LÄN</t>
        </is>
      </c>
      <c r="E3020" t="inlineStr">
        <is>
          <t>HANINGE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58620-2023</t>
        </is>
      </c>
      <c r="B3021" s="1" t="n">
        <v>45251</v>
      </c>
      <c r="C3021" s="1" t="n">
        <v>45571</v>
      </c>
      <c r="D3021" t="inlineStr">
        <is>
          <t>STOCKHOLMS LÄN</t>
        </is>
      </c>
      <c r="E3021" t="inlineStr">
        <is>
          <t>SIGTUNA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58619-2023</t>
        </is>
      </c>
      <c r="B3022" s="1" t="n">
        <v>45251</v>
      </c>
      <c r="C3022" s="1" t="n">
        <v>45571</v>
      </c>
      <c r="D3022" t="inlineStr">
        <is>
          <t>STOCKHOLMS LÄN</t>
        </is>
      </c>
      <c r="E3022" t="inlineStr">
        <is>
          <t>SIGTUNA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58647-2023</t>
        </is>
      </c>
      <c r="B3023" s="1" t="n">
        <v>45251</v>
      </c>
      <c r="C3023" s="1" t="n">
        <v>45571</v>
      </c>
      <c r="D3023" t="inlineStr">
        <is>
          <t>STOCKHOLMS LÄN</t>
        </is>
      </c>
      <c r="E3023" t="inlineStr">
        <is>
          <t>SIGTUNA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59310-2023</t>
        </is>
      </c>
      <c r="B3024" s="1" t="n">
        <v>45253</v>
      </c>
      <c r="C3024" s="1" t="n">
        <v>45571</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59326-2023</t>
        </is>
      </c>
      <c r="B3025" s="1" t="n">
        <v>45253</v>
      </c>
      <c r="C3025" s="1" t="n">
        <v>45571</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59212-2023</t>
        </is>
      </c>
      <c r="B3026" s="1" t="n">
        <v>45253</v>
      </c>
      <c r="C3026" s="1" t="n">
        <v>45571</v>
      </c>
      <c r="D3026" t="inlineStr">
        <is>
          <t>STOCKHOLMS LÄN</t>
        </is>
      </c>
      <c r="E3026" t="inlineStr">
        <is>
          <t>NORRTÄLJE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59276-2023</t>
        </is>
      </c>
      <c r="B3027" s="1" t="n">
        <v>45253</v>
      </c>
      <c r="C3027" s="1" t="n">
        <v>45571</v>
      </c>
      <c r="D3027" t="inlineStr">
        <is>
          <t>STOCKHOLMS LÄN</t>
        </is>
      </c>
      <c r="E3027" t="inlineStr">
        <is>
          <t>NORRTÄLJE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59468-2023</t>
        </is>
      </c>
      <c r="B3028" s="1" t="n">
        <v>45254</v>
      </c>
      <c r="C3028" s="1" t="n">
        <v>45571</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59499-2023</t>
        </is>
      </c>
      <c r="B3029" s="1" t="n">
        <v>45254</v>
      </c>
      <c r="C3029" s="1" t="n">
        <v>45571</v>
      </c>
      <c r="D3029" t="inlineStr">
        <is>
          <t>STOCKHOLMS LÄN</t>
        </is>
      </c>
      <c r="E3029" t="inlineStr">
        <is>
          <t>NORRTÄLJE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59504-2023</t>
        </is>
      </c>
      <c r="B3030" s="1" t="n">
        <v>45254</v>
      </c>
      <c r="C3030" s="1" t="n">
        <v>45571</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59676-2023</t>
        </is>
      </c>
      <c r="B3031" s="1" t="n">
        <v>45255</v>
      </c>
      <c r="C3031" s="1" t="n">
        <v>45571</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59904-2023</t>
        </is>
      </c>
      <c r="B3032" s="1" t="n">
        <v>45257</v>
      </c>
      <c r="C3032" s="1" t="n">
        <v>45571</v>
      </c>
      <c r="D3032" t="inlineStr">
        <is>
          <t>STOCKHOLMS LÄN</t>
        </is>
      </c>
      <c r="E3032" t="inlineStr">
        <is>
          <t>NORRTÄLJE</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59906-2023</t>
        </is>
      </c>
      <c r="B3033" s="1" t="n">
        <v>45257</v>
      </c>
      <c r="C3033" s="1" t="n">
        <v>45571</v>
      </c>
      <c r="D3033" t="inlineStr">
        <is>
          <t>STOCKHOLMS LÄN</t>
        </is>
      </c>
      <c r="E3033" t="inlineStr">
        <is>
          <t>NORRTÄLJE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59948-2023</t>
        </is>
      </c>
      <c r="B3034" s="1" t="n">
        <v>45257</v>
      </c>
      <c r="C3034" s="1" t="n">
        <v>45571</v>
      </c>
      <c r="D3034" t="inlineStr">
        <is>
          <t>STOCKHOLMS LÄN</t>
        </is>
      </c>
      <c r="E3034" t="inlineStr">
        <is>
          <t>SIGTUNA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59957-2023</t>
        </is>
      </c>
      <c r="B3035" s="1" t="n">
        <v>45257</v>
      </c>
      <c r="C3035" s="1" t="n">
        <v>45571</v>
      </c>
      <c r="D3035" t="inlineStr">
        <is>
          <t>STOCKHOLMS LÄN</t>
        </is>
      </c>
      <c r="E3035" t="inlineStr">
        <is>
          <t>SIGTUNA</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59958-2023</t>
        </is>
      </c>
      <c r="B3036" s="1" t="n">
        <v>45257</v>
      </c>
      <c r="C3036" s="1" t="n">
        <v>45571</v>
      </c>
      <c r="D3036" t="inlineStr">
        <is>
          <t>STOCKHOLMS LÄN</t>
        </is>
      </c>
      <c r="E3036" t="inlineStr">
        <is>
          <t>SIGTUNA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60050-2023</t>
        </is>
      </c>
      <c r="B3037" s="1" t="n">
        <v>45257</v>
      </c>
      <c r="C3037" s="1" t="n">
        <v>45571</v>
      </c>
      <c r="D3037" t="inlineStr">
        <is>
          <t>STOCKHOLMS LÄN</t>
        </is>
      </c>
      <c r="E3037" t="inlineStr">
        <is>
          <t>NYNÄSHAMN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60053-2023</t>
        </is>
      </c>
      <c r="B3038" s="1" t="n">
        <v>45257</v>
      </c>
      <c r="C3038" s="1" t="n">
        <v>45571</v>
      </c>
      <c r="D3038" t="inlineStr">
        <is>
          <t>STOCKHOLMS LÄN</t>
        </is>
      </c>
      <c r="E3038" t="inlineStr">
        <is>
          <t>NYNÄSHAMN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59946-2023</t>
        </is>
      </c>
      <c r="B3039" s="1" t="n">
        <v>45257</v>
      </c>
      <c r="C3039" s="1" t="n">
        <v>45571</v>
      </c>
      <c r="D3039" t="inlineStr">
        <is>
          <t>STOCKHOLMS LÄN</t>
        </is>
      </c>
      <c r="E3039" t="inlineStr">
        <is>
          <t>SIGTUNA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59992-2023</t>
        </is>
      </c>
      <c r="B3040" s="1" t="n">
        <v>45257</v>
      </c>
      <c r="C3040" s="1" t="n">
        <v>45571</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60224-2023</t>
        </is>
      </c>
      <c r="B3041" s="1" t="n">
        <v>45257</v>
      </c>
      <c r="C3041" s="1" t="n">
        <v>45571</v>
      </c>
      <c r="D3041" t="inlineStr">
        <is>
          <t>STOCKHOLMS LÄN</t>
        </is>
      </c>
      <c r="E3041" t="inlineStr">
        <is>
          <t>NORRTÄLJE</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60063-2023</t>
        </is>
      </c>
      <c r="B3042" s="1" t="n">
        <v>45258</v>
      </c>
      <c r="C3042" s="1" t="n">
        <v>45571</v>
      </c>
      <c r="D3042" t="inlineStr">
        <is>
          <t>STOCKHOLMS LÄN</t>
        </is>
      </c>
      <c r="E3042" t="inlineStr">
        <is>
          <t>BOTKYRKA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60075-2023</t>
        </is>
      </c>
      <c r="B3043" s="1" t="n">
        <v>45258</v>
      </c>
      <c r="C3043" s="1" t="n">
        <v>45571</v>
      </c>
      <c r="D3043" t="inlineStr">
        <is>
          <t>STOCKHOLMS LÄN</t>
        </is>
      </c>
      <c r="E3043" t="inlineStr">
        <is>
          <t>BOTKYRKA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60155-2023</t>
        </is>
      </c>
      <c r="B3044" s="1" t="n">
        <v>45258</v>
      </c>
      <c r="C3044" s="1" t="n">
        <v>45571</v>
      </c>
      <c r="D3044" t="inlineStr">
        <is>
          <t>STOCKHOLMS LÄN</t>
        </is>
      </c>
      <c r="E3044" t="inlineStr">
        <is>
          <t>SIGTUNA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60223-2023</t>
        </is>
      </c>
      <c r="B3045" s="1" t="n">
        <v>45258</v>
      </c>
      <c r="C3045" s="1" t="n">
        <v>45571</v>
      </c>
      <c r="D3045" t="inlineStr">
        <is>
          <t>STOCKHOLMS LÄN</t>
        </is>
      </c>
      <c r="E3045" t="inlineStr">
        <is>
          <t>HANINGE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60229-2023</t>
        </is>
      </c>
      <c r="B3046" s="1" t="n">
        <v>45258</v>
      </c>
      <c r="C3046" s="1" t="n">
        <v>45571</v>
      </c>
      <c r="D3046" t="inlineStr">
        <is>
          <t>STOCKHOLMS LÄN</t>
        </is>
      </c>
      <c r="E3046" t="inlineStr">
        <is>
          <t>HANINGE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60225-2023</t>
        </is>
      </c>
      <c r="B3047" s="1" t="n">
        <v>45258</v>
      </c>
      <c r="C3047" s="1" t="n">
        <v>45571</v>
      </c>
      <c r="D3047" t="inlineStr">
        <is>
          <t>STOCKHOLMS LÄN</t>
        </is>
      </c>
      <c r="E3047" t="inlineStr">
        <is>
          <t>HANINGE</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60234-2023</t>
        </is>
      </c>
      <c r="B3048" s="1" t="n">
        <v>45258</v>
      </c>
      <c r="C3048" s="1" t="n">
        <v>45571</v>
      </c>
      <c r="D3048" t="inlineStr">
        <is>
          <t>STOCKHOLMS LÄN</t>
        </is>
      </c>
      <c r="E3048" t="inlineStr">
        <is>
          <t>HANINGE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60211-2023</t>
        </is>
      </c>
      <c r="B3049" s="1" t="n">
        <v>45258</v>
      </c>
      <c r="C3049" s="1" t="n">
        <v>45571</v>
      </c>
      <c r="D3049" t="inlineStr">
        <is>
          <t>STOCKHOLMS LÄN</t>
        </is>
      </c>
      <c r="E3049" t="inlineStr">
        <is>
          <t>HANINGE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60220-2023</t>
        </is>
      </c>
      <c r="B3050" s="1" t="n">
        <v>45258</v>
      </c>
      <c r="C3050" s="1" t="n">
        <v>45571</v>
      </c>
      <c r="D3050" t="inlineStr">
        <is>
          <t>STOCKHOLMS LÄN</t>
        </is>
      </c>
      <c r="E3050" t="inlineStr">
        <is>
          <t>HANINGE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60073-2023</t>
        </is>
      </c>
      <c r="B3051" s="1" t="n">
        <v>45258</v>
      </c>
      <c r="C3051" s="1" t="n">
        <v>45571</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60159-2023</t>
        </is>
      </c>
      <c r="B3052" s="1" t="n">
        <v>45258</v>
      </c>
      <c r="C3052" s="1" t="n">
        <v>45571</v>
      </c>
      <c r="D3052" t="inlineStr">
        <is>
          <t>STOCKHOLMS LÄN</t>
        </is>
      </c>
      <c r="E3052" t="inlineStr">
        <is>
          <t>SIGTUNA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60297-2023</t>
        </is>
      </c>
      <c r="B3053" s="1" t="n">
        <v>45258</v>
      </c>
      <c r="C3053" s="1" t="n">
        <v>45571</v>
      </c>
      <c r="D3053" t="inlineStr">
        <is>
          <t>STOCKHOLMS LÄN</t>
        </is>
      </c>
      <c r="E3053" t="inlineStr">
        <is>
          <t>ÖSTERÅKER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60294-2023</t>
        </is>
      </c>
      <c r="B3054" s="1" t="n">
        <v>45258</v>
      </c>
      <c r="C3054" s="1" t="n">
        <v>45571</v>
      </c>
      <c r="D3054" t="inlineStr">
        <is>
          <t>STOCKHOLMS LÄN</t>
        </is>
      </c>
      <c r="E3054" t="inlineStr">
        <is>
          <t>HANINGE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60282-2023</t>
        </is>
      </c>
      <c r="B3055" s="1" t="n">
        <v>45258</v>
      </c>
      <c r="C3055" s="1" t="n">
        <v>45571</v>
      </c>
      <c r="D3055" t="inlineStr">
        <is>
          <t>STOCKHOLMS LÄN</t>
        </is>
      </c>
      <c r="E3055" t="inlineStr">
        <is>
          <t>HANINGE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60492-2023</t>
        </is>
      </c>
      <c r="B3056" s="1" t="n">
        <v>45259</v>
      </c>
      <c r="C3056" s="1" t="n">
        <v>45571</v>
      </c>
      <c r="D3056" t="inlineStr">
        <is>
          <t>STOCKHOLMS LÄN</t>
        </is>
      </c>
      <c r="E3056" t="inlineStr">
        <is>
          <t>NORRTÄLJE</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60529-2023</t>
        </is>
      </c>
      <c r="B3057" s="1" t="n">
        <v>45259</v>
      </c>
      <c r="C3057" s="1" t="n">
        <v>45571</v>
      </c>
      <c r="D3057" t="inlineStr">
        <is>
          <t>STOCKHOLMS LÄN</t>
        </is>
      </c>
      <c r="E3057" t="inlineStr">
        <is>
          <t>NORRTÄLJE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60821-2023</t>
        </is>
      </c>
      <c r="B3058" s="1" t="n">
        <v>45259</v>
      </c>
      <c r="C3058" s="1" t="n">
        <v>45571</v>
      </c>
      <c r="D3058" t="inlineStr">
        <is>
          <t>STOCKHOLMS LÄN</t>
        </is>
      </c>
      <c r="E3058" t="inlineStr">
        <is>
          <t>VALLENTUNA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60627-2023</t>
        </is>
      </c>
      <c r="B3059" s="1" t="n">
        <v>45259</v>
      </c>
      <c r="C3059" s="1" t="n">
        <v>45571</v>
      </c>
      <c r="D3059" t="inlineStr">
        <is>
          <t>STOCKHOLMS LÄN</t>
        </is>
      </c>
      <c r="E3059" t="inlineStr">
        <is>
          <t>NYNÄSHAMN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60818-2023</t>
        </is>
      </c>
      <c r="B3060" s="1" t="n">
        <v>45259</v>
      </c>
      <c r="C3060" s="1" t="n">
        <v>45571</v>
      </c>
      <c r="D3060" t="inlineStr">
        <is>
          <t>STOCKHOLMS LÄN</t>
        </is>
      </c>
      <c r="E3060" t="inlineStr">
        <is>
          <t>VALLENTUNA</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60822-2023</t>
        </is>
      </c>
      <c r="B3061" s="1" t="n">
        <v>45259</v>
      </c>
      <c r="C3061" s="1" t="n">
        <v>45571</v>
      </c>
      <c r="D3061" t="inlineStr">
        <is>
          <t>STOCKHOLMS LÄN</t>
        </is>
      </c>
      <c r="E3061" t="inlineStr">
        <is>
          <t>NORRTÄLJE</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60654-2023</t>
        </is>
      </c>
      <c r="B3062" s="1" t="n">
        <v>45260</v>
      </c>
      <c r="C3062" s="1" t="n">
        <v>45571</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60640-2023</t>
        </is>
      </c>
      <c r="B3063" s="1" t="n">
        <v>45260</v>
      </c>
      <c r="C3063" s="1" t="n">
        <v>45571</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60672-2023</t>
        </is>
      </c>
      <c r="B3064" s="1" t="n">
        <v>45260</v>
      </c>
      <c r="C3064" s="1" t="n">
        <v>45571</v>
      </c>
      <c r="D3064" t="inlineStr">
        <is>
          <t>STOCKHOLMS LÄN</t>
        </is>
      </c>
      <c r="E3064" t="inlineStr">
        <is>
          <t>NORRTÄLJE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60795-2023</t>
        </is>
      </c>
      <c r="B3065" s="1" t="n">
        <v>45260</v>
      </c>
      <c r="C3065" s="1" t="n">
        <v>45571</v>
      </c>
      <c r="D3065" t="inlineStr">
        <is>
          <t>STOCKHOLMS LÄN</t>
        </is>
      </c>
      <c r="E3065" t="inlineStr">
        <is>
          <t>VALLENTUNA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60823-2023</t>
        </is>
      </c>
      <c r="B3066" s="1" t="n">
        <v>45260</v>
      </c>
      <c r="C3066" s="1" t="n">
        <v>45571</v>
      </c>
      <c r="D3066" t="inlineStr">
        <is>
          <t>STOCKHOLMS LÄN</t>
        </is>
      </c>
      <c r="E3066" t="inlineStr">
        <is>
          <t>NORRTÄLJE</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60656-2023</t>
        </is>
      </c>
      <c r="B3067" s="1" t="n">
        <v>45260</v>
      </c>
      <c r="C3067" s="1" t="n">
        <v>45571</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60765-2023</t>
        </is>
      </c>
      <c r="B3068" s="1" t="n">
        <v>45260</v>
      </c>
      <c r="C3068" s="1" t="n">
        <v>45571</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61027-2023</t>
        </is>
      </c>
      <c r="B3069" s="1" t="n">
        <v>45261</v>
      </c>
      <c r="C3069" s="1" t="n">
        <v>45571</v>
      </c>
      <c r="D3069" t="inlineStr">
        <is>
          <t>STOCKHOLMS LÄN</t>
        </is>
      </c>
      <c r="E3069" t="inlineStr">
        <is>
          <t>VALLENTUNA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60927-2023</t>
        </is>
      </c>
      <c r="B3070" s="1" t="n">
        <v>45261</v>
      </c>
      <c r="C3070" s="1" t="n">
        <v>45571</v>
      </c>
      <c r="D3070" t="inlineStr">
        <is>
          <t>STOCKHOLMS LÄN</t>
        </is>
      </c>
      <c r="E3070" t="inlineStr">
        <is>
          <t>SIGTUNA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60935-2023</t>
        </is>
      </c>
      <c r="B3071" s="1" t="n">
        <v>45261</v>
      </c>
      <c r="C3071" s="1" t="n">
        <v>45571</v>
      </c>
      <c r="D3071" t="inlineStr">
        <is>
          <t>STOCKHOLMS LÄN</t>
        </is>
      </c>
      <c r="E3071" t="inlineStr">
        <is>
          <t>SIGTUNA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60932-2023</t>
        </is>
      </c>
      <c r="B3072" s="1" t="n">
        <v>45261</v>
      </c>
      <c r="C3072" s="1" t="n">
        <v>45571</v>
      </c>
      <c r="D3072" t="inlineStr">
        <is>
          <t>STOCKHOLMS LÄN</t>
        </is>
      </c>
      <c r="E3072" t="inlineStr">
        <is>
          <t>SIGTUNA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60922-2023</t>
        </is>
      </c>
      <c r="B3073" s="1" t="n">
        <v>45261</v>
      </c>
      <c r="C3073" s="1" t="n">
        <v>45571</v>
      </c>
      <c r="D3073" t="inlineStr">
        <is>
          <t>STOCKHOLMS LÄN</t>
        </is>
      </c>
      <c r="E3073" t="inlineStr">
        <is>
          <t>SIGTUNA</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60934-2023</t>
        </is>
      </c>
      <c r="B3074" s="1" t="n">
        <v>45261</v>
      </c>
      <c r="C3074" s="1" t="n">
        <v>45571</v>
      </c>
      <c r="D3074" t="inlineStr">
        <is>
          <t>STOCKHOLMS LÄN</t>
        </is>
      </c>
      <c r="E3074" t="inlineStr">
        <is>
          <t>SIGTUNA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61113-2023</t>
        </is>
      </c>
      <c r="B3075" s="1" t="n">
        <v>45261</v>
      </c>
      <c r="C3075" s="1" t="n">
        <v>45571</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62013-2023</t>
        </is>
      </c>
      <c r="B3076" s="1" t="n">
        <v>45266</v>
      </c>
      <c r="C3076" s="1" t="n">
        <v>45571</v>
      </c>
      <c r="D3076" t="inlineStr">
        <is>
          <t>STOCKHOLMS LÄN</t>
        </is>
      </c>
      <c r="E3076" t="inlineStr">
        <is>
          <t>NYNÄSHAMN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62038-2023</t>
        </is>
      </c>
      <c r="B3077" s="1" t="n">
        <v>45266</v>
      </c>
      <c r="C3077" s="1" t="n">
        <v>45571</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62010-2023</t>
        </is>
      </c>
      <c r="B3078" s="1" t="n">
        <v>45266</v>
      </c>
      <c r="C3078" s="1" t="n">
        <v>45571</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62422-2023</t>
        </is>
      </c>
      <c r="B3079" s="1" t="n">
        <v>45266</v>
      </c>
      <c r="C3079" s="1" t="n">
        <v>45571</v>
      </c>
      <c r="D3079" t="inlineStr">
        <is>
          <t>STOCKHOLMS LÄN</t>
        </is>
      </c>
      <c r="E3079" t="inlineStr">
        <is>
          <t>VALLENTUNA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62311-2023</t>
        </is>
      </c>
      <c r="B3080" s="1" t="n">
        <v>45266</v>
      </c>
      <c r="C3080" s="1" t="n">
        <v>45571</v>
      </c>
      <c r="D3080" t="inlineStr">
        <is>
          <t>STOCKHOLMS LÄN</t>
        </is>
      </c>
      <c r="E3080" t="inlineStr">
        <is>
          <t>SÖDERTÄLJE</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62320-2023</t>
        </is>
      </c>
      <c r="B3081" s="1" t="n">
        <v>45267</v>
      </c>
      <c r="C3081" s="1" t="n">
        <v>45571</v>
      </c>
      <c r="D3081" t="inlineStr">
        <is>
          <t>STOCKHOLMS LÄN</t>
        </is>
      </c>
      <c r="E3081" t="inlineStr">
        <is>
          <t>SÖDERTÄLJE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62644-2023</t>
        </is>
      </c>
      <c r="B3082" s="1" t="n">
        <v>45271</v>
      </c>
      <c r="C3082" s="1" t="n">
        <v>45571</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62998-2023</t>
        </is>
      </c>
      <c r="B3083" s="1" t="n">
        <v>45272</v>
      </c>
      <c r="C3083" s="1" t="n">
        <v>45571</v>
      </c>
      <c r="D3083" t="inlineStr">
        <is>
          <t>STOCKHOLMS LÄN</t>
        </is>
      </c>
      <c r="E3083" t="inlineStr">
        <is>
          <t>NORRTÄLJE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62878-2023</t>
        </is>
      </c>
      <c r="B3084" s="1" t="n">
        <v>45272</v>
      </c>
      <c r="C3084" s="1" t="n">
        <v>45571</v>
      </c>
      <c r="D3084" t="inlineStr">
        <is>
          <t>STOCKHOLMS LÄN</t>
        </is>
      </c>
      <c r="E3084" t="inlineStr">
        <is>
          <t>NYNÄSHAMN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63015-2023</t>
        </is>
      </c>
      <c r="B3085" s="1" t="n">
        <v>45272</v>
      </c>
      <c r="C3085" s="1" t="n">
        <v>45571</v>
      </c>
      <c r="D3085" t="inlineStr">
        <is>
          <t>STOCKHOLMS LÄN</t>
        </is>
      </c>
      <c r="E3085" t="inlineStr">
        <is>
          <t>NORRTÄLJE</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62971-2023</t>
        </is>
      </c>
      <c r="B3086" s="1" t="n">
        <v>45272</v>
      </c>
      <c r="C3086" s="1" t="n">
        <v>45571</v>
      </c>
      <c r="D3086" t="inlineStr">
        <is>
          <t>STOCKHOLMS LÄN</t>
        </is>
      </c>
      <c r="E3086" t="inlineStr">
        <is>
          <t>NORRTÄLJE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63013-2023</t>
        </is>
      </c>
      <c r="B3087" s="1" t="n">
        <v>45272</v>
      </c>
      <c r="C3087" s="1" t="n">
        <v>45571</v>
      </c>
      <c r="D3087" t="inlineStr">
        <is>
          <t>STOCKHOLMS LÄN</t>
        </is>
      </c>
      <c r="E3087" t="inlineStr">
        <is>
          <t>NORRTÄLJE</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63071-2023</t>
        </is>
      </c>
      <c r="B3088" s="1" t="n">
        <v>45272</v>
      </c>
      <c r="C3088" s="1" t="n">
        <v>45571</v>
      </c>
      <c r="D3088" t="inlineStr">
        <is>
          <t>STOCKHOLMS LÄN</t>
        </is>
      </c>
      <c r="E3088" t="inlineStr">
        <is>
          <t>BOTKYRKA</t>
        </is>
      </c>
      <c r="F3088" t="inlineStr">
        <is>
          <t>Kommuner</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63161-2023</t>
        </is>
      </c>
      <c r="B3089" s="1" t="n">
        <v>45273</v>
      </c>
      <c r="C3089" s="1" t="n">
        <v>45571</v>
      </c>
      <c r="D3089" t="inlineStr">
        <is>
          <t>STOCKHOLMS LÄN</t>
        </is>
      </c>
      <c r="E3089" t="inlineStr">
        <is>
          <t>NORRTÄLJE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63472-2023</t>
        </is>
      </c>
      <c r="B3090" s="1" t="n">
        <v>45273</v>
      </c>
      <c r="C3090" s="1" t="n">
        <v>45571</v>
      </c>
      <c r="D3090" t="inlineStr">
        <is>
          <t>STOCKHOLMS LÄN</t>
        </is>
      </c>
      <c r="E3090" t="inlineStr">
        <is>
          <t>VALLENTUNA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63400-2023</t>
        </is>
      </c>
      <c r="B3091" s="1" t="n">
        <v>45274</v>
      </c>
      <c r="C3091" s="1" t="n">
        <v>45571</v>
      </c>
      <c r="D3091" t="inlineStr">
        <is>
          <t>STOCKHOLMS LÄN</t>
        </is>
      </c>
      <c r="E3091" t="inlineStr">
        <is>
          <t>NYKVARN</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63463-2023</t>
        </is>
      </c>
      <c r="B3092" s="1" t="n">
        <v>45274</v>
      </c>
      <c r="C3092" s="1" t="n">
        <v>45571</v>
      </c>
      <c r="D3092" t="inlineStr">
        <is>
          <t>STOCKHOLMS LÄN</t>
        </is>
      </c>
      <c r="E3092" t="inlineStr">
        <is>
          <t>NYNÄSHAMN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63586-2023</t>
        </is>
      </c>
      <c r="B3093" s="1" t="n">
        <v>45275</v>
      </c>
      <c r="C3093" s="1" t="n">
        <v>45571</v>
      </c>
      <c r="D3093" t="inlineStr">
        <is>
          <t>STOCKHOLMS LÄN</t>
        </is>
      </c>
      <c r="E3093" t="inlineStr">
        <is>
          <t>NYKVARN</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63655-2023</t>
        </is>
      </c>
      <c r="B3094" s="1" t="n">
        <v>45275</v>
      </c>
      <c r="C3094" s="1" t="n">
        <v>45571</v>
      </c>
      <c r="D3094" t="inlineStr">
        <is>
          <t>STOCKHOLMS LÄN</t>
        </is>
      </c>
      <c r="E3094" t="inlineStr">
        <is>
          <t>NORRTÄLJE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63592-2023</t>
        </is>
      </c>
      <c r="B3095" s="1" t="n">
        <v>45275</v>
      </c>
      <c r="C3095" s="1" t="n">
        <v>45571</v>
      </c>
      <c r="D3095" t="inlineStr">
        <is>
          <t>STOCKHOLMS LÄN</t>
        </is>
      </c>
      <c r="E3095" t="inlineStr">
        <is>
          <t>NYKVARN</t>
        </is>
      </c>
      <c r="F3095" t="inlineStr">
        <is>
          <t>Kommuner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64075-2023</t>
        </is>
      </c>
      <c r="B3096" s="1" t="n">
        <v>45279</v>
      </c>
      <c r="C3096" s="1" t="n">
        <v>45571</v>
      </c>
      <c r="D3096" t="inlineStr">
        <is>
          <t>STOCKHOLMS LÄN</t>
        </is>
      </c>
      <c r="E3096" t="inlineStr">
        <is>
          <t>HANINGE</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64107-2023</t>
        </is>
      </c>
      <c r="B3097" s="1" t="n">
        <v>45279</v>
      </c>
      <c r="C3097" s="1" t="n">
        <v>45571</v>
      </c>
      <c r="D3097" t="inlineStr">
        <is>
          <t>STOCKHOLMS LÄN</t>
        </is>
      </c>
      <c r="E3097" t="inlineStr">
        <is>
          <t>UPPLANDS-BRO</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64105-2023</t>
        </is>
      </c>
      <c r="B3098" s="1" t="n">
        <v>45279</v>
      </c>
      <c r="C3098" s="1" t="n">
        <v>45571</v>
      </c>
      <c r="D3098" t="inlineStr">
        <is>
          <t>STOCKHOLMS LÄN</t>
        </is>
      </c>
      <c r="E3098" t="inlineStr">
        <is>
          <t>UPPLANDS-BRO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64113-2023</t>
        </is>
      </c>
      <c r="B3099" s="1" t="n">
        <v>45279</v>
      </c>
      <c r="C3099" s="1" t="n">
        <v>45571</v>
      </c>
      <c r="D3099" t="inlineStr">
        <is>
          <t>STOCKHOLMS LÄN</t>
        </is>
      </c>
      <c r="E3099" t="inlineStr">
        <is>
          <t>UPPLANDS-BRO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64110-2023</t>
        </is>
      </c>
      <c r="B3100" s="1" t="n">
        <v>45279</v>
      </c>
      <c r="C3100" s="1" t="n">
        <v>45571</v>
      </c>
      <c r="D3100" t="inlineStr">
        <is>
          <t>STOCKHOLMS LÄN</t>
        </is>
      </c>
      <c r="E3100" t="inlineStr">
        <is>
          <t>UPPLANDS-BRO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64114-2023</t>
        </is>
      </c>
      <c r="B3101" s="1" t="n">
        <v>45279</v>
      </c>
      <c r="C3101" s="1" t="n">
        <v>45571</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64275-2023</t>
        </is>
      </c>
      <c r="B3102" s="1" t="n">
        <v>45280</v>
      </c>
      <c r="C3102" s="1" t="n">
        <v>45571</v>
      </c>
      <c r="D3102" t="inlineStr">
        <is>
          <t>STOCKHOLMS LÄN</t>
        </is>
      </c>
      <c r="E3102" t="inlineStr">
        <is>
          <t>VALLENTUNA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64426-2023</t>
        </is>
      </c>
      <c r="B3103" s="1" t="n">
        <v>45280</v>
      </c>
      <c r="C3103" s="1" t="n">
        <v>45571</v>
      </c>
      <c r="D3103" t="inlineStr">
        <is>
          <t>STOCKHOLMS LÄN</t>
        </is>
      </c>
      <c r="E3103" t="inlineStr">
        <is>
          <t>NYNÄSHAMN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64411-2023</t>
        </is>
      </c>
      <c r="B3104" s="1" t="n">
        <v>45280</v>
      </c>
      <c r="C3104" s="1" t="n">
        <v>45571</v>
      </c>
      <c r="D3104" t="inlineStr">
        <is>
          <t>STOCKHOLMS LÄN</t>
        </is>
      </c>
      <c r="E3104" t="inlineStr">
        <is>
          <t>NYNÄSHAMN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64431-2023</t>
        </is>
      </c>
      <c r="B3105" s="1" t="n">
        <v>45280</v>
      </c>
      <c r="C3105" s="1" t="n">
        <v>45571</v>
      </c>
      <c r="D3105" t="inlineStr">
        <is>
          <t>STOCKHOLMS LÄN</t>
        </is>
      </c>
      <c r="E3105" t="inlineStr">
        <is>
          <t>UPPLANDS VÄSBY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64439-2023</t>
        </is>
      </c>
      <c r="B3106" s="1" t="n">
        <v>45280</v>
      </c>
      <c r="C3106" s="1" t="n">
        <v>45571</v>
      </c>
      <c r="D3106" t="inlineStr">
        <is>
          <t>STOCKHOLMS LÄN</t>
        </is>
      </c>
      <c r="E3106" t="inlineStr">
        <is>
          <t>UPPLANDS VÄSBY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64443-2023</t>
        </is>
      </c>
      <c r="B3107" s="1" t="n">
        <v>45280</v>
      </c>
      <c r="C3107" s="1" t="n">
        <v>45571</v>
      </c>
      <c r="D3107" t="inlineStr">
        <is>
          <t>STOCKHOLMS LÄN</t>
        </is>
      </c>
      <c r="E3107" t="inlineStr">
        <is>
          <t>UPPLANDS VÄSBY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64444-2023</t>
        </is>
      </c>
      <c r="B3108" s="1" t="n">
        <v>45280</v>
      </c>
      <c r="C3108" s="1" t="n">
        <v>45571</v>
      </c>
      <c r="D3108" t="inlineStr">
        <is>
          <t>STOCKHOLMS LÄN</t>
        </is>
      </c>
      <c r="E3108" t="inlineStr">
        <is>
          <t>UPPLANDS VÄSBY</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64452-2023</t>
        </is>
      </c>
      <c r="B3109" s="1" t="n">
        <v>45280</v>
      </c>
      <c r="C3109" s="1" t="n">
        <v>45571</v>
      </c>
      <c r="D3109" t="inlineStr">
        <is>
          <t>STOCKHOLMS LÄN</t>
        </is>
      </c>
      <c r="E3109" t="inlineStr">
        <is>
          <t>NYNÄSHAMN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64494-2023</t>
        </is>
      </c>
      <c r="B3110" s="1" t="n">
        <v>45280</v>
      </c>
      <c r="C3110" s="1" t="n">
        <v>45571</v>
      </c>
      <c r="D3110" t="inlineStr">
        <is>
          <t>STOCKHOLMS LÄN</t>
        </is>
      </c>
      <c r="E3110" t="inlineStr">
        <is>
          <t>NYNÄSHAMN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64451-2023</t>
        </is>
      </c>
      <c r="B3111" s="1" t="n">
        <v>45280</v>
      </c>
      <c r="C3111" s="1" t="n">
        <v>45571</v>
      </c>
      <c r="D3111" t="inlineStr">
        <is>
          <t>STOCKHOLMS LÄN</t>
        </is>
      </c>
      <c r="E3111" t="inlineStr">
        <is>
          <t>NYNÄSHAMN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64445-2023</t>
        </is>
      </c>
      <c r="B3112" s="1" t="n">
        <v>45280</v>
      </c>
      <c r="C3112" s="1" t="n">
        <v>45571</v>
      </c>
      <c r="D3112" t="inlineStr">
        <is>
          <t>STOCKHOLMS LÄN</t>
        </is>
      </c>
      <c r="E3112" t="inlineStr">
        <is>
          <t>UPPLANDS VÄSBY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64544-2023</t>
        </is>
      </c>
      <c r="B3113" s="1" t="n">
        <v>45281</v>
      </c>
      <c r="C3113" s="1" t="n">
        <v>45571</v>
      </c>
      <c r="D3113" t="inlineStr">
        <is>
          <t>STOCKHOLMS LÄN</t>
        </is>
      </c>
      <c r="E3113" t="inlineStr">
        <is>
          <t>BOTKYRKA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64568-2023</t>
        </is>
      </c>
      <c r="B3114" s="1" t="n">
        <v>45281</v>
      </c>
      <c r="C3114" s="1" t="n">
        <v>45571</v>
      </c>
      <c r="D3114" t="inlineStr">
        <is>
          <t>STOCKHOLMS LÄN</t>
        </is>
      </c>
      <c r="E3114" t="inlineStr">
        <is>
          <t>HANINGE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64902-2023</t>
        </is>
      </c>
      <c r="B3115" s="1" t="n">
        <v>45282</v>
      </c>
      <c r="C3115" s="1" t="n">
        <v>45571</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64899-2023</t>
        </is>
      </c>
      <c r="B3116" s="1" t="n">
        <v>45282</v>
      </c>
      <c r="C3116" s="1" t="n">
        <v>45571</v>
      </c>
      <c r="D3116" t="inlineStr">
        <is>
          <t>STOCKHOLMS LÄN</t>
        </is>
      </c>
      <c r="E3116" t="inlineStr">
        <is>
          <t>NORRTÄLJE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9-2024</t>
        </is>
      </c>
      <c r="B3117" s="1" t="n">
        <v>45293</v>
      </c>
      <c r="C3117" s="1" t="n">
        <v>45571</v>
      </c>
      <c r="D3117" t="inlineStr">
        <is>
          <t>STOCKHOLMS LÄN</t>
        </is>
      </c>
      <c r="E3117" t="inlineStr">
        <is>
          <t>NORRTÄLJE</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13-2024</t>
        </is>
      </c>
      <c r="B3118" s="1" t="n">
        <v>45293</v>
      </c>
      <c r="C3118" s="1" t="n">
        <v>45571</v>
      </c>
      <c r="D3118" t="inlineStr">
        <is>
          <t>STOCKHOLMS LÄN</t>
        </is>
      </c>
      <c r="E3118" t="inlineStr">
        <is>
          <t>NORRTÄLJE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11-2024</t>
        </is>
      </c>
      <c r="B3119" s="1" t="n">
        <v>45293</v>
      </c>
      <c r="C3119" s="1" t="n">
        <v>45571</v>
      </c>
      <c r="D3119" t="inlineStr">
        <is>
          <t>STOCKHOLMS LÄN</t>
        </is>
      </c>
      <c r="E3119" t="inlineStr">
        <is>
          <t>NORRTÄLJE</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19-2024</t>
        </is>
      </c>
      <c r="B3120" s="1" t="n">
        <v>45293</v>
      </c>
      <c r="C3120" s="1" t="n">
        <v>45571</v>
      </c>
      <c r="D3120" t="inlineStr">
        <is>
          <t>STOCKHOLMS LÄN</t>
        </is>
      </c>
      <c r="E3120" t="inlineStr">
        <is>
          <t>NORRTÄLJE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22-2024</t>
        </is>
      </c>
      <c r="B3121" s="1" t="n">
        <v>45293</v>
      </c>
      <c r="C3121" s="1" t="n">
        <v>45571</v>
      </c>
      <c r="D3121" t="inlineStr">
        <is>
          <t>STOCKHOLMS LÄN</t>
        </is>
      </c>
      <c r="E3121" t="inlineStr">
        <is>
          <t>SÖDERTÄLJE</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81-2024</t>
        </is>
      </c>
      <c r="B3122" s="1" t="n">
        <v>45293</v>
      </c>
      <c r="C3122" s="1" t="n">
        <v>45571</v>
      </c>
      <c r="D3122" t="inlineStr">
        <is>
          <t>STOCKHOLMS LÄN</t>
        </is>
      </c>
      <c r="E3122" t="inlineStr">
        <is>
          <t>SÖDERTÄLJE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95-2024</t>
        </is>
      </c>
      <c r="B3123" s="1" t="n">
        <v>45293</v>
      </c>
      <c r="C3123" s="1" t="n">
        <v>45571</v>
      </c>
      <c r="D3123" t="inlineStr">
        <is>
          <t>STOCKHOLMS LÄN</t>
        </is>
      </c>
      <c r="E3123" t="inlineStr">
        <is>
          <t>SÖDERTÄLJE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92-2024</t>
        </is>
      </c>
      <c r="B3124" s="1" t="n">
        <v>45293</v>
      </c>
      <c r="C3124" s="1" t="n">
        <v>45571</v>
      </c>
      <c r="D3124" t="inlineStr">
        <is>
          <t>STOCKHOLMS LÄN</t>
        </is>
      </c>
      <c r="E3124" t="inlineStr">
        <is>
          <t>SÖDERTÄLJE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329-2024</t>
        </is>
      </c>
      <c r="B3125" s="1" t="n">
        <v>45295</v>
      </c>
      <c r="C3125" s="1" t="n">
        <v>45571</v>
      </c>
      <c r="D3125" t="inlineStr">
        <is>
          <t>STOCKHOLMS LÄN</t>
        </is>
      </c>
      <c r="E3125" t="inlineStr">
        <is>
          <t>NORRTÄLJE</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487-2024</t>
        </is>
      </c>
      <c r="B3126" s="1" t="n">
        <v>45298</v>
      </c>
      <c r="C3126" s="1" t="n">
        <v>45571</v>
      </c>
      <c r="D3126" t="inlineStr">
        <is>
          <t>STOCKHOLMS LÄN</t>
        </is>
      </c>
      <c r="E3126" t="inlineStr">
        <is>
          <t>SÖDERTÄLJE</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498-2024</t>
        </is>
      </c>
      <c r="B3127" s="1" t="n">
        <v>45299</v>
      </c>
      <c r="C3127" s="1" t="n">
        <v>45571</v>
      </c>
      <c r="D3127" t="inlineStr">
        <is>
          <t>STOCKHOLMS LÄN</t>
        </is>
      </c>
      <c r="E3127" t="inlineStr">
        <is>
          <t>NORRTÄLJE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577-2024</t>
        </is>
      </c>
      <c r="B3128" s="1" t="n">
        <v>45299</v>
      </c>
      <c r="C3128" s="1" t="n">
        <v>45571</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845-2024</t>
        </is>
      </c>
      <c r="B3129" s="1" t="n">
        <v>45300</v>
      </c>
      <c r="C3129" s="1" t="n">
        <v>45571</v>
      </c>
      <c r="D3129" t="inlineStr">
        <is>
          <t>STOCKHOLMS LÄN</t>
        </is>
      </c>
      <c r="E3129" t="inlineStr">
        <is>
          <t>ÖSTERÅKER</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735-2024</t>
        </is>
      </c>
      <c r="B3130" s="1" t="n">
        <v>45300</v>
      </c>
      <c r="C3130" s="1" t="n">
        <v>45571</v>
      </c>
      <c r="D3130" t="inlineStr">
        <is>
          <t>STOCKHOLMS LÄN</t>
        </is>
      </c>
      <c r="E3130" t="inlineStr">
        <is>
          <t>VALLENTUNA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1139-2024</t>
        </is>
      </c>
      <c r="B3131" s="1" t="n">
        <v>45302</v>
      </c>
      <c r="C3131" s="1" t="n">
        <v>45571</v>
      </c>
      <c r="D3131" t="inlineStr">
        <is>
          <t>STOCKHOLMS LÄN</t>
        </is>
      </c>
      <c r="E3131" t="inlineStr">
        <is>
          <t>HANINGE</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1180-2024</t>
        </is>
      </c>
      <c r="B3132" s="1" t="n">
        <v>45302</v>
      </c>
      <c r="C3132" s="1" t="n">
        <v>45571</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1184-2024</t>
        </is>
      </c>
      <c r="B3133" s="1" t="n">
        <v>45302</v>
      </c>
      <c r="C3133" s="1" t="n">
        <v>45571</v>
      </c>
      <c r="D3133" t="inlineStr">
        <is>
          <t>STOCKHOLMS LÄN</t>
        </is>
      </c>
      <c r="E3133" t="inlineStr">
        <is>
          <t>HANINGE</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1267-2024</t>
        </is>
      </c>
      <c r="B3134" s="1" t="n">
        <v>45302</v>
      </c>
      <c r="C3134" s="1" t="n">
        <v>45571</v>
      </c>
      <c r="D3134" t="inlineStr">
        <is>
          <t>STOCKHOLMS LÄN</t>
        </is>
      </c>
      <c r="E3134" t="inlineStr">
        <is>
          <t>NYNÄSHAMN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1187-2024</t>
        </is>
      </c>
      <c r="B3135" s="1" t="n">
        <v>45302</v>
      </c>
      <c r="C3135" s="1" t="n">
        <v>45571</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1141-2024</t>
        </is>
      </c>
      <c r="B3136" s="1" t="n">
        <v>45302</v>
      </c>
      <c r="C3136" s="1" t="n">
        <v>45571</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1181-2024</t>
        </is>
      </c>
      <c r="B3137" s="1" t="n">
        <v>45302</v>
      </c>
      <c r="C3137" s="1" t="n">
        <v>45571</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1189-2024</t>
        </is>
      </c>
      <c r="B3138" s="1" t="n">
        <v>45302</v>
      </c>
      <c r="C3138" s="1" t="n">
        <v>45571</v>
      </c>
      <c r="D3138" t="inlineStr">
        <is>
          <t>STOCKHOLMS LÄN</t>
        </is>
      </c>
      <c r="E3138" t="inlineStr">
        <is>
          <t>HANINGE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1385-2024</t>
        </is>
      </c>
      <c r="B3139" s="1" t="n">
        <v>45303</v>
      </c>
      <c r="C3139" s="1" t="n">
        <v>45571</v>
      </c>
      <c r="D3139" t="inlineStr">
        <is>
          <t>STOCKHOLMS LÄN</t>
        </is>
      </c>
      <c r="E3139" t="inlineStr">
        <is>
          <t>VALLENTUNA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1372-2024</t>
        </is>
      </c>
      <c r="B3140" s="1" t="n">
        <v>45303</v>
      </c>
      <c r="C3140" s="1" t="n">
        <v>45571</v>
      </c>
      <c r="D3140" t="inlineStr">
        <is>
          <t>STOCKHOLMS LÄN</t>
        </is>
      </c>
      <c r="E3140" t="inlineStr">
        <is>
          <t>NORRTÄLJE</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1955-2024</t>
        </is>
      </c>
      <c r="B3141" s="1" t="n">
        <v>45308</v>
      </c>
      <c r="C3141" s="1" t="n">
        <v>45571</v>
      </c>
      <c r="D3141" t="inlineStr">
        <is>
          <t>STOCKHOLMS LÄN</t>
        </is>
      </c>
      <c r="E3141" t="inlineStr">
        <is>
          <t>SÖDERTÄLJE</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1971-2024</t>
        </is>
      </c>
      <c r="B3142" s="1" t="n">
        <v>45308</v>
      </c>
      <c r="C3142" s="1" t="n">
        <v>45571</v>
      </c>
      <c r="D3142" t="inlineStr">
        <is>
          <t>STOCKHOLMS LÄN</t>
        </is>
      </c>
      <c r="E3142" t="inlineStr">
        <is>
          <t>SIGTUNA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2014-2024</t>
        </is>
      </c>
      <c r="B3143" s="1" t="n">
        <v>45308</v>
      </c>
      <c r="C3143" s="1" t="n">
        <v>45571</v>
      </c>
      <c r="D3143" t="inlineStr">
        <is>
          <t>STOCKHOLMS LÄN</t>
        </is>
      </c>
      <c r="E3143" t="inlineStr">
        <is>
          <t>SÖDERTÄLJE</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1996-2024</t>
        </is>
      </c>
      <c r="B3144" s="1" t="n">
        <v>45308</v>
      </c>
      <c r="C3144" s="1" t="n">
        <v>45571</v>
      </c>
      <c r="D3144" t="inlineStr">
        <is>
          <t>STOCKHOLMS LÄN</t>
        </is>
      </c>
      <c r="E3144" t="inlineStr">
        <is>
          <t>NORRTÄLJE</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2131-2024</t>
        </is>
      </c>
      <c r="B3145" s="1" t="n">
        <v>45309</v>
      </c>
      <c r="C3145" s="1" t="n">
        <v>45571</v>
      </c>
      <c r="D3145" t="inlineStr">
        <is>
          <t>STOCKHOLMS LÄN</t>
        </is>
      </c>
      <c r="E3145" t="inlineStr">
        <is>
          <t>SÖDERTÄLJE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2177-2024</t>
        </is>
      </c>
      <c r="B3146" s="1" t="n">
        <v>45309</v>
      </c>
      <c r="C3146" s="1" t="n">
        <v>45571</v>
      </c>
      <c r="D3146" t="inlineStr">
        <is>
          <t>STOCKHOLMS LÄN</t>
        </is>
      </c>
      <c r="E3146" t="inlineStr">
        <is>
          <t>NYKVARN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2172-2024</t>
        </is>
      </c>
      <c r="B3147" s="1" t="n">
        <v>45309</v>
      </c>
      <c r="C3147" s="1" t="n">
        <v>45571</v>
      </c>
      <c r="D3147" t="inlineStr">
        <is>
          <t>STOCKHOLMS LÄN</t>
        </is>
      </c>
      <c r="E3147" t="inlineStr">
        <is>
          <t>NYKVARN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2287-2024</t>
        </is>
      </c>
      <c r="B3148" s="1" t="n">
        <v>45310</v>
      </c>
      <c r="C3148" s="1" t="n">
        <v>45571</v>
      </c>
      <c r="D3148" t="inlineStr">
        <is>
          <t>STOCKHOLMS LÄN</t>
        </is>
      </c>
      <c r="E3148" t="inlineStr">
        <is>
          <t>NORRTÄLJE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2281-2024</t>
        </is>
      </c>
      <c r="B3149" s="1" t="n">
        <v>45310</v>
      </c>
      <c r="C3149" s="1" t="n">
        <v>45571</v>
      </c>
      <c r="D3149" t="inlineStr">
        <is>
          <t>STOCKHOLMS LÄN</t>
        </is>
      </c>
      <c r="E3149" t="inlineStr">
        <is>
          <t>NORRTÄLJE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2318-2024</t>
        </is>
      </c>
      <c r="B3150" s="1" t="n">
        <v>45310</v>
      </c>
      <c r="C3150" s="1" t="n">
        <v>45571</v>
      </c>
      <c r="D3150" t="inlineStr">
        <is>
          <t>STOCKHOLMS LÄN</t>
        </is>
      </c>
      <c r="E3150" t="inlineStr">
        <is>
          <t>VALLENTUNA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2333-2024</t>
        </is>
      </c>
      <c r="B3151" s="1" t="n">
        <v>45310</v>
      </c>
      <c r="C3151" s="1" t="n">
        <v>45571</v>
      </c>
      <c r="D3151" t="inlineStr">
        <is>
          <t>STOCKHOLMS LÄN</t>
        </is>
      </c>
      <c r="E3151" t="inlineStr">
        <is>
          <t>VALLENTUNA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2341-2024</t>
        </is>
      </c>
      <c r="B3152" s="1" t="n">
        <v>45310</v>
      </c>
      <c r="C3152" s="1" t="n">
        <v>45571</v>
      </c>
      <c r="D3152" t="inlineStr">
        <is>
          <t>STOCKHOLMS LÄN</t>
        </is>
      </c>
      <c r="E3152" t="inlineStr">
        <is>
          <t>VALLENTUNA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2496-2024</t>
        </is>
      </c>
      <c r="B3153" s="1" t="n">
        <v>45313</v>
      </c>
      <c r="C3153" s="1" t="n">
        <v>45571</v>
      </c>
      <c r="D3153" t="inlineStr">
        <is>
          <t>STOCKHOLMS LÄN</t>
        </is>
      </c>
      <c r="E3153" t="inlineStr">
        <is>
          <t>SIGTUNA</t>
        </is>
      </c>
      <c r="F3153" t="inlineStr">
        <is>
          <t>Kommuner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2600-2024</t>
        </is>
      </c>
      <c r="B3154" s="1" t="n">
        <v>45313</v>
      </c>
      <c r="C3154" s="1" t="n">
        <v>45571</v>
      </c>
      <c r="D3154" t="inlineStr">
        <is>
          <t>STOCKHOLMS LÄN</t>
        </is>
      </c>
      <c r="E3154" t="inlineStr">
        <is>
          <t>UPPLANDS-BRO</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2502-2024</t>
        </is>
      </c>
      <c r="B3155" s="1" t="n">
        <v>45313</v>
      </c>
      <c r="C3155" s="1" t="n">
        <v>45571</v>
      </c>
      <c r="D3155" t="inlineStr">
        <is>
          <t>STOCKHOLMS LÄN</t>
        </is>
      </c>
      <c r="E3155" t="inlineStr">
        <is>
          <t>UPPLANDS-BRO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2613-2024</t>
        </is>
      </c>
      <c r="B3156" s="1" t="n">
        <v>45313</v>
      </c>
      <c r="C3156" s="1" t="n">
        <v>45571</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2611-2024</t>
        </is>
      </c>
      <c r="B3157" s="1" t="n">
        <v>45313</v>
      </c>
      <c r="C3157" s="1" t="n">
        <v>45571</v>
      </c>
      <c r="D3157" t="inlineStr">
        <is>
          <t>STOCKHOLMS LÄN</t>
        </is>
      </c>
      <c r="E3157" t="inlineStr">
        <is>
          <t>NORRTÄLJE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2602-2024</t>
        </is>
      </c>
      <c r="B3158" s="1" t="n">
        <v>45313</v>
      </c>
      <c r="C3158" s="1" t="n">
        <v>45571</v>
      </c>
      <c r="D3158" t="inlineStr">
        <is>
          <t>STOCKHOLMS LÄN</t>
        </is>
      </c>
      <c r="E3158" t="inlineStr">
        <is>
          <t>UPPLANDS-BRO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2594-2024</t>
        </is>
      </c>
      <c r="B3159" s="1" t="n">
        <v>45313</v>
      </c>
      <c r="C3159" s="1" t="n">
        <v>45571</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2727-2024</t>
        </is>
      </c>
      <c r="B3160" s="1" t="n">
        <v>45314</v>
      </c>
      <c r="C3160" s="1" t="n">
        <v>45571</v>
      </c>
      <c r="D3160" t="inlineStr">
        <is>
          <t>STOCKHOLMS LÄN</t>
        </is>
      </c>
      <c r="E3160" t="inlineStr">
        <is>
          <t>VAXHOLM</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3084-2024</t>
        </is>
      </c>
      <c r="B3161" s="1" t="n">
        <v>45316</v>
      </c>
      <c r="C3161" s="1" t="n">
        <v>45571</v>
      </c>
      <c r="D3161" t="inlineStr">
        <is>
          <t>STOCKHOLMS LÄN</t>
        </is>
      </c>
      <c r="E3161" t="inlineStr">
        <is>
          <t>NORRTÄLJE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3108-2024</t>
        </is>
      </c>
      <c r="B3162" s="1" t="n">
        <v>45316</v>
      </c>
      <c r="C3162" s="1" t="n">
        <v>45571</v>
      </c>
      <c r="D3162" t="inlineStr">
        <is>
          <t>STOCKHOLMS LÄN</t>
        </is>
      </c>
      <c r="E3162" t="inlineStr">
        <is>
          <t>SÖDERTÄLJE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3152-2024</t>
        </is>
      </c>
      <c r="B3163" s="1" t="n">
        <v>45316</v>
      </c>
      <c r="C3163" s="1" t="n">
        <v>45571</v>
      </c>
      <c r="D3163" t="inlineStr">
        <is>
          <t>STOCKHOLMS LÄN</t>
        </is>
      </c>
      <c r="E3163" t="inlineStr">
        <is>
          <t>NORRTÄLJE</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3383-2024</t>
        </is>
      </c>
      <c r="B3164" s="1" t="n">
        <v>45317</v>
      </c>
      <c r="C3164" s="1" t="n">
        <v>45571</v>
      </c>
      <c r="D3164" t="inlineStr">
        <is>
          <t>STOCKHOLMS LÄN</t>
        </is>
      </c>
      <c r="E3164" t="inlineStr">
        <is>
          <t>SÖDERTÄLJE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3382-2024</t>
        </is>
      </c>
      <c r="B3165" s="1" t="n">
        <v>45317</v>
      </c>
      <c r="C3165" s="1" t="n">
        <v>45571</v>
      </c>
      <c r="D3165" t="inlineStr">
        <is>
          <t>STOCKHOLMS LÄN</t>
        </is>
      </c>
      <c r="E3165" t="inlineStr">
        <is>
          <t>SÖDERTÄLJE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3384-2024</t>
        </is>
      </c>
      <c r="B3166" s="1" t="n">
        <v>45317</v>
      </c>
      <c r="C3166" s="1" t="n">
        <v>45571</v>
      </c>
      <c r="D3166" t="inlineStr">
        <is>
          <t>STOCKHOLMS LÄN</t>
        </is>
      </c>
      <c r="E3166" t="inlineStr">
        <is>
          <t>SÖDERTÄLJE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3381-2024</t>
        </is>
      </c>
      <c r="B3167" s="1" t="n">
        <v>45317</v>
      </c>
      <c r="C3167" s="1" t="n">
        <v>45571</v>
      </c>
      <c r="D3167" t="inlineStr">
        <is>
          <t>STOCKHOLMS LÄN</t>
        </is>
      </c>
      <c r="E3167" t="inlineStr">
        <is>
          <t>NORRTÄLJE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3942-2024</t>
        </is>
      </c>
      <c r="B3168" s="1" t="n">
        <v>45322</v>
      </c>
      <c r="C3168" s="1" t="n">
        <v>45571</v>
      </c>
      <c r="D3168" t="inlineStr">
        <is>
          <t>STOCKHOLMS LÄN</t>
        </is>
      </c>
      <c r="E3168" t="inlineStr">
        <is>
          <t>NORRTÄLJE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3966-2024</t>
        </is>
      </c>
      <c r="B3169" s="1" t="n">
        <v>45322</v>
      </c>
      <c r="C3169" s="1" t="n">
        <v>45571</v>
      </c>
      <c r="D3169" t="inlineStr">
        <is>
          <t>STOCKHOLMS LÄN</t>
        </is>
      </c>
      <c r="E3169" t="inlineStr">
        <is>
          <t>NORRTÄLJE</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4051-2024</t>
        </is>
      </c>
      <c r="B3170" s="1" t="n">
        <v>45323</v>
      </c>
      <c r="C3170" s="1" t="n">
        <v>45571</v>
      </c>
      <c r="D3170" t="inlineStr">
        <is>
          <t>STOCKHOLMS LÄN</t>
        </is>
      </c>
      <c r="E3170" t="inlineStr">
        <is>
          <t>NORRTÄLJE</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4060-2024</t>
        </is>
      </c>
      <c r="B3171" s="1" t="n">
        <v>45323</v>
      </c>
      <c r="C3171" s="1" t="n">
        <v>45571</v>
      </c>
      <c r="D3171" t="inlineStr">
        <is>
          <t>STOCKHOLMS LÄN</t>
        </is>
      </c>
      <c r="E3171" t="inlineStr">
        <is>
          <t>UPPLANDS-BRO</t>
        </is>
      </c>
      <c r="F3171" t="inlineStr">
        <is>
          <t>Övriga statliga verk och myndigheter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4297-2024</t>
        </is>
      </c>
      <c r="B3172" s="1" t="n">
        <v>45324</v>
      </c>
      <c r="C3172" s="1" t="n">
        <v>45571</v>
      </c>
      <c r="D3172" t="inlineStr">
        <is>
          <t>STOCKHOLMS LÄN</t>
        </is>
      </c>
      <c r="E3172" t="inlineStr">
        <is>
          <t>HANINGE</t>
        </is>
      </c>
      <c r="F3172" t="inlineStr">
        <is>
          <t>Kommuner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4542-2024</t>
        </is>
      </c>
      <c r="B3173" s="1" t="n">
        <v>45327</v>
      </c>
      <c r="C3173" s="1" t="n">
        <v>45571</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4658-2024</t>
        </is>
      </c>
      <c r="B3174" s="1" t="n">
        <v>45328</v>
      </c>
      <c r="C3174" s="1" t="n">
        <v>45571</v>
      </c>
      <c r="D3174" t="inlineStr">
        <is>
          <t>STOCKHOLMS LÄN</t>
        </is>
      </c>
      <c r="E3174" t="inlineStr">
        <is>
          <t>NORRTÄLJE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4730-2024</t>
        </is>
      </c>
      <c r="B3175" s="1" t="n">
        <v>45328</v>
      </c>
      <c r="C3175" s="1" t="n">
        <v>45571</v>
      </c>
      <c r="D3175" t="inlineStr">
        <is>
          <t>STOCKHOLMS LÄN</t>
        </is>
      </c>
      <c r="E3175" t="inlineStr">
        <is>
          <t>NORRTÄLJE</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4804-2024</t>
        </is>
      </c>
      <c r="B3176" s="1" t="n">
        <v>45328</v>
      </c>
      <c r="C3176" s="1" t="n">
        <v>45571</v>
      </c>
      <c r="D3176" t="inlineStr">
        <is>
          <t>STOCKHOLMS LÄN</t>
        </is>
      </c>
      <c r="E3176" t="inlineStr">
        <is>
          <t>VALLENTUNA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4803-2024</t>
        </is>
      </c>
      <c r="B3177" s="1" t="n">
        <v>45328</v>
      </c>
      <c r="C3177" s="1" t="n">
        <v>45571</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5158-2024</t>
        </is>
      </c>
      <c r="B3178" s="1" t="n">
        <v>45330</v>
      </c>
      <c r="C3178" s="1" t="n">
        <v>45571</v>
      </c>
      <c r="D3178" t="inlineStr">
        <is>
          <t>STOCKHOLMS LÄN</t>
        </is>
      </c>
      <c r="E3178" t="inlineStr">
        <is>
          <t>NORRTÄLJE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5142-2024</t>
        </is>
      </c>
      <c r="B3179" s="1" t="n">
        <v>45330</v>
      </c>
      <c r="C3179" s="1" t="n">
        <v>45571</v>
      </c>
      <c r="D3179" t="inlineStr">
        <is>
          <t>STOCKHOLMS LÄN</t>
        </is>
      </c>
      <c r="E3179" t="inlineStr">
        <is>
          <t>SIGTUNA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5474-2024</t>
        </is>
      </c>
      <c r="B3180" s="1" t="n">
        <v>45333</v>
      </c>
      <c r="C3180" s="1" t="n">
        <v>45571</v>
      </c>
      <c r="D3180" t="inlineStr">
        <is>
          <t>STOCKHOLMS LÄN</t>
        </is>
      </c>
      <c r="E3180" t="inlineStr">
        <is>
          <t>HANINGE</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5670-2024</t>
        </is>
      </c>
      <c r="B3181" s="1" t="n">
        <v>45334</v>
      </c>
      <c r="C3181" s="1" t="n">
        <v>45571</v>
      </c>
      <c r="D3181" t="inlineStr">
        <is>
          <t>STOCKHOLMS LÄN</t>
        </is>
      </c>
      <c r="E3181" t="inlineStr">
        <is>
          <t>NORRTÄLJE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5664-2024</t>
        </is>
      </c>
      <c r="B3182" s="1" t="n">
        <v>45334</v>
      </c>
      <c r="C3182" s="1" t="n">
        <v>45571</v>
      </c>
      <c r="D3182" t="inlineStr">
        <is>
          <t>STOCKHOLMS LÄN</t>
        </is>
      </c>
      <c r="E3182" t="inlineStr">
        <is>
          <t>NORRTÄLJE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5683-2024</t>
        </is>
      </c>
      <c r="B3183" s="1" t="n">
        <v>45334</v>
      </c>
      <c r="C3183" s="1" t="n">
        <v>45571</v>
      </c>
      <c r="D3183" t="inlineStr">
        <is>
          <t>STOCKHOLMS LÄN</t>
        </is>
      </c>
      <c r="E3183" t="inlineStr">
        <is>
          <t>NORRTÄLJE</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5625-2024</t>
        </is>
      </c>
      <c r="B3184" s="1" t="n">
        <v>45334</v>
      </c>
      <c r="C3184" s="1" t="n">
        <v>45571</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5693-2024</t>
        </is>
      </c>
      <c r="B3185" s="1" t="n">
        <v>45334</v>
      </c>
      <c r="C3185" s="1" t="n">
        <v>45571</v>
      </c>
      <c r="D3185" t="inlineStr">
        <is>
          <t>STOCKHOLMS LÄN</t>
        </is>
      </c>
      <c r="E3185" t="inlineStr">
        <is>
          <t>NYNÄSHAMN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5862-2024</t>
        </is>
      </c>
      <c r="B3186" s="1" t="n">
        <v>45335</v>
      </c>
      <c r="C3186" s="1" t="n">
        <v>45571</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5831-2024</t>
        </is>
      </c>
      <c r="B3187" s="1" t="n">
        <v>45335</v>
      </c>
      <c r="C3187" s="1" t="n">
        <v>45571</v>
      </c>
      <c r="D3187" t="inlineStr">
        <is>
          <t>STOCKHOLMS LÄN</t>
        </is>
      </c>
      <c r="E3187" t="inlineStr">
        <is>
          <t>NORRTÄLJE</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5894-2024</t>
        </is>
      </c>
      <c r="B3188" s="1" t="n">
        <v>45335</v>
      </c>
      <c r="C3188" s="1" t="n">
        <v>45571</v>
      </c>
      <c r="D3188" t="inlineStr">
        <is>
          <t>STOCKHOLMS LÄN</t>
        </is>
      </c>
      <c r="E3188" t="inlineStr">
        <is>
          <t>NORRTÄLJE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6256-2024</t>
        </is>
      </c>
      <c r="B3189" s="1" t="n">
        <v>45337</v>
      </c>
      <c r="C3189" s="1" t="n">
        <v>45571</v>
      </c>
      <c r="D3189" t="inlineStr">
        <is>
          <t>STOCKHOLMS LÄN</t>
        </is>
      </c>
      <c r="E3189" t="inlineStr">
        <is>
          <t>UPPLANDS-BRO</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6257-2024</t>
        </is>
      </c>
      <c r="B3190" s="1" t="n">
        <v>45337</v>
      </c>
      <c r="C3190" s="1" t="n">
        <v>45571</v>
      </c>
      <c r="D3190" t="inlineStr">
        <is>
          <t>STOCKHOLMS LÄN</t>
        </is>
      </c>
      <c r="E3190" t="inlineStr">
        <is>
          <t>UPPLANDS-BRO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6295-2024</t>
        </is>
      </c>
      <c r="B3191" s="1" t="n">
        <v>45338</v>
      </c>
      <c r="C3191" s="1" t="n">
        <v>45571</v>
      </c>
      <c r="D3191" t="inlineStr">
        <is>
          <t>STOCKHOLMS LÄN</t>
        </is>
      </c>
      <c r="E3191" t="inlineStr">
        <is>
          <t>NYNÄSHAMN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6401-2024</t>
        </is>
      </c>
      <c r="B3192" s="1" t="n">
        <v>45338</v>
      </c>
      <c r="C3192" s="1" t="n">
        <v>45571</v>
      </c>
      <c r="D3192" t="inlineStr">
        <is>
          <t>STOCKHOLMS LÄN</t>
        </is>
      </c>
      <c r="E3192" t="inlineStr">
        <is>
          <t>NORRTÄLJE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6537-2024</t>
        </is>
      </c>
      <c r="B3193" s="1" t="n">
        <v>45341</v>
      </c>
      <c r="C3193" s="1" t="n">
        <v>45571</v>
      </c>
      <c r="D3193" t="inlineStr">
        <is>
          <t>STOCKHOLMS LÄN</t>
        </is>
      </c>
      <c r="E3193" t="inlineStr">
        <is>
          <t>NORRTÄLJE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6599-2024</t>
        </is>
      </c>
      <c r="B3194" s="1" t="n">
        <v>45341</v>
      </c>
      <c r="C3194" s="1" t="n">
        <v>45571</v>
      </c>
      <c r="D3194" t="inlineStr">
        <is>
          <t>STOCKHOLMS LÄN</t>
        </is>
      </c>
      <c r="E3194" t="inlineStr">
        <is>
          <t>NYNÄSHAMN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6962-2024</t>
        </is>
      </c>
      <c r="B3195" s="1" t="n">
        <v>45343</v>
      </c>
      <c r="C3195" s="1" t="n">
        <v>45571</v>
      </c>
      <c r="D3195" t="inlineStr">
        <is>
          <t>STOCKHOLMS LÄN</t>
        </is>
      </c>
      <c r="E3195" t="inlineStr">
        <is>
          <t>BOTKYRKA</t>
        </is>
      </c>
      <c r="F3195" t="inlineStr">
        <is>
          <t>Övriga Aktiebolag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6978-2024</t>
        </is>
      </c>
      <c r="B3196" s="1" t="n">
        <v>45343</v>
      </c>
      <c r="C3196" s="1" t="n">
        <v>45571</v>
      </c>
      <c r="D3196" t="inlineStr">
        <is>
          <t>STOCKHOLMS LÄN</t>
        </is>
      </c>
      <c r="E3196" t="inlineStr">
        <is>
          <t>BOTKYRKA</t>
        </is>
      </c>
      <c r="F3196" t="inlineStr">
        <is>
          <t>Övriga Aktiebolag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7009-2024</t>
        </is>
      </c>
      <c r="B3197" s="1" t="n">
        <v>45343</v>
      </c>
      <c r="C3197" s="1" t="n">
        <v>45571</v>
      </c>
      <c r="D3197" t="inlineStr">
        <is>
          <t>STOCKHOLMS LÄN</t>
        </is>
      </c>
      <c r="E3197" t="inlineStr">
        <is>
          <t>NORRTÄLJE</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7096-2024</t>
        </is>
      </c>
      <c r="B3198" s="1" t="n">
        <v>45343</v>
      </c>
      <c r="C3198" s="1" t="n">
        <v>45571</v>
      </c>
      <c r="D3198" t="inlineStr">
        <is>
          <t>STOCKHOLMS LÄN</t>
        </is>
      </c>
      <c r="E3198" t="inlineStr">
        <is>
          <t>SIGTUNA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7145-2024</t>
        </is>
      </c>
      <c r="B3199" s="1" t="n">
        <v>45344</v>
      </c>
      <c r="C3199" s="1" t="n">
        <v>45571</v>
      </c>
      <c r="D3199" t="inlineStr">
        <is>
          <t>STOCKHOLMS LÄN</t>
        </is>
      </c>
      <c r="E3199" t="inlineStr">
        <is>
          <t>SIGTUNA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7142-2024</t>
        </is>
      </c>
      <c r="B3200" s="1" t="n">
        <v>45344</v>
      </c>
      <c r="C3200" s="1" t="n">
        <v>45571</v>
      </c>
      <c r="D3200" t="inlineStr">
        <is>
          <t>STOCKHOLMS LÄN</t>
        </is>
      </c>
      <c r="E3200" t="inlineStr">
        <is>
          <t>SIGTUNA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7143-2024</t>
        </is>
      </c>
      <c r="B3201" s="1" t="n">
        <v>45344</v>
      </c>
      <c r="C3201" s="1" t="n">
        <v>45571</v>
      </c>
      <c r="D3201" t="inlineStr">
        <is>
          <t>STOCKHOLMS LÄN</t>
        </is>
      </c>
      <c r="E3201" t="inlineStr">
        <is>
          <t>SIGTUNA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7186-2024</t>
        </is>
      </c>
      <c r="B3202" s="1" t="n">
        <v>45344</v>
      </c>
      <c r="C3202" s="1" t="n">
        <v>45571</v>
      </c>
      <c r="D3202" t="inlineStr">
        <is>
          <t>STOCKHOLMS LÄN</t>
        </is>
      </c>
      <c r="E3202" t="inlineStr">
        <is>
          <t>NORRTÄLJE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7180-2024</t>
        </is>
      </c>
      <c r="B3203" s="1" t="n">
        <v>45344</v>
      </c>
      <c r="C3203" s="1" t="n">
        <v>45571</v>
      </c>
      <c r="D3203" t="inlineStr">
        <is>
          <t>STOCKHOLMS LÄN</t>
        </is>
      </c>
      <c r="E3203" t="inlineStr">
        <is>
          <t>NYNÄSHAMN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7408-2024</t>
        </is>
      </c>
      <c r="B3204" s="1" t="n">
        <v>45345</v>
      </c>
      <c r="C3204" s="1" t="n">
        <v>45571</v>
      </c>
      <c r="D3204" t="inlineStr">
        <is>
          <t>STOCKHOLMS LÄN</t>
        </is>
      </c>
      <c r="E3204" t="inlineStr">
        <is>
          <t>NORRTÄLJE</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7573-2024</t>
        </is>
      </c>
      <c r="B3205" s="1" t="n">
        <v>45345</v>
      </c>
      <c r="C3205" s="1" t="n">
        <v>45571</v>
      </c>
      <c r="D3205" t="inlineStr">
        <is>
          <t>STOCKHOLMS LÄN</t>
        </is>
      </c>
      <c r="E3205" t="inlineStr">
        <is>
          <t>NORRTÄLJE</t>
        </is>
      </c>
      <c r="F3205" t="inlineStr">
        <is>
          <t>Övriga Aktiebolag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7425-2024</t>
        </is>
      </c>
      <c r="B3206" s="1" t="n">
        <v>45345</v>
      </c>
      <c r="C3206" s="1" t="n">
        <v>45571</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7413-2024</t>
        </is>
      </c>
      <c r="B3207" s="1" t="n">
        <v>45345</v>
      </c>
      <c r="C3207" s="1" t="n">
        <v>45571</v>
      </c>
      <c r="D3207" t="inlineStr">
        <is>
          <t>STOCKHOLMS LÄN</t>
        </is>
      </c>
      <c r="E3207" t="inlineStr">
        <is>
          <t>NORRTÄLJE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7385-2024</t>
        </is>
      </c>
      <c r="B3208" s="1" t="n">
        <v>45345</v>
      </c>
      <c r="C3208" s="1" t="n">
        <v>45571</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7329-2024</t>
        </is>
      </c>
      <c r="B3209" s="1" t="n">
        <v>45345</v>
      </c>
      <c r="C3209" s="1" t="n">
        <v>45571</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7483-2024</t>
        </is>
      </c>
      <c r="B3210" s="1" t="n">
        <v>45346</v>
      </c>
      <c r="C3210" s="1" t="n">
        <v>45571</v>
      </c>
      <c r="D3210" t="inlineStr">
        <is>
          <t>STOCKHOLMS LÄN</t>
        </is>
      </c>
      <c r="E3210" t="inlineStr">
        <is>
          <t>NORRTÄLJE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7571-2024</t>
        </is>
      </c>
      <c r="B3211" s="1" t="n">
        <v>45348</v>
      </c>
      <c r="C3211" s="1" t="n">
        <v>45571</v>
      </c>
      <c r="D3211" t="inlineStr">
        <is>
          <t>STOCKHOLMS LÄN</t>
        </is>
      </c>
      <c r="E3211" t="inlineStr">
        <is>
          <t>NORRTÄLJE</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7860-2024</t>
        </is>
      </c>
      <c r="B3212" s="1" t="n">
        <v>45348</v>
      </c>
      <c r="C3212" s="1" t="n">
        <v>45571</v>
      </c>
      <c r="D3212" t="inlineStr">
        <is>
          <t>STOCKHOLMS LÄN</t>
        </is>
      </c>
      <c r="E3212" t="inlineStr">
        <is>
          <t>UPPLANDS-BRO</t>
        </is>
      </c>
      <c r="F3212" t="inlineStr">
        <is>
          <t>Övriga statliga verk och myndigheter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7966-2024</t>
        </is>
      </c>
      <c r="B3213" s="1" t="n">
        <v>45350</v>
      </c>
      <c r="C3213" s="1" t="n">
        <v>45571</v>
      </c>
      <c r="D3213" t="inlineStr">
        <is>
          <t>STOCKHOLMS LÄN</t>
        </is>
      </c>
      <c r="E3213" t="inlineStr">
        <is>
          <t>SIGTUNA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7970-2024</t>
        </is>
      </c>
      <c r="B3214" s="1" t="n">
        <v>45350</v>
      </c>
      <c r="C3214" s="1" t="n">
        <v>45571</v>
      </c>
      <c r="D3214" t="inlineStr">
        <is>
          <t>STOCKHOLMS LÄN</t>
        </is>
      </c>
      <c r="E3214" t="inlineStr">
        <is>
          <t>SIGTUNA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7975-2024</t>
        </is>
      </c>
      <c r="B3215" s="1" t="n">
        <v>45350</v>
      </c>
      <c r="C3215" s="1" t="n">
        <v>45571</v>
      </c>
      <c r="D3215" t="inlineStr">
        <is>
          <t>STOCKHOLMS LÄN</t>
        </is>
      </c>
      <c r="E3215" t="inlineStr">
        <is>
          <t>SIGTUNA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8153-2024</t>
        </is>
      </c>
      <c r="B3216" s="1" t="n">
        <v>45351</v>
      </c>
      <c r="C3216" s="1" t="n">
        <v>45571</v>
      </c>
      <c r="D3216" t="inlineStr">
        <is>
          <t>STOCKHOLMS LÄN</t>
        </is>
      </c>
      <c r="E3216" t="inlineStr">
        <is>
          <t>HANINGE</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8163-2024</t>
        </is>
      </c>
      <c r="B3217" s="1" t="n">
        <v>45351</v>
      </c>
      <c r="C3217" s="1" t="n">
        <v>45571</v>
      </c>
      <c r="D3217" t="inlineStr">
        <is>
          <t>STOCKHOLMS LÄN</t>
        </is>
      </c>
      <c r="E3217" t="inlineStr">
        <is>
          <t>HANINGE</t>
        </is>
      </c>
      <c r="F3217" t="inlineStr">
        <is>
          <t>Kommuner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8078-2024</t>
        </is>
      </c>
      <c r="B3218" s="1" t="n">
        <v>45351</v>
      </c>
      <c r="C3218" s="1" t="n">
        <v>45571</v>
      </c>
      <c r="D3218" t="inlineStr">
        <is>
          <t>STOCKHOLMS LÄN</t>
        </is>
      </c>
      <c r="E3218" t="inlineStr">
        <is>
          <t>HANINGE</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8270-2024</t>
        </is>
      </c>
      <c r="B3219" s="1" t="n">
        <v>45352</v>
      </c>
      <c r="C3219" s="1" t="n">
        <v>45571</v>
      </c>
      <c r="D3219" t="inlineStr">
        <is>
          <t>STOCKHOLMS LÄN</t>
        </is>
      </c>
      <c r="E3219" t="inlineStr">
        <is>
          <t>NORRTÄLJE</t>
        </is>
      </c>
      <c r="F3219" t="inlineStr">
        <is>
          <t>Kyrkan</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8300-2024</t>
        </is>
      </c>
      <c r="B3220" s="1" t="n">
        <v>45352</v>
      </c>
      <c r="C3220" s="1" t="n">
        <v>45571</v>
      </c>
      <c r="D3220" t="inlineStr">
        <is>
          <t>STOCKHOLMS LÄN</t>
        </is>
      </c>
      <c r="E3220" t="inlineStr">
        <is>
          <t>SALEM</t>
        </is>
      </c>
      <c r="F3220" t="inlineStr">
        <is>
          <t>Kommuner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8399-2024</t>
        </is>
      </c>
      <c r="B3221" s="1" t="n">
        <v>45352</v>
      </c>
      <c r="C3221" s="1" t="n">
        <v>45571</v>
      </c>
      <c r="D3221" t="inlineStr">
        <is>
          <t>STOCKHOLMS LÄN</t>
        </is>
      </c>
      <c r="E3221" t="inlineStr">
        <is>
          <t>NORRTÄLJE</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8365-2024</t>
        </is>
      </c>
      <c r="B3222" s="1" t="n">
        <v>45352</v>
      </c>
      <c r="C3222" s="1" t="n">
        <v>45571</v>
      </c>
      <c r="D3222" t="inlineStr">
        <is>
          <t>STOCKHOLMS LÄN</t>
        </is>
      </c>
      <c r="E3222" t="inlineStr">
        <is>
          <t>NORRTÄLJE</t>
        </is>
      </c>
      <c r="F3222" t="inlineStr">
        <is>
          <t>Naturvårdsverket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8400-2024</t>
        </is>
      </c>
      <c r="B3223" s="1" t="n">
        <v>45352</v>
      </c>
      <c r="C3223" s="1" t="n">
        <v>45571</v>
      </c>
      <c r="D3223" t="inlineStr">
        <is>
          <t>STOCKHOLMS LÄN</t>
        </is>
      </c>
      <c r="E3223" t="inlineStr">
        <is>
          <t>NORRTÄLJE</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8401-2024</t>
        </is>
      </c>
      <c r="B3224" s="1" t="n">
        <v>45352</v>
      </c>
      <c r="C3224" s="1" t="n">
        <v>45571</v>
      </c>
      <c r="D3224" t="inlineStr">
        <is>
          <t>STOCKHOLMS LÄN</t>
        </is>
      </c>
      <c r="E3224" t="inlineStr">
        <is>
          <t>NORRTÄLJE</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8528-2024</t>
        </is>
      </c>
      <c r="B3225" s="1" t="n">
        <v>45355</v>
      </c>
      <c r="C3225" s="1" t="n">
        <v>45571</v>
      </c>
      <c r="D3225" t="inlineStr">
        <is>
          <t>STOCKHOLMS LÄN</t>
        </is>
      </c>
      <c r="E3225" t="inlineStr">
        <is>
          <t>BOTKYRKA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8739-2024</t>
        </is>
      </c>
      <c r="B3226" s="1" t="n">
        <v>45356</v>
      </c>
      <c r="C3226" s="1" t="n">
        <v>45571</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8787-2024</t>
        </is>
      </c>
      <c r="B3227" s="1" t="n">
        <v>45356</v>
      </c>
      <c r="C3227" s="1" t="n">
        <v>45571</v>
      </c>
      <c r="D3227" t="inlineStr">
        <is>
          <t>STOCKHOLMS LÄN</t>
        </is>
      </c>
      <c r="E3227" t="inlineStr">
        <is>
          <t>VALLENTUNA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8736-2024</t>
        </is>
      </c>
      <c r="B3228" s="1" t="n">
        <v>45356</v>
      </c>
      <c r="C3228" s="1" t="n">
        <v>45571</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8790-2024</t>
        </is>
      </c>
      <c r="B3229" s="1" t="n">
        <v>45356</v>
      </c>
      <c r="C3229" s="1" t="n">
        <v>45571</v>
      </c>
      <c r="D3229" t="inlineStr">
        <is>
          <t>STOCKHOLMS LÄN</t>
        </is>
      </c>
      <c r="E3229" t="inlineStr">
        <is>
          <t>VALLENTUNA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9063-2024</t>
        </is>
      </c>
      <c r="B3230" s="1" t="n">
        <v>45357</v>
      </c>
      <c r="C3230" s="1" t="n">
        <v>45571</v>
      </c>
      <c r="D3230" t="inlineStr">
        <is>
          <t>STOCKHOLMS LÄN</t>
        </is>
      </c>
      <c r="E3230" t="inlineStr">
        <is>
          <t>VALLENTUNA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9075-2024</t>
        </is>
      </c>
      <c r="B3231" s="1" t="n">
        <v>45357</v>
      </c>
      <c r="C3231" s="1" t="n">
        <v>45571</v>
      </c>
      <c r="D3231" t="inlineStr">
        <is>
          <t>STOCKHOLMS LÄN</t>
        </is>
      </c>
      <c r="E3231" t="inlineStr">
        <is>
          <t>VALLENTUNA</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9074-2024</t>
        </is>
      </c>
      <c r="B3232" s="1" t="n">
        <v>45357</v>
      </c>
      <c r="C3232" s="1" t="n">
        <v>45571</v>
      </c>
      <c r="D3232" t="inlineStr">
        <is>
          <t>STOCKHOLMS LÄN</t>
        </is>
      </c>
      <c r="E3232" t="inlineStr">
        <is>
          <t>VALLENTUNA</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9246-2024</t>
        </is>
      </c>
      <c r="B3233" s="1" t="n">
        <v>45357</v>
      </c>
      <c r="C3233" s="1" t="n">
        <v>45571</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9169-2024</t>
        </is>
      </c>
      <c r="B3234" s="1" t="n">
        <v>45358</v>
      </c>
      <c r="C3234" s="1" t="n">
        <v>45571</v>
      </c>
      <c r="D3234" t="inlineStr">
        <is>
          <t>STOCKHOLMS LÄN</t>
        </is>
      </c>
      <c r="E3234" t="inlineStr">
        <is>
          <t>SÖDERTÄLJE</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9300-2024</t>
        </is>
      </c>
      <c r="B3235" s="1" t="n">
        <v>45358</v>
      </c>
      <c r="C3235" s="1" t="n">
        <v>45571</v>
      </c>
      <c r="D3235" t="inlineStr">
        <is>
          <t>STOCKHOLMS LÄN</t>
        </is>
      </c>
      <c r="E3235" t="inlineStr">
        <is>
          <t>NORRTÄLJE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9297-2024</t>
        </is>
      </c>
      <c r="B3236" s="1" t="n">
        <v>45358</v>
      </c>
      <c r="C3236" s="1" t="n">
        <v>45571</v>
      </c>
      <c r="D3236" t="inlineStr">
        <is>
          <t>STOCKHOLMS LÄN</t>
        </is>
      </c>
      <c r="E3236" t="inlineStr">
        <is>
          <t>NORRTÄLJE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9301-2024</t>
        </is>
      </c>
      <c r="B3237" s="1" t="n">
        <v>45358</v>
      </c>
      <c r="C3237" s="1" t="n">
        <v>45571</v>
      </c>
      <c r="D3237" t="inlineStr">
        <is>
          <t>STOCKHOLMS LÄN</t>
        </is>
      </c>
      <c r="E3237" t="inlineStr">
        <is>
          <t>NORRTÄLJE</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9305-2024</t>
        </is>
      </c>
      <c r="B3238" s="1" t="n">
        <v>45358</v>
      </c>
      <c r="C3238" s="1" t="n">
        <v>45571</v>
      </c>
      <c r="D3238" t="inlineStr">
        <is>
          <t>STOCKHOLMS LÄN</t>
        </is>
      </c>
      <c r="E3238" t="inlineStr">
        <is>
          <t>NORRTÄLJE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9533-2024</t>
        </is>
      </c>
      <c r="B3239" s="1" t="n">
        <v>45359</v>
      </c>
      <c r="C3239" s="1" t="n">
        <v>45571</v>
      </c>
      <c r="D3239" t="inlineStr">
        <is>
          <t>STOCKHOLMS LÄN</t>
        </is>
      </c>
      <c r="E3239" t="inlineStr">
        <is>
          <t>SALEM</t>
        </is>
      </c>
      <c r="F3239" t="inlineStr">
        <is>
          <t>Kommuner</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9765-2024</t>
        </is>
      </c>
      <c r="B3240" s="1" t="n">
        <v>45362</v>
      </c>
      <c r="C3240" s="1" t="n">
        <v>45571</v>
      </c>
      <c r="D3240" t="inlineStr">
        <is>
          <t>STOCKHOLMS LÄN</t>
        </is>
      </c>
      <c r="E3240" t="inlineStr">
        <is>
          <t>NORRTÄLJE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9946-2024</t>
        </is>
      </c>
      <c r="B3241" s="1" t="n">
        <v>45363</v>
      </c>
      <c r="C3241" s="1" t="n">
        <v>45571</v>
      </c>
      <c r="D3241" t="inlineStr">
        <is>
          <t>STOCKHOLMS LÄN</t>
        </is>
      </c>
      <c r="E3241" t="inlineStr">
        <is>
          <t>HANINGE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9966-2024</t>
        </is>
      </c>
      <c r="B3242" s="1" t="n">
        <v>45363</v>
      </c>
      <c r="C3242" s="1" t="n">
        <v>45571</v>
      </c>
      <c r="D3242" t="inlineStr">
        <is>
          <t>STOCKHOLMS LÄN</t>
        </is>
      </c>
      <c r="E3242" t="inlineStr">
        <is>
          <t>VÄRMDÖ</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9964-2024</t>
        </is>
      </c>
      <c r="B3243" s="1" t="n">
        <v>45363</v>
      </c>
      <c r="C3243" s="1" t="n">
        <v>45571</v>
      </c>
      <c r="D3243" t="inlineStr">
        <is>
          <t>STOCKHOLMS LÄN</t>
        </is>
      </c>
      <c r="E3243" t="inlineStr">
        <is>
          <t>VÄRMDÖ</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9856-2024</t>
        </is>
      </c>
      <c r="B3244" s="1" t="n">
        <v>45363</v>
      </c>
      <c r="C3244" s="1" t="n">
        <v>45571</v>
      </c>
      <c r="D3244" t="inlineStr">
        <is>
          <t>STOCKHOLMS LÄN</t>
        </is>
      </c>
      <c r="E3244" t="inlineStr">
        <is>
          <t>SIGTUNA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9965-2024</t>
        </is>
      </c>
      <c r="B3245" s="1" t="n">
        <v>45363</v>
      </c>
      <c r="C3245" s="1" t="n">
        <v>45571</v>
      </c>
      <c r="D3245" t="inlineStr">
        <is>
          <t>STOCKHOLMS LÄN</t>
        </is>
      </c>
      <c r="E3245" t="inlineStr">
        <is>
          <t>VALLENTUNA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9959-2024</t>
        </is>
      </c>
      <c r="B3246" s="1" t="n">
        <v>45363</v>
      </c>
      <c r="C3246" s="1" t="n">
        <v>45571</v>
      </c>
      <c r="D3246" t="inlineStr">
        <is>
          <t>STOCKHOLMS LÄN</t>
        </is>
      </c>
      <c r="E3246" t="inlineStr">
        <is>
          <t>NORRTÄLJE</t>
        </is>
      </c>
      <c r="F3246" t="inlineStr">
        <is>
          <t>Naturvårdsverket</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10073-2024</t>
        </is>
      </c>
      <c r="B3247" s="1" t="n">
        <v>45364</v>
      </c>
      <c r="C3247" s="1" t="n">
        <v>45571</v>
      </c>
      <c r="D3247" t="inlineStr">
        <is>
          <t>STOCKHOLMS LÄN</t>
        </is>
      </c>
      <c r="E3247" t="inlineStr">
        <is>
          <t>VALLENTUNA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10070-2024</t>
        </is>
      </c>
      <c r="B3248" s="1" t="n">
        <v>45364</v>
      </c>
      <c r="C3248" s="1" t="n">
        <v>45571</v>
      </c>
      <c r="D3248" t="inlineStr">
        <is>
          <t>STOCKHOLMS LÄN</t>
        </is>
      </c>
      <c r="E3248" t="inlineStr">
        <is>
          <t>VALLENTUNA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10068-2024</t>
        </is>
      </c>
      <c r="B3249" s="1" t="n">
        <v>45364</v>
      </c>
      <c r="C3249" s="1" t="n">
        <v>45571</v>
      </c>
      <c r="D3249" t="inlineStr">
        <is>
          <t>STOCKHOLMS LÄN</t>
        </is>
      </c>
      <c r="E3249" t="inlineStr">
        <is>
          <t>VALLENTUNA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10336-2024</t>
        </is>
      </c>
      <c r="B3250" s="1" t="n">
        <v>45365</v>
      </c>
      <c r="C3250" s="1" t="n">
        <v>45571</v>
      </c>
      <c r="D3250" t="inlineStr">
        <is>
          <t>STOCKHOLMS LÄN</t>
        </is>
      </c>
      <c r="E3250" t="inlineStr">
        <is>
          <t>VALLENTUNA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10258-2024</t>
        </is>
      </c>
      <c r="B3251" s="1" t="n">
        <v>45365</v>
      </c>
      <c r="C3251" s="1" t="n">
        <v>45571</v>
      </c>
      <c r="D3251" t="inlineStr">
        <is>
          <t>STOCKHOLMS LÄN</t>
        </is>
      </c>
      <c r="E3251" t="inlineStr">
        <is>
          <t>NORRTÄLJE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10279-2024</t>
        </is>
      </c>
      <c r="B3252" s="1" t="n">
        <v>45365</v>
      </c>
      <c r="C3252" s="1" t="n">
        <v>45571</v>
      </c>
      <c r="D3252" t="inlineStr">
        <is>
          <t>STOCKHOLMS LÄN</t>
        </is>
      </c>
      <c r="E3252" t="inlineStr">
        <is>
          <t>NORRTÄLJE</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10349-2024</t>
        </is>
      </c>
      <c r="B3253" s="1" t="n">
        <v>45365</v>
      </c>
      <c r="C3253" s="1" t="n">
        <v>45571</v>
      </c>
      <c r="D3253" t="inlineStr">
        <is>
          <t>STOCKHOLMS LÄN</t>
        </is>
      </c>
      <c r="E3253" t="inlineStr">
        <is>
          <t>VALLENTUNA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10341-2024</t>
        </is>
      </c>
      <c r="B3254" s="1" t="n">
        <v>45365</v>
      </c>
      <c r="C3254" s="1" t="n">
        <v>45571</v>
      </c>
      <c r="D3254" t="inlineStr">
        <is>
          <t>STOCKHOLMS LÄN</t>
        </is>
      </c>
      <c r="E3254" t="inlineStr">
        <is>
          <t>NYKVARN</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10584-2024</t>
        </is>
      </c>
      <c r="B3255" s="1" t="n">
        <v>45366</v>
      </c>
      <c r="C3255" s="1" t="n">
        <v>45571</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10588-2024</t>
        </is>
      </c>
      <c r="B3256" s="1" t="n">
        <v>45366</v>
      </c>
      <c r="C3256" s="1" t="n">
        <v>45571</v>
      </c>
      <c r="D3256" t="inlineStr">
        <is>
          <t>STOCKHOLMS LÄN</t>
        </is>
      </c>
      <c r="E3256" t="inlineStr">
        <is>
          <t>NYNÄSHAMN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10643-2024</t>
        </is>
      </c>
      <c r="B3257" s="1" t="n">
        <v>45367</v>
      </c>
      <c r="C3257" s="1" t="n">
        <v>45571</v>
      </c>
      <c r="D3257" t="inlineStr">
        <is>
          <t>STOCKHOLMS LÄN</t>
        </is>
      </c>
      <c r="E3257" t="inlineStr">
        <is>
          <t>NORRTÄLJE</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10840-2024</t>
        </is>
      </c>
      <c r="B3258" s="1" t="n">
        <v>45369</v>
      </c>
      <c r="C3258" s="1" t="n">
        <v>45571</v>
      </c>
      <c r="D3258" t="inlineStr">
        <is>
          <t>STOCKHOLMS LÄN</t>
        </is>
      </c>
      <c r="E3258" t="inlineStr">
        <is>
          <t>NORRTÄLJE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10810-2024</t>
        </is>
      </c>
      <c r="B3259" s="1" t="n">
        <v>45369</v>
      </c>
      <c r="C3259" s="1" t="n">
        <v>45571</v>
      </c>
      <c r="D3259" t="inlineStr">
        <is>
          <t>STOCKHOLMS LÄN</t>
        </is>
      </c>
      <c r="E3259" t="inlineStr">
        <is>
          <t>NORRTÄLJE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10930-2024</t>
        </is>
      </c>
      <c r="B3260" s="1" t="n">
        <v>45370</v>
      </c>
      <c r="C3260" s="1" t="n">
        <v>45571</v>
      </c>
      <c r="D3260" t="inlineStr">
        <is>
          <t>STOCKHOLMS LÄN</t>
        </is>
      </c>
      <c r="E3260" t="inlineStr">
        <is>
          <t>NORRTÄLJE</t>
        </is>
      </c>
      <c r="G3260" t="n">
        <v>8.699999999999999</v>
      </c>
      <c r="H3260" t="n">
        <v>0</v>
      </c>
      <c r="I3260" t="n">
        <v>0</v>
      </c>
      <c r="J3260" t="n">
        <v>0</v>
      </c>
      <c r="K3260" t="n">
        <v>0</v>
      </c>
      <c r="L3260" t="n">
        <v>0</v>
      </c>
      <c r="M3260" t="n">
        <v>0</v>
      </c>
      <c r="N3260" t="n">
        <v>0</v>
      </c>
      <c r="O3260" t="n">
        <v>0</v>
      </c>
      <c r="P3260" t="n">
        <v>0</v>
      </c>
      <c r="Q3260" t="n">
        <v>0</v>
      </c>
      <c r="R3260" s="2" t="inlineStr"/>
      <c r="U3260">
        <f>HYPERLINK("https://klasma.github.io/Logging_0188/knärot/A 10930-2024 karta knärot.png", "A 10930-2024")</f>
        <v/>
      </c>
      <c r="V3260">
        <f>HYPERLINK("https://klasma.github.io/Logging_0188/klagomål/A 10930-2024 FSC-klagomål.docx", "A 10930-2024")</f>
        <v/>
      </c>
      <c r="W3260">
        <f>HYPERLINK("https://klasma.github.io/Logging_0188/klagomålsmail/A 10930-2024 FSC-klagomål mail.docx", "A 10930-2024")</f>
        <v/>
      </c>
      <c r="X3260">
        <f>HYPERLINK("https://klasma.github.io/Logging_0188/tillsyn/A 10930-2024 tillsynsbegäran.docx", "A 10930-2024")</f>
        <v/>
      </c>
      <c r="Y3260">
        <f>HYPERLINK("https://klasma.github.io/Logging_0188/tillsynsmail/A 10930-2024 tillsynsbegäran mail.docx", "A 10930-2024")</f>
        <v/>
      </c>
    </row>
    <row r="3261" ht="15" customHeight="1">
      <c r="A3261" t="inlineStr">
        <is>
          <t>A 11062-2024</t>
        </is>
      </c>
      <c r="B3261" s="1" t="n">
        <v>45370</v>
      </c>
      <c r="C3261" s="1" t="n">
        <v>45571</v>
      </c>
      <c r="D3261" t="inlineStr">
        <is>
          <t>STOCKHOLMS LÄN</t>
        </is>
      </c>
      <c r="E3261" t="inlineStr">
        <is>
          <t>NORRTÄLJE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10968-2024</t>
        </is>
      </c>
      <c r="B3262" s="1" t="n">
        <v>45370</v>
      </c>
      <c r="C3262" s="1" t="n">
        <v>45571</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11319-2024</t>
        </is>
      </c>
      <c r="B3263" s="1" t="n">
        <v>45371</v>
      </c>
      <c r="C3263" s="1" t="n">
        <v>45571</v>
      </c>
      <c r="D3263" t="inlineStr">
        <is>
          <t>STOCKHOLMS LÄN</t>
        </is>
      </c>
      <c r="E3263" t="inlineStr">
        <is>
          <t>SÖDERTÄLJE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11481-2024</t>
        </is>
      </c>
      <c r="B3264" s="1" t="n">
        <v>45372</v>
      </c>
      <c r="C3264" s="1" t="n">
        <v>45571</v>
      </c>
      <c r="D3264" t="inlineStr">
        <is>
          <t>STOCKHOLMS LÄN</t>
        </is>
      </c>
      <c r="E3264" t="inlineStr">
        <is>
          <t>EKERÖ</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11902-2024</t>
        </is>
      </c>
      <c r="B3265" s="1" t="n">
        <v>45376</v>
      </c>
      <c r="C3265" s="1" t="n">
        <v>45571</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11926-2024</t>
        </is>
      </c>
      <c r="B3266" s="1" t="n">
        <v>45376</v>
      </c>
      <c r="C3266" s="1" t="n">
        <v>45571</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11867-2024</t>
        </is>
      </c>
      <c r="B3267" s="1" t="n">
        <v>45376</v>
      </c>
      <c r="C3267" s="1" t="n">
        <v>45571</v>
      </c>
      <c r="D3267" t="inlineStr">
        <is>
          <t>STOCKHOLMS LÄN</t>
        </is>
      </c>
      <c r="E3267" t="inlineStr">
        <is>
          <t>BOTKYRKA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11896-2024</t>
        </is>
      </c>
      <c r="B3268" s="1" t="n">
        <v>45376</v>
      </c>
      <c r="C3268" s="1" t="n">
        <v>45571</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11900-2024</t>
        </is>
      </c>
      <c r="B3269" s="1" t="n">
        <v>45376</v>
      </c>
      <c r="C3269" s="1" t="n">
        <v>45571</v>
      </c>
      <c r="D3269" t="inlineStr">
        <is>
          <t>STOCKHOLMS LÄN</t>
        </is>
      </c>
      <c r="E3269" t="inlineStr">
        <is>
          <t>NORRTÄLJE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11924-2024</t>
        </is>
      </c>
      <c r="B3270" s="1" t="n">
        <v>45376</v>
      </c>
      <c r="C3270" s="1" t="n">
        <v>45571</v>
      </c>
      <c r="D3270" t="inlineStr">
        <is>
          <t>STOCKHOLMS LÄN</t>
        </is>
      </c>
      <c r="E3270" t="inlineStr">
        <is>
          <t>NORRTÄLJE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11876-2024</t>
        </is>
      </c>
      <c r="B3271" s="1" t="n">
        <v>45376</v>
      </c>
      <c r="C3271" s="1" t="n">
        <v>45571</v>
      </c>
      <c r="D3271" t="inlineStr">
        <is>
          <t>STOCKHOLMS LÄN</t>
        </is>
      </c>
      <c r="E3271" t="inlineStr">
        <is>
          <t>BOTKYRKA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11893-2024</t>
        </is>
      </c>
      <c r="B3272" s="1" t="n">
        <v>45376</v>
      </c>
      <c r="C3272" s="1" t="n">
        <v>45571</v>
      </c>
      <c r="D3272" t="inlineStr">
        <is>
          <t>STOCKHOLMS LÄN</t>
        </is>
      </c>
      <c r="E3272" t="inlineStr">
        <is>
          <t>NORRTÄLJE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11901-2024</t>
        </is>
      </c>
      <c r="B3273" s="1" t="n">
        <v>45376</v>
      </c>
      <c r="C3273" s="1" t="n">
        <v>45571</v>
      </c>
      <c r="D3273" t="inlineStr">
        <is>
          <t>STOCKHOLMS LÄN</t>
        </is>
      </c>
      <c r="E3273" t="inlineStr">
        <is>
          <t>NORRTÄLJE</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11929-2024</t>
        </is>
      </c>
      <c r="B3274" s="1" t="n">
        <v>45376</v>
      </c>
      <c r="C3274" s="1" t="n">
        <v>45571</v>
      </c>
      <c r="D3274" t="inlineStr">
        <is>
          <t>STOCKHOLMS LÄN</t>
        </is>
      </c>
      <c r="E3274" t="inlineStr">
        <is>
          <t>NORRTÄLJE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11996-2024</t>
        </is>
      </c>
      <c r="B3275" s="1" t="n">
        <v>45376</v>
      </c>
      <c r="C3275" s="1" t="n">
        <v>45571</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11997-2024</t>
        </is>
      </c>
      <c r="B3276" s="1" t="n">
        <v>45377</v>
      </c>
      <c r="C3276" s="1" t="n">
        <v>45571</v>
      </c>
      <c r="D3276" t="inlineStr">
        <is>
          <t>STOCKHOLMS LÄN</t>
        </is>
      </c>
      <c r="E3276" t="inlineStr">
        <is>
          <t>NORRTÄLJE</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12135-2024</t>
        </is>
      </c>
      <c r="B3277" s="1" t="n">
        <v>45377</v>
      </c>
      <c r="C3277" s="1" t="n">
        <v>45571</v>
      </c>
      <c r="D3277" t="inlineStr">
        <is>
          <t>STOCKHOLMS LÄN</t>
        </is>
      </c>
      <c r="E3277" t="inlineStr">
        <is>
          <t>NORRTÄLJE</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12022-2024</t>
        </is>
      </c>
      <c r="B3278" s="1" t="n">
        <v>45377</v>
      </c>
      <c r="C3278" s="1" t="n">
        <v>45571</v>
      </c>
      <c r="D3278" t="inlineStr">
        <is>
          <t>STOCKHOLMS LÄN</t>
        </is>
      </c>
      <c r="E3278" t="inlineStr">
        <is>
          <t>NORRTÄLJE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12323-2024</t>
        </is>
      </c>
      <c r="B3279" s="1" t="n">
        <v>45378</v>
      </c>
      <c r="C3279" s="1" t="n">
        <v>45571</v>
      </c>
      <c r="D3279" t="inlineStr">
        <is>
          <t>STOCKHOLMS LÄN</t>
        </is>
      </c>
      <c r="E3279" t="inlineStr">
        <is>
          <t>NORRTÄLJE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12470-2024</t>
        </is>
      </c>
      <c r="B3280" s="1" t="n">
        <v>45379</v>
      </c>
      <c r="C3280" s="1" t="n">
        <v>45571</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12560-2024</t>
        </is>
      </c>
      <c r="B3281" s="1" t="n">
        <v>45379</v>
      </c>
      <c r="C3281" s="1" t="n">
        <v>45571</v>
      </c>
      <c r="D3281" t="inlineStr">
        <is>
          <t>STOCKHOLMS LÄN</t>
        </is>
      </c>
      <c r="E3281" t="inlineStr">
        <is>
          <t>NORRTÄLJE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12609-2024</t>
        </is>
      </c>
      <c r="B3282" s="1" t="n">
        <v>45382</v>
      </c>
      <c r="C3282" s="1" t="n">
        <v>45571</v>
      </c>
      <c r="D3282" t="inlineStr">
        <is>
          <t>STOCKHOLMS LÄN</t>
        </is>
      </c>
      <c r="E3282" t="inlineStr">
        <is>
          <t>VALLENTUNA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12616-2024</t>
        </is>
      </c>
      <c r="B3283" s="1" t="n">
        <v>45383</v>
      </c>
      <c r="C3283" s="1" t="n">
        <v>45571</v>
      </c>
      <c r="D3283" t="inlineStr">
        <is>
          <t>STOCKHOLMS LÄN</t>
        </is>
      </c>
      <c r="E3283" t="inlineStr">
        <is>
          <t>VALLENTUNA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12620-2024</t>
        </is>
      </c>
      <c r="B3284" s="1" t="n">
        <v>45383</v>
      </c>
      <c r="C3284" s="1" t="n">
        <v>45571</v>
      </c>
      <c r="D3284" t="inlineStr">
        <is>
          <t>STOCKHOLMS LÄN</t>
        </is>
      </c>
      <c r="E3284" t="inlineStr">
        <is>
          <t>VALLENTUNA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12624-2024</t>
        </is>
      </c>
      <c r="B3285" s="1" t="n">
        <v>45383</v>
      </c>
      <c r="C3285" s="1" t="n">
        <v>45571</v>
      </c>
      <c r="D3285" t="inlineStr">
        <is>
          <t>STOCKHOLMS LÄN</t>
        </is>
      </c>
      <c r="E3285" t="inlineStr">
        <is>
          <t>SÖDERTÄLJE</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12629-2024</t>
        </is>
      </c>
      <c r="B3286" s="1" t="n">
        <v>45383</v>
      </c>
      <c r="C3286" s="1" t="n">
        <v>45571</v>
      </c>
      <c r="D3286" t="inlineStr">
        <is>
          <t>STOCKHOLMS LÄN</t>
        </is>
      </c>
      <c r="E3286" t="inlineStr">
        <is>
          <t>NORRTÄLJE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12615-2024</t>
        </is>
      </c>
      <c r="B3287" s="1" t="n">
        <v>45383</v>
      </c>
      <c r="C3287" s="1" t="n">
        <v>45571</v>
      </c>
      <c r="D3287" t="inlineStr">
        <is>
          <t>STOCKHOLMS LÄN</t>
        </is>
      </c>
      <c r="E3287" t="inlineStr">
        <is>
          <t>VALLENTUNA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12619-2024</t>
        </is>
      </c>
      <c r="B3288" s="1" t="n">
        <v>45383</v>
      </c>
      <c r="C3288" s="1" t="n">
        <v>45571</v>
      </c>
      <c r="D3288" t="inlineStr">
        <is>
          <t>STOCKHOLMS LÄN</t>
        </is>
      </c>
      <c r="E3288" t="inlineStr">
        <is>
          <t>VALLENTUNA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12617-2024</t>
        </is>
      </c>
      <c r="B3289" s="1" t="n">
        <v>45383</v>
      </c>
      <c r="C3289" s="1" t="n">
        <v>45571</v>
      </c>
      <c r="D3289" t="inlineStr">
        <is>
          <t>STOCKHOLMS LÄN</t>
        </is>
      </c>
      <c r="E3289" t="inlineStr">
        <is>
          <t>VALLENTUNA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12621-2024</t>
        </is>
      </c>
      <c r="B3290" s="1" t="n">
        <v>45383</v>
      </c>
      <c r="C3290" s="1" t="n">
        <v>45571</v>
      </c>
      <c r="D3290" t="inlineStr">
        <is>
          <t>STOCKHOLMS LÄN</t>
        </is>
      </c>
      <c r="E3290" t="inlineStr">
        <is>
          <t>VALLENTUNA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12614-2024</t>
        </is>
      </c>
      <c r="B3291" s="1" t="n">
        <v>45383</v>
      </c>
      <c r="C3291" s="1" t="n">
        <v>45571</v>
      </c>
      <c r="D3291" t="inlineStr">
        <is>
          <t>STOCKHOLMS LÄN</t>
        </is>
      </c>
      <c r="E3291" t="inlineStr">
        <is>
          <t>VALLENTUNA</t>
        </is>
      </c>
      <c r="G3291" t="n">
        <v>14.8</v>
      </c>
      <c r="H3291" t="n">
        <v>0</v>
      </c>
      <c r="I3291" t="n">
        <v>0</v>
      </c>
      <c r="J3291" t="n">
        <v>0</v>
      </c>
      <c r="K3291" t="n">
        <v>0</v>
      </c>
      <c r="L3291" t="n">
        <v>0</v>
      </c>
      <c r="M3291" t="n">
        <v>0</v>
      </c>
      <c r="N3291" t="n">
        <v>0</v>
      </c>
      <c r="O3291" t="n">
        <v>0</v>
      </c>
      <c r="P3291" t="n">
        <v>0</v>
      </c>
      <c r="Q3291" t="n">
        <v>0</v>
      </c>
      <c r="R3291" s="2" t="inlineStr"/>
    </row>
    <row r="3292" ht="15" customHeight="1">
      <c r="A3292" t="inlineStr">
        <is>
          <t>A 12618-2024</t>
        </is>
      </c>
      <c r="B3292" s="1" t="n">
        <v>45383</v>
      </c>
      <c r="C3292" s="1" t="n">
        <v>45571</v>
      </c>
      <c r="D3292" t="inlineStr">
        <is>
          <t>STOCKHOLMS LÄN</t>
        </is>
      </c>
      <c r="E3292" t="inlineStr">
        <is>
          <t>VALLENTUNA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12627-2024</t>
        </is>
      </c>
      <c r="B3293" s="1" t="n">
        <v>45383</v>
      </c>
      <c r="C3293" s="1" t="n">
        <v>45571</v>
      </c>
      <c r="D3293" t="inlineStr">
        <is>
          <t>STOCKHOLMS LÄN</t>
        </is>
      </c>
      <c r="E3293" t="inlineStr">
        <is>
          <t>SÖDERTÄLJE</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12907-2024</t>
        </is>
      </c>
      <c r="B3294" s="1" t="n">
        <v>45385</v>
      </c>
      <c r="C3294" s="1" t="n">
        <v>45571</v>
      </c>
      <c r="D3294" t="inlineStr">
        <is>
          <t>STOCKHOLMS LÄN</t>
        </is>
      </c>
      <c r="E3294" t="inlineStr">
        <is>
          <t>SÖDERTÄLJE</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12896-2024</t>
        </is>
      </c>
      <c r="B3295" s="1" t="n">
        <v>45385</v>
      </c>
      <c r="C3295" s="1" t="n">
        <v>45571</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12904-2024</t>
        </is>
      </c>
      <c r="B3296" s="1" t="n">
        <v>45385</v>
      </c>
      <c r="C3296" s="1" t="n">
        <v>45571</v>
      </c>
      <c r="D3296" t="inlineStr">
        <is>
          <t>STOCKHOLMS LÄN</t>
        </is>
      </c>
      <c r="E3296" t="inlineStr">
        <is>
          <t>NORRTÄLJE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12901-2024</t>
        </is>
      </c>
      <c r="B3297" s="1" t="n">
        <v>45385</v>
      </c>
      <c r="C3297" s="1" t="n">
        <v>45571</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12890-2024</t>
        </is>
      </c>
      <c r="B3298" s="1" t="n">
        <v>45385</v>
      </c>
      <c r="C3298" s="1" t="n">
        <v>45571</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12902-2024</t>
        </is>
      </c>
      <c r="B3299" s="1" t="n">
        <v>45385</v>
      </c>
      <c r="C3299" s="1" t="n">
        <v>45571</v>
      </c>
      <c r="D3299" t="inlineStr">
        <is>
          <t>STOCKHOLMS LÄN</t>
        </is>
      </c>
      <c r="E3299" t="inlineStr">
        <is>
          <t>NORRTÄLJE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13057-2024</t>
        </is>
      </c>
      <c r="B3300" s="1" t="n">
        <v>45385</v>
      </c>
      <c r="C3300" s="1" t="n">
        <v>45571</v>
      </c>
      <c r="D3300" t="inlineStr">
        <is>
          <t>STOCKHOLMS LÄN</t>
        </is>
      </c>
      <c r="E3300" t="inlineStr">
        <is>
          <t>VAXHOLM</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13115-2024</t>
        </is>
      </c>
      <c r="B3301" s="1" t="n">
        <v>45385</v>
      </c>
      <c r="C3301" s="1" t="n">
        <v>45571</v>
      </c>
      <c r="D3301" t="inlineStr">
        <is>
          <t>STOCKHOLMS LÄN</t>
        </is>
      </c>
      <c r="E3301" t="inlineStr">
        <is>
          <t>NORRTÄLJE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13137-2024</t>
        </is>
      </c>
      <c r="B3302" s="1" t="n">
        <v>45386</v>
      </c>
      <c r="C3302" s="1" t="n">
        <v>45571</v>
      </c>
      <c r="D3302" t="inlineStr">
        <is>
          <t>STOCKHOLMS LÄN</t>
        </is>
      </c>
      <c r="E3302" t="inlineStr">
        <is>
          <t>NORRTÄLJE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13264-2024</t>
        </is>
      </c>
      <c r="B3303" s="1" t="n">
        <v>45386</v>
      </c>
      <c r="C3303" s="1" t="n">
        <v>45571</v>
      </c>
      <c r="D3303" t="inlineStr">
        <is>
          <t>STOCKHOLMS LÄN</t>
        </is>
      </c>
      <c r="E3303" t="inlineStr">
        <is>
          <t>NACKA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13329-2024</t>
        </is>
      </c>
      <c r="B3304" s="1" t="n">
        <v>45386</v>
      </c>
      <c r="C3304" s="1" t="n">
        <v>45571</v>
      </c>
      <c r="D3304" t="inlineStr">
        <is>
          <t>STOCKHOLMS LÄN</t>
        </is>
      </c>
      <c r="E3304" t="inlineStr">
        <is>
          <t>SÖDERTÄLJE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13327-2024</t>
        </is>
      </c>
      <c r="B3305" s="1" t="n">
        <v>45386</v>
      </c>
      <c r="C3305" s="1" t="n">
        <v>45571</v>
      </c>
      <c r="D3305" t="inlineStr">
        <is>
          <t>STOCKHOLMS LÄN</t>
        </is>
      </c>
      <c r="E3305" t="inlineStr">
        <is>
          <t>SÖDERTÄLJE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13241-2024</t>
        </is>
      </c>
      <c r="B3306" s="1" t="n">
        <v>45386</v>
      </c>
      <c r="C3306" s="1" t="n">
        <v>45571</v>
      </c>
      <c r="D3306" t="inlineStr">
        <is>
          <t>STOCKHOLMS LÄN</t>
        </is>
      </c>
      <c r="E3306" t="inlineStr">
        <is>
          <t>NORRTÄLJE</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13265-2024</t>
        </is>
      </c>
      <c r="B3307" s="1" t="n">
        <v>45386</v>
      </c>
      <c r="C3307" s="1" t="n">
        <v>45571</v>
      </c>
      <c r="D3307" t="inlineStr">
        <is>
          <t>STOCKHOLMS LÄN</t>
        </is>
      </c>
      <c r="E3307" t="inlineStr">
        <is>
          <t>NACKA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13378-2024</t>
        </is>
      </c>
      <c r="B3308" s="1" t="n">
        <v>45387</v>
      </c>
      <c r="C3308" s="1" t="n">
        <v>45571</v>
      </c>
      <c r="D3308" t="inlineStr">
        <is>
          <t>STOCKHOLMS LÄN</t>
        </is>
      </c>
      <c r="E3308" t="inlineStr">
        <is>
          <t>ÖSTERÅKER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13366-2024</t>
        </is>
      </c>
      <c r="B3309" s="1" t="n">
        <v>45387</v>
      </c>
      <c r="C3309" s="1" t="n">
        <v>45571</v>
      </c>
      <c r="D3309" t="inlineStr">
        <is>
          <t>STOCKHOLMS LÄN</t>
        </is>
      </c>
      <c r="E3309" t="inlineStr">
        <is>
          <t>ÖSTERÅKER</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13391-2024</t>
        </is>
      </c>
      <c r="B3310" s="1" t="n">
        <v>45387</v>
      </c>
      <c r="C3310" s="1" t="n">
        <v>45571</v>
      </c>
      <c r="D3310" t="inlineStr">
        <is>
          <t>STOCKHOLMS LÄN</t>
        </is>
      </c>
      <c r="E3310" t="inlineStr">
        <is>
          <t>NORRTÄLJE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13518-2024</t>
        </is>
      </c>
      <c r="B3311" s="1" t="n">
        <v>45387</v>
      </c>
      <c r="C3311" s="1" t="n">
        <v>45571</v>
      </c>
      <c r="D3311" t="inlineStr">
        <is>
          <t>STOCKHOLMS LÄN</t>
        </is>
      </c>
      <c r="E3311" t="inlineStr">
        <is>
          <t>ÖSTERÅKER</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13572-2024</t>
        </is>
      </c>
      <c r="B3312" s="1" t="n">
        <v>45389</v>
      </c>
      <c r="C3312" s="1" t="n">
        <v>45571</v>
      </c>
      <c r="D3312" t="inlineStr">
        <is>
          <t>STOCKHOLMS LÄN</t>
        </is>
      </c>
      <c r="E3312" t="inlineStr">
        <is>
          <t>VALLENTUNA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13576-2024</t>
        </is>
      </c>
      <c r="B3313" s="1" t="n">
        <v>45389</v>
      </c>
      <c r="C3313" s="1" t="n">
        <v>45571</v>
      </c>
      <c r="D3313" t="inlineStr">
        <is>
          <t>STOCKHOLMS LÄN</t>
        </is>
      </c>
      <c r="E3313" t="inlineStr">
        <is>
          <t>VALLENTUNA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13577-2024</t>
        </is>
      </c>
      <c r="B3314" s="1" t="n">
        <v>45389</v>
      </c>
      <c r="C3314" s="1" t="n">
        <v>45571</v>
      </c>
      <c r="D3314" t="inlineStr">
        <is>
          <t>STOCKHOLMS LÄN</t>
        </is>
      </c>
      <c r="E3314" t="inlineStr">
        <is>
          <t>VALLENTUNA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13649-2024</t>
        </is>
      </c>
      <c r="B3315" s="1" t="n">
        <v>45390</v>
      </c>
      <c r="C3315" s="1" t="n">
        <v>45571</v>
      </c>
      <c r="D3315" t="inlineStr">
        <is>
          <t>STOCKHOLMS LÄN</t>
        </is>
      </c>
      <c r="E3315" t="inlineStr">
        <is>
          <t>SÖDERTÄLJE</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13785-2024</t>
        </is>
      </c>
      <c r="B3316" s="1" t="n">
        <v>45391</v>
      </c>
      <c r="C3316" s="1" t="n">
        <v>45571</v>
      </c>
      <c r="D3316" t="inlineStr">
        <is>
          <t>STOCKHOLMS LÄN</t>
        </is>
      </c>
      <c r="E3316" t="inlineStr">
        <is>
          <t>NORRTÄLJE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14060-2024</t>
        </is>
      </c>
      <c r="B3317" s="1" t="n">
        <v>45392</v>
      </c>
      <c r="C3317" s="1" t="n">
        <v>45571</v>
      </c>
      <c r="D3317" t="inlineStr">
        <is>
          <t>STOCKHOLMS LÄN</t>
        </is>
      </c>
      <c r="E3317" t="inlineStr">
        <is>
          <t>SÖDERTÄLJE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14049-2024</t>
        </is>
      </c>
      <c r="B3318" s="1" t="n">
        <v>45392</v>
      </c>
      <c r="C3318" s="1" t="n">
        <v>45571</v>
      </c>
      <c r="D3318" t="inlineStr">
        <is>
          <t>STOCKHOLMS LÄN</t>
        </is>
      </c>
      <c r="E3318" t="inlineStr">
        <is>
          <t>SÖDERTÄLJE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14107-2024</t>
        </is>
      </c>
      <c r="B3319" s="1" t="n">
        <v>45392</v>
      </c>
      <c r="C3319" s="1" t="n">
        <v>45571</v>
      </c>
      <c r="D3319" t="inlineStr">
        <is>
          <t>STOCKHOLMS LÄN</t>
        </is>
      </c>
      <c r="E3319" t="inlineStr">
        <is>
          <t>SÖDERTÄLJE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14101-2024</t>
        </is>
      </c>
      <c r="B3320" s="1" t="n">
        <v>45392</v>
      </c>
      <c r="C3320" s="1" t="n">
        <v>45571</v>
      </c>
      <c r="D3320" t="inlineStr">
        <is>
          <t>STOCKHOLMS LÄN</t>
        </is>
      </c>
      <c r="E3320" t="inlineStr">
        <is>
          <t>SÖDERTÄLJE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14348-2024</t>
        </is>
      </c>
      <c r="B3321" s="1" t="n">
        <v>45393</v>
      </c>
      <c r="C3321" s="1" t="n">
        <v>45571</v>
      </c>
      <c r="D3321" t="inlineStr">
        <is>
          <t>STOCKHOLMS LÄN</t>
        </is>
      </c>
      <c r="E3321" t="inlineStr">
        <is>
          <t>UPPLANDS-BRO</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14352-2024</t>
        </is>
      </c>
      <c r="B3322" s="1" t="n">
        <v>45393</v>
      </c>
      <c r="C3322" s="1" t="n">
        <v>45571</v>
      </c>
      <c r="D3322" t="inlineStr">
        <is>
          <t>STOCKHOLMS LÄN</t>
        </is>
      </c>
      <c r="E3322" t="inlineStr">
        <is>
          <t>UPPLANDS-BRO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14349-2024</t>
        </is>
      </c>
      <c r="B3323" s="1" t="n">
        <v>45393</v>
      </c>
      <c r="C3323" s="1" t="n">
        <v>45571</v>
      </c>
      <c r="D3323" t="inlineStr">
        <is>
          <t>STOCKHOLMS LÄN</t>
        </is>
      </c>
      <c r="E3323" t="inlineStr">
        <is>
          <t>UPPLANDS-BRO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14350-2024</t>
        </is>
      </c>
      <c r="B3324" s="1" t="n">
        <v>45393</v>
      </c>
      <c r="C3324" s="1" t="n">
        <v>45571</v>
      </c>
      <c r="D3324" t="inlineStr">
        <is>
          <t>STOCKHOLMS LÄN</t>
        </is>
      </c>
      <c r="E3324" t="inlineStr">
        <is>
          <t>UPPLANDS-BRO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14351-2024</t>
        </is>
      </c>
      <c r="B3325" s="1" t="n">
        <v>45393</v>
      </c>
      <c r="C3325" s="1" t="n">
        <v>45571</v>
      </c>
      <c r="D3325" t="inlineStr">
        <is>
          <t>STOCKHOLMS LÄN</t>
        </is>
      </c>
      <c r="E3325" t="inlineStr">
        <is>
          <t>UPPLANDS-BRO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14485-2024</t>
        </is>
      </c>
      <c r="B3326" s="1" t="n">
        <v>45394</v>
      </c>
      <c r="C3326" s="1" t="n">
        <v>45571</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14530-2024</t>
        </is>
      </c>
      <c r="B3327" s="1" t="n">
        <v>45394</v>
      </c>
      <c r="C3327" s="1" t="n">
        <v>45571</v>
      </c>
      <c r="D3327" t="inlineStr">
        <is>
          <t>STOCKHOLMS LÄN</t>
        </is>
      </c>
      <c r="E3327" t="inlineStr">
        <is>
          <t>NORRTÄLJE</t>
        </is>
      </c>
      <c r="F3327" t="inlineStr">
        <is>
          <t>Kyrkan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14498-2024</t>
        </is>
      </c>
      <c r="B3328" s="1" t="n">
        <v>45394</v>
      </c>
      <c r="C3328" s="1" t="n">
        <v>45571</v>
      </c>
      <c r="D3328" t="inlineStr">
        <is>
          <t>STOCKHOLMS LÄN</t>
        </is>
      </c>
      <c r="E3328" t="inlineStr">
        <is>
          <t>NORRTÄLJE</t>
        </is>
      </c>
      <c r="F3328" t="inlineStr">
        <is>
          <t>Kyrkan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14490-2024</t>
        </is>
      </c>
      <c r="B3329" s="1" t="n">
        <v>45394</v>
      </c>
      <c r="C3329" s="1" t="n">
        <v>45571</v>
      </c>
      <c r="D3329" t="inlineStr">
        <is>
          <t>STOCKHOLMS LÄN</t>
        </is>
      </c>
      <c r="E3329" t="inlineStr">
        <is>
          <t>NYNÄSHAMN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14474-2024</t>
        </is>
      </c>
      <c r="B3330" s="1" t="n">
        <v>45394</v>
      </c>
      <c r="C3330" s="1" t="n">
        <v>45571</v>
      </c>
      <c r="D3330" t="inlineStr">
        <is>
          <t>STOCKHOLMS LÄN</t>
        </is>
      </c>
      <c r="E3330" t="inlineStr">
        <is>
          <t>VALLENTUNA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14480-2024</t>
        </is>
      </c>
      <c r="B3331" s="1" t="n">
        <v>45394</v>
      </c>
      <c r="C3331" s="1" t="n">
        <v>45571</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14559-2024</t>
        </is>
      </c>
      <c r="B3332" s="1" t="n">
        <v>45394</v>
      </c>
      <c r="C3332" s="1" t="n">
        <v>45571</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14501-2024</t>
        </is>
      </c>
      <c r="B3333" s="1" t="n">
        <v>45394</v>
      </c>
      <c r="C3333" s="1" t="n">
        <v>45571</v>
      </c>
      <c r="D3333" t="inlineStr">
        <is>
          <t>STOCKHOLMS LÄN</t>
        </is>
      </c>
      <c r="E3333" t="inlineStr">
        <is>
          <t>VALLENTUNA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14489-2024</t>
        </is>
      </c>
      <c r="B3334" s="1" t="n">
        <v>45394</v>
      </c>
      <c r="C3334" s="1" t="n">
        <v>45571</v>
      </c>
      <c r="D3334" t="inlineStr">
        <is>
          <t>STOCKHOLMS LÄN</t>
        </is>
      </c>
      <c r="E3334" t="inlineStr">
        <is>
          <t>VALLENTUNA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14640-2024</t>
        </is>
      </c>
      <c r="B3335" s="1" t="n">
        <v>45396</v>
      </c>
      <c r="C3335" s="1" t="n">
        <v>45571</v>
      </c>
      <c r="D3335" t="inlineStr">
        <is>
          <t>STOCKHOLMS LÄN</t>
        </is>
      </c>
      <c r="E3335" t="inlineStr">
        <is>
          <t>VALLENTUNA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14751-2024</t>
        </is>
      </c>
      <c r="B3336" s="1" t="n">
        <v>45397</v>
      </c>
      <c r="C3336" s="1" t="n">
        <v>45571</v>
      </c>
      <c r="D3336" t="inlineStr">
        <is>
          <t>STOCKHOLMS LÄN</t>
        </is>
      </c>
      <c r="E3336" t="inlineStr">
        <is>
          <t>NORRTÄLJE</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14767-2024</t>
        </is>
      </c>
      <c r="B3337" s="1" t="n">
        <v>45397</v>
      </c>
      <c r="C3337" s="1" t="n">
        <v>45571</v>
      </c>
      <c r="D3337" t="inlineStr">
        <is>
          <t>STOCKHOLMS LÄN</t>
        </is>
      </c>
      <c r="E3337" t="inlineStr">
        <is>
          <t>VALLENTUNA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14775-2024</t>
        </is>
      </c>
      <c r="B3338" s="1" t="n">
        <v>45397</v>
      </c>
      <c r="C3338" s="1" t="n">
        <v>45571</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14783-2024</t>
        </is>
      </c>
      <c r="B3339" s="1" t="n">
        <v>45397</v>
      </c>
      <c r="C3339" s="1" t="n">
        <v>45571</v>
      </c>
      <c r="D3339" t="inlineStr">
        <is>
          <t>STOCKHOLMS LÄN</t>
        </is>
      </c>
      <c r="E3339" t="inlineStr">
        <is>
          <t>VALLENTUNA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14762-2024</t>
        </is>
      </c>
      <c r="B3340" s="1" t="n">
        <v>45397</v>
      </c>
      <c r="C3340" s="1" t="n">
        <v>45571</v>
      </c>
      <c r="D3340" t="inlineStr">
        <is>
          <t>STOCKHOLMS LÄN</t>
        </is>
      </c>
      <c r="E3340" t="inlineStr">
        <is>
          <t>NORRTÄLJE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14766-2024</t>
        </is>
      </c>
      <c r="B3341" s="1" t="n">
        <v>45397</v>
      </c>
      <c r="C3341" s="1" t="n">
        <v>45571</v>
      </c>
      <c r="D3341" t="inlineStr">
        <is>
          <t>STOCKHOLMS LÄN</t>
        </is>
      </c>
      <c r="E3341" t="inlineStr">
        <is>
          <t>VALLENTUNA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14778-2024</t>
        </is>
      </c>
      <c r="B3342" s="1" t="n">
        <v>45397</v>
      </c>
      <c r="C3342" s="1" t="n">
        <v>45571</v>
      </c>
      <c r="D3342" t="inlineStr">
        <is>
          <t>STOCKHOLMS LÄN</t>
        </is>
      </c>
      <c r="E3342" t="inlineStr">
        <is>
          <t>VALLENTUNA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14782-2024</t>
        </is>
      </c>
      <c r="B3343" s="1" t="n">
        <v>45397</v>
      </c>
      <c r="C3343" s="1" t="n">
        <v>45571</v>
      </c>
      <c r="D3343" t="inlineStr">
        <is>
          <t>STOCKHOLMS LÄN</t>
        </is>
      </c>
      <c r="E3343" t="inlineStr">
        <is>
          <t>VALLENTUNA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14764-2024</t>
        </is>
      </c>
      <c r="B3344" s="1" t="n">
        <v>45397</v>
      </c>
      <c r="C3344" s="1" t="n">
        <v>45571</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14776-2024</t>
        </is>
      </c>
      <c r="B3345" s="1" t="n">
        <v>45397</v>
      </c>
      <c r="C3345" s="1" t="n">
        <v>45571</v>
      </c>
      <c r="D3345" t="inlineStr">
        <is>
          <t>STOCKHOLMS LÄN</t>
        </is>
      </c>
      <c r="E3345" t="inlineStr">
        <is>
          <t>ÖSTERÅKER</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14765-2024</t>
        </is>
      </c>
      <c r="B3346" s="1" t="n">
        <v>45397</v>
      </c>
      <c r="C3346" s="1" t="n">
        <v>45571</v>
      </c>
      <c r="D3346" t="inlineStr">
        <is>
          <t>STOCKHOLMS LÄN</t>
        </is>
      </c>
      <c r="E3346" t="inlineStr">
        <is>
          <t>VALLENTUNA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14769-2024</t>
        </is>
      </c>
      <c r="B3347" s="1" t="n">
        <v>45397</v>
      </c>
      <c r="C3347" s="1" t="n">
        <v>45571</v>
      </c>
      <c r="D3347" t="inlineStr">
        <is>
          <t>STOCKHOLMS LÄN</t>
        </is>
      </c>
      <c r="E3347" t="inlineStr">
        <is>
          <t>VALLENTUNA</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14773-2024</t>
        </is>
      </c>
      <c r="B3348" s="1" t="n">
        <v>45397</v>
      </c>
      <c r="C3348" s="1" t="n">
        <v>45571</v>
      </c>
      <c r="D3348" t="inlineStr">
        <is>
          <t>STOCKHOLMS LÄN</t>
        </is>
      </c>
      <c r="E3348" t="inlineStr">
        <is>
          <t>VALLENTUNA</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14785-2024</t>
        </is>
      </c>
      <c r="B3349" s="1" t="n">
        <v>45397</v>
      </c>
      <c r="C3349" s="1" t="n">
        <v>45571</v>
      </c>
      <c r="D3349" t="inlineStr">
        <is>
          <t>STOCKHOLMS LÄN</t>
        </is>
      </c>
      <c r="E3349" t="inlineStr">
        <is>
          <t>VALLENTUNA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14853-2024</t>
        </is>
      </c>
      <c r="B3350" s="1" t="n">
        <v>45398</v>
      </c>
      <c r="C3350" s="1" t="n">
        <v>45571</v>
      </c>
      <c r="D3350" t="inlineStr">
        <is>
          <t>STOCKHOLMS LÄN</t>
        </is>
      </c>
      <c r="E3350" t="inlineStr">
        <is>
          <t>NYKVARN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15176-2024</t>
        </is>
      </c>
      <c r="B3351" s="1" t="n">
        <v>45400</v>
      </c>
      <c r="C3351" s="1" t="n">
        <v>45571</v>
      </c>
      <c r="D3351" t="inlineStr">
        <is>
          <t>STOCKHOLMS LÄN</t>
        </is>
      </c>
      <c r="E3351" t="inlineStr">
        <is>
          <t>NYNÄSHAMN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15278-2024</t>
        </is>
      </c>
      <c r="B3352" s="1" t="n">
        <v>45400</v>
      </c>
      <c r="C3352" s="1" t="n">
        <v>45571</v>
      </c>
      <c r="D3352" t="inlineStr">
        <is>
          <t>STOCKHOLMS LÄN</t>
        </is>
      </c>
      <c r="E3352" t="inlineStr">
        <is>
          <t>NORRTÄLJE</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15347-2024</t>
        </is>
      </c>
      <c r="B3353" s="1" t="n">
        <v>45400</v>
      </c>
      <c r="C3353" s="1" t="n">
        <v>45571</v>
      </c>
      <c r="D3353" t="inlineStr">
        <is>
          <t>STOCKHOLMS LÄN</t>
        </is>
      </c>
      <c r="E3353" t="inlineStr">
        <is>
          <t>NORRTÄLJE</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15317-2024</t>
        </is>
      </c>
      <c r="B3354" s="1" t="n">
        <v>45400</v>
      </c>
      <c r="C3354" s="1" t="n">
        <v>45571</v>
      </c>
      <c r="D3354" t="inlineStr">
        <is>
          <t>STOCKHOLMS LÄN</t>
        </is>
      </c>
      <c r="E3354" t="inlineStr">
        <is>
          <t>NORRTÄLJE</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15429-2024</t>
        </is>
      </c>
      <c r="B3355" s="1" t="n">
        <v>45401</v>
      </c>
      <c r="C3355" s="1" t="n">
        <v>45571</v>
      </c>
      <c r="D3355" t="inlineStr">
        <is>
          <t>STOCKHOLMS LÄN</t>
        </is>
      </c>
      <c r="E3355" t="inlineStr">
        <is>
          <t>NORRTÄLJE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15422-2024</t>
        </is>
      </c>
      <c r="B3356" s="1" t="n">
        <v>45401</v>
      </c>
      <c r="C3356" s="1" t="n">
        <v>45571</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15470-2024</t>
        </is>
      </c>
      <c r="B3357" s="1" t="n">
        <v>45401</v>
      </c>
      <c r="C3357" s="1" t="n">
        <v>45571</v>
      </c>
      <c r="D3357" t="inlineStr">
        <is>
          <t>STOCKHOLMS LÄN</t>
        </is>
      </c>
      <c r="E3357" t="inlineStr">
        <is>
          <t>NORRTÄLJE</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15428-2024</t>
        </is>
      </c>
      <c r="B3358" s="1" t="n">
        <v>45401</v>
      </c>
      <c r="C3358" s="1" t="n">
        <v>45571</v>
      </c>
      <c r="D3358" t="inlineStr">
        <is>
          <t>STOCKHOLMS LÄN</t>
        </is>
      </c>
      <c r="E3358" t="inlineStr">
        <is>
          <t>NORRTÄLJE</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15415-2024</t>
        </is>
      </c>
      <c r="B3359" s="1" t="n">
        <v>45401</v>
      </c>
      <c r="C3359" s="1" t="n">
        <v>45571</v>
      </c>
      <c r="D3359" t="inlineStr">
        <is>
          <t>STOCKHOLMS LÄN</t>
        </is>
      </c>
      <c r="E3359" t="inlineStr">
        <is>
          <t>NORRTÄLJE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15996-2024</t>
        </is>
      </c>
      <c r="B3360" s="1" t="n">
        <v>45405</v>
      </c>
      <c r="C3360" s="1" t="n">
        <v>45571</v>
      </c>
      <c r="D3360" t="inlineStr">
        <is>
          <t>STOCKHOLMS LÄN</t>
        </is>
      </c>
      <c r="E3360" t="inlineStr">
        <is>
          <t>NYNÄSHAMN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15956-2024</t>
        </is>
      </c>
      <c r="B3361" s="1" t="n">
        <v>45405</v>
      </c>
      <c r="C3361" s="1" t="n">
        <v>45571</v>
      </c>
      <c r="D3361" t="inlineStr">
        <is>
          <t>STOCKHOLMS LÄN</t>
        </is>
      </c>
      <c r="E3361" t="inlineStr">
        <is>
          <t>NORRTÄLJE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15978-2024</t>
        </is>
      </c>
      <c r="B3362" s="1" t="n">
        <v>45405</v>
      </c>
      <c r="C3362" s="1" t="n">
        <v>45571</v>
      </c>
      <c r="D3362" t="inlineStr">
        <is>
          <t>STOCKHOLMS LÄN</t>
        </is>
      </c>
      <c r="E3362" t="inlineStr">
        <is>
          <t>NORRTÄLJE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16072-2024</t>
        </is>
      </c>
      <c r="B3363" s="1" t="n">
        <v>45406</v>
      </c>
      <c r="C3363" s="1" t="n">
        <v>45571</v>
      </c>
      <c r="D3363" t="inlineStr">
        <is>
          <t>STOCKHOLMS LÄN</t>
        </is>
      </c>
      <c r="E3363" t="inlineStr">
        <is>
          <t>NORRTÄLJE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16071-2024</t>
        </is>
      </c>
      <c r="B3364" s="1" t="n">
        <v>45406</v>
      </c>
      <c r="C3364" s="1" t="n">
        <v>45571</v>
      </c>
      <c r="D3364" t="inlineStr">
        <is>
          <t>STOCKHOLMS LÄN</t>
        </is>
      </c>
      <c r="E3364" t="inlineStr">
        <is>
          <t>NORRTÄLJE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16075-2024</t>
        </is>
      </c>
      <c r="B3365" s="1" t="n">
        <v>45406</v>
      </c>
      <c r="C3365" s="1" t="n">
        <v>45571</v>
      </c>
      <c r="D3365" t="inlineStr">
        <is>
          <t>STOCKHOLMS LÄN</t>
        </is>
      </c>
      <c r="E3365" t="inlineStr">
        <is>
          <t>NORRTÄLJE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16142-2024</t>
        </is>
      </c>
      <c r="B3366" s="1" t="n">
        <v>45406</v>
      </c>
      <c r="C3366" s="1" t="n">
        <v>45571</v>
      </c>
      <c r="D3366" t="inlineStr">
        <is>
          <t>STOCKHOLMS LÄN</t>
        </is>
      </c>
      <c r="E3366" t="inlineStr">
        <is>
          <t>BOTKYRKA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16145-2024</t>
        </is>
      </c>
      <c r="B3367" s="1" t="n">
        <v>45406</v>
      </c>
      <c r="C3367" s="1" t="n">
        <v>45571</v>
      </c>
      <c r="D3367" t="inlineStr">
        <is>
          <t>STOCKHOLMS LÄN</t>
        </is>
      </c>
      <c r="E3367" t="inlineStr">
        <is>
          <t>BOTKYRKA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16149-2024</t>
        </is>
      </c>
      <c r="B3368" s="1" t="n">
        <v>45406</v>
      </c>
      <c r="C3368" s="1" t="n">
        <v>45571</v>
      </c>
      <c r="D3368" t="inlineStr">
        <is>
          <t>STOCKHOLMS LÄN</t>
        </is>
      </c>
      <c r="E3368" t="inlineStr">
        <is>
          <t>BOTKYRKA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16187-2024</t>
        </is>
      </c>
      <c r="B3369" s="1" t="n">
        <v>45406</v>
      </c>
      <c r="C3369" s="1" t="n">
        <v>45571</v>
      </c>
      <c r="D3369" t="inlineStr">
        <is>
          <t>STOCKHOLMS LÄN</t>
        </is>
      </c>
      <c r="E3369" t="inlineStr">
        <is>
          <t>NYNÄSHAMN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16620-2024</t>
        </is>
      </c>
      <c r="B3370" s="1" t="n">
        <v>45408</v>
      </c>
      <c r="C3370" s="1" t="n">
        <v>45571</v>
      </c>
      <c r="D3370" t="inlineStr">
        <is>
          <t>STOCKHOLMS LÄN</t>
        </is>
      </c>
      <c r="E3370" t="inlineStr">
        <is>
          <t>NORRTÄLJE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16615-2024</t>
        </is>
      </c>
      <c r="B3371" s="1" t="n">
        <v>45408</v>
      </c>
      <c r="C3371" s="1" t="n">
        <v>45571</v>
      </c>
      <c r="D3371" t="inlineStr">
        <is>
          <t>STOCKHOLMS LÄN</t>
        </is>
      </c>
      <c r="E3371" t="inlineStr">
        <is>
          <t>SÖDERTÄLJE</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16852-2024</t>
        </is>
      </c>
      <c r="B3372" s="1" t="n">
        <v>45411</v>
      </c>
      <c r="C3372" s="1" t="n">
        <v>45571</v>
      </c>
      <c r="D3372" t="inlineStr">
        <is>
          <t>STOCKHOLMS LÄN</t>
        </is>
      </c>
      <c r="E3372" t="inlineStr">
        <is>
          <t>NORRTÄLJE</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16996-2024</t>
        </is>
      </c>
      <c r="B3373" s="1" t="n">
        <v>45412</v>
      </c>
      <c r="C3373" s="1" t="n">
        <v>45571</v>
      </c>
      <c r="D3373" t="inlineStr">
        <is>
          <t>STOCKHOLMS LÄN</t>
        </is>
      </c>
      <c r="E3373" t="inlineStr">
        <is>
          <t>SÖDERTÄLJE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17106-2024</t>
        </is>
      </c>
      <c r="B3374" s="1" t="n">
        <v>45412</v>
      </c>
      <c r="C3374" s="1" t="n">
        <v>45571</v>
      </c>
      <c r="D3374" t="inlineStr">
        <is>
          <t>STOCKHOLMS LÄN</t>
        </is>
      </c>
      <c r="E3374" t="inlineStr">
        <is>
          <t>VALLENTUNA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17013-2024</t>
        </is>
      </c>
      <c r="B3375" s="1" t="n">
        <v>45412</v>
      </c>
      <c r="C3375" s="1" t="n">
        <v>45571</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17039-2024</t>
        </is>
      </c>
      <c r="B3376" s="1" t="n">
        <v>45412</v>
      </c>
      <c r="C3376" s="1" t="n">
        <v>45571</v>
      </c>
      <c r="D3376" t="inlineStr">
        <is>
          <t>STOCKHOLMS LÄN</t>
        </is>
      </c>
      <c r="E3376" t="inlineStr">
        <is>
          <t>NORRTÄLJE</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17348-2024</t>
        </is>
      </c>
      <c r="B3377" s="1" t="n">
        <v>45414</v>
      </c>
      <c r="C3377" s="1" t="n">
        <v>45571</v>
      </c>
      <c r="D3377" t="inlineStr">
        <is>
          <t>STOCKHOLMS LÄN</t>
        </is>
      </c>
      <c r="E3377" t="inlineStr">
        <is>
          <t>NORRTÄLJE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17304-2024</t>
        </is>
      </c>
      <c r="B3378" s="1" t="n">
        <v>45414</v>
      </c>
      <c r="C3378" s="1" t="n">
        <v>45571</v>
      </c>
      <c r="D3378" t="inlineStr">
        <is>
          <t>STOCKHOLMS LÄN</t>
        </is>
      </c>
      <c r="E3378" t="inlineStr">
        <is>
          <t>NORRTÄLJE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17354-2024</t>
        </is>
      </c>
      <c r="B3379" s="1" t="n">
        <v>45414</v>
      </c>
      <c r="C3379" s="1" t="n">
        <v>45571</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17385-2024</t>
        </is>
      </c>
      <c r="B3380" s="1" t="n">
        <v>45414</v>
      </c>
      <c r="C3380" s="1" t="n">
        <v>45571</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17382-2024</t>
        </is>
      </c>
      <c r="B3381" s="1" t="n">
        <v>45414</v>
      </c>
      <c r="C3381" s="1" t="n">
        <v>45571</v>
      </c>
      <c r="D3381" t="inlineStr">
        <is>
          <t>STOCKHOLMS LÄN</t>
        </is>
      </c>
      <c r="E3381" t="inlineStr">
        <is>
          <t>NORRTÄLJE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17397-2024</t>
        </is>
      </c>
      <c r="B3382" s="1" t="n">
        <v>45414</v>
      </c>
      <c r="C3382" s="1" t="n">
        <v>45571</v>
      </c>
      <c r="D3382" t="inlineStr">
        <is>
          <t>STOCKHOLMS LÄN</t>
        </is>
      </c>
      <c r="E3382" t="inlineStr">
        <is>
          <t>NORRTÄLJE</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17467-2024</t>
        </is>
      </c>
      <c r="B3383" s="1" t="n">
        <v>45415</v>
      </c>
      <c r="C3383" s="1" t="n">
        <v>45571</v>
      </c>
      <c r="D3383" t="inlineStr">
        <is>
          <t>STOCKHOLMS LÄN</t>
        </is>
      </c>
      <c r="E3383" t="inlineStr">
        <is>
          <t>HUDDINGE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17554-2024</t>
        </is>
      </c>
      <c r="B3384" s="1" t="n">
        <v>45415</v>
      </c>
      <c r="C3384" s="1" t="n">
        <v>45571</v>
      </c>
      <c r="D3384" t="inlineStr">
        <is>
          <t>STOCKHOLMS LÄN</t>
        </is>
      </c>
      <c r="E3384" t="inlineStr">
        <is>
          <t>NORRTÄLJE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17624-2024</t>
        </is>
      </c>
      <c r="B3385" s="1" t="n">
        <v>45417</v>
      </c>
      <c r="C3385" s="1" t="n">
        <v>45571</v>
      </c>
      <c r="D3385" t="inlineStr">
        <is>
          <t>STOCKHOLMS LÄN</t>
        </is>
      </c>
      <c r="E3385" t="inlineStr">
        <is>
          <t>VÄRMDÖ</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17623-2024</t>
        </is>
      </c>
      <c r="B3386" s="1" t="n">
        <v>45417</v>
      </c>
      <c r="C3386" s="1" t="n">
        <v>45571</v>
      </c>
      <c r="D3386" t="inlineStr">
        <is>
          <t>STOCKHOLMS LÄN</t>
        </is>
      </c>
      <c r="E3386" t="inlineStr">
        <is>
          <t>VÄRMDÖ</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17775-2024</t>
        </is>
      </c>
      <c r="B3387" s="1" t="n">
        <v>45418</v>
      </c>
      <c r="C3387" s="1" t="n">
        <v>45571</v>
      </c>
      <c r="D3387" t="inlineStr">
        <is>
          <t>STOCKHOLMS LÄN</t>
        </is>
      </c>
      <c r="E3387" t="inlineStr">
        <is>
          <t>NORRTÄLJE</t>
        </is>
      </c>
      <c r="F3387" t="inlineStr">
        <is>
          <t>Holmen skog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17765-2024</t>
        </is>
      </c>
      <c r="B3388" s="1" t="n">
        <v>45418</v>
      </c>
      <c r="C3388" s="1" t="n">
        <v>45571</v>
      </c>
      <c r="D3388" t="inlineStr">
        <is>
          <t>STOCKHOLMS LÄN</t>
        </is>
      </c>
      <c r="E3388" t="inlineStr">
        <is>
          <t>HANINGE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17785-2024</t>
        </is>
      </c>
      <c r="B3389" s="1" t="n">
        <v>45418</v>
      </c>
      <c r="C3389" s="1" t="n">
        <v>45571</v>
      </c>
      <c r="D3389" t="inlineStr">
        <is>
          <t>STOCKHOLMS LÄN</t>
        </is>
      </c>
      <c r="E3389" t="inlineStr">
        <is>
          <t>NORRTÄLJE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17843-2024</t>
        </is>
      </c>
      <c r="B3390" s="1" t="n">
        <v>45418</v>
      </c>
      <c r="C3390" s="1" t="n">
        <v>45571</v>
      </c>
      <c r="D3390" t="inlineStr">
        <is>
          <t>STOCKHOLMS LÄN</t>
        </is>
      </c>
      <c r="E3390" t="inlineStr">
        <is>
          <t>NORRTÄLJE</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17979-2024</t>
        </is>
      </c>
      <c r="B3391" s="1" t="n">
        <v>45419</v>
      </c>
      <c r="C3391" s="1" t="n">
        <v>45571</v>
      </c>
      <c r="D3391" t="inlineStr">
        <is>
          <t>STOCKHOLMS LÄN</t>
        </is>
      </c>
      <c r="E3391" t="inlineStr">
        <is>
          <t>SÖDERTÄLJE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17987-2024</t>
        </is>
      </c>
      <c r="B3392" s="1" t="n">
        <v>45419</v>
      </c>
      <c r="C3392" s="1" t="n">
        <v>45571</v>
      </c>
      <c r="D3392" t="inlineStr">
        <is>
          <t>STOCKHOLMS LÄN</t>
        </is>
      </c>
      <c r="E3392" t="inlineStr">
        <is>
          <t>NYNÄSHAMN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17991-2024</t>
        </is>
      </c>
      <c r="B3393" s="1" t="n">
        <v>45419</v>
      </c>
      <c r="C3393" s="1" t="n">
        <v>45571</v>
      </c>
      <c r="D3393" t="inlineStr">
        <is>
          <t>STOCKHOLMS LÄN</t>
        </is>
      </c>
      <c r="E3393" t="inlineStr">
        <is>
          <t>NYNÄSHAMN</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17877-2024</t>
        </is>
      </c>
      <c r="B3394" s="1" t="n">
        <v>45419</v>
      </c>
      <c r="C3394" s="1" t="n">
        <v>45571</v>
      </c>
      <c r="D3394" t="inlineStr">
        <is>
          <t>STOCKHOLMS LÄN</t>
        </is>
      </c>
      <c r="E3394" t="inlineStr">
        <is>
          <t>SÖDERTÄLJE</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17986-2024</t>
        </is>
      </c>
      <c r="B3395" s="1" t="n">
        <v>45419</v>
      </c>
      <c r="C3395" s="1" t="n">
        <v>45571</v>
      </c>
      <c r="D3395" t="inlineStr">
        <is>
          <t>STOCKHOLMS LÄN</t>
        </is>
      </c>
      <c r="E3395" t="inlineStr">
        <is>
          <t>NYNÄSHAMN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17990-2024</t>
        </is>
      </c>
      <c r="B3396" s="1" t="n">
        <v>45419</v>
      </c>
      <c r="C3396" s="1" t="n">
        <v>45571</v>
      </c>
      <c r="D3396" t="inlineStr">
        <is>
          <t>STOCKHOLMS LÄN</t>
        </is>
      </c>
      <c r="E3396" t="inlineStr">
        <is>
          <t>NYNÄSHAMN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17988-2024</t>
        </is>
      </c>
      <c r="B3397" s="1" t="n">
        <v>45419</v>
      </c>
      <c r="C3397" s="1" t="n">
        <v>45571</v>
      </c>
      <c r="D3397" t="inlineStr">
        <is>
          <t>STOCKHOLMS LÄN</t>
        </is>
      </c>
      <c r="E3397" t="inlineStr">
        <is>
          <t>NYNÄSHAMN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17989-2024</t>
        </is>
      </c>
      <c r="B3398" s="1" t="n">
        <v>45419</v>
      </c>
      <c r="C3398" s="1" t="n">
        <v>45571</v>
      </c>
      <c r="D3398" t="inlineStr">
        <is>
          <t>STOCKHOLMS LÄN</t>
        </is>
      </c>
      <c r="E3398" t="inlineStr">
        <is>
          <t>NYNÄSHAMN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18113-2024</t>
        </is>
      </c>
      <c r="B3399" s="1" t="n">
        <v>45420</v>
      </c>
      <c r="C3399" s="1" t="n">
        <v>45571</v>
      </c>
      <c r="D3399" t="inlineStr">
        <is>
          <t>STOCKHOLMS LÄN</t>
        </is>
      </c>
      <c r="E3399" t="inlineStr">
        <is>
          <t>ÖSTERÅKER</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18331-2024</t>
        </is>
      </c>
      <c r="B3400" s="1" t="n">
        <v>45422</v>
      </c>
      <c r="C3400" s="1" t="n">
        <v>45571</v>
      </c>
      <c r="D3400" t="inlineStr">
        <is>
          <t>STOCKHOLMS LÄN</t>
        </is>
      </c>
      <c r="E3400" t="inlineStr">
        <is>
          <t>NORRTÄLJE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18285-2024</t>
        </is>
      </c>
      <c r="B3401" s="1" t="n">
        <v>45422</v>
      </c>
      <c r="C3401" s="1" t="n">
        <v>45571</v>
      </c>
      <c r="D3401" t="inlineStr">
        <is>
          <t>STOCKHOLMS LÄN</t>
        </is>
      </c>
      <c r="E3401" t="inlineStr">
        <is>
          <t>NORRTÄLJE</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18352-2024</t>
        </is>
      </c>
      <c r="B3402" s="1" t="n">
        <v>45422</v>
      </c>
      <c r="C3402" s="1" t="n">
        <v>45571</v>
      </c>
      <c r="D3402" t="inlineStr">
        <is>
          <t>STOCKHOLMS LÄN</t>
        </is>
      </c>
      <c r="E3402" t="inlineStr">
        <is>
          <t>SÖDERTÄLJE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18287-2024</t>
        </is>
      </c>
      <c r="B3403" s="1" t="n">
        <v>45422</v>
      </c>
      <c r="C3403" s="1" t="n">
        <v>45571</v>
      </c>
      <c r="D3403" t="inlineStr">
        <is>
          <t>STOCKHOLMS LÄN</t>
        </is>
      </c>
      <c r="E3403" t="inlineStr">
        <is>
          <t>NORRTÄLJE</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18507-2024</t>
        </is>
      </c>
      <c r="B3404" s="1" t="n">
        <v>45425</v>
      </c>
      <c r="C3404" s="1" t="n">
        <v>45571</v>
      </c>
      <c r="D3404" t="inlineStr">
        <is>
          <t>STOCKHOLMS LÄN</t>
        </is>
      </c>
      <c r="E3404" t="inlineStr">
        <is>
          <t>HANINGE</t>
        </is>
      </c>
      <c r="F3404" t="inlineStr">
        <is>
          <t>Kommuner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18512-2024</t>
        </is>
      </c>
      <c r="B3405" s="1" t="n">
        <v>45425</v>
      </c>
      <c r="C3405" s="1" t="n">
        <v>45571</v>
      </c>
      <c r="D3405" t="inlineStr">
        <is>
          <t>STOCKHOLMS LÄN</t>
        </is>
      </c>
      <c r="E3405" t="inlineStr">
        <is>
          <t>HANINGE</t>
        </is>
      </c>
      <c r="F3405" t="inlineStr">
        <is>
          <t>Kommuner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18442-2024</t>
        </is>
      </c>
      <c r="B3406" s="1" t="n">
        <v>45425</v>
      </c>
      <c r="C3406" s="1" t="n">
        <v>45571</v>
      </c>
      <c r="D3406" t="inlineStr">
        <is>
          <t>STOCKHOLMS LÄN</t>
        </is>
      </c>
      <c r="E3406" t="inlineStr">
        <is>
          <t>NYKVARN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18528-2024</t>
        </is>
      </c>
      <c r="B3407" s="1" t="n">
        <v>45425</v>
      </c>
      <c r="C3407" s="1" t="n">
        <v>45571</v>
      </c>
      <c r="D3407" t="inlineStr">
        <is>
          <t>STOCKHOLMS LÄN</t>
        </is>
      </c>
      <c r="E3407" t="inlineStr">
        <is>
          <t>HANINGE</t>
        </is>
      </c>
      <c r="F3407" t="inlineStr">
        <is>
          <t>Kommuner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18548-2024</t>
        </is>
      </c>
      <c r="B3408" s="1" t="n">
        <v>45425</v>
      </c>
      <c r="C3408" s="1" t="n">
        <v>45571</v>
      </c>
      <c r="D3408" t="inlineStr">
        <is>
          <t>STOCKHOLMS LÄN</t>
        </is>
      </c>
      <c r="E3408" t="inlineStr">
        <is>
          <t>HANINGE</t>
        </is>
      </c>
      <c r="F3408" t="inlineStr">
        <is>
          <t>Kommuner</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18824-2024</t>
        </is>
      </c>
      <c r="B3409" s="1" t="n">
        <v>45426</v>
      </c>
      <c r="C3409" s="1" t="n">
        <v>45571</v>
      </c>
      <c r="D3409" t="inlineStr">
        <is>
          <t>STOCKHOLMS LÄN</t>
        </is>
      </c>
      <c r="E3409" t="inlineStr">
        <is>
          <t>NYKVARN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18827-2024</t>
        </is>
      </c>
      <c r="B3410" s="1" t="n">
        <v>45426</v>
      </c>
      <c r="C3410" s="1" t="n">
        <v>45571</v>
      </c>
      <c r="D3410" t="inlineStr">
        <is>
          <t>STOCKHOLMS LÄN</t>
        </is>
      </c>
      <c r="E3410" t="inlineStr">
        <is>
          <t>NYKVARN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18848-2024</t>
        </is>
      </c>
      <c r="B3411" s="1" t="n">
        <v>45426</v>
      </c>
      <c r="C3411" s="1" t="n">
        <v>45571</v>
      </c>
      <c r="D3411" t="inlineStr">
        <is>
          <t>STOCKHOLMS LÄN</t>
        </is>
      </c>
      <c r="E3411" t="inlineStr">
        <is>
          <t>NYKVARN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18846-2024</t>
        </is>
      </c>
      <c r="B3412" s="1" t="n">
        <v>45426</v>
      </c>
      <c r="C3412" s="1" t="n">
        <v>45571</v>
      </c>
      <c r="D3412" t="inlineStr">
        <is>
          <t>STOCKHOLMS LÄN</t>
        </is>
      </c>
      <c r="E3412" t="inlineStr">
        <is>
          <t>NYKVARN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18993-2024</t>
        </is>
      </c>
      <c r="B3413" s="1" t="n">
        <v>45427</v>
      </c>
      <c r="C3413" s="1" t="n">
        <v>45571</v>
      </c>
      <c r="D3413" t="inlineStr">
        <is>
          <t>STOCKHOLMS LÄN</t>
        </is>
      </c>
      <c r="E3413" t="inlineStr">
        <is>
          <t>SÖDERTÄLJE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19058-2024</t>
        </is>
      </c>
      <c r="B3414" s="1" t="n">
        <v>45427</v>
      </c>
      <c r="C3414" s="1" t="n">
        <v>45571</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19031-2024</t>
        </is>
      </c>
      <c r="B3415" s="1" t="n">
        <v>45427</v>
      </c>
      <c r="C3415" s="1" t="n">
        <v>45571</v>
      </c>
      <c r="D3415" t="inlineStr">
        <is>
          <t>STOCKHOLMS LÄN</t>
        </is>
      </c>
      <c r="E3415" t="inlineStr">
        <is>
          <t>SIGTUNA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19057-2024</t>
        </is>
      </c>
      <c r="B3416" s="1" t="n">
        <v>45427</v>
      </c>
      <c r="C3416" s="1" t="n">
        <v>45571</v>
      </c>
      <c r="D3416" t="inlineStr">
        <is>
          <t>STOCKHOLMS LÄN</t>
        </is>
      </c>
      <c r="E3416" t="inlineStr">
        <is>
          <t>NORRTÄLJE</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19150-2024</t>
        </is>
      </c>
      <c r="B3417" s="1" t="n">
        <v>45428</v>
      </c>
      <c r="C3417" s="1" t="n">
        <v>45571</v>
      </c>
      <c r="D3417" t="inlineStr">
        <is>
          <t>STOCKHOLMS LÄN</t>
        </is>
      </c>
      <c r="E3417" t="inlineStr">
        <is>
          <t>NORRTÄLJE</t>
        </is>
      </c>
      <c r="F3417" t="inlineStr">
        <is>
          <t>Holmen skog AB</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19210-2024</t>
        </is>
      </c>
      <c r="B3418" s="1" t="n">
        <v>45428</v>
      </c>
      <c r="C3418" s="1" t="n">
        <v>45571</v>
      </c>
      <c r="D3418" t="inlineStr">
        <is>
          <t>STOCKHOLMS LÄN</t>
        </is>
      </c>
      <c r="E3418" t="inlineStr">
        <is>
          <t>SÖDERTÄLJE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19319-2024</t>
        </is>
      </c>
      <c r="B3419" s="1" t="n">
        <v>45428</v>
      </c>
      <c r="C3419" s="1" t="n">
        <v>45571</v>
      </c>
      <c r="D3419" t="inlineStr">
        <is>
          <t>STOCKHOLMS LÄN</t>
        </is>
      </c>
      <c r="E3419" t="inlineStr">
        <is>
          <t>BOTKYRKA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19318-2024</t>
        </is>
      </c>
      <c r="B3420" s="1" t="n">
        <v>45428</v>
      </c>
      <c r="C3420" s="1" t="n">
        <v>45571</v>
      </c>
      <c r="D3420" t="inlineStr">
        <is>
          <t>STOCKHOLMS LÄN</t>
        </is>
      </c>
      <c r="E3420" t="inlineStr">
        <is>
          <t>BOTKYRKA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19404-2024</t>
        </is>
      </c>
      <c r="B3421" s="1" t="n">
        <v>45428</v>
      </c>
      <c r="C3421" s="1" t="n">
        <v>45571</v>
      </c>
      <c r="D3421" t="inlineStr">
        <is>
          <t>STOCKHOLMS LÄN</t>
        </is>
      </c>
      <c r="E3421" t="inlineStr">
        <is>
          <t>ÖSTERÅKER</t>
        </is>
      </c>
      <c r="F3421" t="inlineStr">
        <is>
          <t>Övriga Aktiebolag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19915-2024</t>
        </is>
      </c>
      <c r="B3422" s="1" t="n">
        <v>45433</v>
      </c>
      <c r="C3422" s="1" t="n">
        <v>45571</v>
      </c>
      <c r="D3422" t="inlineStr">
        <is>
          <t>STOCKHOLMS LÄN</t>
        </is>
      </c>
      <c r="E3422" t="inlineStr">
        <is>
          <t>NORRTÄLJE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19919-2024</t>
        </is>
      </c>
      <c r="B3423" s="1" t="n">
        <v>45433</v>
      </c>
      <c r="C3423" s="1" t="n">
        <v>45571</v>
      </c>
      <c r="D3423" t="inlineStr">
        <is>
          <t>STOCKHOLMS LÄN</t>
        </is>
      </c>
      <c r="E3423" t="inlineStr">
        <is>
          <t>NORRTÄLJE</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20014-2024</t>
        </is>
      </c>
      <c r="B3424" s="1" t="n">
        <v>45433</v>
      </c>
      <c r="C3424" s="1" t="n">
        <v>45571</v>
      </c>
      <c r="D3424" t="inlineStr">
        <is>
          <t>STOCKHOLMS LÄN</t>
        </is>
      </c>
      <c r="E3424" t="inlineStr">
        <is>
          <t>VALLENTUNA</t>
        </is>
      </c>
      <c r="F3424" t="inlineStr">
        <is>
          <t>Övriga Aktiebolag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20013-2024</t>
        </is>
      </c>
      <c r="B3425" s="1" t="n">
        <v>45433</v>
      </c>
      <c r="C3425" s="1" t="n">
        <v>45571</v>
      </c>
      <c r="D3425" t="inlineStr">
        <is>
          <t>STOCKHOLMS LÄN</t>
        </is>
      </c>
      <c r="E3425" t="inlineStr">
        <is>
          <t>VALLENTUNA</t>
        </is>
      </c>
      <c r="F3425" t="inlineStr">
        <is>
          <t>Övriga Aktiebolag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20215-2024</t>
        </is>
      </c>
      <c r="B3426" s="1" t="n">
        <v>45434</v>
      </c>
      <c r="C3426" s="1" t="n">
        <v>45571</v>
      </c>
      <c r="D3426" t="inlineStr">
        <is>
          <t>STOCKHOLMS LÄN</t>
        </is>
      </c>
      <c r="E3426" t="inlineStr">
        <is>
          <t>SIGTUNA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20336-2024</t>
        </is>
      </c>
      <c r="B3427" s="1" t="n">
        <v>45435</v>
      </c>
      <c r="C3427" s="1" t="n">
        <v>45571</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20345-2024</t>
        </is>
      </c>
      <c r="B3428" s="1" t="n">
        <v>45435</v>
      </c>
      <c r="C3428" s="1" t="n">
        <v>45571</v>
      </c>
      <c r="D3428" t="inlineStr">
        <is>
          <t>STOCKHOLMS LÄN</t>
        </is>
      </c>
      <c r="E3428" t="inlineStr">
        <is>
          <t>NORRTÄLJE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20343-2024</t>
        </is>
      </c>
      <c r="B3429" s="1" t="n">
        <v>45435</v>
      </c>
      <c r="C3429" s="1" t="n">
        <v>45571</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20393-2024</t>
        </is>
      </c>
      <c r="B3430" s="1" t="n">
        <v>45435</v>
      </c>
      <c r="C3430" s="1" t="n">
        <v>45571</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20445-2024</t>
        </is>
      </c>
      <c r="B3431" s="1" t="n">
        <v>45435</v>
      </c>
      <c r="C3431" s="1" t="n">
        <v>45571</v>
      </c>
      <c r="D3431" t="inlineStr">
        <is>
          <t>STOCKHOLMS LÄN</t>
        </is>
      </c>
      <c r="E3431" t="inlineStr">
        <is>
          <t>NORRTÄLJE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20428-2024</t>
        </is>
      </c>
      <c r="B3432" s="1" t="n">
        <v>45435</v>
      </c>
      <c r="C3432" s="1" t="n">
        <v>45571</v>
      </c>
      <c r="D3432" t="inlineStr">
        <is>
          <t>STOCKHOLMS LÄN</t>
        </is>
      </c>
      <c r="E3432" t="inlineStr">
        <is>
          <t>NORRTÄLJE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20460-2024</t>
        </is>
      </c>
      <c r="B3433" s="1" t="n">
        <v>45435</v>
      </c>
      <c r="C3433" s="1" t="n">
        <v>45571</v>
      </c>
      <c r="D3433" t="inlineStr">
        <is>
          <t>STOCKHOLMS LÄN</t>
        </is>
      </c>
      <c r="E3433" t="inlineStr">
        <is>
          <t>NORRTÄLJE</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20464-2024</t>
        </is>
      </c>
      <c r="B3434" s="1" t="n">
        <v>45435</v>
      </c>
      <c r="C3434" s="1" t="n">
        <v>45571</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20431-2024</t>
        </is>
      </c>
      <c r="B3435" s="1" t="n">
        <v>45435</v>
      </c>
      <c r="C3435" s="1" t="n">
        <v>45571</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20530-2024</t>
        </is>
      </c>
      <c r="B3436" s="1" t="n">
        <v>45435</v>
      </c>
      <c r="C3436" s="1" t="n">
        <v>45571</v>
      </c>
      <c r="D3436" t="inlineStr">
        <is>
          <t>STOCKHOLMS LÄN</t>
        </is>
      </c>
      <c r="E3436" t="inlineStr">
        <is>
          <t>SÖDERTÄLJE</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20680-2024</t>
        </is>
      </c>
      <c r="B3437" s="1" t="n">
        <v>45436</v>
      </c>
      <c r="C3437" s="1" t="n">
        <v>45571</v>
      </c>
      <c r="D3437" t="inlineStr">
        <is>
          <t>STOCKHOLMS LÄN</t>
        </is>
      </c>
      <c r="E3437" t="inlineStr">
        <is>
          <t>NORRTÄLJE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20698-2024</t>
        </is>
      </c>
      <c r="B3438" s="1" t="n">
        <v>45436</v>
      </c>
      <c r="C3438" s="1" t="n">
        <v>45571</v>
      </c>
      <c r="D3438" t="inlineStr">
        <is>
          <t>STOCKHOLMS LÄN</t>
        </is>
      </c>
      <c r="E3438" t="inlineStr">
        <is>
          <t>NORRTÄLJE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20730-2024</t>
        </is>
      </c>
      <c r="B3439" s="1" t="n">
        <v>45436</v>
      </c>
      <c r="C3439" s="1" t="n">
        <v>45571</v>
      </c>
      <c r="D3439" t="inlineStr">
        <is>
          <t>STOCKHOLMS LÄN</t>
        </is>
      </c>
      <c r="E3439" t="inlineStr">
        <is>
          <t>NORRTÄLJE</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20839-2024</t>
        </is>
      </c>
      <c r="B3440" s="1" t="n">
        <v>45439</v>
      </c>
      <c r="C3440" s="1" t="n">
        <v>45571</v>
      </c>
      <c r="D3440" t="inlineStr">
        <is>
          <t>STOCKHOLMS LÄN</t>
        </is>
      </c>
      <c r="E3440" t="inlineStr">
        <is>
          <t>HANINGE</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20825-2024</t>
        </is>
      </c>
      <c r="B3441" s="1" t="n">
        <v>45439</v>
      </c>
      <c r="C3441" s="1" t="n">
        <v>45571</v>
      </c>
      <c r="D3441" t="inlineStr">
        <is>
          <t>STOCKHOLMS LÄN</t>
        </is>
      </c>
      <c r="E3441" t="inlineStr">
        <is>
          <t>NORRTÄLJE</t>
        </is>
      </c>
      <c r="F3441" t="inlineStr">
        <is>
          <t>Holmen skog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20836-2024</t>
        </is>
      </c>
      <c r="B3442" s="1" t="n">
        <v>45439</v>
      </c>
      <c r="C3442" s="1" t="n">
        <v>45571</v>
      </c>
      <c r="D3442" t="inlineStr">
        <is>
          <t>STOCKHOLMS LÄN</t>
        </is>
      </c>
      <c r="E3442" t="inlineStr">
        <is>
          <t>NORRTÄLJE</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21066-2024</t>
        </is>
      </c>
      <c r="B3443" s="1" t="n">
        <v>45439</v>
      </c>
      <c r="C3443" s="1" t="n">
        <v>45571</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20837-2024</t>
        </is>
      </c>
      <c r="B3444" s="1" t="n">
        <v>45439</v>
      </c>
      <c r="C3444" s="1" t="n">
        <v>45571</v>
      </c>
      <c r="D3444" t="inlineStr">
        <is>
          <t>STOCKHOLMS LÄN</t>
        </is>
      </c>
      <c r="E3444" t="inlineStr">
        <is>
          <t>HANINGE</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20832-2024</t>
        </is>
      </c>
      <c r="B3445" s="1" t="n">
        <v>45439</v>
      </c>
      <c r="C3445" s="1" t="n">
        <v>45571</v>
      </c>
      <c r="D3445" t="inlineStr">
        <is>
          <t>STOCKHOLMS LÄN</t>
        </is>
      </c>
      <c r="E3445" t="inlineStr">
        <is>
          <t>HANINGE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21128-2024</t>
        </is>
      </c>
      <c r="B3446" s="1" t="n">
        <v>45440</v>
      </c>
      <c r="C3446" s="1" t="n">
        <v>45571</v>
      </c>
      <c r="D3446" t="inlineStr">
        <is>
          <t>STOCKHOLMS LÄN</t>
        </is>
      </c>
      <c r="E3446" t="inlineStr">
        <is>
          <t>NYKVARN</t>
        </is>
      </c>
      <c r="F3446" t="inlineStr">
        <is>
          <t>Kyrkan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21729-2024</t>
        </is>
      </c>
      <c r="B3447" s="1" t="n">
        <v>45442</v>
      </c>
      <c r="C3447" s="1" t="n">
        <v>45571</v>
      </c>
      <c r="D3447" t="inlineStr">
        <is>
          <t>STOCKHOLMS LÄN</t>
        </is>
      </c>
      <c r="E3447" t="inlineStr">
        <is>
          <t>NORRTÄLJE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21733-2024</t>
        </is>
      </c>
      <c r="B3448" s="1" t="n">
        <v>45442</v>
      </c>
      <c r="C3448" s="1" t="n">
        <v>45571</v>
      </c>
      <c r="D3448" t="inlineStr">
        <is>
          <t>STOCKHOLMS LÄN</t>
        </is>
      </c>
      <c r="E3448" t="inlineStr">
        <is>
          <t>VALLENTUNA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21696-2024</t>
        </is>
      </c>
      <c r="B3449" s="1" t="n">
        <v>45442</v>
      </c>
      <c r="C3449" s="1" t="n">
        <v>45571</v>
      </c>
      <c r="D3449" t="inlineStr">
        <is>
          <t>STOCKHOLMS LÄN</t>
        </is>
      </c>
      <c r="E3449" t="inlineStr">
        <is>
          <t>NORRTÄLJE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22008-2024</t>
        </is>
      </c>
      <c r="B3450" s="1" t="n">
        <v>45443</v>
      </c>
      <c r="C3450" s="1" t="n">
        <v>45571</v>
      </c>
      <c r="D3450" t="inlineStr">
        <is>
          <t>STOCKHOLMS LÄN</t>
        </is>
      </c>
      <c r="E3450" t="inlineStr">
        <is>
          <t>NORRTÄLJE</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22080-2024</t>
        </is>
      </c>
      <c r="B3451" s="1" t="n">
        <v>45443</v>
      </c>
      <c r="C3451" s="1" t="n">
        <v>45571</v>
      </c>
      <c r="D3451" t="inlineStr">
        <is>
          <t>STOCKHOLMS LÄN</t>
        </is>
      </c>
      <c r="E3451" t="inlineStr">
        <is>
          <t>ÖSTERÅKER</t>
        </is>
      </c>
      <c r="F3451" t="inlineStr">
        <is>
          <t>Övriga Aktiebolag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22162-2024</t>
        </is>
      </c>
      <c r="B3452" s="1" t="n">
        <v>45443</v>
      </c>
      <c r="C3452" s="1" t="n">
        <v>45571</v>
      </c>
      <c r="D3452" t="inlineStr">
        <is>
          <t>STOCKHOLMS LÄN</t>
        </is>
      </c>
      <c r="E3452" t="inlineStr">
        <is>
          <t>ÖSTERÅKER</t>
        </is>
      </c>
      <c r="F3452" t="inlineStr">
        <is>
          <t>Övriga Aktiebolag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22232-2024</t>
        </is>
      </c>
      <c r="B3453" s="1" t="n">
        <v>45446</v>
      </c>
      <c r="C3453" s="1" t="n">
        <v>45571</v>
      </c>
      <c r="D3453" t="inlineStr">
        <is>
          <t>STOCKHOLMS LÄN</t>
        </is>
      </c>
      <c r="E3453" t="inlineStr">
        <is>
          <t>NORRTÄLJE</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22190-2024</t>
        </is>
      </c>
      <c r="B3454" s="1" t="n">
        <v>45446</v>
      </c>
      <c r="C3454" s="1" t="n">
        <v>45571</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22231-2024</t>
        </is>
      </c>
      <c r="B3455" s="1" t="n">
        <v>45446</v>
      </c>
      <c r="C3455" s="1" t="n">
        <v>45571</v>
      </c>
      <c r="D3455" t="inlineStr">
        <is>
          <t>STOCKHOLMS LÄN</t>
        </is>
      </c>
      <c r="E3455" t="inlineStr">
        <is>
          <t>NORRTÄLJE</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22617-2024</t>
        </is>
      </c>
      <c r="B3456" s="1" t="n">
        <v>45447</v>
      </c>
      <c r="C3456" s="1" t="n">
        <v>45571</v>
      </c>
      <c r="D3456" t="inlineStr">
        <is>
          <t>STOCKHOLMS LÄN</t>
        </is>
      </c>
      <c r="E3456" t="inlineStr">
        <is>
          <t>SÖDERTÄLJE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22505-2024</t>
        </is>
      </c>
      <c r="B3457" s="1" t="n">
        <v>45447</v>
      </c>
      <c r="C3457" s="1" t="n">
        <v>45571</v>
      </c>
      <c r="D3457" t="inlineStr">
        <is>
          <t>STOCKHOLMS LÄN</t>
        </is>
      </c>
      <c r="E3457" t="inlineStr">
        <is>
          <t>ÖSTERÅKER</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22528-2024</t>
        </is>
      </c>
      <c r="B3458" s="1" t="n">
        <v>45447</v>
      </c>
      <c r="C3458" s="1" t="n">
        <v>45571</v>
      </c>
      <c r="D3458" t="inlineStr">
        <is>
          <t>STOCKHOLMS LÄN</t>
        </is>
      </c>
      <c r="E3458" t="inlineStr">
        <is>
          <t>ÖSTERÅKER</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22833-2024</t>
        </is>
      </c>
      <c r="B3459" s="1" t="n">
        <v>45448</v>
      </c>
      <c r="C3459" s="1" t="n">
        <v>45571</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23093-2024</t>
        </is>
      </c>
      <c r="B3460" s="1" t="n">
        <v>45450</v>
      </c>
      <c r="C3460" s="1" t="n">
        <v>45571</v>
      </c>
      <c r="D3460" t="inlineStr">
        <is>
          <t>STOCKHOLMS LÄN</t>
        </is>
      </c>
      <c r="E3460" t="inlineStr">
        <is>
          <t>UPPLANDS-BRO</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23009-2024</t>
        </is>
      </c>
      <c r="B3461" s="1" t="n">
        <v>45450</v>
      </c>
      <c r="C3461" s="1" t="n">
        <v>45571</v>
      </c>
      <c r="D3461" t="inlineStr">
        <is>
          <t>STOCKHOLMS LÄN</t>
        </is>
      </c>
      <c r="E3461" t="inlineStr">
        <is>
          <t>VALLENTUNA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23013-2024</t>
        </is>
      </c>
      <c r="B3462" s="1" t="n">
        <v>45450</v>
      </c>
      <c r="C3462" s="1" t="n">
        <v>45571</v>
      </c>
      <c r="D3462" t="inlineStr">
        <is>
          <t>STOCKHOLMS LÄN</t>
        </is>
      </c>
      <c r="E3462" t="inlineStr">
        <is>
          <t>VALLENTUNA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23018-2024</t>
        </is>
      </c>
      <c r="B3463" s="1" t="n">
        <v>45450</v>
      </c>
      <c r="C3463" s="1" t="n">
        <v>45571</v>
      </c>
      <c r="D3463" t="inlineStr">
        <is>
          <t>STOCKHOLMS LÄN</t>
        </is>
      </c>
      <c r="E3463" t="inlineStr">
        <is>
          <t>NORRTÄLJE</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23024-2024</t>
        </is>
      </c>
      <c r="B3464" s="1" t="n">
        <v>45450</v>
      </c>
      <c r="C3464" s="1" t="n">
        <v>45571</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23149-2024</t>
        </is>
      </c>
      <c r="B3465" s="1" t="n">
        <v>45450</v>
      </c>
      <c r="C3465" s="1" t="n">
        <v>45571</v>
      </c>
      <c r="D3465" t="inlineStr">
        <is>
          <t>STOCKHOLMS LÄN</t>
        </is>
      </c>
      <c r="E3465" t="inlineStr">
        <is>
          <t>NORRTÄLJE</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23023-2024</t>
        </is>
      </c>
      <c r="B3466" s="1" t="n">
        <v>45450</v>
      </c>
      <c r="C3466" s="1" t="n">
        <v>45571</v>
      </c>
      <c r="D3466" t="inlineStr">
        <is>
          <t>STOCKHOLMS LÄN</t>
        </is>
      </c>
      <c r="E3466" t="inlineStr">
        <is>
          <t>VALLENTUNA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23144-2024</t>
        </is>
      </c>
      <c r="B3467" s="1" t="n">
        <v>45450</v>
      </c>
      <c r="C3467" s="1" t="n">
        <v>45571</v>
      </c>
      <c r="D3467" t="inlineStr">
        <is>
          <t>STOCKHOLMS LÄN</t>
        </is>
      </c>
      <c r="E3467" t="inlineStr">
        <is>
          <t>ÖSTERÅKER</t>
        </is>
      </c>
      <c r="F3467" t="inlineStr">
        <is>
          <t>Övriga Aktiebolag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23150-2024</t>
        </is>
      </c>
      <c r="B3468" s="1" t="n">
        <v>45450</v>
      </c>
      <c r="C3468" s="1" t="n">
        <v>45571</v>
      </c>
      <c r="D3468" t="inlineStr">
        <is>
          <t>STOCKHOLMS LÄN</t>
        </is>
      </c>
      <c r="E3468" t="inlineStr">
        <is>
          <t>NORRTÄLJE</t>
        </is>
      </c>
      <c r="F3468" t="inlineStr">
        <is>
          <t>Kommuner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23098-2024</t>
        </is>
      </c>
      <c r="B3469" s="1" t="n">
        <v>45450</v>
      </c>
      <c r="C3469" s="1" t="n">
        <v>45571</v>
      </c>
      <c r="D3469" t="inlineStr">
        <is>
          <t>STOCKHOLMS LÄN</t>
        </is>
      </c>
      <c r="E3469" t="inlineStr">
        <is>
          <t>UPPLANDS-BRO</t>
        </is>
      </c>
      <c r="F3469" t="inlineStr">
        <is>
          <t>Övriga statliga verk och myndigheter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23151-2024</t>
        </is>
      </c>
      <c r="B3470" s="1" t="n">
        <v>45450</v>
      </c>
      <c r="C3470" s="1" t="n">
        <v>45571</v>
      </c>
      <c r="D3470" t="inlineStr">
        <is>
          <t>STOCKHOLMS LÄN</t>
        </is>
      </c>
      <c r="E3470" t="inlineStr">
        <is>
          <t>NORRTÄLJE</t>
        </is>
      </c>
      <c r="F3470" t="inlineStr">
        <is>
          <t>Kommuner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23307-2024</t>
        </is>
      </c>
      <c r="B3471" s="1" t="n">
        <v>45453</v>
      </c>
      <c r="C3471" s="1" t="n">
        <v>45571</v>
      </c>
      <c r="D3471" t="inlineStr">
        <is>
          <t>STOCKHOLMS LÄN</t>
        </is>
      </c>
      <c r="E3471" t="inlineStr">
        <is>
          <t>NORRTÄLJE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23367-2024</t>
        </is>
      </c>
      <c r="B3472" s="1" t="n">
        <v>45453</v>
      </c>
      <c r="C3472" s="1" t="n">
        <v>45571</v>
      </c>
      <c r="D3472" t="inlineStr">
        <is>
          <t>STOCKHOLMS LÄN</t>
        </is>
      </c>
      <c r="E3472" t="inlineStr">
        <is>
          <t>SÖDERTÄLJE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23314-2024</t>
        </is>
      </c>
      <c r="B3473" s="1" t="n">
        <v>45453</v>
      </c>
      <c r="C3473" s="1" t="n">
        <v>45571</v>
      </c>
      <c r="D3473" t="inlineStr">
        <is>
          <t>STOCKHOLMS LÄN</t>
        </is>
      </c>
      <c r="E3473" t="inlineStr">
        <is>
          <t>VALLENTUNA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23583-2024</t>
        </is>
      </c>
      <c r="B3474" s="1" t="n">
        <v>45454</v>
      </c>
      <c r="C3474" s="1" t="n">
        <v>45571</v>
      </c>
      <c r="D3474" t="inlineStr">
        <is>
          <t>STOCKHOLMS LÄN</t>
        </is>
      </c>
      <c r="E3474" t="inlineStr">
        <is>
          <t>NORRTÄLJE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23650-2024</t>
        </is>
      </c>
      <c r="B3475" s="1" t="n">
        <v>45454</v>
      </c>
      <c r="C3475" s="1" t="n">
        <v>45571</v>
      </c>
      <c r="D3475" t="inlineStr">
        <is>
          <t>STOCKHOLMS LÄN</t>
        </is>
      </c>
      <c r="E3475" t="inlineStr">
        <is>
          <t>NYNÄSHAMN</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23683-2024</t>
        </is>
      </c>
      <c r="B3476" s="1" t="n">
        <v>45454</v>
      </c>
      <c r="C3476" s="1" t="n">
        <v>45571</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23666-2024</t>
        </is>
      </c>
      <c r="B3477" s="1" t="n">
        <v>45454</v>
      </c>
      <c r="C3477" s="1" t="n">
        <v>45571</v>
      </c>
      <c r="D3477" t="inlineStr">
        <is>
          <t>STOCKHOLMS LÄN</t>
        </is>
      </c>
      <c r="E3477" t="inlineStr">
        <is>
          <t>HANINGE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23670-2024</t>
        </is>
      </c>
      <c r="B3478" s="1" t="n">
        <v>45454</v>
      </c>
      <c r="C3478" s="1" t="n">
        <v>45571</v>
      </c>
      <c r="D3478" t="inlineStr">
        <is>
          <t>STOCKHOLMS LÄN</t>
        </is>
      </c>
      <c r="E3478" t="inlineStr">
        <is>
          <t>BOTKYRKA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23692-2024</t>
        </is>
      </c>
      <c r="B3479" s="1" t="n">
        <v>45454</v>
      </c>
      <c r="C3479" s="1" t="n">
        <v>45571</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23572-2024</t>
        </is>
      </c>
      <c r="B3480" s="1" t="n">
        <v>45454</v>
      </c>
      <c r="C3480" s="1" t="n">
        <v>45571</v>
      </c>
      <c r="D3480" t="inlineStr">
        <is>
          <t>STOCKHOLMS LÄN</t>
        </is>
      </c>
      <c r="E3480" t="inlineStr">
        <is>
          <t>NORRTÄLJE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23749-2024</t>
        </is>
      </c>
      <c r="B3481" s="1" t="n">
        <v>45455</v>
      </c>
      <c r="C3481" s="1" t="n">
        <v>45571</v>
      </c>
      <c r="D3481" t="inlineStr">
        <is>
          <t>STOCKHOLMS LÄN</t>
        </is>
      </c>
      <c r="E3481" t="inlineStr">
        <is>
          <t>NORRTÄLJE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23755-2024</t>
        </is>
      </c>
      <c r="B3482" s="1" t="n">
        <v>45455</v>
      </c>
      <c r="C3482" s="1" t="n">
        <v>45571</v>
      </c>
      <c r="D3482" t="inlineStr">
        <is>
          <t>STOCKHOLMS LÄN</t>
        </is>
      </c>
      <c r="E3482" t="inlineStr">
        <is>
          <t>NORRTÄLJE</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23998-2024</t>
        </is>
      </c>
      <c r="B3483" s="1" t="n">
        <v>45456</v>
      </c>
      <c r="C3483" s="1" t="n">
        <v>45571</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24027-2024</t>
        </is>
      </c>
      <c r="B3484" s="1" t="n">
        <v>45456</v>
      </c>
      <c r="C3484" s="1" t="n">
        <v>45571</v>
      </c>
      <c r="D3484" t="inlineStr">
        <is>
          <t>STOCKHOLMS LÄN</t>
        </is>
      </c>
      <c r="E3484" t="inlineStr">
        <is>
          <t>NORRTÄLJE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24068-2024</t>
        </is>
      </c>
      <c r="B3485" s="1" t="n">
        <v>45456</v>
      </c>
      <c r="C3485" s="1" t="n">
        <v>45571</v>
      </c>
      <c r="D3485" t="inlineStr">
        <is>
          <t>STOCKHOLMS LÄN</t>
        </is>
      </c>
      <c r="E3485" t="inlineStr">
        <is>
          <t>VALLENTUNA</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24024-2024</t>
        </is>
      </c>
      <c r="B3486" s="1" t="n">
        <v>45456</v>
      </c>
      <c r="C3486" s="1" t="n">
        <v>45571</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23991-2024</t>
        </is>
      </c>
      <c r="B3487" s="1" t="n">
        <v>45456</v>
      </c>
      <c r="C3487" s="1" t="n">
        <v>45571</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24021-2024</t>
        </is>
      </c>
      <c r="B3488" s="1" t="n">
        <v>45456</v>
      </c>
      <c r="C3488" s="1" t="n">
        <v>45571</v>
      </c>
      <c r="D3488" t="inlineStr">
        <is>
          <t>STOCKHOLMS LÄN</t>
        </is>
      </c>
      <c r="E3488" t="inlineStr">
        <is>
          <t>NORRTÄLJE</t>
        </is>
      </c>
      <c r="G3488" t="n">
        <v>17.5</v>
      </c>
      <c r="H3488" t="n">
        <v>0</v>
      </c>
      <c r="I3488" t="n">
        <v>0</v>
      </c>
      <c r="J3488" t="n">
        <v>0</v>
      </c>
      <c r="K3488" t="n">
        <v>0</v>
      </c>
      <c r="L3488" t="n">
        <v>0</v>
      </c>
      <c r="M3488" t="n">
        <v>0</v>
      </c>
      <c r="N3488" t="n">
        <v>0</v>
      </c>
      <c r="O3488" t="n">
        <v>0</v>
      </c>
      <c r="P3488" t="n">
        <v>0</v>
      </c>
      <c r="Q3488" t="n">
        <v>0</v>
      </c>
      <c r="R3488" s="2" t="inlineStr"/>
    </row>
    <row r="3489" ht="15" customHeight="1">
      <c r="A3489" t="inlineStr">
        <is>
          <t>A 24022-2024</t>
        </is>
      </c>
      <c r="B3489" s="1" t="n">
        <v>45456</v>
      </c>
      <c r="C3489" s="1" t="n">
        <v>45571</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24245-2024</t>
        </is>
      </c>
      <c r="B3490" s="1" t="n">
        <v>45457</v>
      </c>
      <c r="C3490" s="1" t="n">
        <v>45571</v>
      </c>
      <c r="D3490" t="inlineStr">
        <is>
          <t>STOCKHOLMS LÄN</t>
        </is>
      </c>
      <c r="E3490" t="inlineStr">
        <is>
          <t>NORRTÄLJE</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24357-2024</t>
        </is>
      </c>
      <c r="B3491" s="1" t="n">
        <v>45457</v>
      </c>
      <c r="C3491" s="1" t="n">
        <v>45571</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24288-2024</t>
        </is>
      </c>
      <c r="B3492" s="1" t="n">
        <v>45457</v>
      </c>
      <c r="C3492" s="1" t="n">
        <v>45571</v>
      </c>
      <c r="D3492" t="inlineStr">
        <is>
          <t>STOCKHOLMS LÄN</t>
        </is>
      </c>
      <c r="E3492" t="inlineStr">
        <is>
          <t>NYNÄSHAMN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24731-2024</t>
        </is>
      </c>
      <c r="B3493" s="1" t="n">
        <v>45460</v>
      </c>
      <c r="C3493" s="1" t="n">
        <v>45571</v>
      </c>
      <c r="D3493" t="inlineStr">
        <is>
          <t>STOCKHOLMS LÄN</t>
        </is>
      </c>
      <c r="E3493" t="inlineStr">
        <is>
          <t>NORRTÄLJE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24575-2024</t>
        </is>
      </c>
      <c r="B3494" s="1" t="n">
        <v>45460</v>
      </c>
      <c r="C3494" s="1" t="n">
        <v>45571</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24563-2024</t>
        </is>
      </c>
      <c r="B3495" s="1" t="n">
        <v>45460</v>
      </c>
      <c r="C3495" s="1" t="n">
        <v>45571</v>
      </c>
      <c r="D3495" t="inlineStr">
        <is>
          <t>STOCKHOLMS LÄN</t>
        </is>
      </c>
      <c r="E3495" t="inlineStr">
        <is>
          <t>NORRTÄLJE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24610-2024</t>
        </is>
      </c>
      <c r="B3496" s="1" t="n">
        <v>45460</v>
      </c>
      <c r="C3496" s="1" t="n">
        <v>45571</v>
      </c>
      <c r="D3496" t="inlineStr">
        <is>
          <t>STOCKHOLMS LÄN</t>
        </is>
      </c>
      <c r="E3496" t="inlineStr">
        <is>
          <t>NORRTÄLJE</t>
        </is>
      </c>
      <c r="G3496" t="n">
        <v>18.4</v>
      </c>
      <c r="H3496" t="n">
        <v>0</v>
      </c>
      <c r="I3496" t="n">
        <v>0</v>
      </c>
      <c r="J3496" t="n">
        <v>0</v>
      </c>
      <c r="K3496" t="n">
        <v>0</v>
      </c>
      <c r="L3496" t="n">
        <v>0</v>
      </c>
      <c r="M3496" t="n">
        <v>0</v>
      </c>
      <c r="N3496" t="n">
        <v>0</v>
      </c>
      <c r="O3496" t="n">
        <v>0</v>
      </c>
      <c r="P3496" t="n">
        <v>0</v>
      </c>
      <c r="Q3496" t="n">
        <v>0</v>
      </c>
      <c r="R3496" s="2" t="inlineStr"/>
    </row>
    <row r="3497" ht="15" customHeight="1">
      <c r="A3497" t="inlineStr">
        <is>
          <t>A 24730-2024</t>
        </is>
      </c>
      <c r="B3497" s="1" t="n">
        <v>45460</v>
      </c>
      <c r="C3497" s="1" t="n">
        <v>45571</v>
      </c>
      <c r="D3497" t="inlineStr">
        <is>
          <t>STOCKHOLMS LÄN</t>
        </is>
      </c>
      <c r="E3497" t="inlineStr">
        <is>
          <t>NORRTÄLJE</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24967-2024</t>
        </is>
      </c>
      <c r="B3498" s="1" t="n">
        <v>45461</v>
      </c>
      <c r="C3498" s="1" t="n">
        <v>45571</v>
      </c>
      <c r="D3498" t="inlineStr">
        <is>
          <t>STOCKHOLMS LÄN</t>
        </is>
      </c>
      <c r="E3498" t="inlineStr">
        <is>
          <t>SIGTUNA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24943-2024</t>
        </is>
      </c>
      <c r="B3499" s="1" t="n">
        <v>45461</v>
      </c>
      <c r="C3499" s="1" t="n">
        <v>45571</v>
      </c>
      <c r="D3499" t="inlineStr">
        <is>
          <t>STOCKHOLMS LÄN</t>
        </is>
      </c>
      <c r="E3499" t="inlineStr">
        <is>
          <t>VALLENTUNA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24931-2024</t>
        </is>
      </c>
      <c r="B3500" s="1" t="n">
        <v>45461</v>
      </c>
      <c r="C3500" s="1" t="n">
        <v>45571</v>
      </c>
      <c r="D3500" t="inlineStr">
        <is>
          <t>STOCKHOLMS LÄN</t>
        </is>
      </c>
      <c r="E3500" t="inlineStr">
        <is>
          <t>ÖSTERÅKER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24946-2024</t>
        </is>
      </c>
      <c r="B3501" s="1" t="n">
        <v>45461</v>
      </c>
      <c r="C3501" s="1" t="n">
        <v>45571</v>
      </c>
      <c r="D3501" t="inlineStr">
        <is>
          <t>STOCKHOLMS LÄN</t>
        </is>
      </c>
      <c r="E3501" t="inlineStr">
        <is>
          <t>SIGTUNA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24937-2024</t>
        </is>
      </c>
      <c r="B3502" s="1" t="n">
        <v>45461</v>
      </c>
      <c r="C3502" s="1" t="n">
        <v>45571</v>
      </c>
      <c r="D3502" t="inlineStr">
        <is>
          <t>STOCKHOLMS LÄN</t>
        </is>
      </c>
      <c r="E3502" t="inlineStr">
        <is>
          <t>ÖSTERÅKER</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24915-2024</t>
        </is>
      </c>
      <c r="B3503" s="1" t="n">
        <v>45461</v>
      </c>
      <c r="C3503" s="1" t="n">
        <v>45571</v>
      </c>
      <c r="D3503" t="inlineStr">
        <is>
          <t>STOCKHOLMS LÄN</t>
        </is>
      </c>
      <c r="E3503" t="inlineStr">
        <is>
          <t>ÖSTERÅKER</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24940-2024</t>
        </is>
      </c>
      <c r="B3504" s="1" t="n">
        <v>45461</v>
      </c>
      <c r="C3504" s="1" t="n">
        <v>45571</v>
      </c>
      <c r="D3504" t="inlineStr">
        <is>
          <t>STOCKHOLMS LÄN</t>
        </is>
      </c>
      <c r="E3504" t="inlineStr">
        <is>
          <t>VALLENTUNA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25217-2024</t>
        </is>
      </c>
      <c r="B3505" s="1" t="n">
        <v>45462</v>
      </c>
      <c r="C3505" s="1" t="n">
        <v>45571</v>
      </c>
      <c r="D3505" t="inlineStr">
        <is>
          <t>STOCKHOLMS LÄN</t>
        </is>
      </c>
      <c r="E3505" t="inlineStr">
        <is>
          <t>BOTKYRKA</t>
        </is>
      </c>
      <c r="F3505" t="inlineStr">
        <is>
          <t>Övriga Aktiebolag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25337-2024</t>
        </is>
      </c>
      <c r="B3506" s="1" t="n">
        <v>45462</v>
      </c>
      <c r="C3506" s="1" t="n">
        <v>45571</v>
      </c>
      <c r="D3506" t="inlineStr">
        <is>
          <t>STOCKHOLMS LÄN</t>
        </is>
      </c>
      <c r="E3506" t="inlineStr">
        <is>
          <t>SIGTUNA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25301-2024</t>
        </is>
      </c>
      <c r="B3507" s="1" t="n">
        <v>45462</v>
      </c>
      <c r="C3507" s="1" t="n">
        <v>45571</v>
      </c>
      <c r="D3507" t="inlineStr">
        <is>
          <t>STOCKHOLMS LÄN</t>
        </is>
      </c>
      <c r="E3507" t="inlineStr">
        <is>
          <t>NORRTÄLJE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25333-2024</t>
        </is>
      </c>
      <c r="B3508" s="1" t="n">
        <v>45462</v>
      </c>
      <c r="C3508" s="1" t="n">
        <v>45571</v>
      </c>
      <c r="D3508" t="inlineStr">
        <is>
          <t>STOCKHOLMS LÄN</t>
        </is>
      </c>
      <c r="E3508" t="inlineStr">
        <is>
          <t>SIGTUNA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25156-2024</t>
        </is>
      </c>
      <c r="B3509" s="1" t="n">
        <v>45462</v>
      </c>
      <c r="C3509" s="1" t="n">
        <v>45571</v>
      </c>
      <c r="D3509" t="inlineStr">
        <is>
          <t>STOCKHOLMS LÄN</t>
        </is>
      </c>
      <c r="E3509" t="inlineStr">
        <is>
          <t>BOTKYRKA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25055-2024</t>
        </is>
      </c>
      <c r="B3510" s="1" t="n">
        <v>45462</v>
      </c>
      <c r="C3510" s="1" t="n">
        <v>45571</v>
      </c>
      <c r="D3510" t="inlineStr">
        <is>
          <t>STOCKHOLMS LÄN</t>
        </is>
      </c>
      <c r="E3510" t="inlineStr">
        <is>
          <t>NORRTÄLJE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25336-2024</t>
        </is>
      </c>
      <c r="B3511" s="1" t="n">
        <v>45462</v>
      </c>
      <c r="C3511" s="1" t="n">
        <v>45571</v>
      </c>
      <c r="D3511" t="inlineStr">
        <is>
          <t>STOCKHOLMS LÄN</t>
        </is>
      </c>
      <c r="E3511" t="inlineStr">
        <is>
          <t>SIGTUNA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25658-2024</t>
        </is>
      </c>
      <c r="B3512" s="1" t="n">
        <v>45463</v>
      </c>
      <c r="C3512" s="1" t="n">
        <v>45571</v>
      </c>
      <c r="D3512" t="inlineStr">
        <is>
          <t>STOCKHOLMS LÄN</t>
        </is>
      </c>
      <c r="E3512" t="inlineStr">
        <is>
          <t>UPPLANDS-BRO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25641-2024</t>
        </is>
      </c>
      <c r="B3513" s="1" t="n">
        <v>45463</v>
      </c>
      <c r="C3513" s="1" t="n">
        <v>45571</v>
      </c>
      <c r="D3513" t="inlineStr">
        <is>
          <t>STOCKHOLMS LÄN</t>
        </is>
      </c>
      <c r="E3513" t="inlineStr">
        <is>
          <t>SIGTUNA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25565-2024</t>
        </is>
      </c>
      <c r="B3514" s="1" t="n">
        <v>45463</v>
      </c>
      <c r="C3514" s="1" t="n">
        <v>45571</v>
      </c>
      <c r="D3514" t="inlineStr">
        <is>
          <t>STOCKHOLMS LÄN</t>
        </is>
      </c>
      <c r="E3514" t="inlineStr">
        <is>
          <t>NORRTÄLJE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25681-2024</t>
        </is>
      </c>
      <c r="B3515" s="1" t="n">
        <v>45463</v>
      </c>
      <c r="C3515" s="1" t="n">
        <v>45571</v>
      </c>
      <c r="D3515" t="inlineStr">
        <is>
          <t>STOCKHOLMS LÄN</t>
        </is>
      </c>
      <c r="E3515" t="inlineStr">
        <is>
          <t>NORRTÄLJE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25817-2024</t>
        </is>
      </c>
      <c r="B3516" s="1" t="n">
        <v>45467</v>
      </c>
      <c r="C3516" s="1" t="n">
        <v>45571</v>
      </c>
      <c r="D3516" t="inlineStr">
        <is>
          <t>STOCKHOLMS LÄN</t>
        </is>
      </c>
      <c r="E3516" t="inlineStr">
        <is>
          <t>NORRTÄLJE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26116-2024</t>
        </is>
      </c>
      <c r="B3517" s="1" t="n">
        <v>45468</v>
      </c>
      <c r="C3517" s="1" t="n">
        <v>45571</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26115-2024</t>
        </is>
      </c>
      <c r="B3518" s="1" t="n">
        <v>45468</v>
      </c>
      <c r="C3518" s="1" t="n">
        <v>45571</v>
      </c>
      <c r="D3518" t="inlineStr">
        <is>
          <t>STOCKHOLMS LÄN</t>
        </is>
      </c>
      <c r="E3518" t="inlineStr">
        <is>
          <t>NORRTÄLJE</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26067-2024</t>
        </is>
      </c>
      <c r="B3519" s="1" t="n">
        <v>45468</v>
      </c>
      <c r="C3519" s="1" t="n">
        <v>45571</v>
      </c>
      <c r="D3519" t="inlineStr">
        <is>
          <t>STOCKHOLMS LÄN</t>
        </is>
      </c>
      <c r="E3519" t="inlineStr">
        <is>
          <t>NORRTÄLJE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26117-2024</t>
        </is>
      </c>
      <c r="B3520" s="1" t="n">
        <v>45468</v>
      </c>
      <c r="C3520" s="1" t="n">
        <v>45571</v>
      </c>
      <c r="D3520" t="inlineStr">
        <is>
          <t>STOCKHOLMS LÄN</t>
        </is>
      </c>
      <c r="E3520" t="inlineStr">
        <is>
          <t>NORRTÄLJE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26113-2024</t>
        </is>
      </c>
      <c r="B3521" s="1" t="n">
        <v>45468</v>
      </c>
      <c r="C3521" s="1" t="n">
        <v>45571</v>
      </c>
      <c r="D3521" t="inlineStr">
        <is>
          <t>STOCKHOLMS LÄN</t>
        </is>
      </c>
      <c r="E3521" t="inlineStr">
        <is>
          <t>NORRTÄLJE</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26090-2024</t>
        </is>
      </c>
      <c r="B3522" s="1" t="n">
        <v>45468</v>
      </c>
      <c r="C3522" s="1" t="n">
        <v>45571</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26495-2024</t>
        </is>
      </c>
      <c r="B3523" s="1" t="n">
        <v>45469</v>
      </c>
      <c r="C3523" s="1" t="n">
        <v>45571</v>
      </c>
      <c r="D3523" t="inlineStr">
        <is>
          <t>STOCKHOLMS LÄN</t>
        </is>
      </c>
      <c r="E3523" t="inlineStr">
        <is>
          <t>NYNÄSHAMN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26505-2024</t>
        </is>
      </c>
      <c r="B3524" s="1" t="n">
        <v>45469</v>
      </c>
      <c r="C3524" s="1" t="n">
        <v>45571</v>
      </c>
      <c r="D3524" t="inlineStr">
        <is>
          <t>STOCKHOLMS LÄN</t>
        </is>
      </c>
      <c r="E3524" t="inlineStr">
        <is>
          <t>NYNÄSHAMN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26341-2024</t>
        </is>
      </c>
      <c r="B3525" s="1" t="n">
        <v>45469</v>
      </c>
      <c r="C3525" s="1" t="n">
        <v>45571</v>
      </c>
      <c r="D3525" t="inlineStr">
        <is>
          <t>STOCKHOLMS LÄN</t>
        </is>
      </c>
      <c r="E3525" t="inlineStr">
        <is>
          <t>NYNÄSHAMN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26355-2024</t>
        </is>
      </c>
      <c r="B3526" s="1" t="n">
        <v>45469</v>
      </c>
      <c r="C3526" s="1" t="n">
        <v>45571</v>
      </c>
      <c r="D3526" t="inlineStr">
        <is>
          <t>STOCKHOLMS LÄN</t>
        </is>
      </c>
      <c r="E3526" t="inlineStr">
        <is>
          <t>NORRTÄLJE</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26359-2024</t>
        </is>
      </c>
      <c r="B3527" s="1" t="n">
        <v>45469</v>
      </c>
      <c r="C3527" s="1" t="n">
        <v>45571</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26365-2024</t>
        </is>
      </c>
      <c r="B3528" s="1" t="n">
        <v>45469</v>
      </c>
      <c r="C3528" s="1" t="n">
        <v>45571</v>
      </c>
      <c r="D3528" t="inlineStr">
        <is>
          <t>STOCKHOLMS LÄN</t>
        </is>
      </c>
      <c r="E3528" t="inlineStr">
        <is>
          <t>NORRTÄLJE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26526-2024</t>
        </is>
      </c>
      <c r="B3529" s="1" t="n">
        <v>45469</v>
      </c>
      <c r="C3529" s="1" t="n">
        <v>45571</v>
      </c>
      <c r="D3529" t="inlineStr">
        <is>
          <t>STOCKHOLMS LÄN</t>
        </is>
      </c>
      <c r="E3529" t="inlineStr">
        <is>
          <t>NORRTÄLJE</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26501-2024</t>
        </is>
      </c>
      <c r="B3530" s="1" t="n">
        <v>45469</v>
      </c>
      <c r="C3530" s="1" t="n">
        <v>45571</v>
      </c>
      <c r="D3530" t="inlineStr">
        <is>
          <t>STOCKHOLMS LÄN</t>
        </is>
      </c>
      <c r="E3530" t="inlineStr">
        <is>
          <t>NYNÄSHAMN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26407-2024</t>
        </is>
      </c>
      <c r="B3531" s="1" t="n">
        <v>45469</v>
      </c>
      <c r="C3531" s="1" t="n">
        <v>45571</v>
      </c>
      <c r="D3531" t="inlineStr">
        <is>
          <t>STOCKHOLMS LÄN</t>
        </is>
      </c>
      <c r="E3531" t="inlineStr">
        <is>
          <t>NORRTÄLJE</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26600-2024</t>
        </is>
      </c>
      <c r="B3532" s="1" t="n">
        <v>45469</v>
      </c>
      <c r="C3532" s="1" t="n">
        <v>45571</v>
      </c>
      <c r="D3532" t="inlineStr">
        <is>
          <t>STOCKHOLMS LÄN</t>
        </is>
      </c>
      <c r="E3532" t="inlineStr">
        <is>
          <t>NORRTÄLJE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26612-2024</t>
        </is>
      </c>
      <c r="B3533" s="1" t="n">
        <v>45469</v>
      </c>
      <c r="C3533" s="1" t="n">
        <v>45571</v>
      </c>
      <c r="D3533" t="inlineStr">
        <is>
          <t>STOCKHOLMS LÄN</t>
        </is>
      </c>
      <c r="E3533" t="inlineStr">
        <is>
          <t>NORRTÄLJE</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26644-2024</t>
        </is>
      </c>
      <c r="B3534" s="1" t="n">
        <v>45469</v>
      </c>
      <c r="C3534" s="1" t="n">
        <v>45571</v>
      </c>
      <c r="D3534" t="inlineStr">
        <is>
          <t>STOCKHOLMS LÄN</t>
        </is>
      </c>
      <c r="E3534" t="inlineStr">
        <is>
          <t>NORRTÄLJE</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26668-2024</t>
        </is>
      </c>
      <c r="B3535" s="1" t="n">
        <v>45469</v>
      </c>
      <c r="C3535" s="1" t="n">
        <v>45571</v>
      </c>
      <c r="D3535" t="inlineStr">
        <is>
          <t>STOCKHOLMS LÄN</t>
        </is>
      </c>
      <c r="E3535" t="inlineStr">
        <is>
          <t>NORRTÄLJE</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26902-2024</t>
        </is>
      </c>
      <c r="B3536" s="1" t="n">
        <v>45470</v>
      </c>
      <c r="C3536" s="1" t="n">
        <v>45571</v>
      </c>
      <c r="D3536" t="inlineStr">
        <is>
          <t>STOCKHOLMS LÄN</t>
        </is>
      </c>
      <c r="E3536" t="inlineStr">
        <is>
          <t>SÖDERTÄLJE</t>
        </is>
      </c>
      <c r="F3536" t="inlineStr">
        <is>
          <t>Kommuner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26842-2024</t>
        </is>
      </c>
      <c r="B3537" s="1" t="n">
        <v>45470</v>
      </c>
      <c r="C3537" s="1" t="n">
        <v>45571</v>
      </c>
      <c r="D3537" t="inlineStr">
        <is>
          <t>STOCKHOLMS LÄN</t>
        </is>
      </c>
      <c r="E3537" t="inlineStr">
        <is>
          <t>SÖDERTÄLJE</t>
        </is>
      </c>
      <c r="F3537" t="inlineStr">
        <is>
          <t>Kommuner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26734-2024</t>
        </is>
      </c>
      <c r="B3538" s="1" t="n">
        <v>45470</v>
      </c>
      <c r="C3538" s="1" t="n">
        <v>45571</v>
      </c>
      <c r="D3538" t="inlineStr">
        <is>
          <t>STOCKHOLMS LÄN</t>
        </is>
      </c>
      <c r="E3538" t="inlineStr">
        <is>
          <t>SÖDERTÄLJE</t>
        </is>
      </c>
      <c r="F3538" t="inlineStr">
        <is>
          <t>Kommuner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26698-2024</t>
        </is>
      </c>
      <c r="B3539" s="1" t="n">
        <v>45470</v>
      </c>
      <c r="C3539" s="1" t="n">
        <v>45571</v>
      </c>
      <c r="D3539" t="inlineStr">
        <is>
          <t>STOCKHOLMS LÄN</t>
        </is>
      </c>
      <c r="E3539" t="inlineStr">
        <is>
          <t>NORRTÄLJE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26909-2024</t>
        </is>
      </c>
      <c r="B3540" s="1" t="n">
        <v>45470</v>
      </c>
      <c r="C3540" s="1" t="n">
        <v>45571</v>
      </c>
      <c r="D3540" t="inlineStr">
        <is>
          <t>STOCKHOLMS LÄN</t>
        </is>
      </c>
      <c r="E3540" t="inlineStr">
        <is>
          <t>SÖDERTÄLJE</t>
        </is>
      </c>
      <c r="F3540" t="inlineStr">
        <is>
          <t>Kommuner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26813-2024</t>
        </is>
      </c>
      <c r="B3541" s="1" t="n">
        <v>45470</v>
      </c>
      <c r="C3541" s="1" t="n">
        <v>45571</v>
      </c>
      <c r="D3541" t="inlineStr">
        <is>
          <t>STOCKHOLMS LÄN</t>
        </is>
      </c>
      <c r="E3541" t="inlineStr">
        <is>
          <t>SÖDERTÄLJE</t>
        </is>
      </c>
      <c r="F3541" t="inlineStr">
        <is>
          <t>Kommuner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27047-2024</t>
        </is>
      </c>
      <c r="B3542" s="1" t="n">
        <v>45471</v>
      </c>
      <c r="C3542" s="1" t="n">
        <v>45571</v>
      </c>
      <c r="D3542" t="inlineStr">
        <is>
          <t>STOCKHOLMS LÄN</t>
        </is>
      </c>
      <c r="E3542" t="inlineStr">
        <is>
          <t>SÖDERTÄLJE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27059-2024</t>
        </is>
      </c>
      <c r="B3543" s="1" t="n">
        <v>45471</v>
      </c>
      <c r="C3543" s="1" t="n">
        <v>45571</v>
      </c>
      <c r="D3543" t="inlineStr">
        <is>
          <t>STOCKHOLMS LÄN</t>
        </is>
      </c>
      <c r="E3543" t="inlineStr">
        <is>
          <t>NORRTÄLJE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27091-2024</t>
        </is>
      </c>
      <c r="B3544" s="1" t="n">
        <v>45471</v>
      </c>
      <c r="C3544" s="1" t="n">
        <v>45571</v>
      </c>
      <c r="D3544" t="inlineStr">
        <is>
          <t>STOCKHOLMS LÄN</t>
        </is>
      </c>
      <c r="E3544" t="inlineStr">
        <is>
          <t>NYNÄSHAMN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27248-2024</t>
        </is>
      </c>
      <c r="B3545" s="1" t="n">
        <v>45471</v>
      </c>
      <c r="C3545" s="1" t="n">
        <v>45571</v>
      </c>
      <c r="D3545" t="inlineStr">
        <is>
          <t>STOCKHOLMS LÄN</t>
        </is>
      </c>
      <c r="E3545" t="inlineStr">
        <is>
          <t>NORRTÄLJE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27058-2024</t>
        </is>
      </c>
      <c r="B3546" s="1" t="n">
        <v>45471</v>
      </c>
      <c r="C3546" s="1" t="n">
        <v>45571</v>
      </c>
      <c r="D3546" t="inlineStr">
        <is>
          <t>STOCKHOLMS LÄN</t>
        </is>
      </c>
      <c r="E3546" t="inlineStr">
        <is>
          <t>SÖDERTÄLJE</t>
        </is>
      </c>
      <c r="F3546" t="inlineStr">
        <is>
          <t>Kommuner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27092-2024</t>
        </is>
      </c>
      <c r="B3547" s="1" t="n">
        <v>45471</v>
      </c>
      <c r="C3547" s="1" t="n">
        <v>45571</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27381-2024</t>
        </is>
      </c>
      <c r="B3548" s="1" t="n">
        <v>45474</v>
      </c>
      <c r="C3548" s="1" t="n">
        <v>45571</v>
      </c>
      <c r="D3548" t="inlineStr">
        <is>
          <t>STOCKHOLMS LÄN</t>
        </is>
      </c>
      <c r="E3548" t="inlineStr">
        <is>
          <t>NORRTÄLJE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27831-2024</t>
        </is>
      </c>
      <c r="B3549" s="1" t="n">
        <v>45475</v>
      </c>
      <c r="C3549" s="1" t="n">
        <v>45571</v>
      </c>
      <c r="D3549" t="inlineStr">
        <is>
          <t>STOCKHOLMS LÄN</t>
        </is>
      </c>
      <c r="E3549" t="inlineStr">
        <is>
          <t>NORRTÄLJE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28143-2024</t>
        </is>
      </c>
      <c r="B3550" s="1" t="n">
        <v>45476</v>
      </c>
      <c r="C3550" s="1" t="n">
        <v>45571</v>
      </c>
      <c r="D3550" t="inlineStr">
        <is>
          <t>STOCKHOLMS LÄN</t>
        </is>
      </c>
      <c r="E3550" t="inlineStr">
        <is>
          <t>ÖSTERÅKER</t>
        </is>
      </c>
      <c r="F3550" t="inlineStr">
        <is>
          <t>Övriga Aktiebolag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28147-2024</t>
        </is>
      </c>
      <c r="B3551" s="1" t="n">
        <v>45476</v>
      </c>
      <c r="C3551" s="1" t="n">
        <v>45571</v>
      </c>
      <c r="D3551" t="inlineStr">
        <is>
          <t>STOCKHOLMS LÄN</t>
        </is>
      </c>
      <c r="E3551" t="inlineStr">
        <is>
          <t>ÖSTERÅKER</t>
        </is>
      </c>
      <c r="F3551" t="inlineStr">
        <is>
          <t>Övriga Aktiebolag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28144-2024</t>
        </is>
      </c>
      <c r="B3552" s="1" t="n">
        <v>45476</v>
      </c>
      <c r="C3552" s="1" t="n">
        <v>45571</v>
      </c>
      <c r="D3552" t="inlineStr">
        <is>
          <t>STOCKHOLMS LÄN</t>
        </is>
      </c>
      <c r="E3552" t="inlineStr">
        <is>
          <t>ÖSTERÅKER</t>
        </is>
      </c>
      <c r="F3552" t="inlineStr">
        <is>
          <t>Övriga Aktiebolag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28146-2024</t>
        </is>
      </c>
      <c r="B3553" s="1" t="n">
        <v>45476</v>
      </c>
      <c r="C3553" s="1" t="n">
        <v>45571</v>
      </c>
      <c r="D3553" t="inlineStr">
        <is>
          <t>STOCKHOLMS LÄN</t>
        </is>
      </c>
      <c r="E3553" t="inlineStr">
        <is>
          <t>ÖSTERÅKER</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28190-2024</t>
        </is>
      </c>
      <c r="B3554" s="1" t="n">
        <v>45477</v>
      </c>
      <c r="C3554" s="1" t="n">
        <v>45571</v>
      </c>
      <c r="D3554" t="inlineStr">
        <is>
          <t>STOCKHOLMS LÄN</t>
        </is>
      </c>
      <c r="E3554" t="inlineStr">
        <is>
          <t>NORRTÄLJE</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28245-2024</t>
        </is>
      </c>
      <c r="B3555" s="1" t="n">
        <v>45477</v>
      </c>
      <c r="C3555" s="1" t="n">
        <v>45571</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28200-2024</t>
        </is>
      </c>
      <c r="B3556" s="1" t="n">
        <v>45477</v>
      </c>
      <c r="C3556" s="1" t="n">
        <v>45571</v>
      </c>
      <c r="D3556" t="inlineStr">
        <is>
          <t>STOCKHOLMS LÄN</t>
        </is>
      </c>
      <c r="E3556" t="inlineStr">
        <is>
          <t>NORRTÄLJE</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28603-2024</t>
        </is>
      </c>
      <c r="B3557" s="1" t="n">
        <v>45478</v>
      </c>
      <c r="C3557" s="1" t="n">
        <v>45571</v>
      </c>
      <c r="D3557" t="inlineStr">
        <is>
          <t>STOCKHOLMS LÄN</t>
        </is>
      </c>
      <c r="E3557" t="inlineStr">
        <is>
          <t>NORRTÄLJE</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28590-2024</t>
        </is>
      </c>
      <c r="B3558" s="1" t="n">
        <v>45478</v>
      </c>
      <c r="C3558" s="1" t="n">
        <v>45571</v>
      </c>
      <c r="D3558" t="inlineStr">
        <is>
          <t>STOCKHOLMS LÄN</t>
        </is>
      </c>
      <c r="E3558" t="inlineStr">
        <is>
          <t>VÄRMDÖ</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28752-2024</t>
        </is>
      </c>
      <c r="B3559" s="1" t="n">
        <v>45478</v>
      </c>
      <c r="C3559" s="1" t="n">
        <v>45571</v>
      </c>
      <c r="D3559" t="inlineStr">
        <is>
          <t>STOCKHOLMS LÄN</t>
        </is>
      </c>
      <c r="E3559" t="inlineStr">
        <is>
          <t>SIGTUNA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28764-2024</t>
        </is>
      </c>
      <c r="B3560" s="1" t="n">
        <v>45478</v>
      </c>
      <c r="C3560" s="1" t="n">
        <v>45571</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28982-2024</t>
        </is>
      </c>
      <c r="B3561" s="1" t="n">
        <v>45481</v>
      </c>
      <c r="C3561" s="1" t="n">
        <v>45571</v>
      </c>
      <c r="D3561" t="inlineStr">
        <is>
          <t>STOCKHOLMS LÄN</t>
        </is>
      </c>
      <c r="E3561" t="inlineStr">
        <is>
          <t>SÖDERTÄLJE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28983-2024</t>
        </is>
      </c>
      <c r="B3562" s="1" t="n">
        <v>45481</v>
      </c>
      <c r="C3562" s="1" t="n">
        <v>45571</v>
      </c>
      <c r="D3562" t="inlineStr">
        <is>
          <t>STOCKHOLMS LÄN</t>
        </is>
      </c>
      <c r="E3562" t="inlineStr">
        <is>
          <t>BOTKYRKA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29210-2024</t>
        </is>
      </c>
      <c r="B3563" s="1" t="n">
        <v>45482</v>
      </c>
      <c r="C3563" s="1" t="n">
        <v>45571</v>
      </c>
      <c r="D3563" t="inlineStr">
        <is>
          <t>STOCKHOLMS LÄN</t>
        </is>
      </c>
      <c r="E3563" t="inlineStr">
        <is>
          <t>NORRTÄLJE</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29176-2024</t>
        </is>
      </c>
      <c r="B3564" s="1" t="n">
        <v>45482</v>
      </c>
      <c r="C3564" s="1" t="n">
        <v>45571</v>
      </c>
      <c r="D3564" t="inlineStr">
        <is>
          <t>STOCKHOLMS LÄN</t>
        </is>
      </c>
      <c r="E3564" t="inlineStr">
        <is>
          <t>NORRTÄLJE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29369-2024</t>
        </is>
      </c>
      <c r="B3565" s="1" t="n">
        <v>45483</v>
      </c>
      <c r="C3565" s="1" t="n">
        <v>45571</v>
      </c>
      <c r="D3565" t="inlineStr">
        <is>
          <t>STOCKHOLMS LÄN</t>
        </is>
      </c>
      <c r="E3565" t="inlineStr">
        <is>
          <t>NORRTÄLJE</t>
        </is>
      </c>
      <c r="G3565" t="n">
        <v>15.9</v>
      </c>
      <c r="H3565" t="n">
        <v>0</v>
      </c>
      <c r="I3565" t="n">
        <v>0</v>
      </c>
      <c r="J3565" t="n">
        <v>0</v>
      </c>
      <c r="K3565" t="n">
        <v>0</v>
      </c>
      <c r="L3565" t="n">
        <v>0</v>
      </c>
      <c r="M3565" t="n">
        <v>0</v>
      </c>
      <c r="N3565" t="n">
        <v>0</v>
      </c>
      <c r="O3565" t="n">
        <v>0</v>
      </c>
      <c r="P3565" t="n">
        <v>0</v>
      </c>
      <c r="Q3565" t="n">
        <v>0</v>
      </c>
      <c r="R3565" s="2" t="inlineStr"/>
    </row>
    <row r="3566" ht="15" customHeight="1">
      <c r="A3566" t="inlineStr">
        <is>
          <t>A 29419-2024</t>
        </is>
      </c>
      <c r="B3566" s="1" t="n">
        <v>45483</v>
      </c>
      <c r="C3566" s="1" t="n">
        <v>45571</v>
      </c>
      <c r="D3566" t="inlineStr">
        <is>
          <t>STOCKHOLMS LÄN</t>
        </is>
      </c>
      <c r="E3566" t="inlineStr">
        <is>
          <t>NORRTÄLJE</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29504-2024</t>
        </is>
      </c>
      <c r="B3567" s="1" t="n">
        <v>45484</v>
      </c>
      <c r="C3567" s="1" t="n">
        <v>45571</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29589-2024</t>
        </is>
      </c>
      <c r="B3568" s="1" t="n">
        <v>45484</v>
      </c>
      <c r="C3568" s="1" t="n">
        <v>45571</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29583-2024</t>
        </is>
      </c>
      <c r="B3569" s="1" t="n">
        <v>45484</v>
      </c>
      <c r="C3569" s="1" t="n">
        <v>45571</v>
      </c>
      <c r="D3569" t="inlineStr">
        <is>
          <t>STOCKHOLMS LÄN</t>
        </is>
      </c>
      <c r="E3569" t="inlineStr">
        <is>
          <t>NORRTÄLJE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29578-2024</t>
        </is>
      </c>
      <c r="B3570" s="1" t="n">
        <v>45484</v>
      </c>
      <c r="C3570" s="1" t="n">
        <v>45571</v>
      </c>
      <c r="D3570" t="inlineStr">
        <is>
          <t>STOCKHOLMS LÄN</t>
        </is>
      </c>
      <c r="E3570" t="inlineStr">
        <is>
          <t>NORRTÄLJE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29505-2024</t>
        </is>
      </c>
      <c r="B3571" s="1" t="n">
        <v>45484</v>
      </c>
      <c r="C3571" s="1" t="n">
        <v>45571</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29972-2024</t>
        </is>
      </c>
      <c r="B3572" s="1" t="n">
        <v>45485</v>
      </c>
      <c r="C3572" s="1" t="n">
        <v>45571</v>
      </c>
      <c r="D3572" t="inlineStr">
        <is>
          <t>STOCKHOLMS LÄN</t>
        </is>
      </c>
      <c r="E3572" t="inlineStr">
        <is>
          <t>NORRTÄLJE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29841-2024</t>
        </is>
      </c>
      <c r="B3573" s="1" t="n">
        <v>45485</v>
      </c>
      <c r="C3573" s="1" t="n">
        <v>45571</v>
      </c>
      <c r="D3573" t="inlineStr">
        <is>
          <t>STOCKHOLMS LÄN</t>
        </is>
      </c>
      <c r="E3573" t="inlineStr">
        <is>
          <t>NORRTÄLJE</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30108-2024</t>
        </is>
      </c>
      <c r="B3574" s="1" t="n">
        <v>45487</v>
      </c>
      <c r="C3574" s="1" t="n">
        <v>45571</v>
      </c>
      <c r="D3574" t="inlineStr">
        <is>
          <t>STOCKHOLMS LÄN</t>
        </is>
      </c>
      <c r="E3574" t="inlineStr">
        <is>
          <t>NORRTÄLJE</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30033-2024</t>
        </is>
      </c>
      <c r="B3575" s="1" t="n">
        <v>45488</v>
      </c>
      <c r="C3575" s="1" t="n">
        <v>45571</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29994-2024</t>
        </is>
      </c>
      <c r="B3576" s="1" t="n">
        <v>45488</v>
      </c>
      <c r="C3576" s="1" t="n">
        <v>45571</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30096-2024</t>
        </is>
      </c>
      <c r="B3577" s="1" t="n">
        <v>45489</v>
      </c>
      <c r="C3577" s="1" t="n">
        <v>45571</v>
      </c>
      <c r="D3577" t="inlineStr">
        <is>
          <t>STOCKHOLMS LÄN</t>
        </is>
      </c>
      <c r="E3577" t="inlineStr">
        <is>
          <t>NORRTÄLJE</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30221-2024</t>
        </is>
      </c>
      <c r="B3578" s="1" t="n">
        <v>45490</v>
      </c>
      <c r="C3578" s="1" t="n">
        <v>45571</v>
      </c>
      <c r="D3578" t="inlineStr">
        <is>
          <t>STOCKHOLMS LÄN</t>
        </is>
      </c>
      <c r="E3578" t="inlineStr">
        <is>
          <t>NORRTÄLJE</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30268-2024</t>
        </is>
      </c>
      <c r="B3579" s="1" t="n">
        <v>45490</v>
      </c>
      <c r="C3579" s="1" t="n">
        <v>45571</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30323-2024</t>
        </is>
      </c>
      <c r="B3580" s="1" t="n">
        <v>45490</v>
      </c>
      <c r="C3580" s="1" t="n">
        <v>45571</v>
      </c>
      <c r="D3580" t="inlineStr">
        <is>
          <t>STOCKHOLMS LÄN</t>
        </is>
      </c>
      <c r="E3580" t="inlineStr">
        <is>
          <t>NORRTÄLJE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30378-2024</t>
        </is>
      </c>
      <c r="B3581" s="1" t="n">
        <v>45491</v>
      </c>
      <c r="C3581" s="1" t="n">
        <v>45571</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30396-2024</t>
        </is>
      </c>
      <c r="B3582" s="1" t="n">
        <v>45491</v>
      </c>
      <c r="C3582" s="1" t="n">
        <v>45571</v>
      </c>
      <c r="D3582" t="inlineStr">
        <is>
          <t>STOCKHOLMS LÄN</t>
        </is>
      </c>
      <c r="E3582" t="inlineStr">
        <is>
          <t>NORRTÄLJE</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30553-2024</t>
        </is>
      </c>
      <c r="B3583" s="1" t="n">
        <v>45492</v>
      </c>
      <c r="C3583" s="1" t="n">
        <v>45571</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30594-2024</t>
        </is>
      </c>
      <c r="B3584" s="1" t="n">
        <v>45493</v>
      </c>
      <c r="C3584" s="1" t="n">
        <v>45571</v>
      </c>
      <c r="D3584" t="inlineStr">
        <is>
          <t>STOCKHOLMS LÄN</t>
        </is>
      </c>
      <c r="E3584" t="inlineStr">
        <is>
          <t>NYKVARN</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30622-2024</t>
        </is>
      </c>
      <c r="B3585" s="1" t="n">
        <v>45495</v>
      </c>
      <c r="C3585" s="1" t="n">
        <v>45571</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30666-2024</t>
        </is>
      </c>
      <c r="B3586" s="1" t="n">
        <v>45495</v>
      </c>
      <c r="C3586" s="1" t="n">
        <v>45571</v>
      </c>
      <c r="D3586" t="inlineStr">
        <is>
          <t>STOCKHOLMS LÄN</t>
        </is>
      </c>
      <c r="E3586" t="inlineStr">
        <is>
          <t>NORRTÄLJE</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45571</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45571</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45571</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45571</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45571</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45571</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45571</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45571</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45571</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45571</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45571</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45571</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45571</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45571</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45571</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45571</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45571</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45571</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45571</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45571</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45571</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45571</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45571</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45571</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45571</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45571</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45571</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45571</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45571</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45571</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45571</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45571</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45571</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45571</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45571</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45571</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45571</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45571</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45571</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45571</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45571</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45571</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45571</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45571</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45571</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45571</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45571</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45571</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45571</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45571</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45571</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45571</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45571</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45571</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45571</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45571</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45571</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45571</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45571</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45571</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45571</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45571</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45571</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45571</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45571</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45571</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45571</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45571</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45571</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45571</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45571</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37244-2024</t>
        </is>
      </c>
      <c r="B3658" s="1" t="n">
        <v>45540</v>
      </c>
      <c r="C3658" s="1" t="n">
        <v>45571</v>
      </c>
      <c r="D3658" t="inlineStr">
        <is>
          <t>STOCKHOLMS LÄN</t>
        </is>
      </c>
      <c r="E3658" t="inlineStr">
        <is>
          <t>ÖSTERÅKER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45571</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45571</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45571</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45571</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37398-2024</t>
        </is>
      </c>
      <c r="B3663" s="1" t="n">
        <v>45540</v>
      </c>
      <c r="C3663" s="1" t="n">
        <v>45571</v>
      </c>
      <c r="D3663" t="inlineStr">
        <is>
          <t>STOCKHOLMS LÄN</t>
        </is>
      </c>
      <c r="E3663" t="inlineStr">
        <is>
          <t>SIGTUNA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37385-2024</t>
        </is>
      </c>
      <c r="B3664" s="1" t="n">
        <v>45540</v>
      </c>
      <c r="C3664" s="1" t="n">
        <v>45571</v>
      </c>
      <c r="D3664" t="inlineStr">
        <is>
          <t>STOCKHOLMS LÄN</t>
        </is>
      </c>
      <c r="E3664" t="inlineStr">
        <is>
          <t>SIGTUNA</t>
        </is>
      </c>
      <c r="G3664" t="n">
        <v>5</v>
      </c>
      <c r="H3664" t="n">
        <v>0</v>
      </c>
      <c r="I3664" t="n">
        <v>0</v>
      </c>
      <c r="J3664" t="n">
        <v>0</v>
      </c>
      <c r="K3664" t="n">
        <v>0</v>
      </c>
      <c r="L3664" t="n">
        <v>0</v>
      </c>
      <c r="M3664" t="n">
        <v>0</v>
      </c>
      <c r="N3664" t="n">
        <v>0</v>
      </c>
      <c r="O3664" t="n">
        <v>0</v>
      </c>
      <c r="P3664" t="n">
        <v>0</v>
      </c>
      <c r="Q3664" t="n">
        <v>0</v>
      </c>
      <c r="R3664" s="2" t="inlineStr"/>
      <c r="U3664">
        <f>HYPERLINK("https://klasma.github.io/Logging_0191/knärot/A 37385-2024 karta knärot.png", "A 37385-2024")</f>
        <v/>
      </c>
      <c r="V3664">
        <f>HYPERLINK("https://klasma.github.io/Logging_0191/klagomål/A 37385-2024 FSC-klagomål.docx", "A 37385-2024")</f>
        <v/>
      </c>
      <c r="W3664">
        <f>HYPERLINK("https://klasma.github.io/Logging_0191/klagomålsmail/A 37385-2024 FSC-klagomål mail.docx", "A 37385-2024")</f>
        <v/>
      </c>
      <c r="X3664">
        <f>HYPERLINK("https://klasma.github.io/Logging_0191/tillsyn/A 37385-2024 tillsynsbegäran.docx", "A 37385-2024")</f>
        <v/>
      </c>
      <c r="Y3664">
        <f>HYPERLINK("https://klasma.github.io/Logging_0191/tillsynsmail/A 37385-2024 tillsynsbegäran mail.docx", "A 37385-2024")</f>
        <v/>
      </c>
    </row>
    <row r="3665" ht="15" customHeight="1">
      <c r="A3665" t="inlineStr">
        <is>
          <t>A 37452-2024</t>
        </is>
      </c>
      <c r="B3665" s="1" t="n">
        <v>45540</v>
      </c>
      <c r="C3665" s="1" t="n">
        <v>45571</v>
      </c>
      <c r="D3665" t="inlineStr">
        <is>
          <t>STOCKHOLMS LÄN</t>
        </is>
      </c>
      <c r="E3665" t="inlineStr">
        <is>
          <t>SÖDERTÄLJE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37511-2024</t>
        </is>
      </c>
      <c r="B3666" s="1" t="n">
        <v>45541</v>
      </c>
      <c r="C3666" s="1" t="n">
        <v>45571</v>
      </c>
      <c r="D3666" t="inlineStr">
        <is>
          <t>STOCKHOLMS LÄN</t>
        </is>
      </c>
      <c r="E3666" t="inlineStr">
        <is>
          <t>SÖDERTÄLJE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37536-2024</t>
        </is>
      </c>
      <c r="B3667" s="1" t="n">
        <v>45541</v>
      </c>
      <c r="C3667" s="1" t="n">
        <v>45571</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37597-2024</t>
        </is>
      </c>
      <c r="B3668" s="1" t="n">
        <v>45541</v>
      </c>
      <c r="C3668" s="1" t="n">
        <v>45571</v>
      </c>
      <c r="D3668" t="inlineStr">
        <is>
          <t>STOCKHOLMS LÄN</t>
        </is>
      </c>
      <c r="E3668" t="inlineStr">
        <is>
          <t>NYKVARN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37601-2024</t>
        </is>
      </c>
      <c r="B3669" s="1" t="n">
        <v>45541</v>
      </c>
      <c r="C3669" s="1" t="n">
        <v>45571</v>
      </c>
      <c r="D3669" t="inlineStr">
        <is>
          <t>STOCKHOLMS LÄN</t>
        </is>
      </c>
      <c r="E3669" t="inlineStr">
        <is>
          <t>NYKVARN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37504-2024</t>
        </is>
      </c>
      <c r="B3670" s="1" t="n">
        <v>45541</v>
      </c>
      <c r="C3670" s="1" t="n">
        <v>45571</v>
      </c>
      <c r="D3670" t="inlineStr">
        <is>
          <t>STOCKHOLMS LÄN</t>
        </is>
      </c>
      <c r="E3670" t="inlineStr">
        <is>
          <t>SÖDERTÄLJE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37663-2024</t>
        </is>
      </c>
      <c r="B3671" s="1" t="n">
        <v>45541</v>
      </c>
      <c r="C3671" s="1" t="n">
        <v>45571</v>
      </c>
      <c r="D3671" t="inlineStr">
        <is>
          <t>STOCKHOLMS LÄN</t>
        </is>
      </c>
      <c r="E3671" t="inlineStr">
        <is>
          <t>NORRTÄLJE</t>
        </is>
      </c>
      <c r="F3671" t="inlineStr">
        <is>
          <t>Holmen skog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37684-2024</t>
        </is>
      </c>
      <c r="B3672" s="1" t="n">
        <v>45541</v>
      </c>
      <c r="C3672" s="1" t="n">
        <v>45571</v>
      </c>
      <c r="D3672" t="inlineStr">
        <is>
          <t>STOCKHOLMS LÄN</t>
        </is>
      </c>
      <c r="E3672" t="inlineStr">
        <is>
          <t>NORRTÄLJE</t>
        </is>
      </c>
      <c r="F3672" t="inlineStr">
        <is>
          <t>Holmen skog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37980-2024</t>
        </is>
      </c>
      <c r="B3673" s="1" t="n">
        <v>45544</v>
      </c>
      <c r="C3673" s="1" t="n">
        <v>45571</v>
      </c>
      <c r="D3673" t="inlineStr">
        <is>
          <t>STOCKHOLMS LÄN</t>
        </is>
      </c>
      <c r="E3673" t="inlineStr">
        <is>
          <t>NORRTÄLJE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45571</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38073-2024</t>
        </is>
      </c>
      <c r="B3675" s="1" t="n">
        <v>45544</v>
      </c>
      <c r="C3675" s="1" t="n">
        <v>45571</v>
      </c>
      <c r="D3675" t="inlineStr">
        <is>
          <t>STOCKHOLMS LÄN</t>
        </is>
      </c>
      <c r="E3675" t="inlineStr">
        <is>
          <t>NORRTÄLJE</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45571</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45571</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38878-2024</t>
        </is>
      </c>
      <c r="B3678" s="1" t="n">
        <v>45547</v>
      </c>
      <c r="C3678" s="1" t="n">
        <v>45571</v>
      </c>
      <c r="D3678" t="inlineStr">
        <is>
          <t>STOCKHOLMS LÄN</t>
        </is>
      </c>
      <c r="E3678" t="inlineStr">
        <is>
          <t>NORRTÄLJE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38902-2024</t>
        </is>
      </c>
      <c r="B3679" s="1" t="n">
        <v>45547</v>
      </c>
      <c r="C3679" s="1" t="n">
        <v>45571</v>
      </c>
      <c r="D3679" t="inlineStr">
        <is>
          <t>STOCKHOLMS LÄN</t>
        </is>
      </c>
      <c r="E3679" t="inlineStr">
        <is>
          <t>UPPLANDS-BRO</t>
        </is>
      </c>
      <c r="F3679" t="inlineStr">
        <is>
          <t>Övriga statliga verk och myndigheter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45571</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45571</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45571</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45571</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39237-2024</t>
        </is>
      </c>
      <c r="B3684" s="1" t="n">
        <v>45549</v>
      </c>
      <c r="C3684" s="1" t="n">
        <v>45571</v>
      </c>
      <c r="D3684" t="inlineStr">
        <is>
          <t>STOCKHOLMS LÄN</t>
        </is>
      </c>
      <c r="E3684" t="inlineStr">
        <is>
          <t>NORRTÄLJE</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45571</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45571</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39669-2024</t>
        </is>
      </c>
      <c r="B3687" s="1" t="n">
        <v>45552</v>
      </c>
      <c r="C3687" s="1" t="n">
        <v>45571</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45571</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39876-2024</t>
        </is>
      </c>
      <c r="B3689" s="1" t="n">
        <v>45553</v>
      </c>
      <c r="C3689" s="1" t="n">
        <v>45571</v>
      </c>
      <c r="D3689" t="inlineStr">
        <is>
          <t>STOCKHOLMS LÄN</t>
        </is>
      </c>
      <c r="E3689" t="inlineStr">
        <is>
          <t>VAXHOLM</t>
        </is>
      </c>
      <c r="F3689" t="inlineStr">
        <is>
          <t>Övriga statliga verk och myndigheter</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39913-2024</t>
        </is>
      </c>
      <c r="B3690" s="1" t="n">
        <v>45553</v>
      </c>
      <c r="C3690" s="1" t="n">
        <v>45571</v>
      </c>
      <c r="D3690" t="inlineStr">
        <is>
          <t>STOCKHOLMS LÄN</t>
        </is>
      </c>
      <c r="E3690" t="inlineStr">
        <is>
          <t>NORRTÄLJE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40031-2024</t>
        </is>
      </c>
      <c r="B3691" s="1" t="n">
        <v>45553</v>
      </c>
      <c r="C3691" s="1" t="n">
        <v>45571</v>
      </c>
      <c r="D3691" t="inlineStr">
        <is>
          <t>STOCKHOLMS LÄN</t>
        </is>
      </c>
      <c r="E3691" t="inlineStr">
        <is>
          <t>VAXHOLM</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45571</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45571</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40483-2024</t>
        </is>
      </c>
      <c r="B3694" s="1" t="n">
        <v>45555</v>
      </c>
      <c r="C3694" s="1" t="n">
        <v>45571</v>
      </c>
      <c r="D3694" t="inlineStr">
        <is>
          <t>STOCKHOLMS LÄN</t>
        </is>
      </c>
      <c r="E3694" t="inlineStr">
        <is>
          <t>NYNÄSHAMN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45571</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40643-2024</t>
        </is>
      </c>
      <c r="B3696" s="1" t="n">
        <v>45558</v>
      </c>
      <c r="C3696" s="1" t="n">
        <v>45571</v>
      </c>
      <c r="D3696" t="inlineStr">
        <is>
          <t>STOCKHOLMS LÄN</t>
        </is>
      </c>
      <c r="E3696" t="inlineStr">
        <is>
          <t>SIGTUNA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40895-2024</t>
        </is>
      </c>
      <c r="B3697" s="1" t="n">
        <v>45558</v>
      </c>
      <c r="C3697" s="1" t="n">
        <v>45571</v>
      </c>
      <c r="D3697" t="inlineStr">
        <is>
          <t>STOCKHOLMS LÄN</t>
        </is>
      </c>
      <c r="E3697" t="inlineStr">
        <is>
          <t>NYNÄSHAMN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45571</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41219-2024</t>
        </is>
      </c>
      <c r="B3699" s="1" t="n">
        <v>45559</v>
      </c>
      <c r="C3699" s="1" t="n">
        <v>45571</v>
      </c>
      <c r="D3699" t="inlineStr">
        <is>
          <t>STOCKHOLMS LÄN</t>
        </is>
      </c>
      <c r="E3699" t="inlineStr">
        <is>
          <t>NORRTÄLJE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41310-2024</t>
        </is>
      </c>
      <c r="B3700" s="1" t="n">
        <v>45559</v>
      </c>
      <c r="C3700" s="1" t="n">
        <v>45571</v>
      </c>
      <c r="D3700" t="inlineStr">
        <is>
          <t>STOCKHOLMS LÄN</t>
        </is>
      </c>
      <c r="E3700" t="inlineStr">
        <is>
          <t>NORRTÄLJE</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41342-2024</t>
        </is>
      </c>
      <c r="B3701" s="1" t="n">
        <v>45559</v>
      </c>
      <c r="C3701" s="1" t="n">
        <v>45571</v>
      </c>
      <c r="D3701" t="inlineStr">
        <is>
          <t>STOCKHOLMS LÄN</t>
        </is>
      </c>
      <c r="E3701" t="inlineStr">
        <is>
          <t>NORRTÄLJE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41253-2024</t>
        </is>
      </c>
      <c r="B3702" s="1" t="n">
        <v>45559</v>
      </c>
      <c r="C3702" s="1" t="n">
        <v>45571</v>
      </c>
      <c r="D3702" t="inlineStr">
        <is>
          <t>STOCKHOLMS LÄN</t>
        </is>
      </c>
      <c r="E3702" t="inlineStr">
        <is>
          <t>NORRTÄLJE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41218-2024</t>
        </is>
      </c>
      <c r="B3703" s="1" t="n">
        <v>45559</v>
      </c>
      <c r="C3703" s="1" t="n">
        <v>45571</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41243-2024</t>
        </is>
      </c>
      <c r="B3704" s="1" t="n">
        <v>45559</v>
      </c>
      <c r="C3704" s="1" t="n">
        <v>45571</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41976-2024</t>
        </is>
      </c>
      <c r="B3705" s="1" t="n">
        <v>45561</v>
      </c>
      <c r="C3705" s="1" t="n">
        <v>45571</v>
      </c>
      <c r="D3705" t="inlineStr">
        <is>
          <t>STOCKHOLMS LÄN</t>
        </is>
      </c>
      <c r="E3705" t="inlineStr">
        <is>
          <t>NORRTÄLJE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45571</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42339-2024</t>
        </is>
      </c>
      <c r="B3707" s="1" t="n">
        <v>45562</v>
      </c>
      <c r="C3707" s="1" t="n">
        <v>45571</v>
      </c>
      <c r="D3707" t="inlineStr">
        <is>
          <t>STOCKHOLMS LÄN</t>
        </is>
      </c>
      <c r="E3707" t="inlineStr">
        <is>
          <t>SÖDERTÄLJE</t>
        </is>
      </c>
      <c r="F3707" t="inlineStr">
        <is>
          <t>Övriga statliga verk och myndigheter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45571</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42572-2024</t>
        </is>
      </c>
      <c r="B3709" s="1" t="n">
        <v>45565</v>
      </c>
      <c r="C3709" s="1" t="n">
        <v>45571</v>
      </c>
      <c r="D3709" t="inlineStr">
        <is>
          <t>STOCKHOLMS LÄN</t>
        </is>
      </c>
      <c r="E3709" t="inlineStr">
        <is>
          <t>SIGTUNA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42569-2024</t>
        </is>
      </c>
      <c r="B3710" s="1" t="n">
        <v>45565</v>
      </c>
      <c r="C3710" s="1" t="n">
        <v>45571</v>
      </c>
      <c r="D3710" t="inlineStr">
        <is>
          <t>STOCKHOLMS LÄN</t>
        </is>
      </c>
      <c r="E3710" t="inlineStr">
        <is>
          <t>SIGTUNA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45571</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45571</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45571</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43152-2024</t>
        </is>
      </c>
      <c r="B3714" s="1" t="n">
        <v>45567</v>
      </c>
      <c r="C3714" s="1" t="n">
        <v>45571</v>
      </c>
      <c r="D3714" t="inlineStr">
        <is>
          <t>STOCKHOLMS LÄN</t>
        </is>
      </c>
      <c r="E3714" t="inlineStr">
        <is>
          <t>SIGTUNA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43158-2024</t>
        </is>
      </c>
      <c r="B3715" s="1" t="n">
        <v>45567</v>
      </c>
      <c r="C3715" s="1" t="n">
        <v>45571</v>
      </c>
      <c r="D3715" t="inlineStr">
        <is>
          <t>STOCKHOLMS LÄN</t>
        </is>
      </c>
      <c r="E3715" t="inlineStr">
        <is>
          <t>SIGTUNA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45571</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43742-2024</t>
        </is>
      </c>
      <c r="B3717" s="1" t="n">
        <v>45569</v>
      </c>
      <c r="C3717" s="1" t="n">
        <v>45571</v>
      </c>
      <c r="D3717" t="inlineStr">
        <is>
          <t>STOCKHOLMS LÄN</t>
        </is>
      </c>
      <c r="E3717" t="inlineStr">
        <is>
          <t>SALEM</t>
        </is>
      </c>
      <c r="F3717" t="inlineStr">
        <is>
          <t>Kommuner</t>
        </is>
      </c>
      <c r="G3717" t="n">
        <v>5.3</v>
      </c>
      <c r="H3717" t="n">
        <v>0</v>
      </c>
      <c r="I3717" t="n">
        <v>0</v>
      </c>
      <c r="J3717" t="n">
        <v>0</v>
      </c>
      <c r="K3717" t="n">
        <v>0</v>
      </c>
      <c r="L3717" t="n">
        <v>0</v>
      </c>
      <c r="M3717" t="n">
        <v>0</v>
      </c>
      <c r="N3717" t="n">
        <v>0</v>
      </c>
      <c r="O3717" t="n">
        <v>0</v>
      </c>
      <c r="P3717" t="n">
        <v>0</v>
      </c>
      <c r="Q3717" t="n">
        <v>0</v>
      </c>
      <c r="R3717" s="2" t="inlineStr"/>
    </row>
    <row r="3718">
      <c r="A3718" t="inlineStr">
        <is>
          <t>A 43747-2024</t>
        </is>
      </c>
      <c r="B3718" s="1" t="n">
        <v>45569</v>
      </c>
      <c r="C3718" s="1" t="n">
        <v>45571</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2024-10-06T12:02:35Z</dcterms:created>
  <dcterms:modified xmlns:dcterms="http://purl.org/dc/terms/" xmlns:xsi="http://www.w3.org/2001/XMLSchema-instance" xsi:type="dcterms:W3CDTF">2024-10-06T12:02:38Z</dcterms:modified>
</cp:coreProperties>
</file>
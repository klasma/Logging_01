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45582</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45582</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45582</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45582</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45582</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45582</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45582</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45582</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45582</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45582</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45582</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45582</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45582</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45582</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45582</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45582</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45582</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45582</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45582</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45582</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45582</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45582</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10326-2024</t>
        </is>
      </c>
      <c r="B27" s="1" t="n">
        <v>45365</v>
      </c>
      <c r="C27" s="1" t="n">
        <v>45582</v>
      </c>
      <c r="D27" t="inlineStr">
        <is>
          <t>STOCKHOLMS LÄN</t>
        </is>
      </c>
      <c r="E27" t="inlineStr">
        <is>
          <t>VALLENTUNA</t>
        </is>
      </c>
      <c r="G27" t="n">
        <v>9.5</v>
      </c>
      <c r="H27" t="n">
        <v>6</v>
      </c>
      <c r="I27" t="n">
        <v>6</v>
      </c>
      <c r="J27" t="n">
        <v>7</v>
      </c>
      <c r="K27" t="n">
        <v>2</v>
      </c>
      <c r="L27" t="n">
        <v>0</v>
      </c>
      <c r="M27" t="n">
        <v>0</v>
      </c>
      <c r="N27" t="n">
        <v>0</v>
      </c>
      <c r="O27" t="n">
        <v>9</v>
      </c>
      <c r="P27" t="n">
        <v>2</v>
      </c>
      <c r="Q27" t="n">
        <v>18</v>
      </c>
      <c r="R27" s="2" t="inlineStr">
        <is>
          <t>Knärot
Rynkskinn
Brunpudrad nållav
Rosenticka
Spillkråka
Tallticka
Talltita
Ullticka
Vedtrappmossa
Bronshjon
Grönpyrola
Kattfotslav
Rävticka
Rödgul trumpetsvamp
Vedticka
Kungsfågel
Blåsippa
Revlummer</t>
        </is>
      </c>
      <c r="S27">
        <f>HYPERLINK("https://klasma.github.io/Logging_0115/artfynd/A 10326-2024 artfynd.xlsx", "A 10326-2024")</f>
        <v/>
      </c>
      <c r="T27">
        <f>HYPERLINK("https://klasma.github.io/Logging_0115/kartor/A 10326-2024 karta.png", "A 10326-2024")</f>
        <v/>
      </c>
      <c r="U27">
        <f>HYPERLINK("https://klasma.github.io/Logging_0115/knärot/A 10326-2024 karta knärot.png", "A 10326-2024")</f>
        <v/>
      </c>
      <c r="V27">
        <f>HYPERLINK("https://klasma.github.io/Logging_0115/klagomål/A 10326-2024 FSC-klagomål.docx", "A 10326-2024")</f>
        <v/>
      </c>
      <c r="W27">
        <f>HYPERLINK("https://klasma.github.io/Logging_0115/klagomålsmail/A 10326-2024 FSC-klagomål mail.docx", "A 10326-2024")</f>
        <v/>
      </c>
      <c r="X27">
        <f>HYPERLINK("https://klasma.github.io/Logging_0115/tillsyn/A 10326-2024 tillsynsbegäran.docx", "A 10326-2024")</f>
        <v/>
      </c>
      <c r="Y27">
        <f>HYPERLINK("https://klasma.github.io/Logging_0115/tillsynsmail/A 10326-2024 tillsynsbegäran mail.docx", "A 10326-2024")</f>
        <v/>
      </c>
      <c r="Z27">
        <f>HYPERLINK("https://klasma.github.io/Logging_0115/fåglar/A 10326-2024 prioriterade fågelarter.docx", "A 10326-2024")</f>
        <v/>
      </c>
    </row>
    <row r="28" ht="15" customHeight="1">
      <c r="A28" t="inlineStr">
        <is>
          <t>A 66380-2021</t>
        </is>
      </c>
      <c r="B28" s="1" t="n">
        <v>44518</v>
      </c>
      <c r="C28" s="1" t="n">
        <v>45582</v>
      </c>
      <c r="D28" t="inlineStr">
        <is>
          <t>STOCKHOLMS LÄN</t>
        </is>
      </c>
      <c r="E28" t="inlineStr">
        <is>
          <t>HANINGE</t>
        </is>
      </c>
      <c r="G28" t="n">
        <v>10.3</v>
      </c>
      <c r="H28" t="n">
        <v>4</v>
      </c>
      <c r="I28" t="n">
        <v>9</v>
      </c>
      <c r="J28" t="n">
        <v>5</v>
      </c>
      <c r="K28" t="n">
        <v>1</v>
      </c>
      <c r="L28" t="n">
        <v>1</v>
      </c>
      <c r="M28" t="n">
        <v>0</v>
      </c>
      <c r="N28" t="n">
        <v>0</v>
      </c>
      <c r="O28" t="n">
        <v>7</v>
      </c>
      <c r="P28" t="n">
        <v>2</v>
      </c>
      <c r="Q28" t="n">
        <v>17</v>
      </c>
      <c r="R28" s="2" t="inlineStr">
        <is>
          <t>Ryl
Knärot
Motaggsvamp
Spillkråka
Tallticka
Ullticka
Vedskivlav
Blåmossa
Bronshjon
Fällmossa
Grön sköldmossa
Guldlockmossa
Jättesvampmal
Sårläka
Thomsons trägnagare
Vågbandad barkbock
Lopplummer</t>
        </is>
      </c>
      <c r="S28">
        <f>HYPERLINK("https://klasma.github.io/Logging_0136/artfynd/A 66380-2021 artfynd.xlsx", "A 66380-2021")</f>
        <v/>
      </c>
      <c r="T28">
        <f>HYPERLINK("https://klasma.github.io/Logging_0136/kartor/A 66380-2021 karta.png", "A 66380-2021")</f>
        <v/>
      </c>
      <c r="U28">
        <f>HYPERLINK("https://klasma.github.io/Logging_0136/knärot/A 66380-2021 karta knärot.png", "A 66380-2021")</f>
        <v/>
      </c>
      <c r="V28">
        <f>HYPERLINK("https://klasma.github.io/Logging_0136/klagomål/A 66380-2021 FSC-klagomål.docx", "A 66380-2021")</f>
        <v/>
      </c>
      <c r="W28">
        <f>HYPERLINK("https://klasma.github.io/Logging_0136/klagomålsmail/A 66380-2021 FSC-klagomål mail.docx", "A 66380-2021")</f>
        <v/>
      </c>
      <c r="X28">
        <f>HYPERLINK("https://klasma.github.io/Logging_0136/tillsyn/A 66380-2021 tillsynsbegäran.docx", "A 66380-2021")</f>
        <v/>
      </c>
      <c r="Y28">
        <f>HYPERLINK("https://klasma.github.io/Logging_0136/tillsynsmail/A 66380-2021 tillsynsbegäran mail.docx", "A 66380-2021")</f>
        <v/>
      </c>
      <c r="Z28">
        <f>HYPERLINK("https://klasma.github.io/Logging_0136/fåglar/A 66380-2021 prioriterade fågelarter.docx", "A 66380-2021")</f>
        <v/>
      </c>
    </row>
    <row r="29" ht="15" customHeight="1">
      <c r="A29" t="inlineStr">
        <is>
          <t>A 21853-2022</t>
        </is>
      </c>
      <c r="B29" s="1" t="n">
        <v>44709</v>
      </c>
      <c r="C29" s="1" t="n">
        <v>45582</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33062-2023</t>
        </is>
      </c>
      <c r="B30" s="1" t="n">
        <v>45113</v>
      </c>
      <c r="C30" s="1" t="n">
        <v>45582</v>
      </c>
      <c r="D30" t="inlineStr">
        <is>
          <t>STOCKHOLMS LÄN</t>
        </is>
      </c>
      <c r="E30" t="inlineStr">
        <is>
          <t>UPPLANDS VÄSBY</t>
        </is>
      </c>
      <c r="G30" t="n">
        <v>3.9</v>
      </c>
      <c r="H30" t="n">
        <v>2</v>
      </c>
      <c r="I30" t="n">
        <v>5</v>
      </c>
      <c r="J30" t="n">
        <v>9</v>
      </c>
      <c r="K30" t="n">
        <v>2</v>
      </c>
      <c r="L30" t="n">
        <v>0</v>
      </c>
      <c r="M30" t="n">
        <v>0</v>
      </c>
      <c r="N30" t="n">
        <v>0</v>
      </c>
      <c r="O30" t="n">
        <v>11</v>
      </c>
      <c r="P30" t="n">
        <v>2</v>
      </c>
      <c r="Q30" t="n">
        <v>17</v>
      </c>
      <c r="R30"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0">
        <f>HYPERLINK("https://klasma.github.io/Logging_0114/artfynd/A 33062-2023 artfynd.xlsx", "A 33062-2023")</f>
        <v/>
      </c>
      <c r="T30">
        <f>HYPERLINK("https://klasma.github.io/Logging_0114/kartor/A 33062-2023 karta.png", "A 33062-2023")</f>
        <v/>
      </c>
      <c r="V30">
        <f>HYPERLINK("https://klasma.github.io/Logging_0114/klagomål/A 33062-2023 FSC-klagomål.docx", "A 33062-2023")</f>
        <v/>
      </c>
      <c r="W30">
        <f>HYPERLINK("https://klasma.github.io/Logging_0114/klagomålsmail/A 33062-2023 FSC-klagomål mail.docx", "A 33062-2023")</f>
        <v/>
      </c>
      <c r="X30">
        <f>HYPERLINK("https://klasma.github.io/Logging_0114/tillsyn/A 33062-2023 tillsynsbegäran.docx", "A 33062-2023")</f>
        <v/>
      </c>
      <c r="Y30">
        <f>HYPERLINK("https://klasma.github.io/Logging_0114/tillsynsmail/A 33062-2023 tillsynsbegäran mail.docx", "A 33062-2023")</f>
        <v/>
      </c>
    </row>
    <row r="31" ht="15" customHeight="1">
      <c r="A31" t="inlineStr">
        <is>
          <t>A 50718-2023</t>
        </is>
      </c>
      <c r="B31" s="1" t="n">
        <v>45217</v>
      </c>
      <c r="C31" s="1" t="n">
        <v>45582</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55761-2023</t>
        </is>
      </c>
      <c r="B32" s="1" t="n">
        <v>45239</v>
      </c>
      <c r="C32" s="1" t="n">
        <v>45582</v>
      </c>
      <c r="D32" t="inlineStr">
        <is>
          <t>STOCKHOLMS LÄN</t>
        </is>
      </c>
      <c r="E32" t="inlineStr">
        <is>
          <t>VALLENTUNA</t>
        </is>
      </c>
      <c r="G32" t="n">
        <v>11.7</v>
      </c>
      <c r="H32" t="n">
        <v>4</v>
      </c>
      <c r="I32" t="n">
        <v>5</v>
      </c>
      <c r="J32" t="n">
        <v>10</v>
      </c>
      <c r="K32" t="n">
        <v>0</v>
      </c>
      <c r="L32" t="n">
        <v>0</v>
      </c>
      <c r="M32" t="n">
        <v>0</v>
      </c>
      <c r="N32" t="n">
        <v>0</v>
      </c>
      <c r="O32" t="n">
        <v>10</v>
      </c>
      <c r="P32" t="n">
        <v>0</v>
      </c>
      <c r="Q32" t="n">
        <v>17</v>
      </c>
      <c r="R32" s="2" t="inlineStr">
        <is>
          <t>Dvärgbägarlav
Garnlav
Motaggsvamp
Orange taggsvamp
Spillkråka
Svartvit taggsvamp
Tallticka
Talltita
Vedskivlav
Vintertagging
Björksplintborre
Blodticka
Blåmossa
Bronshjon
Granbarkgnagare
Kungsfågel
Tjäder</t>
        </is>
      </c>
      <c r="S32">
        <f>HYPERLINK("https://klasma.github.io/Logging_0115/artfynd/A 55761-2023 artfynd.xlsx", "A 55761-2023")</f>
        <v/>
      </c>
      <c r="T32">
        <f>HYPERLINK("https://klasma.github.io/Logging_0115/kartor/A 55761-2023 karta.png", "A 55761-2023")</f>
        <v/>
      </c>
      <c r="U32">
        <f>HYPERLINK("https://klasma.github.io/Logging_0115/knärot/A 55761-2023 karta knärot.png", "A 55761-2023")</f>
        <v/>
      </c>
      <c r="V32">
        <f>HYPERLINK("https://klasma.github.io/Logging_0115/klagomål/A 55761-2023 FSC-klagomål.docx", "A 55761-2023")</f>
        <v/>
      </c>
      <c r="W32">
        <f>HYPERLINK("https://klasma.github.io/Logging_0115/klagomålsmail/A 55761-2023 FSC-klagomål mail.docx", "A 55761-2023")</f>
        <v/>
      </c>
      <c r="X32">
        <f>HYPERLINK("https://klasma.github.io/Logging_0115/tillsyn/A 55761-2023 tillsynsbegäran.docx", "A 55761-2023")</f>
        <v/>
      </c>
      <c r="Y32">
        <f>HYPERLINK("https://klasma.github.io/Logging_0115/tillsynsmail/A 55761-2023 tillsynsbegäran mail.docx", "A 55761-2023")</f>
        <v/>
      </c>
      <c r="Z32">
        <f>HYPERLINK("https://klasma.github.io/Logging_0115/fåglar/A 55761-2023 prioriterade fågelarter.docx", "A 55761-2023")</f>
        <v/>
      </c>
    </row>
    <row r="33" ht="15" customHeight="1">
      <c r="A33" t="inlineStr">
        <is>
          <t>A 20601-2022</t>
        </is>
      </c>
      <c r="B33" s="1" t="n">
        <v>44700</v>
      </c>
      <c r="C33" s="1" t="n">
        <v>45582</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45582</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42922-2023</t>
        </is>
      </c>
      <c r="B35" s="1" t="n">
        <v>45182</v>
      </c>
      <c r="C35" s="1" t="n">
        <v>45582</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24218-2024</t>
        </is>
      </c>
      <c r="B36" s="1" t="n">
        <v>45457</v>
      </c>
      <c r="C36" s="1" t="n">
        <v>45582</v>
      </c>
      <c r="D36" t="inlineStr">
        <is>
          <t>STOCKHOLMS LÄN</t>
        </is>
      </c>
      <c r="E36" t="inlineStr">
        <is>
          <t>NORRTÄLJE</t>
        </is>
      </c>
      <c r="G36" t="n">
        <v>3.4</v>
      </c>
      <c r="H36" t="n">
        <v>4</v>
      </c>
      <c r="I36" t="n">
        <v>10</v>
      </c>
      <c r="J36" t="n">
        <v>1</v>
      </c>
      <c r="K36" t="n">
        <v>2</v>
      </c>
      <c r="L36" t="n">
        <v>1</v>
      </c>
      <c r="M36" t="n">
        <v>0</v>
      </c>
      <c r="N36" t="n">
        <v>0</v>
      </c>
      <c r="O36" t="n">
        <v>4</v>
      </c>
      <c r="P36" t="n">
        <v>3</v>
      </c>
      <c r="Q36" t="n">
        <v>16</v>
      </c>
      <c r="R36" s="2" t="inlineStr">
        <is>
          <t>Ask
Blackticka
Vågticka
Spillkråka
Brandticka
Bronshjon
Fjällig taggsvamp s.str.
Nästrot
Olivspindling
Rökmusseron
Svart trolldruva
Tjockfotad fingersvamp
Vedticka
Vågbandad barkbock
Gröngöling
Blåsippa</t>
        </is>
      </c>
      <c r="S36">
        <f>HYPERLINK("https://klasma.github.io/Logging_0188/artfynd/A 24218-2024 artfynd.xlsx", "A 24218-2024")</f>
        <v/>
      </c>
      <c r="T36">
        <f>HYPERLINK("https://klasma.github.io/Logging_0188/kartor/A 24218-2024 karta.png", "A 24218-2024")</f>
        <v/>
      </c>
      <c r="V36">
        <f>HYPERLINK("https://klasma.github.io/Logging_0188/klagomål/A 24218-2024 FSC-klagomål.docx", "A 24218-2024")</f>
        <v/>
      </c>
      <c r="W36">
        <f>HYPERLINK("https://klasma.github.io/Logging_0188/klagomålsmail/A 24218-2024 FSC-klagomål mail.docx", "A 24218-2024")</f>
        <v/>
      </c>
      <c r="X36">
        <f>HYPERLINK("https://klasma.github.io/Logging_0188/tillsyn/A 24218-2024 tillsynsbegäran.docx", "A 24218-2024")</f>
        <v/>
      </c>
      <c r="Y36">
        <f>HYPERLINK("https://klasma.github.io/Logging_0188/tillsynsmail/A 24218-2024 tillsynsbegäran mail.docx", "A 24218-2024")</f>
        <v/>
      </c>
      <c r="Z36">
        <f>HYPERLINK("https://klasma.github.io/Logging_0188/fåglar/A 24218-2024 prioriterade fågelarter.docx", "A 24218-2024")</f>
        <v/>
      </c>
    </row>
    <row r="37" ht="15" customHeight="1">
      <c r="A37" t="inlineStr">
        <is>
          <t>A 5738-2020</t>
        </is>
      </c>
      <c r="B37" s="1" t="n">
        <v>43863</v>
      </c>
      <c r="C37" s="1" t="n">
        <v>45582</v>
      </c>
      <c r="D37" t="inlineStr">
        <is>
          <t>STOCKHOLMS LÄN</t>
        </is>
      </c>
      <c r="E37" t="inlineStr">
        <is>
          <t>NORRTÄLJE</t>
        </is>
      </c>
      <c r="G37" t="n">
        <v>2</v>
      </c>
      <c r="H37" t="n">
        <v>1</v>
      </c>
      <c r="I37" t="n">
        <v>4</v>
      </c>
      <c r="J37" t="n">
        <v>4</v>
      </c>
      <c r="K37" t="n">
        <v>5</v>
      </c>
      <c r="L37" t="n">
        <v>1</v>
      </c>
      <c r="M37" t="n">
        <v>0</v>
      </c>
      <c r="N37" t="n">
        <v>0</v>
      </c>
      <c r="O37" t="n">
        <v>10</v>
      </c>
      <c r="P37" t="n">
        <v>6</v>
      </c>
      <c r="Q37" t="n">
        <v>15</v>
      </c>
      <c r="R37" s="2" t="inlineStr">
        <is>
          <t>Raggtaggsvamp
Bitter taggsvamp
Grangråticka
Kopparspindling
Koppartaggsvamp
Violgubbe
Odörspindling
Orange taggsvamp
Persiljespindling
Svart taggsvamp
Fjällig taggsvamp s.str.
Granbarkgnagare
Kryddspindling
Skarp dropptaggsvamp
Blåsippa</t>
        </is>
      </c>
      <c r="S37">
        <f>HYPERLINK("https://klasma.github.io/Logging_0188/artfynd/A 5738-2020 artfynd.xlsx", "A 5738-2020")</f>
        <v/>
      </c>
      <c r="T37">
        <f>HYPERLINK("https://klasma.github.io/Logging_0188/kartor/A 5738-2020 karta.png", "A 5738-2020")</f>
        <v/>
      </c>
      <c r="V37">
        <f>HYPERLINK("https://klasma.github.io/Logging_0188/klagomål/A 5738-2020 FSC-klagomål.docx", "A 5738-2020")</f>
        <v/>
      </c>
      <c r="W37">
        <f>HYPERLINK("https://klasma.github.io/Logging_0188/klagomålsmail/A 5738-2020 FSC-klagomål mail.docx", "A 5738-2020")</f>
        <v/>
      </c>
      <c r="X37">
        <f>HYPERLINK("https://klasma.github.io/Logging_0188/tillsyn/A 5738-2020 tillsynsbegäran.docx", "A 5738-2020")</f>
        <v/>
      </c>
      <c r="Y37">
        <f>HYPERLINK("https://klasma.github.io/Logging_0188/tillsynsmail/A 5738-2020 tillsynsbegäran mail.docx", "A 5738-2020")</f>
        <v/>
      </c>
    </row>
    <row r="38" ht="15" customHeight="1">
      <c r="A38" t="inlineStr">
        <is>
          <t>A 25567-2023</t>
        </is>
      </c>
      <c r="B38" s="1" t="n">
        <v>45089</v>
      </c>
      <c r="C38" s="1" t="n">
        <v>45582</v>
      </c>
      <c r="D38" t="inlineStr">
        <is>
          <t>STOCKHOLMS LÄN</t>
        </is>
      </c>
      <c r="E38" t="inlineStr">
        <is>
          <t>HANINGE</t>
        </is>
      </c>
      <c r="F38" t="inlineStr">
        <is>
          <t>Övriga Aktiebolag</t>
        </is>
      </c>
      <c r="G38" t="n">
        <v>10.9</v>
      </c>
      <c r="H38" t="n">
        <v>4</v>
      </c>
      <c r="I38" t="n">
        <v>11</v>
      </c>
      <c r="J38" t="n">
        <v>2</v>
      </c>
      <c r="K38" t="n">
        <v>0</v>
      </c>
      <c r="L38" t="n">
        <v>0</v>
      </c>
      <c r="M38" t="n">
        <v>0</v>
      </c>
      <c r="N38" t="n">
        <v>0</v>
      </c>
      <c r="O38" t="n">
        <v>2</v>
      </c>
      <c r="P38" t="n">
        <v>0</v>
      </c>
      <c r="Q38" t="n">
        <v>15</v>
      </c>
      <c r="R38" s="2" t="inlineStr">
        <is>
          <t>Granticka
Vedtrappmossa
Bronshjon
Granbarkgnagare
Grön sköldmossa
Korallrot
Källmossor
Mörk husmossa
Rävticka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28411-2019</t>
        </is>
      </c>
      <c r="B39" s="1" t="n">
        <v>43626</v>
      </c>
      <c r="C39" s="1" t="n">
        <v>45582</v>
      </c>
      <c r="D39" t="inlineStr">
        <is>
          <t>STOCKHOLMS LÄN</t>
        </is>
      </c>
      <c r="E39" t="inlineStr">
        <is>
          <t>NORRTÄLJE</t>
        </is>
      </c>
      <c r="G39" t="n">
        <v>3.1</v>
      </c>
      <c r="H39" t="n">
        <v>3</v>
      </c>
      <c r="I39" t="n">
        <v>11</v>
      </c>
      <c r="J39" t="n">
        <v>2</v>
      </c>
      <c r="K39" t="n">
        <v>0</v>
      </c>
      <c r="L39" t="n">
        <v>0</v>
      </c>
      <c r="M39" t="n">
        <v>0</v>
      </c>
      <c r="N39" t="n">
        <v>0</v>
      </c>
      <c r="O39" t="n">
        <v>2</v>
      </c>
      <c r="P39" t="n">
        <v>0</v>
      </c>
      <c r="Q39" t="n">
        <v>14</v>
      </c>
      <c r="R39" s="2" t="inlineStr">
        <is>
          <t>Granticka
Spillkråka
Bronshjon
Granbarkgnagare
Grönpyrola
Jättesvampmal
Kattfotslav
Källpraktmossa
Mörk husmossa
Nästrot
Svavelriska
Thomsons trägnagare
Tibast
Blåsippa</t>
        </is>
      </c>
      <c r="S39">
        <f>HYPERLINK("https://klasma.github.io/Logging_0188/artfynd/A 28411-2019 artfynd.xlsx", "A 28411-2019")</f>
        <v/>
      </c>
      <c r="T39">
        <f>HYPERLINK("https://klasma.github.io/Logging_0188/kartor/A 28411-2019 karta.png", "A 28411-2019")</f>
        <v/>
      </c>
      <c r="V39">
        <f>HYPERLINK("https://klasma.github.io/Logging_0188/klagomål/A 28411-2019 FSC-klagomål.docx", "A 28411-2019")</f>
        <v/>
      </c>
      <c r="W39">
        <f>HYPERLINK("https://klasma.github.io/Logging_0188/klagomålsmail/A 28411-2019 FSC-klagomål mail.docx", "A 28411-2019")</f>
        <v/>
      </c>
      <c r="X39">
        <f>HYPERLINK("https://klasma.github.io/Logging_0188/tillsyn/A 28411-2019 tillsynsbegäran.docx", "A 28411-2019")</f>
        <v/>
      </c>
      <c r="Y39">
        <f>HYPERLINK("https://klasma.github.io/Logging_0188/tillsynsmail/A 28411-2019 tillsynsbegäran mail.docx", "A 28411-2019")</f>
        <v/>
      </c>
      <c r="Z39">
        <f>HYPERLINK("https://klasma.github.io/Logging_0188/fåglar/A 28411-2019 prioriterade fågelarter.docx", "A 28411-2019")</f>
        <v/>
      </c>
    </row>
    <row r="40" ht="15" customHeight="1">
      <c r="A40" t="inlineStr">
        <is>
          <t>A 63484-2019</t>
        </is>
      </c>
      <c r="B40" s="1" t="n">
        <v>43794</v>
      </c>
      <c r="C40" s="1" t="n">
        <v>45582</v>
      </c>
      <c r="D40" t="inlineStr">
        <is>
          <t>STOCKHOLMS LÄN</t>
        </is>
      </c>
      <c r="E40" t="inlineStr">
        <is>
          <t>NORRTÄLJE</t>
        </is>
      </c>
      <c r="G40" t="n">
        <v>7.8</v>
      </c>
      <c r="H40" t="n">
        <v>3</v>
      </c>
      <c r="I40" t="n">
        <v>6</v>
      </c>
      <c r="J40" t="n">
        <v>5</v>
      </c>
      <c r="K40" t="n">
        <v>2</v>
      </c>
      <c r="L40" t="n">
        <v>0</v>
      </c>
      <c r="M40" t="n">
        <v>0</v>
      </c>
      <c r="N40" t="n">
        <v>0</v>
      </c>
      <c r="O40" t="n">
        <v>7</v>
      </c>
      <c r="P40" t="n">
        <v>2</v>
      </c>
      <c r="Q40" t="n">
        <v>14</v>
      </c>
      <c r="R40" s="2" t="inlineStr">
        <is>
          <t>Grangråticka
Koppartaggsvamp
Motaggsvamp
Orange taggsvamp
Persiljespindling
Spillkråka
Tretåig hackspett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51334-2022</t>
        </is>
      </c>
      <c r="B41" s="1" t="n">
        <v>44869</v>
      </c>
      <c r="C41" s="1" t="n">
        <v>45582</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26273-2019</t>
        </is>
      </c>
      <c r="B42" s="1" t="n">
        <v>43611</v>
      </c>
      <c r="C42" s="1" t="n">
        <v>45582</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45582</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9939-2021</t>
        </is>
      </c>
      <c r="B44" s="1" t="n">
        <v>44253</v>
      </c>
      <c r="C44" s="1" t="n">
        <v>45582</v>
      </c>
      <c r="D44" t="inlineStr">
        <is>
          <t>STOCKHOLMS LÄN</t>
        </is>
      </c>
      <c r="E44" t="inlineStr">
        <is>
          <t>HUDDINGE</t>
        </is>
      </c>
      <c r="F44" t="inlineStr">
        <is>
          <t>Kommuner</t>
        </is>
      </c>
      <c r="G44" t="n">
        <v>2.4</v>
      </c>
      <c r="H44" t="n">
        <v>13</v>
      </c>
      <c r="I44" t="n">
        <v>0</v>
      </c>
      <c r="J44" t="n">
        <v>7</v>
      </c>
      <c r="K44" t="n">
        <v>0</v>
      </c>
      <c r="L44" t="n">
        <v>1</v>
      </c>
      <c r="M44" t="n">
        <v>0</v>
      </c>
      <c r="N44" t="n">
        <v>0</v>
      </c>
      <c r="O44" t="n">
        <v>8</v>
      </c>
      <c r="P44" t="n">
        <v>1</v>
      </c>
      <c r="Q44" t="n">
        <v>13</v>
      </c>
      <c r="R44" s="2" t="inlineStr">
        <is>
          <t>Grönfink
Gulsparv
Havsörn
Rödvingetrast
Rörsångare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11053-2022</t>
        </is>
      </c>
      <c r="B45" s="1" t="n">
        <v>44628</v>
      </c>
      <c r="C45" s="1" t="n">
        <v>45582</v>
      </c>
      <c r="D45" t="inlineStr">
        <is>
          <t>STOCKHOLMS LÄN</t>
        </is>
      </c>
      <c r="E45" t="inlineStr">
        <is>
          <t>NYKVARN</t>
        </is>
      </c>
      <c r="G45" t="n">
        <v>4.8</v>
      </c>
      <c r="H45" t="n">
        <v>10</v>
      </c>
      <c r="I45" t="n">
        <v>1</v>
      </c>
      <c r="J45" t="n">
        <v>9</v>
      </c>
      <c r="K45" t="n">
        <v>1</v>
      </c>
      <c r="L45" t="n">
        <v>1</v>
      </c>
      <c r="M45" t="n">
        <v>0</v>
      </c>
      <c r="N45" t="n">
        <v>0</v>
      </c>
      <c r="O45" t="n">
        <v>11</v>
      </c>
      <c r="P45" t="n">
        <v>2</v>
      </c>
      <c r="Q45" t="n">
        <v>13</v>
      </c>
      <c r="R45" s="2" t="inlineStr">
        <is>
          <t>Grönfink
Stare
Björktrast
Fiskmås
Granticka
Gulsparv
Kråka
Rödvingetrast
Spillkråka
Svartvit flugsnappare
Vippärt
Vårärt
Blåsippa</t>
        </is>
      </c>
      <c r="S45">
        <f>HYPERLINK("https://klasma.github.io/Logging_0140/artfynd/A 11053-2022 artfynd.xlsx", "A 11053-2022")</f>
        <v/>
      </c>
      <c r="T45">
        <f>HYPERLINK("https://klasma.github.io/Logging_0140/kartor/A 11053-2022 karta.png", "A 11053-2022")</f>
        <v/>
      </c>
      <c r="V45">
        <f>HYPERLINK("https://klasma.github.io/Logging_0140/klagomål/A 11053-2022 FSC-klagomål.docx", "A 11053-2022")</f>
        <v/>
      </c>
      <c r="W45">
        <f>HYPERLINK("https://klasma.github.io/Logging_0140/klagomålsmail/A 11053-2022 FSC-klagomål mail.docx", "A 11053-2022")</f>
        <v/>
      </c>
      <c r="X45">
        <f>HYPERLINK("https://klasma.github.io/Logging_0140/tillsyn/A 11053-2022 tillsynsbegäran.docx", "A 11053-2022")</f>
        <v/>
      </c>
      <c r="Y45">
        <f>HYPERLINK("https://klasma.github.io/Logging_0140/tillsynsmail/A 11053-2022 tillsynsbegäran mail.docx", "A 11053-2022")</f>
        <v/>
      </c>
      <c r="Z45">
        <f>HYPERLINK("https://klasma.github.io/Logging_0140/fåglar/A 11053-2022 prioriterade fågelarter.docx", "A 11053-2022")</f>
        <v/>
      </c>
    </row>
    <row r="46" ht="15" customHeight="1">
      <c r="A46" t="inlineStr">
        <is>
          <t>A 34343-2023</t>
        </is>
      </c>
      <c r="B46" s="1" t="n">
        <v>45139</v>
      </c>
      <c r="C46" s="1" t="n">
        <v>45582</v>
      </c>
      <c r="D46" t="inlineStr">
        <is>
          <t>STOCKHOLMS LÄN</t>
        </is>
      </c>
      <c r="E46" t="inlineStr">
        <is>
          <t>HANINGE</t>
        </is>
      </c>
      <c r="G46" t="n">
        <v>3.9</v>
      </c>
      <c r="H46" t="n">
        <v>3</v>
      </c>
      <c r="I46" t="n">
        <v>7</v>
      </c>
      <c r="J46" t="n">
        <v>3</v>
      </c>
      <c r="K46" t="n">
        <v>0</v>
      </c>
      <c r="L46" t="n">
        <v>1</v>
      </c>
      <c r="M46" t="n">
        <v>0</v>
      </c>
      <c r="N46" t="n">
        <v>0</v>
      </c>
      <c r="O46" t="n">
        <v>4</v>
      </c>
      <c r="P46" t="n">
        <v>1</v>
      </c>
      <c r="Q46" t="n">
        <v>13</v>
      </c>
      <c r="R46" s="2" t="inlineStr">
        <is>
          <t>Ask
Granticka
Grön aspvedbock
Spillkråka
Björksplintborre
Fjällig taggsvamp s.str.
Granbarkgnagare
Guldlockmossa
Stubbspretmossa
Sårläka
Vågbandad barkbock
Blåsippa
Gullviva</t>
        </is>
      </c>
      <c r="S46">
        <f>HYPERLINK("https://klasma.github.io/Logging_0136/artfynd/A 34343-2023 artfynd.xlsx", "A 34343-2023")</f>
        <v/>
      </c>
      <c r="T46">
        <f>HYPERLINK("https://klasma.github.io/Logging_0136/kartor/A 34343-2023 karta.png", "A 34343-2023")</f>
        <v/>
      </c>
      <c r="V46">
        <f>HYPERLINK("https://klasma.github.io/Logging_0136/klagomål/A 34343-2023 FSC-klagomål.docx", "A 34343-2023")</f>
        <v/>
      </c>
      <c r="W46">
        <f>HYPERLINK("https://klasma.github.io/Logging_0136/klagomålsmail/A 34343-2023 FSC-klagomål mail.docx", "A 34343-2023")</f>
        <v/>
      </c>
      <c r="X46">
        <f>HYPERLINK("https://klasma.github.io/Logging_0136/tillsyn/A 34343-2023 tillsynsbegäran.docx", "A 34343-2023")</f>
        <v/>
      </c>
      <c r="Y46">
        <f>HYPERLINK("https://klasma.github.io/Logging_0136/tillsynsmail/A 34343-2023 tillsynsbegäran mail.docx", "A 34343-2023")</f>
        <v/>
      </c>
      <c r="Z46">
        <f>HYPERLINK("https://klasma.github.io/Logging_0136/fåglar/A 34343-2023 prioriterade fågelarter.docx", "A 34343-2023")</f>
        <v/>
      </c>
    </row>
    <row r="47" ht="15" customHeight="1">
      <c r="A47" t="inlineStr">
        <is>
          <t>A 55825-2023</t>
        </is>
      </c>
      <c r="B47" s="1" t="n">
        <v>45239</v>
      </c>
      <c r="C47" s="1" t="n">
        <v>45582</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45582</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45582</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45582</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45582</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45582</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45582</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45582</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45582</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45582</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45582</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45582</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45582</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45582</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45582</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45582</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45582</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45582</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45582</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45582</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45582</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45582</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45582</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45582</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45582</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45582</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45582</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45582</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45582</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45582</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45582</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45582</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45582</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45582</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45582</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45582</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45582</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45582</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45582</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45582</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45582</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45582</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45582</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45582</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45582</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45582</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45582</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45582</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45582</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45582</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45582</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45582</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45582</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45582</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45582</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45582</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45582</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45582</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45582</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45582</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45582</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45582</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45582</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45582</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45582</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45582</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45582</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45582</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45582</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45582</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45582</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45582</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45582</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45582</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45582</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45582</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45582</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45582</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45582</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45582</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45582</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45582</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45582</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45582</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45582</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45582</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45582</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45582</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45582</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45582</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45582</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45582</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45582</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45582</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45582</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45582</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45582</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45582</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45582</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45582</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45582</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45582</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45582</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45582</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45582</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45582</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45582</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45582</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45582</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45582</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45582</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45582</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45582</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45582</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45582</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45582</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45582</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45582</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45582</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45582</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45582</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45582</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45582</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45582</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45582</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45582</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45582</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45582</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45582</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45582</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45582</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45582</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45582</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45582</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45582</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45582</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45582</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45582</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45582</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45582</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45582</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45582</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45582</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45582</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45582</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45582</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45582</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45582</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45582</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45582</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45582</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45582</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45582</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45582</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45582</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45582</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45582</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45582</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45582</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45582</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45582</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45582</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45582</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45582</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45582</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45582</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45582</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45582</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45582</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45582</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45582</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45582</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45582</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45582</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45582</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45582</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45582</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45582</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45582</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45582</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45582</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45582</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45582</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45582</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45582</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45582</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45582</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45582</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45582</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45582</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45582</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45582</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45582</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45582</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45582</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45582</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45582</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45582</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45582</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45582</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45582</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45582</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45582</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45582</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45582</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45582</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45582</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45582</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45582</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45582</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45582</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45582</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45582</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45582</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45582</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45582</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45582</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45582</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45582</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45582</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45582</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45582</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45582</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45582</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45582</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45582</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45582</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45582</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45582</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45582</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45582</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45582</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45582</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45582</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45582</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45582</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45582</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45582</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45582</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45582</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45582</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45582</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45582</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45582</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45582</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45582</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45582</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45582</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45582</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45582</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45582</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45582</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45582</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45582</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45582</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45582</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45582</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45582</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45582</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45582</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45582</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45582</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45582</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45582</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45582</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45582</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45582</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45582</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45582</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45582</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45582</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45582</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45582</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45582</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45582</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45582</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45582</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45582</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45582</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45582</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45582</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45582</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45582</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45582</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45582</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45582</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45582</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45582</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45582</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45582</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45582</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45582</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45582</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45582</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45582</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45582</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45582</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45582</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45582</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45582</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45582</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45582</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45582</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45582</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45582</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45582</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45582</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45582</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45582</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45582</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45582</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45582</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45582</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45582</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45582</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45582</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45582</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45582</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45582</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45582</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45582</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45582</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45582</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45582</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45582</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45582</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45582</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45582</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45582</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45582</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45582</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45582</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45582</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45582</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45582</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45582</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45582</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45582</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45582</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45582</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45582</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45582</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45582</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45582</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45582</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45582</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45582</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45582</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45582</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45582</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45582</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45582</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45582</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45582</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45582</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45582</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45582</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45582</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45582</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45582</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45582</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45582</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45582</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45582</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45582</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45582</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45582</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45582</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45582</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45582</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45582</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45582</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45582</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45582</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45582</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45582</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45582</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45582</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45582</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45582</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45582</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45582</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45582</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45582</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45582</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45582</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45582</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45582</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45582</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45582</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45582</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45582</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45582</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45582</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45582</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45582</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45582</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45582</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45582</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45582</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45582</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45582</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45582</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45582</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45582</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45582</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45582</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45582</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45582</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45582</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45582</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45582</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45582</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45582</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45582</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45582</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45582</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45582</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45582</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45582</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45582</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45582</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45582</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45582</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45582</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45582</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45582</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45582</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45582</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45582</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45582</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45582</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45582</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45582</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45582</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45582</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45582</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45582</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45582</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45582</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45582</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45582</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45582</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45582</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45582</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45582</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45582</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45582</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45582</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45582</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45582</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45582</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45582</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45582</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45582</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45582</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45582</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45582</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45582</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45582</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45582</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45582</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45582</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45582</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45582</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45582</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45582</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45582</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45582</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45582</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45582</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45582</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45582</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45582</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45582</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45582</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45582</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45582</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45582</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45582</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45582</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45582</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45582</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45582</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45582</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45582</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45582</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45582</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45582</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45582</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45582</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45582</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45582</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45582</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45582</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45582</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45582</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45582</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45582</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45582</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45582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45582</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45582</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45582</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45582</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45582</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45582</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45582</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45582</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45582</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45582</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45582</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45582</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45582</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45582</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45582</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45582</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45582</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45582</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45582</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45582</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45582</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45582</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45582</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45582</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45582</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45582</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45582</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45582</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45582</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45582</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45582</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45582</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45582</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45582</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45582</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45582</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45582</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45582</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45582</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45582</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45582</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45582</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45582</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45582</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45582</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45582</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45582</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45582</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45582</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45582</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45582</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45582</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45582</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45582</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45582</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45582</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45582</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45582</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45582</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45582</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45582</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45582</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45582</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45582</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45582</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45582</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45582</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45582</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45582</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45582</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45582</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45582</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45582</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45582</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45582</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45582</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45582</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45582</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45582</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45582</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45582</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45582</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45582</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45582</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45582</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45582</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45582</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45582</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45582</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45582</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45582</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45582</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45582</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45582</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45582</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45582</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45582</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45582</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45582</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45582</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45582</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45582</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45582</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45582</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45582</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45582</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45582</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45582</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45582</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45582</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45582</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45582</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45582</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45582</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45582</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45582</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45582</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45582</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45582</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45582</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45582</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45582</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45582</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45582</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45582</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45582</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45582</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45582</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45582</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45582</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45582</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45582</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45582</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45582</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45582</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45582</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45582</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45582</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45582</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45582</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45582</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45582</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45582</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45582</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45582</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45582</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45582</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45582</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45582</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45582</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45582</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45582</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45582</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45582</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45582</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45582</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45582</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45582</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45582</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45582</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45582</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45582</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45582</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45582</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45582</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45582</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45582</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45582</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45582</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45582</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45582</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45582</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45582</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45582</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45582</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45582</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45582</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45582</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45582</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45582</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45582</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45582</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45582</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45582</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45582</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45582</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45582</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45582</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45582</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45582</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45582</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45582</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45582</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45582</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45582</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45582</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45582</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45582</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45582</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45582</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45582</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45582</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45582</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45582</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45582</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45582</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45582</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45582</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45582</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45582</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45582</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45582</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45582</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45582</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45582</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45582</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45582</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45582</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45582</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45582</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45582</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45582</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45582</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45582</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45582</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45582</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45582</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45582</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45582</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45582</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45582</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45582</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45582</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45582</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45582</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45582</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45582</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45582</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45582</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45582</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45582</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45582</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45582</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45582</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45582</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45582</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45582</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45582</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45582</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45582</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45582</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45582</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45582</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45582</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45582</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45582</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45582</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45582</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45582</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45582</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45582</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45582</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45582</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45582</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45582</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45582</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45582</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45582</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45582</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45582</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45582</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45582</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45582</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45582</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45582</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45582</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45582</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45582</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45582</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45582</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45582</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45582</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45582</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45582</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45582</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45582</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45582</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45582</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45582</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45582</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45582</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45582</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45582</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45582</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45582</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45582</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45582</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45582</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45582</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45582</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45582</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45582</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45582</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45582</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45582</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45582</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45582</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45582</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45582</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45582</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45582</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45582</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45582</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45582</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45582</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45582</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45582</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45582</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45582</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45582</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45582</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45582</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45582</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45582</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45582</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45582</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45582</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45582</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45582</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45582</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45582</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45582</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45582</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45582</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45582</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45582</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45582</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45582</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45582</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45582</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45582</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45582</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45582</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45582</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45582</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45582</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45582</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45582</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45582</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45582</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45582</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45582</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45582</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45582</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45582</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45582</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45582</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45582</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45582</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45582</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45582</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45582</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45582</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45582</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45582</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45582</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45582</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45582</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45582</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45582</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45582</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45582</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45582</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45582</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45582</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45582</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45582</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45582</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45582</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45582</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45582</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45582</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45582</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45582</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45582</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45582</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45582</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45582</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45582</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45582</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45582</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45582</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45582</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45582</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45582</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45582</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45582</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45582</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45582</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45582</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45582</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45582</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45582</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45582</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45582</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45582</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45582</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45582</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45582</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45582</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45582</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45582</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45582</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45582</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45582</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45582</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45582</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45582</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45582</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45582</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45582</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45582</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45582</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45582</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45582</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45582</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45582</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45582</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45582</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45582</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45582</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45582</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45582</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45582</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45582</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45582</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45582</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45582</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45582</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45582</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45582</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45582</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45582</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45582</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45582</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45582</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45582</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45582</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45582</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45582</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45582</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45582</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45582</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45582</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45582</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45582</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45582</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45582</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45582</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45582</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45582</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45582</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45582</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45582</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45582</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45582</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45582</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45582</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45582</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45582</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45582</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45582</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45582</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45582</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45582</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45582</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45582</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45582</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45582</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45582</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45582</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45582</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45582</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45582</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45582</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45582</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45582</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45582</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45582</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45582</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45582</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45582</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45582</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45582</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45582</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45582</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45582</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45582</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45582</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45582</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45582</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45582</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45582</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45582</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45582</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45582</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45582</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45582</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45582</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45582</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45582</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45582</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45582</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45582</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45582</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45582</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45582</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45582</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45582</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45582</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45582</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45582</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45582</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45582</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45582</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45582</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45582</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45582</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45582</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45582</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45582</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45582</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45582</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45582</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45582</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45582</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45582</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45582</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45582</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45582</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45582</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45582</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45582</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45582</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45582</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45582</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45582</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45582</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45582</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45582</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45582</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45582</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45582</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45582</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45582</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45582</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45582</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45582</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45582</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45582</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45582</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45582</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45582</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45582</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45582</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45582</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45582</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45582</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45582</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45582</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45582</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45582</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45582</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45582</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45582</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45582</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45582</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45582</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45582</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45582</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45582</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45582</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45582</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45582</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45582</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45582</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45582</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45582</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45582</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45582</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45582</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45582</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45582</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45582</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45582</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45582</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45582</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45582</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45582</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45582</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45582</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45582</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45582</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45582</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45582</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45582</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45582</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45582</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45582</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45582</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45582</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45582</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45582</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45582</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45582</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45582</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45582</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45582</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45582</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45582</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45582</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45582</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45582</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45582</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45582</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45582</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45582</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45582</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45582</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45582</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45582</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45582</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45582</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45582</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45582</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45582</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45582</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45582</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45582</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45582</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45582</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45582</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45582</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45582</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45582</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45582</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45582</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45582</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45582</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45582</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45582</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45582</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45582</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45582</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45582</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45582</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45582</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45582</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45582</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45582</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45582</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45582</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45582</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45582</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45582</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45582</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45582</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45582</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45582</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45582</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45582</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45582</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45582</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45582</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45582</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45582</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45582</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45582</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45582</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45582</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45582</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45582</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45582</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45582</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45582</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45582</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45582</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45582</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45582</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45582</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45582</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45582</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45582</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45582</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45582</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45582</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45582</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45582</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45582</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45582</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45582</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45582</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45582</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45582</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45582</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45582</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45582</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45582</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45582</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45582</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45582</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45582</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45582</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45582</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45582</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45582</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45582</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45582</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45582</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45582</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45582</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45582</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45582</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45582</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45582</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45582</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45582</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45582</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45582</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45582</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45582</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45582</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45582</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45582</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45582</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45582</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45582</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45582</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45582</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45582</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45582</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45582</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45582</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45582</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45582</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45582</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45582</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45582</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45582</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45582</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45582</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45582</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45582</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45582</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45582</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45582</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45582</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45582</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45582</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45582</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45582</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45582</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45582</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45582</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45582</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45582</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45582</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45582</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45582</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45582</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45582</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45582</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45582</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45582</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45582</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45582</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45582</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45582</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45582</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45582</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45582</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45582</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45582</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45582</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45582</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45582</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45582</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45582</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45582</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45582</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45582</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45582</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45582</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45582</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45582</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45582</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45582</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45582</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45582</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45582</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45582</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45582</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45582</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45582</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45582</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45582</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45582</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45582</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45582</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45582</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45582</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45582</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45582</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45582</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45582</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45582</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45582</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45582</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45582</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45582</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45582</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45582</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45582</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45582</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45582</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45582</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45582</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45582</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45582</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45582</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45582</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45582</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45582</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45582</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45582</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45582</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45582</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45582</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45582</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45582</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45582</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45582</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45582</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45582</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45582</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45582</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45582</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45582</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45582</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45582</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45582</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45582</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45582</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45582</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45582</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45582</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45582</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45582</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45582</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45582</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45582</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45582</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45582</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45582</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45582</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45582</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45582</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45582</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45582</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45582</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45582</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45582</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45582</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45582</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45582</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45582</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45582</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45582</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45582</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45582</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45582</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45582</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45582</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45582</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45582</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45582</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45582</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45582</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45582</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45582</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45582</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45582</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45582</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45582</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45582</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45582</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45582</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45582</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45582</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45582</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45582</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45582</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45582</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45582</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45582</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45582</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45582</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45582</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45582</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45582</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45582</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45582</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45582</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45582</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45582</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45582</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45582</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45582</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45582</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45582</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45582</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45582</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45582</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45582</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45582</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45582</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45582</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45582</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45582</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45582</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45582</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45582</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45582</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45582</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45582</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45582</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45582</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45582</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45582</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45582</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45582</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45582</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45582</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45582</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45582</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45582</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45582</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45582</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45582</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45582</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45582</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45582</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45582</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45582</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45582</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45582</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45582</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45582</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45582</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45582</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45582</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45582</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45582</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45582</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45582</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45582</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45582</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45582</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45582</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45582</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45582</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45582</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45582</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45582</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45582</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45582</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45582</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45582</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45582</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45582</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45582</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45582</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45582</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45582</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45582</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45582</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45582</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45582</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45582</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45582</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45582</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45582</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45582</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45582</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45582</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45582</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45582</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45582</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45582</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45582</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45582</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45582</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45582</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45582</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45582</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45582</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45582</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45582</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45582</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45582</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45582</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45582</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45582</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45582</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45582</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45582</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45582</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45582</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45582</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45582</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45582</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45582</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45582</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45582</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45582</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45582</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45582</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45582</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45582</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45582</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45582</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45582</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45582</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45582</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45582</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45582</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45582</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45582</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45582</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45582</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45582</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45582</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45582</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45582</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45582</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45582</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45582</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45582</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45582</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45582</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45582</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45582</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45582</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45582</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45582</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45582</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45582</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45582</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45582</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45582</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45582</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45582</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45582</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45582</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45582</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45582</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45582</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45582</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45582</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45582</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45582</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45582</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45582</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45582</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45582</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45582</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45582</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45582</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45582</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45582</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45582</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45582</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45582</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45582</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45582</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45582</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45582</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45582</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45582</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45582</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45582</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45582</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45582</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45582</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45582</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45582</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45582</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45582</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45582</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45582</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45582</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45582</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45582</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45582</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45582</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45582</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45582</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45582</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45582</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45582</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45582</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45582</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45582</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45582</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45582</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45582</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45582</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45582</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45582</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45582</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45582</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45582</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45582</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45582</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45582</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45582</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45582</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45582</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45582</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45582</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45582</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45582</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45582</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45582</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45582</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45582</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45582</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45582</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45582</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45582</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45582</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45582</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45582</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45582</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45582</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45582</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45582</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45582</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45582</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45582</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45582</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45582</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45582</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45582</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45582</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45582</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45582</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45582</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45582</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45582</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45582</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45582</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45582</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45582</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45582</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45582</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45582</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45582</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45582</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45582</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45582</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45582</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45582</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45582</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45582</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45582</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45582</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45582</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45582</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45582</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45582</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45582</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45582</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45582</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45582</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45582</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45582</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45582</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45582</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45582</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45582</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45582</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45582</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45582</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45582</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45582</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45582</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45582</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45582</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45582</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45582</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45582</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45582</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45582</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45582</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45582</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45582</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45582</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45582</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45582</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45582</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45582</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45582</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45582</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45582</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45582</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45582</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45582</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45582</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45582</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45582</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45582</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45582</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45582</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45582</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45582</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45582</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45582</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45582</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45582</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45582</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45582</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45582</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45582</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45582</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45582</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45582</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45582</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45582</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45582</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45582</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45582</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45582</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45582</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45582</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45582</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45582</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45582</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45582</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45582</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45582</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45582</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45582</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45582</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45582</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45582</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45582</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45582</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45582</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45582</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45582</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45582</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45582</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45582</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45582</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45582</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45582</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45582</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45582</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45582</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45582</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45582</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45582</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45582</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45582</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45582</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45582</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45582</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45582</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45582</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45582</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45582</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45582</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45582</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45582</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45582</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45582</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45582</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45582</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45582</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45582</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45582</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45582</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45582</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45582</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45582</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45582</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45582</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45582</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45582</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45582</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45582</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45582</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45582</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45582</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45582</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45582</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45582</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45582</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45582</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45582</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45582</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45582</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45582</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45582</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45582</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45582</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45582</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45582</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45582</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45582</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45582</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45582</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45582</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45582</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45582</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45582</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45582</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45582</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45582</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45582</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45582</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45582</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45582</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45582</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45582</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45582</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45582</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45582</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45582</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45582</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45582</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45582</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45582</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45582</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45582</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45582</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45582</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45582</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45582</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45582</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45582</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45582</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45582</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45582</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45582</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45582</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45582</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45582</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45582</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45582</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45582</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45582</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45582</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45582</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45582</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45582</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45582</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45582</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45582</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45582</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45582</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45582</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45582</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45582</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45582</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45582</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45582</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45582</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45582</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45582</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45582</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45582</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45582</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45582</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45582</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45582</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45582</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45582</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45582</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45582</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45582</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45582</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45582</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45582</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45582</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45582</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45582</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45582</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45582</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45582</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45582</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45582</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45582</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45582</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45582</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45582</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45582</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45582</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45582</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45582</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45582</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45582</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45582</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45582</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45582</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45582</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45582</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45582</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45582</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45582</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45582</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45582</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45582</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45582</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45582</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45582</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45582</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45582</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45582</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45582</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45582</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45582</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45582</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45582</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45582</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45582</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45582</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45582</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45582</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45582</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45582</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45582</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45582</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45582</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45582</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45582</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45582</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45582</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45582</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45582</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45582</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45582</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45582</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45582</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45582</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45582</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45582</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45582</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45582</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45582</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45582</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45582</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45582</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45582</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45582</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45582</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45582</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45582</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45582</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45582</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45582</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45582</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45582</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45582</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45582</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45582</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45582</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45582</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45582</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45582</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45582</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45582</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45582</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45582</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45582</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45582</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45582</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45582</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45582</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45582</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45582</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45582</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45582</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45582</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45582</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45582</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45582</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45582</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45582</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45582</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45582</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45582</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45582</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45582</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45582</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45582</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45582</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45582</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45582</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45582</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45582</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45582</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45582</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45582</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45582</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45582</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45582</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45582</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45582</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45582</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45582</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45582</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45582</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45582</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45582</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45582</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45582</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45582</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45582</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45582</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45582</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45582</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45582</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45582</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45582</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45582</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45582</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45582</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45582</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45582</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45582</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45582</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45582</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45582</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45582</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45582</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45582</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45582</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45582</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45582</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45582</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45582</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45582</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45582</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45582</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45582</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45582</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45582</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45582</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45582</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45582</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45582</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45582</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45582</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45582</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45582</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45582</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45582</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45582</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45582</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45582</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45582</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45582</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45582</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45582</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45582</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45582</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45582</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45582</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45582</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45582</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45582</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45582</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45582</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45582</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45582</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45582</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45582</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45582</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45582</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45582</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45582</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45582</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45582</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45582</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45582</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45582</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45582</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45582</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45582</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45582</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45582</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45582</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45582</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45582</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45582</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45582</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45582</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45582</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45582</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45582</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45582</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45582</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45582</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45582</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45582</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45582</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45582</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45582</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45582</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45582</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45582</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45582</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45582</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45582</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45582</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45582</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45582</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45582</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45582</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45582</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45582</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45582</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45582</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45582</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45582</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45582</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45582</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45582</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45582</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45582</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45582</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45582</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45582</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45582</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45582</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45582</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45582</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45582</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45582</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45582</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45582</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45582</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45582</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45582</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45582</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45582</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45582</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45582</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45582</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45582</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45582</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45582</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45582</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45582</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45582</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45582</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45582</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45582</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45582</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45582</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45582</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45582</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45582</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45582</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45582</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45582</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45582</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45582</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45582</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45582</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45582</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45582</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45582</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45582</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45582</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45582</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45582</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45582</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45582</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45582</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45582</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45582</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45582</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45582</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45582</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45582</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45582</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45582</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45582</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45582</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45582</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45582</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45582</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45582</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45582</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45582</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45582</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45582</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45582</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45582</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45582</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45582</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45582</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45582</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45582</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45582</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45582</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45582</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45582</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45582</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45582</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45582</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45582</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45582</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45582</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45582</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45582</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45582</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45582</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45582</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45582</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45582</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45582</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45582</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45582</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45582</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45582</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45582</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45582</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45582</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45582</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45582</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45582</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45582</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45582</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45582</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45582</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45582</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45582</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45582</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45582</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45582</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45582</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45582</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45582</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45582</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45582</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45582</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45582</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45582</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45582</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45582</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45582</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45582</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45582</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45582</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45582</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45582</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45582</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45582</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45582</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45582</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45582</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45582</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45582</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45582</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45582</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45582</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45582</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45582</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45582</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45582</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45582</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45582</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45582</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45582</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45582</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45582</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45582</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45582</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45582</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45582</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45582</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45582</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45582</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45582</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45582</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45582</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45582</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45582</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45582</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45582</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45582</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45582</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45582</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45582</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45582</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45582</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45582</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45582</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45582</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45582</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45582</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45582</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45582</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45582</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45582</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45582</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45582</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45582</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45582</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45582</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45582</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45582</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45582</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45582</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45582</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45582</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45582</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45582</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45582</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45582</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45582</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45582</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45582</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45582</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45582</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45582</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45582</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45582</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45582</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45582</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45582</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45582</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45582</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45582</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45582</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45582</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45582</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45582</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45582</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45582</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45582</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45582</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45582</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45582</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45582</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45582</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45582</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45582</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45582</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45582</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45582</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45582</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45582</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45582</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45582</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45582</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45582</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45582</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45582</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45582</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45582</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45582</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45582</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45582</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45582</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45582</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45582</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45582</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45582</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45582</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45582</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45582</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45582</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45582</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45582</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45582</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45582</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45582</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45582</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45582</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45582</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45582</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45582</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45582</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45582</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45582</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45582</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45582</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45582</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45582</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45582</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45582</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45582</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45582</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45582</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45582</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45582</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45582</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45582</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45582</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45582</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45582</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45582</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45582</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45582</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45582</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45582</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45582</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45582</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45582</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45582</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45582</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45582</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45582</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45582</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45582</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45582</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45582</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45582</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45582</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45582</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45582</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45582</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45582</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45582</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45582</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45582</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45582</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45582</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45582</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45582</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45582</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45582</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45582</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45582</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45582</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45582</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45582</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45582</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45582</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45582</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45582</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45582</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45582</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45582</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45582</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45582</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45582</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45582</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45582</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45582</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45582</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45582</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45582</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45582</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45582</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45582</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45582</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45582</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45582</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45582</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45582</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45582</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45582</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45582</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45582</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45582</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45582</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45582</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45582</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45582</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45582</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45582</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45582</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45582</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45582</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45582</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45582</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45582</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45582</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45582</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45582</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45582</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45582</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45582</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45582</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45582</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45582</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45582</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45582</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45582</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45582</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45582</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45582</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45582</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45582</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45582</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45582</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45582</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45582</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45582</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45582</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45582</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45582</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45582</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45582</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45582</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45582</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45582</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45582</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45582</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45582</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45582</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45582</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45582</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45582</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45582</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45582</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45582</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45582</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45582</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45582</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45582</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45582</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45582</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45582</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45582</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45582</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45582</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45582</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45582</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45582</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45582</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45582</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45582</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45582</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45582</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45582</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45582</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45582</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45582</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45582</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45582</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45582</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45582</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45582</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45582</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45582</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45582</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45582</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45582</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45582</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45582</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45582</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45582</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45582</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45582</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45582</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45582</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45582</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45582</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45582</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45582</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45582</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45582</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45582</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45582</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45582</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45582</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45582</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45582</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45582</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45582</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45582</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45582</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45582</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45582</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45582</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45582</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45582</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45582</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45582</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45582</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45582</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45582</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45582</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45582</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45582</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45582</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45582</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45582</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45582</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45582</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45582</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45582</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45582</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45582</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45582</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45582</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45582</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45582</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45582</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45582</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45582</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45582</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45582</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45582</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45582</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45582</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45582</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45582</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45582</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45582</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45582</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45582</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45582</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45582</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45582</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45582</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45582</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45582</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45582</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45582</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45582</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45582</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45582</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45582</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45582</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45582</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45582</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45582</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45582</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45582</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45582</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45582</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45582</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45582</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45582</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45582</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45582</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45582</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45582</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45582</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45582</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45582</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45582</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45582</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45582</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45582</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45582</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45582</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45582</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45582</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45582</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45582</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45582</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45582</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45582</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45582</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45582</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45582</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45582</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45582</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45582</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45582</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45582</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45582</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45582</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45582</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45582</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45582</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45582</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45582</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45582</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45582</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45582</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45582</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45582</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45582</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45582</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45582</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45582</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45582</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45582</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45582</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45582</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45582</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45582</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45582</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45582</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45582</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45582</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45582</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45582</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45582</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45582</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45582</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45582</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45582</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45582</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45582</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45582</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45582</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45582</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45582</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45582</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45582</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45582</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45582</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45582</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45582</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45582</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45582</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45582</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45582</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45582</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45582</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45582</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45582</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45582</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45582</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45582</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45582</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45582</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45582</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45582</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45582</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45582</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45582</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45582</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45582</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45582</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45582</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45582</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45582</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45582</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45582</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45582</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45582</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45582</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45582</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45582</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45582</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45582</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45582</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45582</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45582</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45582</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45582</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45582</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45582</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45582</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45582</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45582</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45582</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45582</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45582</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45582</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45582</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45582</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45582</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45582</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45582</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45582</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45582</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45582</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45582</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45582</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45582</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45582</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45582</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45582</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45582</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45582</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45582</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45582</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45582</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45582</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45582</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45582</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45582</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45582</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45582</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45582</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45582</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45582</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45582</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45582</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45582</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45582</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45582</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45582</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45582</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45582</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45582</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45582</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45582</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45582</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45582</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45582</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45582</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45582</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45582</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45582</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45582</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45582</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45582</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45582</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45582</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45582</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45582</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45582</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45582</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45582</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45582</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45582</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45582</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45582</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45582</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45582</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45582</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45582</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45582</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45582</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45582</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45582</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45582</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45582</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45582</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45582</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45582</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45582</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45582</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45582</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45582</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45582</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45582</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45582</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45582</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45582</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45582</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45582</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45582</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45582</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45582</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45582</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45582</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45582</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45582</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45582</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45582</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45582</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45582</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45582</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45582</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45582</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45582</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45582</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45582</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45582</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45582</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45582</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45582</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45582</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45582</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45582</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45582</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45582</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45582</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45582</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45582</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45582</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45582</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45582</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45582</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45582</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45582</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45582</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45582</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45582</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45582</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45582</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45582</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45582</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45582</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45582</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45582</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45582</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45582</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45582</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45582</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45582</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45582</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45582</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45582</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45582</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45582</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45582</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45582</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45582</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45582</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45582</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45582</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45582</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45582</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45582</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45582</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45582</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45582</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45582</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45582</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45582</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45582</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45582</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45582</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45582</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45582</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45582</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45582</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45582</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45582</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45582</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45582</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45582</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45582</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45582</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45582</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45582</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45582</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45582</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45582</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45582</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45582</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45582</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45582</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45582</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45582</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45582</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45582</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45582</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45582</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45582</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45582</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45582</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45582</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45582</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45582</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45582</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45582</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45582</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45582</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45582</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45582</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45582</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45582</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45582</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45582</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45582</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45582</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45582</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45582</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45582</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45582</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45582</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45582</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45582</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45582</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45582</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45582</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45582</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45582</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45582</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45582</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45582</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45582</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45582</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45582</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45582</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45582</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45582</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45582</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45582</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45582</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45582</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45582</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45582</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45582</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45582</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45582</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45582</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45582</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45582</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45582</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45582</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45582</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45582</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45582</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45582</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45582</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45582</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45582</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45582</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45582</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45582</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45582</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45582</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45582</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45582</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45582</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45582</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45582</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45582</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45582</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45582</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45582</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45582</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45582</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45582</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45582</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45582</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45582</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45582</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45582</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45582</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45582</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45582</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45582</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45582</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45582</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45582</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45582</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45582</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45582</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45582</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45582</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45582</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45582</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45582</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45582</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45582</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45582</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45582</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45582</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45582</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45582</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45582</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45582</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45582</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45582</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45582</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45582</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45582</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45582</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45582</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45582</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45582</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45582</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45582</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45582</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45582</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45582</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45582</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45582</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45582</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45582</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45582</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45582</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45582</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45582</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45582</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45582</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45582</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45582</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45582</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45582</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45582</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45582</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45582</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45582</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45582</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45582</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45582</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45582</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45582</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45582</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45582</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45582</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45582</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45582</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45582</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45582</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45582</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45582</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45582</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45582</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45582</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45582</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45582</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45582</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45582</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45582</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45582</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45582</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45582</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45582</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45582</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45582</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45582</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45582</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45582</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45582</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45582</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45582</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45582</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45582</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45582</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45582</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45582</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45582</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45582</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45582</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45582</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45582</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45582</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45582</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45582</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45582</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45582</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45582</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45582</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45582</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45582</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45582</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45582</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45582</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45582</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45582</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45582</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45582</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45582</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45582</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45582</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45582</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45582</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45582</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45582</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45582</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45582</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45582</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45582</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45582</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45582</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45582</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45582</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45582</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45582</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45582</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45582</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45582</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45582</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45582</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45582</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45582</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45582</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45582</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45582</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45582</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45582</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45582</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45582</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45582</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45582</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45582</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45582</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45582</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45582</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45582</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45582</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45582</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45582</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45582</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45582</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45582</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45582</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45582</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45582</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45582</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45582</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45582</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45582</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45582</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45582</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45582</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45582</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45582</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45582</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45582</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45582</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45582</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45582</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45582</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45582</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45582</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45582</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45582</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45582</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45582</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45582</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45582</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45582</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45582</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45582</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45582</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45582</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45582</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45582</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45582</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45582</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45582</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45582</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45582</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45582</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45582</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45582</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45582</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45582</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45582</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45582</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45582</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45582</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45582</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45582</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45582</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45582</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45582</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45582</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45582</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45582</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45582</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45582</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45582</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45582</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45582</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45582</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45582</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45582</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45582</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45582</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45582</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45582</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45582</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45582</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45582</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45582</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45582</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45582</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45582</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45582</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45582</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45582</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45582</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45582</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45582</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45582</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45582</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45582</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45582</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45582</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45582</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45582</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45582</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45582</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45582</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45582</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45582</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45582</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45582</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45582</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45582</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45582</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45582</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45582</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45582</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45582</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45582</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45582</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45582</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45582</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45582</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45582</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45582</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45582</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45582</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45582</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45582</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45582</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45582</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45582</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45582</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45582</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45582</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45582</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45582</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45582</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45582</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45582</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45582</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45582</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45582</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45582</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45582</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45582</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45582</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45582</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45582</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45582</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45582</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45582</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45582</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45582</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45582</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45582</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45582</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45582</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45582</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45582</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45582</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45582</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45582</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45582</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45582</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45582</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45582</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45582</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45582</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45582</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45582</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45582</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45582</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45582</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45582</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45582</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45582</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45582</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45582</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45582</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45582</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45582</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45582</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45582</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45582</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45582</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45582</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45582</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45582</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45582</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45582</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45582</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45582</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45582</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45582</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45582</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45582</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45582</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45582</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45582</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45582</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45582</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45582</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45582</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45582</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45582</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45582</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45582</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45582</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45582</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45582</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45582</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45582</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45582</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45582</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45582</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45582</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45582</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45582</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45582</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45582</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45582</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45582</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45582</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45582</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45582</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45582</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45582</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45582</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45582</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45582</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45582</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45582</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45582</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45582</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45582</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45582</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45582</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45582</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45582</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45582</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45582</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45582</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45582</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45582</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45582</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45582</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45582</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45582</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45582</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45582</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45582</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45582</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45582</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45582</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45582</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45582</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45582</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45582</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45582</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45582</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45582</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45582</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45582</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45582</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45582</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45582</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45582</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45582</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45582</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45582</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45582</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45582</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45582</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45582</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45582</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45582</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45582</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45582</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45582</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45582</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45582</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45582</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45582</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45582</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45582</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45582</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45582</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45582</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45582</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45582</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45582</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45582</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45582</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45582</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45582</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45582</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45582</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45582</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45582</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45582</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45582</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45582</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45582</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45582</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45582</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45582</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45582</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45582</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45582</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45582</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45582</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45582</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45582</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45582</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45582</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45582</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45582</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45582</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45582</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45582</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45582</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45582</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45582</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45582</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45582</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45582</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45582</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45582</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45582</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45582</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45582</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45582</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45582</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45582</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45582</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45582</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45582</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45582</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45582</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45582</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45582</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45582</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45582</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45582</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45582</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45582</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45582</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45582</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45582</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45582</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45582</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45582</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45582</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45582</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45582</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45582</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45582</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45582</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45582</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45582</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45582</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45582</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45582</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45582</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45582</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45582</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45582</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45582</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45582</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45582</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45582</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45582</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45582</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45582</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45582</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45582</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45582</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45582</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45582</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45582</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45582</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45582</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45582</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45582</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45582</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45582</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45582</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45582</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45582</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45582</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45582</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45582</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45582</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45582</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45582</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45582</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45582</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45582</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45582</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45582</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45582</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45582</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45582</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45582</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45582</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45582</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45582</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45582</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45582</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45582</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45582</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45582</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45582</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45582</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45582</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45582</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45582</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45582</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45582</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45582</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45582</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45582</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45582</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45582</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45582</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45582</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45582</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45582</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45582</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45582</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45582</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45582</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45582</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45582</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45582</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45582</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45582</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45582</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45582</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45582</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45582</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45582</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45582</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45582</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45582</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45582</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45582</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45582</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45582</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45582</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45582</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45582</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45582</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38902-2024</t>
        </is>
      </c>
      <c r="B3682" s="1" t="n">
        <v>45547</v>
      </c>
      <c r="C3682" s="1" t="n">
        <v>45582</v>
      </c>
      <c r="D3682" t="inlineStr">
        <is>
          <t>STOCKHOLMS LÄN</t>
        </is>
      </c>
      <c r="E3682" t="inlineStr">
        <is>
          <t>UPPLANDS-BRO</t>
        </is>
      </c>
      <c r="F3682" t="inlineStr">
        <is>
          <t>Övriga statliga verk och myndigheter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39203-2024</t>
        </is>
      </c>
      <c r="B3683" s="1" t="n">
        <v>45548</v>
      </c>
      <c r="C3683" s="1" t="n">
        <v>45582</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39202-2024</t>
        </is>
      </c>
      <c r="B3684" s="1" t="n">
        <v>45548</v>
      </c>
      <c r="C3684" s="1" t="n">
        <v>45582</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45582</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39237-2024</t>
        </is>
      </c>
      <c r="B3686" s="1" t="n">
        <v>45549</v>
      </c>
      <c r="C3686" s="1" t="n">
        <v>45582</v>
      </c>
      <c r="D3686" t="inlineStr">
        <is>
          <t>STOCKHOLMS LÄN</t>
        </is>
      </c>
      <c r="E3686" t="inlineStr">
        <is>
          <t>NORRTÄLJE</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45582</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39669-2024</t>
        </is>
      </c>
      <c r="B3688" s="1" t="n">
        <v>45552</v>
      </c>
      <c r="C3688" s="1" t="n">
        <v>45582</v>
      </c>
      <c r="D3688" t="inlineStr">
        <is>
          <t>STOCKHOLMS LÄN</t>
        </is>
      </c>
      <c r="E3688" t="inlineStr">
        <is>
          <t>NORRTÄLJE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39667-2024</t>
        </is>
      </c>
      <c r="B3689" s="1" t="n">
        <v>45552</v>
      </c>
      <c r="C3689" s="1" t="n">
        <v>45582</v>
      </c>
      <c r="D3689" t="inlineStr">
        <is>
          <t>STOCKHOLMS LÄN</t>
        </is>
      </c>
      <c r="E3689" t="inlineStr">
        <is>
          <t>NORRTÄLJE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45582</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39913-2024</t>
        </is>
      </c>
      <c r="B3691" s="1" t="n">
        <v>45553</v>
      </c>
      <c r="C3691" s="1" t="n">
        <v>45582</v>
      </c>
      <c r="D3691" t="inlineStr">
        <is>
          <t>STOCKHOLMS LÄN</t>
        </is>
      </c>
      <c r="E3691" t="inlineStr">
        <is>
          <t>NORRTÄLJE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45582</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40031-2024</t>
        </is>
      </c>
      <c r="B3693" s="1" t="n">
        <v>45553</v>
      </c>
      <c r="C3693" s="1" t="n">
        <v>45582</v>
      </c>
      <c r="D3693" t="inlineStr">
        <is>
          <t>STOCKHOLMS LÄN</t>
        </is>
      </c>
      <c r="E3693" t="inlineStr">
        <is>
          <t>VAXHOLM</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45582</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45582</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40483-2024</t>
        </is>
      </c>
      <c r="B3696" s="1" t="n">
        <v>45555</v>
      </c>
      <c r="C3696" s="1" t="n">
        <v>45582</v>
      </c>
      <c r="D3696" t="inlineStr">
        <is>
          <t>STOCKHOLMS LÄN</t>
        </is>
      </c>
      <c r="E3696" t="inlineStr">
        <is>
          <t>NYNÄSHAMN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45582</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45582</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45582</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41310-2024</t>
        </is>
      </c>
      <c r="B3700" s="1" t="n">
        <v>45559</v>
      </c>
      <c r="C3700" s="1" t="n">
        <v>45582</v>
      </c>
      <c r="D3700" t="inlineStr">
        <is>
          <t>STOCKHOLMS LÄN</t>
        </is>
      </c>
      <c r="E3700" t="inlineStr">
        <is>
          <t>NORRTÄLJE</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41219-2024</t>
        </is>
      </c>
      <c r="B3701" s="1" t="n">
        <v>45559</v>
      </c>
      <c r="C3701" s="1" t="n">
        <v>45582</v>
      </c>
      <c r="D3701" t="inlineStr">
        <is>
          <t>STOCKHOLMS LÄN</t>
        </is>
      </c>
      <c r="E3701" t="inlineStr">
        <is>
          <t>NORRTÄLJE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41218-2024</t>
        </is>
      </c>
      <c r="B3702" s="1" t="n">
        <v>45559</v>
      </c>
      <c r="C3702" s="1" t="n">
        <v>45582</v>
      </c>
      <c r="D3702" t="inlineStr">
        <is>
          <t>STOCKHOLMS LÄN</t>
        </is>
      </c>
      <c r="E3702" t="inlineStr">
        <is>
          <t>NORRTÄLJE</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41243-2024</t>
        </is>
      </c>
      <c r="B3703" s="1" t="n">
        <v>45559</v>
      </c>
      <c r="C3703" s="1" t="n">
        <v>45582</v>
      </c>
      <c r="D3703" t="inlineStr">
        <is>
          <t>STOCKHOLMS LÄN</t>
        </is>
      </c>
      <c r="E3703" t="inlineStr">
        <is>
          <t>NORRTÄLJE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41342-2024</t>
        </is>
      </c>
      <c r="B3704" s="1" t="n">
        <v>45559</v>
      </c>
      <c r="C3704" s="1" t="n">
        <v>45582</v>
      </c>
      <c r="D3704" t="inlineStr">
        <is>
          <t>STOCKHOLMS LÄN</t>
        </is>
      </c>
      <c r="E3704" t="inlineStr">
        <is>
          <t>NORRTÄLJE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41253-2024</t>
        </is>
      </c>
      <c r="B3705" s="1" t="n">
        <v>45559</v>
      </c>
      <c r="C3705" s="1" t="n">
        <v>45582</v>
      </c>
      <c r="D3705" t="inlineStr">
        <is>
          <t>STOCKHOLMS LÄN</t>
        </is>
      </c>
      <c r="E3705" t="inlineStr">
        <is>
          <t>NORRTÄLJE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45582</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45582</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45582</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42339-2024</t>
        </is>
      </c>
      <c r="B3709" s="1" t="n">
        <v>45562</v>
      </c>
      <c r="C3709" s="1" t="n">
        <v>45582</v>
      </c>
      <c r="D3709" t="inlineStr">
        <is>
          <t>STOCKHOLMS LÄN</t>
        </is>
      </c>
      <c r="E3709" t="inlineStr">
        <is>
          <t>SÖDERTÄLJE</t>
        </is>
      </c>
      <c r="F3709" t="inlineStr">
        <is>
          <t>Övriga statliga verk och myndigheter</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42572-2024</t>
        </is>
      </c>
      <c r="B3710" s="1" t="n">
        <v>45565</v>
      </c>
      <c r="C3710" s="1" t="n">
        <v>45582</v>
      </c>
      <c r="D3710" t="inlineStr">
        <is>
          <t>STOCKHOLMS LÄN</t>
        </is>
      </c>
      <c r="E3710" t="inlineStr">
        <is>
          <t>SIGTUNA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42563-2024</t>
        </is>
      </c>
      <c r="B3711" s="1" t="n">
        <v>45565</v>
      </c>
      <c r="C3711" s="1" t="n">
        <v>45582</v>
      </c>
      <c r="D3711" t="inlineStr">
        <is>
          <t>STOCKHOLMS LÄN</t>
        </is>
      </c>
      <c r="E3711" t="inlineStr">
        <is>
          <t>SIGTUNA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42567-2024</t>
        </is>
      </c>
      <c r="B3712" s="1" t="n">
        <v>45565</v>
      </c>
      <c r="C3712" s="1" t="n">
        <v>45582</v>
      </c>
      <c r="D3712" t="inlineStr">
        <is>
          <t>STOCKHOLMS LÄN</t>
        </is>
      </c>
      <c r="E3712" t="inlineStr">
        <is>
          <t>SIGTUNA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42569-2024</t>
        </is>
      </c>
      <c r="B3713" s="1" t="n">
        <v>45565</v>
      </c>
      <c r="C3713" s="1" t="n">
        <v>45582</v>
      </c>
      <c r="D3713" t="inlineStr">
        <is>
          <t>STOCKHOLMS LÄN</t>
        </is>
      </c>
      <c r="E3713" t="inlineStr">
        <is>
          <t>SIGTUNA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45582</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43158-2024</t>
        </is>
      </c>
      <c r="B3715" s="1" t="n">
        <v>45567</v>
      </c>
      <c r="C3715" s="1" t="n">
        <v>45582</v>
      </c>
      <c r="D3715" t="inlineStr">
        <is>
          <t>STOCKHOLMS LÄN</t>
        </is>
      </c>
      <c r="E3715" t="inlineStr">
        <is>
          <t>SIGTUNA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43159-2024</t>
        </is>
      </c>
      <c r="B3716" s="1" t="n">
        <v>45567</v>
      </c>
      <c r="C3716" s="1" t="n">
        <v>45582</v>
      </c>
      <c r="D3716" t="inlineStr">
        <is>
          <t>STOCKHOLMS LÄN</t>
        </is>
      </c>
      <c r="E3716" t="inlineStr">
        <is>
          <t>SIGTUNA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43152-2024</t>
        </is>
      </c>
      <c r="B3717" s="1" t="n">
        <v>45567</v>
      </c>
      <c r="C3717" s="1" t="n">
        <v>45582</v>
      </c>
      <c r="D3717" t="inlineStr">
        <is>
          <t>STOCKHOLMS LÄN</t>
        </is>
      </c>
      <c r="E3717" t="inlineStr">
        <is>
          <t>SIGTUNA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43747-2024</t>
        </is>
      </c>
      <c r="B3718" s="1" t="n">
        <v>45569</v>
      </c>
      <c r="C3718" s="1" t="n">
        <v>45582</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43742-2024</t>
        </is>
      </c>
      <c r="B3719" s="1" t="n">
        <v>45569</v>
      </c>
      <c r="C3719" s="1" t="n">
        <v>45582</v>
      </c>
      <c r="D3719" t="inlineStr">
        <is>
          <t>STOCKHOLMS LÄN</t>
        </is>
      </c>
      <c r="E3719" t="inlineStr">
        <is>
          <t>SALEM</t>
        </is>
      </c>
      <c r="F3719" t="inlineStr">
        <is>
          <t>Kommuner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45582</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45582</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44206-2024</t>
        </is>
      </c>
      <c r="B3722" s="1" t="n">
        <v>45573</v>
      </c>
      <c r="C3722" s="1" t="n">
        <v>45582</v>
      </c>
      <c r="D3722" t="inlineStr">
        <is>
          <t>STOCKHOLMS LÄN</t>
        </is>
      </c>
      <c r="E3722" t="inlineStr">
        <is>
          <t>NYNÄSHAMN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44237-2024</t>
        </is>
      </c>
      <c r="B3723" s="1" t="n">
        <v>45573</v>
      </c>
      <c r="C3723" s="1" t="n">
        <v>45582</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44205-2024</t>
        </is>
      </c>
      <c r="B3724" s="1" t="n">
        <v>45573</v>
      </c>
      <c r="C3724" s="1" t="n">
        <v>45582</v>
      </c>
      <c r="D3724" t="inlineStr">
        <is>
          <t>STOCKHOLMS LÄN</t>
        </is>
      </c>
      <c r="E3724" t="inlineStr">
        <is>
          <t>NYNÄSHAMN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44776-2024</t>
        </is>
      </c>
      <c r="B3725" s="1" t="n">
        <v>45574</v>
      </c>
      <c r="C3725" s="1" t="n">
        <v>45582</v>
      </c>
      <c r="D3725" t="inlineStr">
        <is>
          <t>STOCKHOLMS LÄN</t>
        </is>
      </c>
      <c r="E3725" t="inlineStr">
        <is>
          <t>NORRTÄLJE</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44821-2024</t>
        </is>
      </c>
      <c r="B3726" s="1" t="n">
        <v>45574</v>
      </c>
      <c r="C3726" s="1" t="n">
        <v>45582</v>
      </c>
      <c r="D3726" t="inlineStr">
        <is>
          <t>STOCKHOLMS LÄN</t>
        </is>
      </c>
      <c r="E3726" t="inlineStr">
        <is>
          <t>NORRTÄLJE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45220-2024</t>
        </is>
      </c>
      <c r="B3727" s="1" t="n">
        <v>45575</v>
      </c>
      <c r="C3727" s="1" t="n">
        <v>45582</v>
      </c>
      <c r="D3727" t="inlineStr">
        <is>
          <t>STOCKHOLMS LÄN</t>
        </is>
      </c>
      <c r="E3727" t="inlineStr">
        <is>
          <t>NORRTÄLJE</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45219-2024</t>
        </is>
      </c>
      <c r="B3728" s="1" t="n">
        <v>45575</v>
      </c>
      <c r="C3728" s="1" t="n">
        <v>45582</v>
      </c>
      <c r="D3728" t="inlineStr">
        <is>
          <t>STOCKHOLMS LÄN</t>
        </is>
      </c>
      <c r="E3728" t="inlineStr">
        <is>
          <t>VALLENTUNA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45223-2024</t>
        </is>
      </c>
      <c r="B3729" s="1" t="n">
        <v>45575</v>
      </c>
      <c r="C3729" s="1" t="n">
        <v>45582</v>
      </c>
      <c r="D3729" t="inlineStr">
        <is>
          <t>STOCKHOLMS LÄN</t>
        </is>
      </c>
      <c r="E3729" t="inlineStr">
        <is>
          <t>VALLENTUNA</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45221-2024</t>
        </is>
      </c>
      <c r="B3730" s="1" t="n">
        <v>45575</v>
      </c>
      <c r="C3730" s="1" t="n">
        <v>45582</v>
      </c>
      <c r="D3730" t="inlineStr">
        <is>
          <t>STOCKHOLMS LÄN</t>
        </is>
      </c>
      <c r="E3730" t="inlineStr">
        <is>
          <t>VALLENTUNA</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45233-2024</t>
        </is>
      </c>
      <c r="B3731" s="1" t="n">
        <v>45575</v>
      </c>
      <c r="C3731" s="1" t="n">
        <v>45582</v>
      </c>
      <c r="D3731" t="inlineStr">
        <is>
          <t>STOCKHOLMS LÄN</t>
        </is>
      </c>
      <c r="E3731" t="inlineStr">
        <is>
          <t>SIGTUNA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45222-2024</t>
        </is>
      </c>
      <c r="B3732" s="1" t="n">
        <v>45575</v>
      </c>
      <c r="C3732" s="1" t="n">
        <v>45582</v>
      </c>
      <c r="D3732" t="inlineStr">
        <is>
          <t>STOCKHOLMS LÄN</t>
        </is>
      </c>
      <c r="E3732" t="inlineStr">
        <is>
          <t>VALLENTUNA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45247-2024</t>
        </is>
      </c>
      <c r="B3733" s="1" t="n">
        <v>45576</v>
      </c>
      <c r="C3733" s="1" t="n">
        <v>45582</v>
      </c>
      <c r="D3733" t="inlineStr">
        <is>
          <t>STOCKHOLMS LÄN</t>
        </is>
      </c>
      <c r="E3733" t="inlineStr">
        <is>
          <t>NORRTÄLJE</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45254-2024</t>
        </is>
      </c>
      <c r="B3734" s="1" t="n">
        <v>45576</v>
      </c>
      <c r="C3734" s="1" t="n">
        <v>45582</v>
      </c>
      <c r="D3734" t="inlineStr">
        <is>
          <t>STOCKHOLMS LÄN</t>
        </is>
      </c>
      <c r="E3734" t="inlineStr">
        <is>
          <t>NORRTÄLJE</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45451-2024</t>
        </is>
      </c>
      <c r="B3735" s="1" t="n">
        <v>45576</v>
      </c>
      <c r="C3735" s="1" t="n">
        <v>45582</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45739-2024</t>
        </is>
      </c>
      <c r="B3736" s="1" t="n">
        <v>45579</v>
      </c>
      <c r="C3736" s="1" t="n">
        <v>45582</v>
      </c>
      <c r="D3736" t="inlineStr">
        <is>
          <t>STOCKHOLMS LÄN</t>
        </is>
      </c>
      <c r="E3736" t="inlineStr">
        <is>
          <t>NORRTÄLJE</t>
        </is>
      </c>
      <c r="G3736" t="n">
        <v>21.9</v>
      </c>
      <c r="H3736" t="n">
        <v>0</v>
      </c>
      <c r="I3736" t="n">
        <v>0</v>
      </c>
      <c r="J3736" t="n">
        <v>0</v>
      </c>
      <c r="K3736" t="n">
        <v>0</v>
      </c>
      <c r="L3736" t="n">
        <v>0</v>
      </c>
      <c r="M3736" t="n">
        <v>0</v>
      </c>
      <c r="N3736" t="n">
        <v>0</v>
      </c>
      <c r="O3736" t="n">
        <v>0</v>
      </c>
      <c r="P3736" t="n">
        <v>0</v>
      </c>
      <c r="Q3736" t="n">
        <v>0</v>
      </c>
      <c r="R3736" s="2" t="inlineStr"/>
    </row>
    <row r="3737" ht="15" customHeight="1">
      <c r="A3737" t="inlineStr">
        <is>
          <t>A 45686-2024</t>
        </is>
      </c>
      <c r="B3737" s="1" t="n">
        <v>45579</v>
      </c>
      <c r="C3737" s="1" t="n">
        <v>45582</v>
      </c>
      <c r="D3737" t="inlineStr">
        <is>
          <t>STOCKHOLMS LÄN</t>
        </is>
      </c>
      <c r="E3737" t="inlineStr">
        <is>
          <t>VALLENTUNA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45746-2024</t>
        </is>
      </c>
      <c r="B3738" s="1" t="n">
        <v>45579</v>
      </c>
      <c r="C3738" s="1" t="n">
        <v>45582</v>
      </c>
      <c r="D3738" t="inlineStr">
        <is>
          <t>STOCKHOLMS LÄN</t>
        </is>
      </c>
      <c r="E3738" t="inlineStr">
        <is>
          <t>NORRTÄLJE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45817-2024</t>
        </is>
      </c>
      <c r="B3739" s="1" t="n">
        <v>45579</v>
      </c>
      <c r="C3739" s="1" t="n">
        <v>45582</v>
      </c>
      <c r="D3739" t="inlineStr">
        <is>
          <t>STOCKHOLMS LÄN</t>
        </is>
      </c>
      <c r="E3739" t="inlineStr">
        <is>
          <t>NYKVARN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46071-2024</t>
        </is>
      </c>
      <c r="B3740" s="1" t="n">
        <v>45581</v>
      </c>
      <c r="C3740" s="1" t="n">
        <v>45582</v>
      </c>
      <c r="D3740" t="inlineStr">
        <is>
          <t>STOCKHOLMS LÄN</t>
        </is>
      </c>
      <c r="E3740" t="inlineStr">
        <is>
          <t>NORRTÄLJE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46073-2024</t>
        </is>
      </c>
      <c r="B3741" s="1" t="n">
        <v>45581</v>
      </c>
      <c r="C3741" s="1" t="n">
        <v>45582</v>
      </c>
      <c r="D3741" t="inlineStr">
        <is>
          <t>STOCKHOLMS LÄN</t>
        </is>
      </c>
      <c r="E3741" t="inlineStr">
        <is>
          <t>NORRTÄLJE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46333-2024</t>
        </is>
      </c>
      <c r="B3742" s="1" t="n">
        <v>45581</v>
      </c>
      <c r="C3742" s="1" t="n">
        <v>45582</v>
      </c>
      <c r="D3742" t="inlineStr">
        <is>
          <t>STOCKHOLMS LÄN</t>
        </is>
      </c>
      <c r="E3742" t="inlineStr">
        <is>
          <t>NORRTÄLJE</t>
        </is>
      </c>
      <c r="G3742" t="n">
        <v>7.8</v>
      </c>
      <c r="H3742" t="n">
        <v>0</v>
      </c>
      <c r="I3742" t="n">
        <v>0</v>
      </c>
      <c r="J3742" t="n">
        <v>0</v>
      </c>
      <c r="K3742" t="n">
        <v>0</v>
      </c>
      <c r="L3742" t="n">
        <v>0</v>
      </c>
      <c r="M3742" t="n">
        <v>0</v>
      </c>
      <c r="N3742" t="n">
        <v>0</v>
      </c>
      <c r="O3742" t="n">
        <v>0</v>
      </c>
      <c r="P3742" t="n">
        <v>0</v>
      </c>
      <c r="Q3742" t="n">
        <v>0</v>
      </c>
      <c r="R3742" s="2" t="inlineStr"/>
    </row>
    <row r="3743">
      <c r="A3743" t="inlineStr">
        <is>
          <t>A 46326-2024</t>
        </is>
      </c>
      <c r="B3743" s="1" t="n">
        <v>45581</v>
      </c>
      <c r="C3743" s="1" t="n">
        <v>45582</v>
      </c>
      <c r="D3743" t="inlineStr">
        <is>
          <t>STOCKHOLMS LÄN</t>
        </is>
      </c>
      <c r="E3743" t="inlineStr">
        <is>
          <t>NORRTÄLJE</t>
        </is>
      </c>
      <c r="G3743" t="n">
        <v>2.6</v>
      </c>
      <c r="H3743" t="n">
        <v>0</v>
      </c>
      <c r="I3743" t="n">
        <v>0</v>
      </c>
      <c r="J3743" t="n">
        <v>0</v>
      </c>
      <c r="K3743" t="n">
        <v>0</v>
      </c>
      <c r="L3743" t="n">
        <v>0</v>
      </c>
      <c r="M3743" t="n">
        <v>0</v>
      </c>
      <c r="N3743" t="n">
        <v>0</v>
      </c>
      <c r="O3743" t="n">
        <v>0</v>
      </c>
      <c r="P3743" t="n">
        <v>0</v>
      </c>
      <c r="Q3743" t="n">
        <v>0</v>
      </c>
      <c r="R3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2024-10-17T12:45:14Z</dcterms:created>
  <dcterms:modified xmlns:dcterms="http://purl.org/dc/terms/" xmlns:xsi="http://www.w3.org/2001/XMLSchema-instance" xsi:type="dcterms:W3CDTF">2024-10-17T12:45:17Z</dcterms:modified>
</cp:coreProperties>
</file>